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202300"/>
  <mc:AlternateContent xmlns:mc="http://schemas.openxmlformats.org/markup-compatibility/2006">
    <mc:Choice Requires="x15">
      <x15ac:absPath xmlns:x15ac="http://schemas.microsoft.com/office/spreadsheetml/2010/11/ac" url="https://d.docs.live.net/93e6e9d14724bcf3/Desktop/workFLOW^M/"/>
    </mc:Choice>
  </mc:AlternateContent>
  <xr:revisionPtr revIDLastSave="1000" documentId="8_{F3FCB093-6055-4253-B4BA-57A94C2B7080}" xr6:coauthVersionLast="47" xr6:coauthVersionMax="47" xr10:uidLastSave="{D457C49F-FAD9-4E30-9457-0075B87938AE}"/>
  <bookViews>
    <workbookView xWindow="-98" yWindow="-98" windowWidth="21795" windowHeight="12975" activeTab="1" xr2:uid="{00000000-000D-0000-FFFF-FFFF00000000}"/>
  </bookViews>
  <sheets>
    <sheet name="VRO Export" sheetId="1" r:id="rId1"/>
    <sheet name="OOS GARDA" sheetId="4" r:id="rId2"/>
    <sheet name="Useful %" sheetId="6" r:id="rId3"/>
    <sheet name="Useful % DOD" sheetId="8" r:id="rId4"/>
    <sheet name="Resource Table" sheetId="7"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2" i="4" l="1"/>
  <c r="N3" i="4"/>
  <c r="N4" i="4"/>
  <c r="N5" i="4"/>
  <c r="N6" i="4"/>
  <c r="N7" i="4"/>
  <c r="N8" i="4"/>
  <c r="N9" i="4"/>
  <c r="N10" i="4"/>
  <c r="N11" i="4"/>
  <c r="N12" i="4"/>
  <c r="N13" i="4"/>
  <c r="N14" i="4"/>
  <c r="N15" i="4"/>
  <c r="N16" i="4"/>
  <c r="N17" i="4"/>
  <c r="N18" i="4"/>
  <c r="O18" i="4" s="1"/>
  <c r="N19" i="4"/>
  <c r="O19" i="4" s="1"/>
  <c r="N20" i="4"/>
  <c r="O20" i="4" s="1"/>
  <c r="N21" i="4"/>
  <c r="N22" i="4"/>
  <c r="N23" i="4"/>
  <c r="N24" i="4"/>
  <c r="N25" i="4"/>
  <c r="N26" i="4"/>
  <c r="N27" i="4"/>
  <c r="N28" i="4"/>
  <c r="N29" i="4"/>
  <c r="N30" i="4"/>
  <c r="O30" i="4" s="1"/>
  <c r="N31" i="4"/>
  <c r="O31" i="4" s="1"/>
  <c r="N32" i="4"/>
  <c r="N33" i="4"/>
  <c r="N34" i="4"/>
  <c r="N35" i="4"/>
  <c r="N36" i="4"/>
  <c r="N37" i="4"/>
  <c r="O37" i="4" s="1"/>
  <c r="N38" i="4"/>
  <c r="N39" i="4"/>
  <c r="O39" i="4" s="1"/>
  <c r="N40" i="4"/>
  <c r="O40" i="4" s="1"/>
  <c r="N41" i="4"/>
  <c r="N42" i="4"/>
  <c r="N43" i="4"/>
  <c r="N44" i="4"/>
  <c r="N45" i="4"/>
  <c r="N46" i="4"/>
  <c r="O46" i="4" s="1"/>
  <c r="N47" i="4"/>
  <c r="O47" i="4" s="1"/>
  <c r="N48" i="4"/>
  <c r="N49" i="4"/>
  <c r="O49" i="4" s="1"/>
  <c r="N50" i="4"/>
  <c r="N51" i="4"/>
  <c r="N52" i="4"/>
  <c r="N53" i="4"/>
  <c r="N54" i="4"/>
  <c r="N55" i="4"/>
  <c r="N56" i="4"/>
  <c r="O56" i="4" s="1"/>
  <c r="N57" i="4"/>
  <c r="O57" i="4" s="1"/>
  <c r="N58" i="4"/>
  <c r="N59" i="4"/>
  <c r="N60" i="4"/>
  <c r="N61" i="4"/>
  <c r="N62" i="4"/>
  <c r="N63" i="4"/>
  <c r="N64" i="4"/>
  <c r="N65" i="4"/>
  <c r="N66" i="4"/>
  <c r="N67" i="4"/>
  <c r="N68" i="4"/>
  <c r="N69" i="4"/>
  <c r="O69" i="4" s="1"/>
  <c r="N70" i="4"/>
  <c r="N71" i="4"/>
  <c r="O71" i="4" s="1"/>
  <c r="N72" i="4"/>
  <c r="O72" i="4" s="1"/>
  <c r="N73" i="4"/>
  <c r="N74" i="4"/>
  <c r="N75" i="4"/>
  <c r="N76" i="4"/>
  <c r="N77" i="4"/>
  <c r="N78" i="4"/>
  <c r="O78" i="4" s="1"/>
  <c r="N79" i="4"/>
  <c r="N80" i="4"/>
  <c r="O80" i="4" s="1"/>
  <c r="N81" i="4"/>
  <c r="N82" i="4"/>
  <c r="N83" i="4"/>
  <c r="N84" i="4"/>
  <c r="N85" i="4"/>
  <c r="N86" i="4"/>
  <c r="O86" i="4" s="1"/>
  <c r="N87" i="4"/>
  <c r="N88" i="4"/>
  <c r="N89" i="4"/>
  <c r="N90" i="4"/>
  <c r="N91" i="4"/>
  <c r="N92" i="4"/>
  <c r="N93" i="4"/>
  <c r="N94" i="4"/>
  <c r="N95" i="4"/>
  <c r="N96" i="4"/>
  <c r="N97" i="4"/>
  <c r="N98" i="4"/>
  <c r="N99" i="4"/>
  <c r="N100" i="4"/>
  <c r="O100" i="4" s="1"/>
  <c r="N101" i="4"/>
  <c r="N102" i="4"/>
  <c r="N103" i="4"/>
  <c r="N104" i="4"/>
  <c r="N105" i="4"/>
  <c r="N106" i="4"/>
  <c r="O106" i="4" s="1"/>
  <c r="N107" i="4"/>
  <c r="O107" i="4" s="1"/>
  <c r="N108" i="4"/>
  <c r="N109" i="4"/>
  <c r="O109" i="4" s="1"/>
  <c r="N110" i="4"/>
  <c r="O110" i="4" s="1"/>
  <c r="N111" i="4"/>
  <c r="O111" i="4" s="1"/>
  <c r="N112" i="4"/>
  <c r="O112" i="4" s="1"/>
  <c r="N113" i="4"/>
  <c r="O113" i="4" s="1"/>
  <c r="N114" i="4"/>
  <c r="O114" i="4" s="1"/>
  <c r="N115" i="4"/>
  <c r="O115" i="4" s="1"/>
  <c r="N116" i="4"/>
  <c r="N117" i="4"/>
  <c r="N118" i="4"/>
  <c r="N119" i="4"/>
  <c r="N120" i="4"/>
  <c r="N121" i="4"/>
  <c r="N122" i="4"/>
  <c r="N123" i="4"/>
  <c r="N124" i="4"/>
  <c r="N125" i="4"/>
  <c r="N126" i="4"/>
  <c r="O126" i="4" s="1"/>
  <c r="N127" i="4"/>
  <c r="N128" i="4"/>
  <c r="N129" i="4"/>
  <c r="N130" i="4"/>
  <c r="N131" i="4"/>
  <c r="N132" i="4"/>
  <c r="N133" i="4"/>
  <c r="N134" i="4"/>
  <c r="N135" i="4"/>
  <c r="N136" i="4"/>
  <c r="N137" i="4"/>
  <c r="N138" i="4"/>
  <c r="N139" i="4"/>
  <c r="N140" i="4"/>
  <c r="N141" i="4"/>
  <c r="N142" i="4"/>
  <c r="N143" i="4"/>
  <c r="N144" i="4"/>
  <c r="N145" i="4"/>
  <c r="N146" i="4"/>
  <c r="N147" i="4"/>
  <c r="N148" i="4"/>
  <c r="N149" i="4"/>
  <c r="N150" i="4"/>
  <c r="N151" i="4"/>
  <c r="N152" i="4"/>
  <c r="N153" i="4"/>
  <c r="O153" i="4" s="1"/>
  <c r="N154" i="4"/>
  <c r="N155" i="4"/>
  <c r="O155" i="4" s="1"/>
  <c r="N156" i="4"/>
  <c r="O156" i="4" s="1"/>
  <c r="N157" i="4"/>
  <c r="O157" i="4" s="1"/>
  <c r="N158" i="4"/>
  <c r="O158" i="4" s="1"/>
  <c r="N159" i="4"/>
  <c r="O159" i="4" s="1"/>
  <c r="N160" i="4"/>
  <c r="O160" i="4" s="1"/>
  <c r="N161" i="4"/>
  <c r="N162" i="4"/>
  <c r="N163" i="4"/>
  <c r="N164" i="4"/>
  <c r="N165" i="4"/>
  <c r="N166" i="4"/>
  <c r="O166" i="4" s="1"/>
  <c r="N167" i="4"/>
  <c r="O167" i="4" s="1"/>
  <c r="N168" i="4"/>
  <c r="N169" i="4"/>
  <c r="O169" i="4" s="1"/>
  <c r="N170" i="4"/>
  <c r="N171" i="4"/>
  <c r="N172" i="4"/>
  <c r="N173" i="4"/>
  <c r="N174" i="4"/>
  <c r="N175" i="4"/>
  <c r="N176" i="4"/>
  <c r="N177" i="4"/>
  <c r="N178" i="4"/>
  <c r="N179" i="4"/>
  <c r="N180" i="4"/>
  <c r="N181" i="4"/>
  <c r="N182" i="4"/>
  <c r="N183" i="4"/>
  <c r="N184" i="4"/>
  <c r="N185" i="4"/>
  <c r="N186" i="4"/>
  <c r="N187" i="4"/>
  <c r="O187" i="4" s="1"/>
  <c r="N188" i="4"/>
  <c r="N189" i="4"/>
  <c r="O189" i="4" s="1"/>
  <c r="N190" i="4"/>
  <c r="O190" i="4" s="1"/>
  <c r="N191" i="4"/>
  <c r="N192" i="4"/>
  <c r="N193" i="4"/>
  <c r="N194" i="4"/>
  <c r="N195" i="4"/>
  <c r="N196" i="4"/>
  <c r="N197" i="4"/>
  <c r="N198" i="4"/>
  <c r="O198" i="4" s="1"/>
  <c r="N199" i="4"/>
  <c r="O199" i="4" s="1"/>
  <c r="N200" i="4"/>
  <c r="N201" i="4"/>
  <c r="N202" i="4"/>
  <c r="N203" i="4"/>
  <c r="N204" i="4"/>
  <c r="N205" i="4"/>
  <c r="N206" i="4"/>
  <c r="N207" i="4"/>
  <c r="N208" i="4"/>
  <c r="N209" i="4"/>
  <c r="N210" i="4"/>
  <c r="N211" i="4"/>
  <c r="O211" i="4" s="1"/>
  <c r="N212" i="4"/>
  <c r="N213" i="4"/>
  <c r="O213" i="4" s="1"/>
  <c r="N214" i="4"/>
  <c r="N215" i="4"/>
  <c r="N216" i="4"/>
  <c r="N217" i="4"/>
  <c r="N218" i="4"/>
  <c r="N219" i="4"/>
  <c r="N220" i="4"/>
  <c r="O220" i="4" s="1"/>
  <c r="N221" i="4"/>
  <c r="N222" i="4"/>
  <c r="N223" i="4"/>
  <c r="N224" i="4"/>
  <c r="N225" i="4"/>
  <c r="N226" i="4"/>
  <c r="O226" i="4" s="1"/>
  <c r="N227" i="4"/>
  <c r="O227" i="4" s="1"/>
  <c r="N228" i="4"/>
  <c r="N229" i="4"/>
  <c r="O229" i="4" s="1"/>
  <c r="N230" i="4"/>
  <c r="O230" i="4" s="1"/>
  <c r="N231" i="4"/>
  <c r="O231" i="4" s="1"/>
  <c r="N232" i="4"/>
  <c r="N233" i="4"/>
  <c r="N234" i="4"/>
  <c r="N235" i="4"/>
  <c r="N236" i="4"/>
  <c r="N237" i="4"/>
  <c r="O237" i="4" s="1"/>
  <c r="N238" i="4"/>
  <c r="N239" i="4"/>
  <c r="O239" i="4" s="1"/>
  <c r="N240" i="4"/>
  <c r="O240" i="4" s="1"/>
  <c r="N241" i="4"/>
  <c r="N242" i="4"/>
  <c r="N243" i="4"/>
  <c r="N244" i="4"/>
  <c r="N245" i="4"/>
  <c r="N246" i="4"/>
  <c r="N247" i="4"/>
  <c r="N248" i="4"/>
  <c r="N249" i="4"/>
  <c r="N250" i="4"/>
  <c r="N251" i="4"/>
  <c r="N252" i="4"/>
  <c r="N253" i="4"/>
  <c r="N254" i="4"/>
  <c r="N255" i="4"/>
  <c r="N256" i="4"/>
  <c r="N257" i="4"/>
  <c r="N258" i="4"/>
  <c r="N259" i="4"/>
  <c r="N260" i="4"/>
  <c r="N261" i="4"/>
  <c r="N262" i="4"/>
  <c r="N263" i="4"/>
  <c r="N264" i="4"/>
  <c r="N265" i="4"/>
  <c r="N266" i="4"/>
  <c r="N267" i="4"/>
  <c r="N268" i="4"/>
  <c r="N269" i="4"/>
  <c r="N270" i="4"/>
  <c r="N271" i="4"/>
  <c r="N272" i="4"/>
  <c r="O272" i="4" s="1"/>
  <c r="N273" i="4"/>
  <c r="O273" i="4" s="1"/>
  <c r="N274" i="4"/>
  <c r="O274" i="4" s="1"/>
  <c r="N275" i="4"/>
  <c r="O275" i="4" s="1"/>
  <c r="N276" i="4"/>
  <c r="O276" i="4" s="1"/>
  <c r="N277" i="4"/>
  <c r="O277" i="4" s="1"/>
  <c r="N278" i="4"/>
  <c r="O278" i="4" s="1"/>
  <c r="N279" i="4"/>
  <c r="O279" i="4" s="1"/>
  <c r="N280" i="4"/>
  <c r="O280" i="4" s="1"/>
  <c r="N281" i="4"/>
  <c r="N282" i="4"/>
  <c r="N283" i="4"/>
  <c r="N284" i="4"/>
  <c r="N285" i="4"/>
  <c r="N286" i="4"/>
  <c r="O286" i="4" s="1"/>
  <c r="N287" i="4"/>
  <c r="O287" i="4" s="1"/>
  <c r="N288" i="4"/>
  <c r="N289" i="4"/>
  <c r="O289" i="4" s="1"/>
  <c r="N290" i="4"/>
  <c r="N291" i="4"/>
  <c r="N292" i="4"/>
  <c r="N293" i="4"/>
  <c r="N294" i="4"/>
  <c r="N295" i="4"/>
  <c r="N296" i="4"/>
  <c r="N297" i="4"/>
  <c r="N298" i="4"/>
  <c r="N299" i="4"/>
  <c r="N300" i="4"/>
  <c r="N301" i="4"/>
  <c r="N302" i="4"/>
  <c r="N303" i="4"/>
  <c r="N304" i="4"/>
  <c r="N305" i="4"/>
  <c r="N306" i="4"/>
  <c r="N307" i="4"/>
  <c r="O307" i="4" s="1"/>
  <c r="N308" i="4"/>
  <c r="N309" i="4"/>
  <c r="N310" i="4"/>
  <c r="N311" i="4"/>
  <c r="N312" i="4"/>
  <c r="N313" i="4"/>
  <c r="N314" i="4"/>
  <c r="N315" i="4"/>
  <c r="N316" i="4"/>
  <c r="N317" i="4"/>
  <c r="N318" i="4"/>
  <c r="N319" i="4"/>
  <c r="N320" i="4"/>
  <c r="N321" i="4"/>
  <c r="N322" i="4"/>
  <c r="N323" i="4"/>
  <c r="N324" i="4"/>
  <c r="N325" i="4"/>
  <c r="N326" i="4"/>
  <c r="O326" i="4" s="1"/>
  <c r="N327" i="4"/>
  <c r="N328" i="4"/>
  <c r="N329" i="4"/>
  <c r="O329" i="4" s="1"/>
  <c r="N330" i="4"/>
  <c r="O330" i="4" s="1"/>
  <c r="N331" i="4"/>
  <c r="O331" i="4" s="1"/>
  <c r="N332" i="4"/>
  <c r="O332" i="4" s="1"/>
  <c r="N333" i="4"/>
  <c r="O333" i="4" s="1"/>
  <c r="N334" i="4"/>
  <c r="N335" i="4"/>
  <c r="N336" i="4"/>
  <c r="N337" i="4"/>
  <c r="N338" i="4"/>
  <c r="N339" i="4"/>
  <c r="N340" i="4"/>
  <c r="O340" i="4" s="1"/>
  <c r="N341" i="4"/>
  <c r="N342" i="4"/>
  <c r="N343" i="4"/>
  <c r="N344" i="4"/>
  <c r="N345" i="4"/>
  <c r="N346" i="4"/>
  <c r="O346" i="4" s="1"/>
  <c r="N347" i="4"/>
  <c r="N348" i="4"/>
  <c r="N349" i="4"/>
  <c r="N350" i="4"/>
  <c r="N351" i="4"/>
  <c r="N352" i="4"/>
  <c r="N353" i="4"/>
  <c r="O353" i="4" s="1"/>
  <c r="N354" i="4"/>
  <c r="N355" i="4"/>
  <c r="O355" i="4" s="1"/>
  <c r="N356" i="4"/>
  <c r="O356" i="4" s="1"/>
  <c r="N357" i="4"/>
  <c r="O357" i="4" s="1"/>
  <c r="N358" i="4"/>
  <c r="O358" i="4" s="1"/>
  <c r="N359" i="4"/>
  <c r="N360" i="4"/>
  <c r="N361" i="4"/>
  <c r="N362" i="4"/>
  <c r="N363" i="4"/>
  <c r="N364" i="4"/>
  <c r="N365" i="4"/>
  <c r="N366" i="4"/>
  <c r="N367" i="4"/>
  <c r="N368" i="4"/>
  <c r="N369" i="4"/>
  <c r="N370" i="4"/>
  <c r="N371" i="4"/>
  <c r="N372" i="4"/>
  <c r="N373" i="4"/>
  <c r="N374" i="4"/>
  <c r="N375" i="4"/>
  <c r="N376" i="4"/>
  <c r="N377" i="4"/>
  <c r="N378" i="4"/>
  <c r="N379" i="4"/>
  <c r="N380" i="4"/>
  <c r="N381" i="4"/>
  <c r="N382" i="4"/>
  <c r="N383" i="4"/>
  <c r="N384" i="4"/>
  <c r="N385" i="4"/>
  <c r="N386" i="4"/>
  <c r="N387" i="4"/>
  <c r="N388" i="4"/>
  <c r="N389" i="4"/>
  <c r="N390" i="4"/>
  <c r="O390" i="4" s="1"/>
  <c r="N391" i="4"/>
  <c r="O391" i="4" s="1"/>
  <c r="N392" i="4"/>
  <c r="O392" i="4" s="1"/>
  <c r="N393" i="4"/>
  <c r="O393" i="4" s="1"/>
  <c r="N394" i="4"/>
  <c r="O394" i="4" s="1"/>
  <c r="N395" i="4"/>
  <c r="O395" i="4" s="1"/>
  <c r="N396" i="4"/>
  <c r="O396" i="4" s="1"/>
  <c r="N397" i="4"/>
  <c r="O397" i="4" s="1"/>
  <c r="N398" i="4"/>
  <c r="O398" i="4" s="1"/>
  <c r="N399" i="4"/>
  <c r="O399" i="4" s="1"/>
  <c r="N400" i="4"/>
  <c r="N401" i="4"/>
  <c r="N402" i="4"/>
  <c r="N403" i="4"/>
  <c r="N404" i="4"/>
  <c r="N405" i="4"/>
  <c r="N406" i="4"/>
  <c r="N407" i="4"/>
  <c r="N408" i="4"/>
  <c r="N409" i="4"/>
  <c r="N410" i="4"/>
  <c r="N411" i="4"/>
  <c r="O411" i="4" s="1"/>
  <c r="N412" i="4"/>
  <c r="N413" i="4"/>
  <c r="O413" i="4" s="1"/>
  <c r="N414" i="4"/>
  <c r="O414" i="4" s="1"/>
  <c r="N415" i="4"/>
  <c r="N416" i="4"/>
  <c r="N417" i="4"/>
  <c r="N418" i="4"/>
  <c r="N419" i="4"/>
  <c r="N420" i="4"/>
  <c r="N421" i="4"/>
  <c r="N422" i="4"/>
  <c r="N423" i="4"/>
  <c r="N424" i="4"/>
  <c r="N425" i="4"/>
  <c r="N426" i="4"/>
  <c r="N427" i="4"/>
  <c r="N428" i="4"/>
  <c r="N429" i="4"/>
  <c r="N430" i="4"/>
  <c r="N431" i="4"/>
  <c r="N432" i="4"/>
  <c r="N433" i="4"/>
  <c r="N434" i="4"/>
  <c r="N435" i="4"/>
  <c r="N436" i="4"/>
  <c r="N437" i="4"/>
  <c r="N438" i="4"/>
  <c r="N439" i="4"/>
  <c r="N440" i="4"/>
  <c r="O440" i="4" s="1"/>
  <c r="N441" i="4"/>
  <c r="N442" i="4"/>
  <c r="N443" i="4"/>
  <c r="N444" i="4"/>
  <c r="N445" i="4"/>
  <c r="N446" i="4"/>
  <c r="O446" i="4" s="1"/>
  <c r="N447" i="4"/>
  <c r="O447" i="4" s="1"/>
  <c r="N448" i="4"/>
  <c r="N449" i="4"/>
  <c r="O449" i="4" s="1"/>
  <c r="N450" i="4"/>
  <c r="O450" i="4" s="1"/>
  <c r="N451" i="4"/>
  <c r="O451" i="4" s="1"/>
  <c r="N452" i="4"/>
  <c r="O452" i="4" s="1"/>
  <c r="N453" i="4"/>
  <c r="O453" i="4" s="1"/>
  <c r="N454" i="4"/>
  <c r="N455" i="4"/>
  <c r="N456" i="4"/>
  <c r="N457" i="4"/>
  <c r="N458" i="4"/>
  <c r="N459" i="4"/>
  <c r="N460" i="4"/>
  <c r="N461" i="4"/>
  <c r="N462" i="4"/>
  <c r="N463" i="4"/>
  <c r="N464" i="4"/>
  <c r="N465" i="4"/>
  <c r="N466" i="4"/>
  <c r="N467" i="4"/>
  <c r="N468" i="4"/>
  <c r="N469" i="4"/>
  <c r="N470" i="4"/>
  <c r="N471" i="4"/>
  <c r="N472" i="4"/>
  <c r="O472" i="4" s="1"/>
  <c r="N473" i="4"/>
  <c r="O473" i="4" s="1"/>
  <c r="N474" i="4"/>
  <c r="O474" i="4" s="1"/>
  <c r="N475" i="4"/>
  <c r="O475" i="4" s="1"/>
  <c r="N476" i="4"/>
  <c r="O476" i="4" s="1"/>
  <c r="N477" i="4"/>
  <c r="N478" i="4"/>
  <c r="N479" i="4"/>
  <c r="N480" i="4"/>
  <c r="N481" i="4"/>
  <c r="N482" i="4"/>
  <c r="N483" i="4"/>
  <c r="N484" i="4"/>
  <c r="N485" i="4"/>
  <c r="N486" i="4"/>
  <c r="N487" i="4"/>
  <c r="N488" i="4"/>
  <c r="N489" i="4"/>
  <c r="N490" i="4"/>
  <c r="N491" i="4"/>
  <c r="N492" i="4"/>
  <c r="N493" i="4"/>
  <c r="N494" i="4"/>
  <c r="N495" i="4"/>
  <c r="O495" i="4" s="1"/>
  <c r="N496" i="4"/>
  <c r="N497" i="4"/>
  <c r="O497" i="4" s="1"/>
  <c r="N498" i="4"/>
  <c r="N499" i="4"/>
  <c r="N500" i="4"/>
  <c r="N501" i="4"/>
  <c r="N502" i="4"/>
  <c r="N503" i="4"/>
  <c r="N504" i="4"/>
  <c r="N505" i="4"/>
  <c r="N506" i="4"/>
  <c r="N507" i="4"/>
  <c r="N508" i="4"/>
  <c r="N509" i="4"/>
  <c r="N510" i="4"/>
  <c r="O510" i="4" s="1"/>
  <c r="N511" i="4"/>
  <c r="O511" i="4" s="1"/>
  <c r="N512" i="4"/>
  <c r="O512" i="4" s="1"/>
  <c r="N513" i="4"/>
  <c r="O513" i="4" s="1"/>
  <c r="N514" i="4"/>
  <c r="O514" i="4" s="1"/>
  <c r="N515" i="4"/>
  <c r="O515" i="4" s="1"/>
  <c r="N516" i="4"/>
  <c r="N517" i="4"/>
  <c r="N518" i="4"/>
  <c r="N519" i="4"/>
  <c r="N520" i="4"/>
  <c r="N521" i="4"/>
  <c r="O521" i="4" s="1"/>
  <c r="N522" i="4"/>
  <c r="N523" i="4"/>
  <c r="N524" i="4"/>
  <c r="N525" i="4"/>
  <c r="N526" i="4"/>
  <c r="N527" i="4"/>
  <c r="O527" i="4" s="1"/>
  <c r="N528" i="4"/>
  <c r="N529" i="4"/>
  <c r="O529" i="4" s="1"/>
  <c r="N530" i="4"/>
  <c r="O530" i="4" s="1"/>
  <c r="N531" i="4"/>
  <c r="O531" i="4" s="1"/>
  <c r="N532" i="4"/>
  <c r="N533" i="4"/>
  <c r="N534" i="4"/>
  <c r="N535" i="4"/>
  <c r="N536" i="4"/>
  <c r="N537" i="4"/>
  <c r="N538" i="4"/>
  <c r="N539" i="4"/>
  <c r="N540" i="4"/>
  <c r="N541" i="4"/>
  <c r="N542" i="4"/>
  <c r="N543" i="4"/>
  <c r="N544" i="4"/>
  <c r="N545" i="4"/>
  <c r="N546" i="4"/>
  <c r="N547" i="4"/>
  <c r="N548" i="4"/>
  <c r="N549" i="4"/>
  <c r="N550" i="4"/>
  <c r="N551" i="4"/>
  <c r="N552" i="4"/>
  <c r="N553" i="4"/>
  <c r="N554" i="4"/>
  <c r="N555" i="4"/>
  <c r="N556" i="4"/>
  <c r="O556" i="4" s="1"/>
  <c r="N557" i="4"/>
  <c r="O557" i="4" s="1"/>
  <c r="N558" i="4"/>
  <c r="O558" i="4" s="1"/>
  <c r="N559" i="4"/>
  <c r="O559" i="4" s="1"/>
  <c r="N560" i="4"/>
  <c r="O560" i="4" s="1"/>
  <c r="N561" i="4"/>
  <c r="O561" i="4" s="1"/>
  <c r="N562" i="4"/>
  <c r="N563" i="4"/>
  <c r="N564" i="4"/>
  <c r="N565" i="4"/>
  <c r="N566" i="4"/>
  <c r="O566" i="4" s="1"/>
  <c r="N567" i="4"/>
  <c r="O567" i="4" s="1"/>
  <c r="N568" i="4"/>
  <c r="N569" i="4"/>
  <c r="O569" i="4" s="1"/>
  <c r="N570" i="4"/>
  <c r="O570" i="4" s="1"/>
  <c r="N571" i="4"/>
  <c r="N572" i="4"/>
  <c r="N573" i="4"/>
  <c r="N574" i="4"/>
  <c r="N575" i="4"/>
  <c r="N576" i="4"/>
  <c r="N577" i="4"/>
  <c r="N578" i="4"/>
  <c r="N579" i="4"/>
  <c r="N580" i="4"/>
  <c r="N581" i="4"/>
  <c r="N582" i="4"/>
  <c r="N583" i="4"/>
  <c r="N584" i="4"/>
  <c r="N585" i="4"/>
  <c r="N586" i="4"/>
  <c r="N587" i="4"/>
  <c r="O587" i="4" s="1"/>
  <c r="N588" i="4"/>
  <c r="N589" i="4"/>
  <c r="O589" i="4" s="1"/>
  <c r="N590" i="4"/>
  <c r="O590" i="4" s="1"/>
  <c r="N591" i="4"/>
  <c r="N592" i="4"/>
  <c r="N593" i="4"/>
  <c r="N594" i="4"/>
  <c r="N595" i="4"/>
  <c r="N596" i="4"/>
  <c r="N597" i="4"/>
  <c r="N598" i="4"/>
  <c r="N599" i="4"/>
  <c r="N600" i="4"/>
  <c r="N601" i="4"/>
  <c r="N602" i="4"/>
  <c r="N603" i="4"/>
  <c r="N604" i="4"/>
  <c r="N605" i="4"/>
  <c r="N606" i="4"/>
  <c r="N607" i="4"/>
  <c r="N608" i="4"/>
  <c r="N609" i="4"/>
  <c r="O609" i="4" s="1"/>
  <c r="N610" i="4"/>
  <c r="O610" i="4" s="1"/>
  <c r="N611" i="4"/>
  <c r="O611" i="4" s="1"/>
  <c r="N612" i="4"/>
  <c r="O612" i="4" s="1"/>
  <c r="N613" i="4"/>
  <c r="N614" i="4"/>
  <c r="N615" i="4"/>
  <c r="N616" i="4"/>
  <c r="N617" i="4"/>
  <c r="N618" i="4"/>
  <c r="N619" i="4"/>
  <c r="O619" i="4" s="1"/>
  <c r="N620" i="4"/>
  <c r="O620" i="4" s="1"/>
  <c r="N621" i="4"/>
  <c r="N622" i="4"/>
  <c r="N623" i="4"/>
  <c r="N624" i="4"/>
  <c r="N625" i="4"/>
  <c r="N626" i="4"/>
  <c r="N627" i="4"/>
  <c r="N628" i="4"/>
  <c r="N629" i="4"/>
  <c r="N630" i="4"/>
  <c r="N631" i="4"/>
  <c r="O631" i="4" s="1"/>
  <c r="N632" i="4"/>
  <c r="N633" i="4"/>
  <c r="O633" i="4" s="1"/>
  <c r="N634" i="4"/>
  <c r="O634" i="4" s="1"/>
  <c r="N635" i="4"/>
  <c r="O635" i="4" s="1"/>
  <c r="N636" i="4"/>
  <c r="O636" i="4" s="1"/>
  <c r="N637" i="4"/>
  <c r="O637" i="4" s="1"/>
  <c r="N638" i="4"/>
  <c r="O638" i="4" s="1"/>
  <c r="N639" i="4"/>
  <c r="N640" i="4"/>
  <c r="N641" i="4"/>
  <c r="N642" i="4"/>
  <c r="N643" i="4"/>
  <c r="N644" i="4"/>
  <c r="N645" i="4"/>
  <c r="N646" i="4"/>
  <c r="N647" i="4"/>
  <c r="N648" i="4"/>
  <c r="N649" i="4"/>
  <c r="N650" i="4"/>
  <c r="N651" i="4"/>
  <c r="N652" i="4"/>
  <c r="N653" i="4"/>
  <c r="N654" i="4"/>
  <c r="N655" i="4"/>
  <c r="N656" i="4"/>
  <c r="N657" i="4"/>
  <c r="N658" i="4"/>
  <c r="N659" i="4"/>
  <c r="N660" i="4"/>
  <c r="N661" i="4"/>
  <c r="N662" i="4"/>
  <c r="N663" i="4"/>
  <c r="N664" i="4"/>
  <c r="N665" i="4"/>
  <c r="N666" i="4"/>
  <c r="O666" i="4" s="1"/>
  <c r="N667" i="4"/>
  <c r="O667" i="4" s="1"/>
  <c r="N668" i="4"/>
  <c r="O668" i="4" s="1"/>
  <c r="N669" i="4"/>
  <c r="O669" i="4" s="1"/>
  <c r="N670" i="4"/>
  <c r="O670" i="4" s="1"/>
  <c r="N671" i="4"/>
  <c r="O671" i="4" s="1"/>
  <c r="N672" i="4"/>
  <c r="O672" i="4" s="1"/>
  <c r="N673" i="4"/>
  <c r="O673" i="4" s="1"/>
  <c r="N674" i="4"/>
  <c r="N675" i="4"/>
  <c r="N676" i="4"/>
  <c r="N677" i="4"/>
  <c r="N678" i="4"/>
  <c r="N679" i="4"/>
  <c r="O679" i="4" s="1"/>
  <c r="N680" i="4"/>
  <c r="N681" i="4"/>
  <c r="O681" i="4" s="1"/>
  <c r="N682" i="4"/>
  <c r="N683" i="4"/>
  <c r="N684" i="4"/>
  <c r="N685" i="4"/>
  <c r="N686" i="4"/>
  <c r="O686" i="4" s="1"/>
  <c r="N687" i="4"/>
  <c r="O687" i="4" s="1"/>
  <c r="N688" i="4"/>
  <c r="N689" i="4"/>
  <c r="N690" i="4"/>
  <c r="N691" i="4"/>
  <c r="N692" i="4"/>
  <c r="N693" i="4"/>
  <c r="N694" i="4"/>
  <c r="O694" i="4" s="1"/>
  <c r="N695" i="4"/>
  <c r="N696" i="4"/>
  <c r="N697" i="4"/>
  <c r="N698" i="4"/>
  <c r="N699" i="4"/>
  <c r="N700" i="4"/>
  <c r="N701" i="4"/>
  <c r="N702" i="4"/>
  <c r="N703" i="4"/>
  <c r="N704" i="4"/>
  <c r="N705" i="4"/>
  <c r="N706" i="4"/>
  <c r="N707" i="4"/>
  <c r="N708" i="4"/>
  <c r="N709" i="4"/>
  <c r="N710" i="4"/>
  <c r="N711" i="4"/>
  <c r="N712" i="4"/>
  <c r="O712" i="4" s="1"/>
  <c r="N713" i="4"/>
  <c r="O713" i="4" s="1"/>
  <c r="N714" i="4"/>
  <c r="O714" i="4" s="1"/>
  <c r="N715" i="4"/>
  <c r="O715" i="4" s="1"/>
  <c r="N716" i="4"/>
  <c r="O716" i="4" s="1"/>
  <c r="N717" i="4"/>
  <c r="O717" i="4" s="1"/>
  <c r="N718" i="4"/>
  <c r="N719" i="4"/>
  <c r="N720" i="4"/>
  <c r="N721" i="4"/>
  <c r="N722" i="4"/>
  <c r="N723" i="4"/>
  <c r="N724" i="4"/>
  <c r="N725" i="4"/>
  <c r="N726" i="4"/>
  <c r="N727" i="4"/>
  <c r="N728" i="4"/>
  <c r="N729" i="4"/>
  <c r="N730" i="4"/>
  <c r="N731" i="4"/>
  <c r="N732" i="4"/>
  <c r="N733" i="4"/>
  <c r="N734" i="4"/>
  <c r="O734" i="4" s="1"/>
  <c r="N735" i="4"/>
  <c r="O735" i="4" s="1"/>
  <c r="N736" i="4"/>
  <c r="O736" i="4" s="1"/>
  <c r="N737" i="4"/>
  <c r="O737" i="4" s="1"/>
  <c r="N738" i="4"/>
  <c r="O738" i="4" s="1"/>
  <c r="N739" i="4"/>
  <c r="O739" i="4" s="1"/>
  <c r="N740" i="4"/>
  <c r="O740" i="4" s="1"/>
  <c r="N741" i="4"/>
  <c r="N742" i="4"/>
  <c r="N743" i="4"/>
  <c r="N744" i="4"/>
  <c r="N745" i="4"/>
  <c r="N746" i="4"/>
  <c r="N747" i="4"/>
  <c r="N748" i="4"/>
  <c r="N749" i="4"/>
  <c r="N750" i="4"/>
  <c r="N751" i="4"/>
  <c r="N752" i="4"/>
  <c r="N753" i="4"/>
  <c r="N754" i="4"/>
  <c r="N755" i="4"/>
  <c r="N756" i="4"/>
  <c r="N757" i="4"/>
  <c r="N758" i="4"/>
  <c r="N759" i="4"/>
  <c r="N760" i="4"/>
  <c r="N761" i="4"/>
  <c r="N762" i="4"/>
  <c r="N763" i="4"/>
  <c r="N764" i="4"/>
  <c r="N765" i="4"/>
  <c r="N766" i="4"/>
  <c r="N767" i="4"/>
  <c r="N768" i="4"/>
  <c r="O768" i="4" s="1"/>
  <c r="N769" i="4"/>
  <c r="O769" i="4" s="1"/>
  <c r="N770" i="4"/>
  <c r="O770" i="4" s="1"/>
  <c r="N771" i="4"/>
  <c r="O771" i="4" s="1"/>
  <c r="N772" i="4"/>
  <c r="O772" i="4" s="1"/>
  <c r="N773" i="4"/>
  <c r="O773" i="4" s="1"/>
  <c r="N774" i="4"/>
  <c r="N775" i="4"/>
  <c r="N776" i="4"/>
  <c r="N777" i="4"/>
  <c r="N778" i="4"/>
  <c r="N779" i="4"/>
  <c r="O779" i="4" s="1"/>
  <c r="N780" i="4"/>
  <c r="N781" i="4"/>
  <c r="O781" i="4" s="1"/>
  <c r="N782" i="4"/>
  <c r="N783" i="4"/>
  <c r="N784" i="4"/>
  <c r="N785" i="4"/>
  <c r="N786" i="4"/>
  <c r="O786" i="4" s="1"/>
  <c r="N787" i="4"/>
  <c r="O787" i="4" s="1"/>
  <c r="N788" i="4"/>
  <c r="O788" i="4" s="1"/>
  <c r="N789" i="4"/>
  <c r="O789" i="4" s="1"/>
  <c r="N790" i="4"/>
  <c r="O790" i="4" s="1"/>
  <c r="N791" i="4"/>
  <c r="N792" i="4"/>
  <c r="N793" i="4"/>
  <c r="N794" i="4"/>
  <c r="N795" i="4"/>
  <c r="N796" i="4"/>
  <c r="N797" i="4"/>
  <c r="N798" i="4"/>
  <c r="N799" i="4"/>
  <c r="N800" i="4"/>
  <c r="N801" i="4"/>
  <c r="N802" i="4"/>
  <c r="N803" i="4"/>
  <c r="N804" i="4"/>
  <c r="N805" i="4"/>
  <c r="N806" i="4"/>
  <c r="N807" i="4"/>
  <c r="N808" i="4"/>
  <c r="N809" i="4"/>
  <c r="N810" i="4"/>
  <c r="N811" i="4"/>
  <c r="N812" i="4"/>
  <c r="N813" i="4"/>
  <c r="N814" i="4"/>
  <c r="O814" i="4" s="1"/>
  <c r="N815" i="4"/>
  <c r="O815" i="4" s="1"/>
  <c r="N816" i="4"/>
  <c r="O816" i="4" s="1"/>
  <c r="N817" i="4"/>
  <c r="O817" i="4" s="1"/>
  <c r="N818" i="4"/>
  <c r="O818" i="4" s="1"/>
  <c r="N819" i="4"/>
  <c r="O819" i="4" s="1"/>
  <c r="N820" i="4"/>
  <c r="O820" i="4" s="1"/>
  <c r="N821" i="4"/>
  <c r="O821" i="4" s="1"/>
  <c r="N822" i="4"/>
  <c r="N823" i="4"/>
  <c r="N824" i="4"/>
  <c r="N825" i="4"/>
  <c r="N826" i="4"/>
  <c r="N827" i="4"/>
  <c r="N828" i="4"/>
  <c r="N829" i="4"/>
  <c r="N830" i="4"/>
  <c r="N831" i="4"/>
  <c r="N832" i="4"/>
  <c r="N833" i="4"/>
  <c r="N834" i="4"/>
  <c r="N835" i="4"/>
  <c r="N836" i="4"/>
  <c r="N837" i="4"/>
  <c r="N838" i="4"/>
  <c r="O838" i="4" s="1"/>
  <c r="N839" i="4"/>
  <c r="O839" i="4" s="1"/>
  <c r="N840" i="4"/>
  <c r="O840" i="4" s="1"/>
  <c r="N841" i="4"/>
  <c r="O841" i="4" s="1"/>
  <c r="N842" i="4"/>
  <c r="N843" i="4"/>
  <c r="N844" i="4"/>
  <c r="N845" i="4"/>
  <c r="N846" i="4"/>
  <c r="O846" i="4" s="1"/>
  <c r="N847" i="4"/>
  <c r="N848" i="4"/>
  <c r="N849" i="4"/>
  <c r="N850" i="4"/>
  <c r="N851" i="4"/>
  <c r="N852" i="4"/>
  <c r="N853" i="4"/>
  <c r="N854" i="4"/>
  <c r="N855" i="4"/>
  <c r="N856" i="4"/>
  <c r="N857" i="4"/>
  <c r="N858" i="4"/>
  <c r="N859" i="4"/>
  <c r="N860" i="4"/>
  <c r="O860" i="4" s="1"/>
  <c r="N861" i="4"/>
  <c r="O861" i="4" s="1"/>
  <c r="N862" i="4"/>
  <c r="N863" i="4"/>
  <c r="N864" i="4"/>
  <c r="N865" i="4"/>
  <c r="N866" i="4"/>
  <c r="N867" i="4"/>
  <c r="N868" i="4"/>
  <c r="N869" i="4"/>
  <c r="N870" i="4"/>
  <c r="N871" i="4"/>
  <c r="N872" i="4"/>
  <c r="O872" i="4" s="1"/>
  <c r="N873" i="4"/>
  <c r="O873" i="4" s="1"/>
  <c r="N874" i="4"/>
  <c r="N875" i="4"/>
  <c r="N876" i="4"/>
  <c r="N877" i="4"/>
  <c r="N878" i="4"/>
  <c r="N879" i="4"/>
  <c r="O879" i="4" s="1"/>
  <c r="N880" i="4"/>
  <c r="N881" i="4"/>
  <c r="O881" i="4" s="1"/>
  <c r="N882" i="4"/>
  <c r="N883" i="4"/>
  <c r="N884" i="4"/>
  <c r="N885" i="4"/>
  <c r="N886" i="4"/>
  <c r="O886" i="4" s="1"/>
  <c r="N887" i="4"/>
  <c r="O887" i="4" s="1"/>
  <c r="N888" i="4"/>
  <c r="O888" i="4" s="1"/>
  <c r="N889" i="4"/>
  <c r="O889" i="4" s="1"/>
  <c r="N890" i="4"/>
  <c r="O890" i="4" s="1"/>
  <c r="N891" i="4"/>
  <c r="O891" i="4" s="1"/>
  <c r="N892" i="4"/>
  <c r="O892" i="4" s="1"/>
  <c r="N893" i="4"/>
  <c r="N894" i="4"/>
  <c r="N895" i="4"/>
  <c r="N896" i="4"/>
  <c r="N897" i="4"/>
  <c r="N898" i="4"/>
  <c r="N899" i="4"/>
  <c r="N900" i="4"/>
  <c r="N901" i="4"/>
  <c r="N902" i="4"/>
  <c r="N903" i="4"/>
  <c r="N904" i="4"/>
  <c r="N905" i="4"/>
  <c r="N906" i="4"/>
  <c r="N907" i="4"/>
  <c r="N908" i="4"/>
  <c r="N909" i="4"/>
  <c r="N910" i="4"/>
  <c r="N911" i="4"/>
  <c r="N912" i="4"/>
  <c r="N913" i="4"/>
  <c r="N914" i="4"/>
  <c r="N915" i="4"/>
  <c r="N916" i="4"/>
  <c r="O916" i="4" s="1"/>
  <c r="N917" i="4"/>
  <c r="O917" i="4" s="1"/>
  <c r="N918" i="4"/>
  <c r="O918" i="4" s="1"/>
  <c r="N919" i="4"/>
  <c r="O919" i="4" s="1"/>
  <c r="N920" i="4"/>
  <c r="O920" i="4" s="1"/>
  <c r="N921" i="4"/>
  <c r="O921" i="4" s="1"/>
  <c r="N922" i="4"/>
  <c r="N923" i="4"/>
  <c r="N924" i="4"/>
  <c r="N925" i="4"/>
  <c r="N926" i="4"/>
  <c r="N927" i="4"/>
  <c r="N928" i="4"/>
  <c r="N929" i="4"/>
  <c r="N930" i="4"/>
  <c r="N931" i="4"/>
  <c r="O931" i="4" s="1"/>
  <c r="N932" i="4"/>
  <c r="N933" i="4"/>
  <c r="O933" i="4" s="1"/>
  <c r="N934" i="4"/>
  <c r="O934" i="4" s="1"/>
  <c r="N935" i="4"/>
  <c r="O935" i="4" s="1"/>
  <c r="N936" i="4"/>
  <c r="N937" i="4"/>
  <c r="N938" i="4"/>
  <c r="N939" i="4"/>
  <c r="N940" i="4"/>
  <c r="N941" i="4"/>
  <c r="N942" i="4"/>
  <c r="N943" i="4"/>
  <c r="N944" i="4"/>
  <c r="N945" i="4"/>
  <c r="N946" i="4"/>
  <c r="O946" i="4" s="1"/>
  <c r="N947" i="4"/>
  <c r="O947" i="4" s="1"/>
  <c r="N948" i="4"/>
  <c r="O948" i="4" s="1"/>
  <c r="N949" i="4"/>
  <c r="N950" i="4"/>
  <c r="N951" i="4"/>
  <c r="N952" i="4"/>
  <c r="N953" i="4"/>
  <c r="N954" i="4"/>
  <c r="N955" i="4"/>
  <c r="N956" i="4"/>
  <c r="N957" i="4"/>
  <c r="N958" i="4"/>
  <c r="N959" i="4"/>
  <c r="N960" i="4"/>
  <c r="N961" i="4"/>
  <c r="O961" i="4" s="1"/>
  <c r="N962" i="4"/>
  <c r="N963" i="4"/>
  <c r="N964" i="4"/>
  <c r="N965" i="4"/>
  <c r="N966" i="4"/>
  <c r="O966" i="4" s="1"/>
  <c r="N967" i="4"/>
  <c r="O967" i="4" s="1"/>
  <c r="N968" i="4"/>
  <c r="O968" i="4" s="1"/>
  <c r="N969" i="4"/>
  <c r="N970" i="4"/>
  <c r="N971" i="4"/>
  <c r="N972" i="4"/>
  <c r="N973" i="4"/>
  <c r="N974" i="4"/>
  <c r="N975" i="4"/>
  <c r="N976" i="4"/>
  <c r="N977" i="4"/>
  <c r="N978" i="4"/>
  <c r="N979" i="4"/>
  <c r="O979" i="4" s="1"/>
  <c r="N980" i="4"/>
  <c r="N981" i="4"/>
  <c r="O981" i="4" s="1"/>
  <c r="N982" i="4"/>
  <c r="N983" i="4"/>
  <c r="N984" i="4"/>
  <c r="N985" i="4"/>
  <c r="N986" i="4"/>
  <c r="O986" i="4" s="1"/>
  <c r="N987" i="4"/>
  <c r="O987" i="4" s="1"/>
  <c r="N988" i="4"/>
  <c r="O988" i="4" s="1"/>
  <c r="N989" i="4"/>
  <c r="O989" i="4" s="1"/>
  <c r="N990" i="4"/>
  <c r="O990" i="4" s="1"/>
  <c r="N991" i="4"/>
  <c r="O991" i="4" s="1"/>
  <c r="N992" i="4"/>
  <c r="O992" i="4" s="1"/>
  <c r="N993" i="4"/>
  <c r="N994" i="4"/>
  <c r="N995" i="4"/>
  <c r="N996" i="4"/>
  <c r="N997" i="4"/>
  <c r="N998" i="4"/>
  <c r="N999" i="4"/>
  <c r="N1000" i="4"/>
  <c r="N1001" i="4"/>
  <c r="N1002" i="4"/>
  <c r="N1003" i="4"/>
  <c r="N1004" i="4"/>
  <c r="N1005" i="4"/>
  <c r="N1006" i="4"/>
  <c r="N1007" i="4"/>
  <c r="N1008" i="4"/>
  <c r="N1009" i="4"/>
  <c r="N1010" i="4"/>
  <c r="N1011" i="4"/>
  <c r="N1012" i="4"/>
  <c r="N1013" i="4"/>
  <c r="N1014" i="4"/>
  <c r="N1015" i="4"/>
  <c r="O1015" i="4" s="1"/>
  <c r="N1016" i="4"/>
  <c r="O1016" i="4" s="1"/>
  <c r="N1017" i="4"/>
  <c r="O1017" i="4" s="1"/>
  <c r="N1018" i="4"/>
  <c r="O1018" i="4" s="1"/>
  <c r="N1019" i="4"/>
  <c r="O1019" i="4" s="1"/>
  <c r="N1020" i="4"/>
  <c r="O1020" i="4" s="1"/>
  <c r="N1021" i="4"/>
  <c r="O1021" i="4" s="1"/>
  <c r="N1022" i="4"/>
  <c r="N1023" i="4"/>
  <c r="N1024" i="4"/>
  <c r="N1025" i="4"/>
  <c r="N1026" i="4"/>
  <c r="O1026" i="4" s="1"/>
  <c r="N1027" i="4"/>
  <c r="N1028" i="4"/>
  <c r="N1029" i="4"/>
  <c r="N1030" i="4"/>
  <c r="N1031" i="4"/>
  <c r="O1031" i="4" s="1"/>
  <c r="N1032" i="4"/>
  <c r="N1033" i="4"/>
  <c r="O1033" i="4" s="1"/>
  <c r="N1034" i="4"/>
  <c r="O1034" i="4" s="1"/>
  <c r="N1035" i="4"/>
  <c r="O1035" i="4" s="1"/>
  <c r="N1036" i="4"/>
  <c r="N1037" i="4"/>
  <c r="N1038" i="4"/>
  <c r="N1039" i="4"/>
  <c r="N1040" i="4"/>
  <c r="N1041" i="4"/>
  <c r="N1042" i="4"/>
  <c r="N1043" i="4"/>
  <c r="N1044" i="4"/>
  <c r="N1045" i="4"/>
  <c r="N1046" i="4"/>
  <c r="O1046" i="4" s="1"/>
  <c r="N1047" i="4"/>
  <c r="N1048" i="4"/>
  <c r="N1049" i="4"/>
  <c r="N1050" i="4"/>
  <c r="N1051" i="4"/>
  <c r="N1052" i="4"/>
  <c r="N1053" i="4"/>
  <c r="N1054" i="4"/>
  <c r="N1055" i="4"/>
  <c r="N1056" i="4"/>
  <c r="N1057" i="4"/>
  <c r="N1058" i="4"/>
  <c r="N1059" i="4"/>
  <c r="O1059" i="4" s="1"/>
  <c r="N1060" i="4"/>
  <c r="O1060" i="4" s="1"/>
  <c r="N1061" i="4"/>
  <c r="O1061" i="4" s="1"/>
  <c r="N1062" i="4"/>
  <c r="N1063" i="4"/>
  <c r="N1064" i="4"/>
  <c r="N1065" i="4"/>
  <c r="N1066" i="4"/>
  <c r="O1066" i="4" s="1"/>
  <c r="N1067" i="4"/>
  <c r="O1067" i="4" s="1"/>
  <c r="N1068" i="4"/>
  <c r="O1068" i="4" s="1"/>
  <c r="N1069" i="4"/>
  <c r="N1070" i="4"/>
  <c r="N1071" i="4"/>
  <c r="N1072" i="4"/>
  <c r="N1073" i="4"/>
  <c r="N1074" i="4"/>
  <c r="N1075" i="4"/>
  <c r="N1076" i="4"/>
  <c r="N1077" i="4"/>
  <c r="N1078" i="4"/>
  <c r="N1079" i="4"/>
  <c r="O1079" i="4" s="1"/>
  <c r="N1080" i="4"/>
  <c r="N1081" i="4"/>
  <c r="O1081" i="4" s="1"/>
  <c r="N1082" i="4"/>
  <c r="N1083" i="4"/>
  <c r="N1084" i="4"/>
  <c r="N1085" i="4"/>
  <c r="N1086" i="4"/>
  <c r="O1086" i="4" s="1"/>
  <c r="N1087" i="4"/>
  <c r="O1087" i="4" s="1"/>
  <c r="N1088" i="4"/>
  <c r="O1088" i="4" s="1"/>
  <c r="N1089" i="4"/>
  <c r="O1089" i="4" s="1"/>
  <c r="N1090" i="4"/>
  <c r="O1090" i="4" s="1"/>
  <c r="N1091" i="4"/>
  <c r="N1092" i="4"/>
  <c r="N1093" i="4"/>
  <c r="N1094" i="4"/>
  <c r="N1095" i="4"/>
  <c r="N1096" i="4"/>
  <c r="N1097" i="4"/>
  <c r="N1098" i="4"/>
  <c r="N1099" i="4"/>
  <c r="N1100" i="4"/>
  <c r="N1101" i="4"/>
  <c r="N1102" i="4"/>
  <c r="N1103" i="4"/>
  <c r="N1104" i="4"/>
  <c r="N1105" i="4"/>
  <c r="N1106" i="4"/>
  <c r="N1107" i="4"/>
  <c r="N1108" i="4"/>
  <c r="N1109" i="4"/>
  <c r="N1110" i="4"/>
  <c r="N1111" i="4"/>
  <c r="N1112" i="4"/>
  <c r="N1113" i="4"/>
  <c r="O1113" i="4" s="1"/>
  <c r="N1114" i="4"/>
  <c r="O1114" i="4" s="1"/>
  <c r="N1115" i="4"/>
  <c r="O1115" i="4" s="1"/>
  <c r="N1116" i="4"/>
  <c r="O1116" i="4" s="1"/>
  <c r="N1117" i="4"/>
  <c r="O1117" i="4" s="1"/>
  <c r="N1118" i="4"/>
  <c r="O1118" i="4" s="1"/>
  <c r="N1119" i="4"/>
  <c r="O1119" i="4" s="1"/>
  <c r="N1120" i="4"/>
  <c r="O1120" i="4" s="1"/>
  <c r="N1121" i="4"/>
  <c r="O1121" i="4" s="1"/>
  <c r="N1122" i="4"/>
  <c r="N1123" i="4"/>
  <c r="N1124" i="4"/>
  <c r="N1125" i="4"/>
  <c r="N1126" i="4"/>
  <c r="O1126" i="4" s="1"/>
  <c r="N1127" i="4"/>
  <c r="N1128" i="4"/>
  <c r="N1129" i="4"/>
  <c r="N1130" i="4"/>
  <c r="N1131" i="4"/>
  <c r="O1131" i="4" s="1"/>
  <c r="N1132" i="4"/>
  <c r="N1133" i="4"/>
  <c r="O1133" i="4" s="1"/>
  <c r="N1134" i="4"/>
  <c r="O1134" i="4" s="1"/>
  <c r="N1135" i="4"/>
  <c r="N1136" i="4"/>
  <c r="N1137" i="4"/>
  <c r="N1138" i="4"/>
  <c r="N1139" i="4"/>
  <c r="N1140" i="4"/>
  <c r="N1141" i="4"/>
  <c r="N1142" i="4"/>
  <c r="N1143" i="4"/>
  <c r="N1144" i="4"/>
  <c r="N1145" i="4"/>
  <c r="N1146" i="4"/>
  <c r="N1147" i="4"/>
  <c r="N1148" i="4"/>
  <c r="N1149" i="4"/>
  <c r="N1150" i="4"/>
  <c r="N1151" i="4"/>
  <c r="N1152" i="4"/>
  <c r="N1153" i="4"/>
  <c r="N1154" i="4"/>
  <c r="N1155" i="4"/>
  <c r="N1156" i="4"/>
  <c r="N1157" i="4"/>
  <c r="O1157" i="4" s="1"/>
  <c r="N1158" i="4"/>
  <c r="O1158" i="4" s="1"/>
  <c r="N1159" i="4"/>
  <c r="O1159" i="4" s="1"/>
  <c r="N1160" i="4"/>
  <c r="O1160" i="4" s="1"/>
  <c r="N1161" i="4"/>
  <c r="O1161" i="4" s="1"/>
  <c r="N1162" i="4"/>
  <c r="N1163" i="4"/>
  <c r="N1164" i="4"/>
  <c r="N1165" i="4"/>
  <c r="N1166" i="4"/>
  <c r="O1166" i="4" s="1"/>
  <c r="N1167" i="4"/>
  <c r="O1167" i="4" s="1"/>
  <c r="N1168" i="4"/>
  <c r="O1168" i="4" s="1"/>
  <c r="N1169" i="4"/>
  <c r="N1170" i="4"/>
  <c r="N1171" i="4"/>
  <c r="N1172" i="4"/>
  <c r="N1173" i="4"/>
  <c r="N1174" i="4"/>
  <c r="N1175" i="4"/>
  <c r="N1176" i="4"/>
  <c r="N1177" i="4"/>
  <c r="N1178" i="4"/>
  <c r="N1179" i="4"/>
  <c r="O1179" i="4" s="1"/>
  <c r="N1180" i="4"/>
  <c r="N1181" i="4"/>
  <c r="O1181" i="4" s="1"/>
  <c r="N1182" i="4"/>
  <c r="N1183" i="4"/>
  <c r="N1184" i="4"/>
  <c r="N1185" i="4"/>
  <c r="N1186" i="4"/>
  <c r="O1186" i="4" s="1"/>
  <c r="N1187" i="4"/>
  <c r="O1187" i="4" s="1"/>
  <c r="N1188" i="4"/>
  <c r="O1188" i="4" s="1"/>
  <c r="N1189" i="4"/>
  <c r="N1190" i="4"/>
  <c r="N1191" i="4"/>
  <c r="N1192" i="4"/>
  <c r="N1193" i="4"/>
  <c r="N1194" i="4"/>
  <c r="N1195" i="4"/>
  <c r="N1196" i="4"/>
  <c r="O1196" i="4" s="1"/>
  <c r="N1197" i="4"/>
  <c r="O1197" i="4" s="1"/>
  <c r="N1198" i="4"/>
  <c r="N1199" i="4"/>
  <c r="N1200" i="4"/>
  <c r="N1201" i="4"/>
  <c r="N1202" i="4"/>
  <c r="N1203" i="4"/>
  <c r="N1204" i="4"/>
  <c r="N1205" i="4"/>
  <c r="N1206" i="4"/>
  <c r="N1207" i="4"/>
  <c r="N1208" i="4"/>
  <c r="N1209" i="4"/>
  <c r="N1210" i="4"/>
  <c r="N1211" i="4"/>
  <c r="N1212" i="4"/>
  <c r="N1213" i="4"/>
  <c r="O1213" i="4" s="1"/>
  <c r="N1214" i="4"/>
  <c r="O1214" i="4" s="1"/>
  <c r="N1215" i="4"/>
  <c r="O1215" i="4" s="1"/>
  <c r="N1216" i="4"/>
  <c r="O1216" i="4" s="1"/>
  <c r="N1217" i="4"/>
  <c r="O1217" i="4" s="1"/>
  <c r="N1218" i="4"/>
  <c r="O1218" i="4" s="1"/>
  <c r="N1219" i="4"/>
  <c r="O1219" i="4" s="1"/>
  <c r="N1220" i="4"/>
  <c r="O1220" i="4" s="1"/>
  <c r="N1221" i="4"/>
  <c r="O1221" i="4" s="1"/>
  <c r="N1222" i="4"/>
  <c r="N1223" i="4"/>
  <c r="N1224" i="4"/>
  <c r="N1225" i="4"/>
  <c r="N1226" i="4"/>
  <c r="O1226" i="4" s="1"/>
  <c r="N1227" i="4"/>
  <c r="N1228" i="4"/>
  <c r="N1229" i="4"/>
  <c r="N1230" i="4"/>
  <c r="N1231" i="4"/>
  <c r="O1231" i="4" s="1"/>
  <c r="N1232" i="4"/>
  <c r="N1233" i="4"/>
  <c r="N1234" i="4"/>
  <c r="N1235" i="4"/>
  <c r="N1236" i="4"/>
  <c r="N1237" i="4"/>
  <c r="N1238" i="4"/>
  <c r="N1239" i="4"/>
  <c r="N1240" i="4"/>
  <c r="N1241" i="4"/>
  <c r="N1242" i="4"/>
  <c r="N1243" i="4"/>
  <c r="N1244" i="4"/>
  <c r="N1245" i="4"/>
  <c r="N1246" i="4"/>
  <c r="N1247" i="4"/>
  <c r="N1248" i="4"/>
  <c r="N1249" i="4"/>
  <c r="O1249" i="4" s="1"/>
  <c r="N1250" i="4"/>
  <c r="O1250" i="4" s="1"/>
  <c r="N1251" i="4"/>
  <c r="N1252" i="4"/>
  <c r="N1253" i="4"/>
  <c r="N1254" i="4"/>
  <c r="N1255" i="4"/>
  <c r="O1255" i="4" s="1"/>
  <c r="N1256" i="4"/>
  <c r="O1256" i="4" s="1"/>
  <c r="N1257" i="4"/>
  <c r="O1257" i="4" s="1"/>
  <c r="N1258" i="4"/>
  <c r="O1258" i="4" s="1"/>
  <c r="N1259" i="4"/>
  <c r="O1259" i="4" s="1"/>
  <c r="N1260" i="4"/>
  <c r="O1260" i="4" s="1"/>
  <c r="N1261" i="4"/>
  <c r="O1261" i="4" s="1"/>
  <c r="N1262" i="4"/>
  <c r="N1263" i="4"/>
  <c r="N1264" i="4"/>
  <c r="N1265" i="4"/>
  <c r="N1266" i="4"/>
  <c r="O1266" i="4" s="1"/>
  <c r="N1267" i="4"/>
  <c r="N1268" i="4"/>
  <c r="N1269" i="4"/>
  <c r="N1270" i="4"/>
  <c r="N1271" i="4"/>
  <c r="N1272" i="4"/>
  <c r="N1273" i="4"/>
  <c r="O1273" i="4" s="1"/>
  <c r="N1274" i="4"/>
  <c r="O1274" i="4" s="1"/>
  <c r="N1275" i="4"/>
  <c r="N1276" i="4"/>
  <c r="N1277" i="4"/>
  <c r="N1278" i="4"/>
  <c r="N1279" i="4"/>
  <c r="O1279" i="4" s="1"/>
  <c r="N1280" i="4"/>
  <c r="N1281" i="4"/>
  <c r="N1282" i="4"/>
  <c r="N1283" i="4"/>
  <c r="N1284" i="4"/>
  <c r="N1285" i="4"/>
  <c r="N1286" i="4"/>
  <c r="N1287" i="4"/>
  <c r="N1288" i="4"/>
  <c r="N1289" i="4"/>
  <c r="N1290" i="4"/>
  <c r="N1291" i="4"/>
  <c r="O1291" i="4" s="1"/>
  <c r="N1292" i="4"/>
  <c r="O1292" i="4" s="1"/>
  <c r="N1293" i="4"/>
  <c r="O1293" i="4" s="1"/>
  <c r="N1294" i="4"/>
  <c r="O1294" i="4" s="1"/>
  <c r="N1295" i="4"/>
  <c r="N1296" i="4"/>
  <c r="N1297" i="4"/>
  <c r="N1298" i="4"/>
  <c r="N1299" i="4"/>
  <c r="N1300" i="4"/>
  <c r="N1301" i="4"/>
  <c r="N1302" i="4"/>
  <c r="N1303" i="4"/>
  <c r="N1304" i="4"/>
  <c r="N1305" i="4"/>
  <c r="N1306" i="4"/>
  <c r="N1307" i="4"/>
  <c r="N1308" i="4"/>
  <c r="N1309" i="4"/>
  <c r="O1309" i="4" s="1"/>
  <c r="N1310" i="4"/>
  <c r="O1310" i="4" s="1"/>
  <c r="N1311" i="4"/>
  <c r="O1311" i="4" s="1"/>
  <c r="N1312" i="4"/>
  <c r="O1312" i="4" s="1"/>
  <c r="N1313" i="4"/>
  <c r="O1313" i="4" s="1"/>
  <c r="N1314" i="4"/>
  <c r="O1314" i="4" s="1"/>
  <c r="N1315" i="4"/>
  <c r="O1315" i="4" s="1"/>
  <c r="N1316" i="4"/>
  <c r="O1316" i="4" s="1"/>
  <c r="N1317" i="4"/>
  <c r="O1317" i="4" s="1"/>
  <c r="N1318" i="4"/>
  <c r="N1319" i="4"/>
  <c r="N1320" i="4"/>
  <c r="N1321" i="4"/>
  <c r="N1322" i="4"/>
  <c r="N1323" i="4"/>
  <c r="N1324" i="4"/>
  <c r="N1325" i="4"/>
  <c r="N1326" i="4"/>
  <c r="N1327" i="4"/>
  <c r="N1328" i="4"/>
  <c r="N1329" i="4"/>
  <c r="N1330" i="4"/>
  <c r="N1331" i="4"/>
  <c r="N1332" i="4"/>
  <c r="N1333" i="4"/>
  <c r="N1334" i="4"/>
  <c r="N1335" i="4"/>
  <c r="N1336" i="4"/>
  <c r="N1337" i="4"/>
  <c r="N1338" i="4"/>
  <c r="N1339" i="4"/>
  <c r="O1339" i="4" s="1"/>
  <c r="N1340" i="4"/>
  <c r="O1340" i="4" s="1"/>
  <c r="N1341" i="4"/>
  <c r="O1341" i="4" s="1"/>
  <c r="N1342" i="4"/>
  <c r="N1343" i="4"/>
  <c r="N1344" i="4"/>
  <c r="N1345" i="4"/>
  <c r="N1346" i="4"/>
  <c r="O1346" i="4" s="1"/>
  <c r="N1347" i="4"/>
  <c r="O1347" i="4" s="1"/>
  <c r="N1348" i="4"/>
  <c r="O1348" i="4" s="1"/>
  <c r="N1349" i="4"/>
  <c r="O1349" i="4" s="1"/>
  <c r="N1350" i="4"/>
  <c r="O1350" i="4" s="1"/>
  <c r="N1351" i="4"/>
  <c r="N1352" i="4"/>
  <c r="N1353" i="4"/>
  <c r="N1354" i="4"/>
  <c r="N1355" i="4"/>
  <c r="O1355" i="4" s="1"/>
  <c r="N1356" i="4"/>
  <c r="O1356" i="4" s="1"/>
  <c r="N1357" i="4"/>
  <c r="O1357" i="4" s="1"/>
  <c r="N1358" i="4"/>
  <c r="O1358" i="4" s="1"/>
  <c r="N1359" i="4"/>
  <c r="N1360" i="4"/>
  <c r="N1361" i="4"/>
  <c r="N1362" i="4"/>
  <c r="N1363" i="4"/>
  <c r="N1364" i="4"/>
  <c r="N1365" i="4"/>
  <c r="N1366" i="4"/>
  <c r="N1367" i="4"/>
  <c r="N1368" i="4"/>
  <c r="N1369" i="4"/>
  <c r="O1369" i="4" s="1"/>
  <c r="N1370" i="4"/>
  <c r="N1371" i="4"/>
  <c r="N1372" i="4"/>
  <c r="N1373" i="4"/>
  <c r="N1374" i="4"/>
  <c r="N1375" i="4"/>
  <c r="N1376" i="4"/>
  <c r="N1377" i="4"/>
  <c r="N1378" i="4"/>
  <c r="N1379" i="4"/>
  <c r="N1380" i="4"/>
  <c r="N1381" i="4"/>
  <c r="O1381" i="4" s="1"/>
  <c r="N1382" i="4"/>
  <c r="N1383" i="4"/>
  <c r="N1384" i="4"/>
  <c r="N1385" i="4"/>
  <c r="N1386" i="4"/>
  <c r="O1386" i="4" s="1"/>
  <c r="N1387" i="4"/>
  <c r="O1387" i="4" s="1"/>
  <c r="N1388" i="4"/>
  <c r="O1388" i="4" s="1"/>
  <c r="N1389" i="4"/>
  <c r="O1389" i="4" s="1"/>
  <c r="N1390" i="4"/>
  <c r="O1390" i="4" s="1"/>
  <c r="N1391" i="4"/>
  <c r="N1392" i="4"/>
  <c r="N1393" i="4"/>
  <c r="N1394" i="4"/>
  <c r="N1395" i="4"/>
  <c r="N1396" i="4"/>
  <c r="N1397" i="4"/>
  <c r="N1398" i="4"/>
  <c r="O1398" i="4" s="1"/>
  <c r="N1399" i="4"/>
  <c r="N1400" i="4"/>
  <c r="N1401" i="4"/>
  <c r="N1402" i="4"/>
  <c r="N1403" i="4"/>
  <c r="N1404" i="4"/>
  <c r="N1405" i="4"/>
  <c r="N1406" i="4"/>
  <c r="N1407" i="4"/>
  <c r="O1407" i="4" s="1"/>
  <c r="N1408" i="4"/>
  <c r="O1408" i="4" s="1"/>
  <c r="N1409" i="4"/>
  <c r="O1409" i="4" s="1"/>
  <c r="N1410" i="4"/>
  <c r="O1410" i="4" s="1"/>
  <c r="N1411" i="4"/>
  <c r="O1411" i="4" s="1"/>
  <c r="N1412" i="4"/>
  <c r="N1413" i="4"/>
  <c r="N1414" i="4"/>
  <c r="N1415" i="4"/>
  <c r="N1416" i="4"/>
  <c r="N1417" i="4"/>
  <c r="N1418" i="4"/>
  <c r="N1419" i="4"/>
  <c r="N1420" i="4"/>
  <c r="N1421" i="4"/>
  <c r="N1422" i="4"/>
  <c r="N1423" i="4"/>
  <c r="N1424" i="4"/>
  <c r="N1425" i="4"/>
  <c r="N1426" i="4"/>
  <c r="N1427" i="4"/>
  <c r="N1428" i="4"/>
  <c r="N1429" i="4"/>
  <c r="N1430" i="4"/>
  <c r="N1431" i="4"/>
  <c r="N1432" i="4"/>
  <c r="O1432" i="4" s="1"/>
  <c r="N1433" i="4"/>
  <c r="O1433" i="4" s="1"/>
  <c r="N1434" i="4"/>
  <c r="O1434" i="4" s="1"/>
  <c r="N1435" i="4"/>
  <c r="O1435" i="4" s="1"/>
  <c r="N1436" i="4"/>
  <c r="O1436" i="4" s="1"/>
  <c r="N1437" i="4"/>
  <c r="N1438" i="4"/>
  <c r="O1438" i="4" s="1"/>
  <c r="N1439" i="4"/>
  <c r="O1439" i="4" s="1"/>
  <c r="N1440" i="4"/>
  <c r="O1440" i="4" s="1"/>
  <c r="N1441" i="4"/>
  <c r="O1441" i="4" s="1"/>
  <c r="N1442" i="4"/>
  <c r="O1442" i="4" s="1"/>
  <c r="N1443" i="4"/>
  <c r="N1444" i="4"/>
  <c r="N1445" i="4"/>
  <c r="N1446" i="4"/>
  <c r="O1446" i="4" s="1"/>
  <c r="N1447" i="4"/>
  <c r="N1448" i="4"/>
  <c r="N1449" i="4"/>
  <c r="N1450" i="4"/>
  <c r="N1451" i="4"/>
  <c r="N1452" i="4"/>
  <c r="N1453" i="4"/>
  <c r="N1454" i="4"/>
  <c r="N1455" i="4"/>
  <c r="N1456" i="4"/>
  <c r="N1457" i="4"/>
  <c r="N1458" i="4"/>
  <c r="N1459" i="4"/>
  <c r="N1460" i="4"/>
  <c r="N1461" i="4"/>
  <c r="N1462" i="4"/>
  <c r="N1463" i="4"/>
  <c r="N1464" i="4"/>
  <c r="N1465" i="4"/>
  <c r="N1466" i="4"/>
  <c r="O1466" i="4" s="1"/>
  <c r="N1467" i="4"/>
  <c r="O1467" i="4" s="1"/>
  <c r="N1468" i="4"/>
  <c r="O1468" i="4" s="1"/>
  <c r="N1469" i="4"/>
  <c r="O1469" i="4" s="1"/>
  <c r="N1470" i="4"/>
  <c r="N1471" i="4"/>
  <c r="N1472" i="4"/>
  <c r="N1473" i="4"/>
  <c r="N1474" i="4"/>
  <c r="O1474" i="4" s="1"/>
  <c r="N1475" i="4"/>
  <c r="O1475" i="4" s="1"/>
  <c r="N1476" i="4"/>
  <c r="O1476" i="4" s="1"/>
  <c r="N1477" i="4"/>
  <c r="N1478" i="4"/>
  <c r="N1479" i="4"/>
  <c r="N1480" i="4"/>
  <c r="N1481" i="4"/>
  <c r="N1482" i="4"/>
  <c r="N1483" i="4"/>
  <c r="N1484" i="4"/>
  <c r="N1485" i="4"/>
  <c r="N1486" i="4"/>
  <c r="O1486" i="4" s="1"/>
  <c r="N1487" i="4"/>
  <c r="O1487" i="4" s="1"/>
  <c r="N1488" i="4"/>
  <c r="O1488" i="4" s="1"/>
  <c r="N1489" i="4"/>
  <c r="O1489" i="4" s="1"/>
  <c r="N1490" i="4"/>
  <c r="O1490" i="4" s="1"/>
  <c r="N1491" i="4"/>
  <c r="N1492" i="4"/>
  <c r="N1493" i="4"/>
  <c r="N1494" i="4"/>
  <c r="N1495" i="4"/>
  <c r="N1496" i="4"/>
  <c r="N1497" i="4"/>
  <c r="N1498" i="4"/>
  <c r="N1499" i="4"/>
  <c r="N1500" i="4"/>
  <c r="N1501" i="4"/>
  <c r="N1502" i="4"/>
  <c r="O1502" i="4" s="1"/>
  <c r="N1503" i="4"/>
  <c r="N1504" i="4"/>
  <c r="N1505" i="4"/>
  <c r="N1506" i="4"/>
  <c r="N1507" i="4"/>
  <c r="N1508" i="4"/>
  <c r="N1509" i="4"/>
  <c r="N1510" i="4"/>
  <c r="N1511" i="4"/>
  <c r="N1512" i="4"/>
  <c r="O1512" i="4" s="1"/>
  <c r="N1513" i="4"/>
  <c r="O1513" i="4" s="1"/>
  <c r="N1514" i="4"/>
  <c r="N1515" i="4"/>
  <c r="N1516" i="4"/>
  <c r="N1517" i="4"/>
  <c r="N1518" i="4"/>
  <c r="O1518" i="4" s="1"/>
  <c r="N1519" i="4"/>
  <c r="O1519" i="4" s="1"/>
  <c r="N1520" i="4"/>
  <c r="O1520" i="4" s="1"/>
  <c r="N1521" i="4"/>
  <c r="O1521" i="4" s="1"/>
  <c r="N1522" i="4"/>
  <c r="O1522" i="4" s="1"/>
  <c r="N1523" i="4"/>
  <c r="N1524" i="4"/>
  <c r="N1525" i="4"/>
  <c r="N1526" i="4"/>
  <c r="O1526" i="4" s="1"/>
  <c r="N1527" i="4"/>
  <c r="O1527" i="4" s="1"/>
  <c r="N1528" i="4"/>
  <c r="O1528" i="4" s="1"/>
  <c r="N1529" i="4"/>
  <c r="N1530" i="4"/>
  <c r="N1531" i="4"/>
  <c r="N1532" i="4"/>
  <c r="N1533" i="4"/>
  <c r="N1534" i="4"/>
  <c r="N1535" i="4"/>
  <c r="N1536" i="4"/>
  <c r="N1537" i="4"/>
  <c r="N1538" i="4"/>
  <c r="N1539" i="4"/>
  <c r="N1540" i="4"/>
  <c r="N1541" i="4"/>
  <c r="N1542" i="4"/>
  <c r="N1543" i="4"/>
  <c r="N1544" i="4"/>
  <c r="N1545" i="4"/>
  <c r="N1546" i="4"/>
  <c r="N1547" i="4"/>
  <c r="O1547" i="4" s="1"/>
  <c r="N1548" i="4"/>
  <c r="O1548" i="4" s="1"/>
  <c r="N1549" i="4"/>
  <c r="O1549" i="4" s="1"/>
  <c r="N1550" i="4"/>
  <c r="O1550" i="4" s="1"/>
  <c r="N1551" i="4"/>
  <c r="O1551" i="4" s="1"/>
  <c r="N1552" i="4"/>
  <c r="O1552" i="4" s="1"/>
  <c r="N1553" i="4"/>
  <c r="O1553" i="4" s="1"/>
  <c r="N1554" i="4"/>
  <c r="O1554" i="4" s="1"/>
  <c r="N1555" i="4"/>
  <c r="O1555" i="4" s="1"/>
  <c r="N1556" i="4"/>
  <c r="O1556" i="4" s="1"/>
  <c r="N1557" i="4"/>
  <c r="N1558" i="4"/>
  <c r="N1559" i="4"/>
  <c r="N1560" i="4"/>
  <c r="N1561" i="4"/>
  <c r="N1562" i="4"/>
  <c r="N1563" i="4"/>
  <c r="N1564" i="4"/>
  <c r="N1565" i="4"/>
  <c r="N1566" i="4"/>
  <c r="N1567" i="4"/>
  <c r="N1568" i="4"/>
  <c r="O1568" i="4" s="1"/>
  <c r="N1569" i="4"/>
  <c r="O1569" i="4" s="1"/>
  <c r="N1570" i="4"/>
  <c r="O1570" i="4" s="1"/>
  <c r="N1571" i="4"/>
  <c r="N1572" i="4"/>
  <c r="N1573" i="4"/>
  <c r="N1574" i="4"/>
  <c r="N1575" i="4"/>
  <c r="N1576" i="4"/>
  <c r="N1577" i="4"/>
  <c r="N1578" i="4"/>
  <c r="N1579" i="4"/>
  <c r="N1580" i="4"/>
  <c r="N1581" i="4"/>
  <c r="N1582" i="4"/>
  <c r="O1582" i="4" s="1"/>
  <c r="N1583" i="4"/>
  <c r="N1584" i="4"/>
  <c r="O1584" i="4" s="1"/>
  <c r="N1585" i="4"/>
  <c r="N1586" i="4"/>
  <c r="O1586" i="4" s="1"/>
  <c r="N1587" i="4"/>
  <c r="N1588" i="4"/>
  <c r="N1589" i="4"/>
  <c r="N1590" i="4"/>
  <c r="N1591" i="4"/>
  <c r="N1592" i="4"/>
  <c r="N1593" i="4"/>
  <c r="O1593" i="4" s="1"/>
  <c r="N1594" i="4"/>
  <c r="O1594" i="4" s="1"/>
  <c r="N1595" i="4"/>
  <c r="O1595" i="4" s="1"/>
  <c r="N1596" i="4"/>
  <c r="O1596" i="4" s="1"/>
  <c r="N1597" i="4"/>
  <c r="N1598" i="4"/>
  <c r="O1598" i="4" s="1"/>
  <c r="N1599" i="4"/>
  <c r="N1600" i="4"/>
  <c r="N1601" i="4"/>
  <c r="N1602" i="4"/>
  <c r="N1603" i="4"/>
  <c r="N1604" i="4"/>
  <c r="O1604" i="4" s="1"/>
  <c r="N1605" i="4"/>
  <c r="N1606" i="4"/>
  <c r="O1606" i="4" s="1"/>
  <c r="N1607" i="4"/>
  <c r="N1608" i="4"/>
  <c r="N1609" i="4"/>
  <c r="N1610" i="4"/>
  <c r="N1611" i="4"/>
  <c r="N1612" i="4"/>
  <c r="N1613" i="4"/>
  <c r="N1614" i="4"/>
  <c r="N1615" i="4"/>
  <c r="N1616" i="4"/>
  <c r="N1617" i="4"/>
  <c r="N1618" i="4"/>
  <c r="N1619" i="4"/>
  <c r="O1619" i="4" s="1"/>
  <c r="N1620" i="4"/>
  <c r="N1621" i="4"/>
  <c r="N1622" i="4"/>
  <c r="N1623" i="4"/>
  <c r="N1624" i="4"/>
  <c r="N1625" i="4"/>
  <c r="N1626" i="4"/>
  <c r="O1626" i="4" s="1"/>
  <c r="N1627" i="4"/>
  <c r="O1627" i="4" s="1"/>
  <c r="N1628" i="4"/>
  <c r="O1628" i="4" s="1"/>
  <c r="N1629" i="4"/>
  <c r="O1629" i="4" s="1"/>
  <c r="N1630" i="4"/>
  <c r="O1630" i="4" s="1"/>
  <c r="N1631" i="4"/>
  <c r="O1631" i="4" s="1"/>
  <c r="N1632" i="4"/>
  <c r="O1632" i="4" s="1"/>
  <c r="N1633" i="4"/>
  <c r="O1633" i="4" s="1"/>
  <c r="N1634" i="4"/>
  <c r="O1634" i="4" s="1"/>
  <c r="N1635" i="4"/>
  <c r="O1635" i="4" s="1"/>
  <c r="N1636" i="4"/>
  <c r="O1636" i="4" s="1"/>
  <c r="N1637" i="4"/>
  <c r="N1638" i="4"/>
  <c r="N1639" i="4"/>
  <c r="N1640" i="4"/>
  <c r="N1641" i="4"/>
  <c r="N1642" i="4"/>
  <c r="N1643" i="4"/>
  <c r="N1644" i="4"/>
  <c r="N1645" i="4"/>
  <c r="N1646" i="4"/>
  <c r="N1647" i="4"/>
  <c r="N1648" i="4"/>
  <c r="N1649" i="4"/>
  <c r="N1650" i="4"/>
  <c r="N1651" i="4"/>
  <c r="N1652" i="4"/>
  <c r="N1653" i="4"/>
  <c r="N1654" i="4"/>
  <c r="O1654" i="4" s="1"/>
  <c r="N1655" i="4"/>
  <c r="O1655" i="4" s="1"/>
  <c r="N1656" i="4"/>
  <c r="O1656" i="4" s="1"/>
  <c r="N1657" i="4"/>
  <c r="N1658" i="4"/>
  <c r="O1658" i="4" s="1"/>
  <c r="N1659" i="4"/>
  <c r="O1659" i="4" s="1"/>
  <c r="N1660" i="4"/>
  <c r="O1660" i="4" s="1"/>
  <c r="N1661" i="4"/>
  <c r="O1661" i="4" s="1"/>
  <c r="N1662" i="4"/>
  <c r="N1663" i="4"/>
  <c r="N1664" i="4"/>
  <c r="N1665" i="4"/>
  <c r="N1666" i="4"/>
  <c r="N1667" i="4"/>
  <c r="O1667" i="4" s="1"/>
  <c r="N1668" i="4"/>
  <c r="N1669" i="4"/>
  <c r="N1670" i="4"/>
  <c r="N1671" i="4"/>
  <c r="N1672" i="4"/>
  <c r="N1673" i="4"/>
  <c r="O1673" i="4" s="1"/>
  <c r="N1674" i="4"/>
  <c r="O1674" i="4" s="1"/>
  <c r="N1675" i="4"/>
  <c r="O1675" i="4" s="1"/>
  <c r="N1676" i="4"/>
  <c r="O1676" i="4" s="1"/>
  <c r="N1677" i="4"/>
  <c r="N1678" i="4"/>
  <c r="N1679" i="4"/>
  <c r="N1680" i="4"/>
  <c r="N1681" i="4"/>
  <c r="N1682" i="4"/>
  <c r="N1683" i="4"/>
  <c r="N1684" i="4"/>
  <c r="N1685" i="4"/>
  <c r="N1686" i="4"/>
  <c r="N1687" i="4"/>
  <c r="N1688" i="4"/>
  <c r="N1689" i="4"/>
  <c r="O1689" i="4" s="1"/>
  <c r="N1690" i="4"/>
  <c r="O1690" i="4" s="1"/>
  <c r="N1691" i="4"/>
  <c r="O1691" i="4" s="1"/>
  <c r="N1692" i="4"/>
  <c r="O1692" i="4" s="1"/>
  <c r="N1693" i="4"/>
  <c r="N1694" i="4"/>
  <c r="N1695" i="4"/>
  <c r="N1696" i="4"/>
  <c r="N1697" i="4"/>
  <c r="N1698" i="4"/>
  <c r="O1698" i="4" s="1"/>
  <c r="N1699" i="4"/>
  <c r="O1699" i="4" s="1"/>
  <c r="N1700" i="4"/>
  <c r="O1700" i="4" s="1"/>
  <c r="N1701" i="4"/>
  <c r="O1701" i="4" s="1"/>
  <c r="N1702" i="4"/>
  <c r="O1702" i="4" s="1"/>
  <c r="N1703" i="4"/>
  <c r="O1703" i="4" s="1"/>
  <c r="N1704" i="4"/>
  <c r="N1705" i="4"/>
  <c r="N1706" i="4"/>
  <c r="N1707" i="4"/>
  <c r="N1708" i="4"/>
  <c r="O1708" i="4" s="1"/>
  <c r="N1709" i="4"/>
  <c r="O1709" i="4" s="1"/>
  <c r="N1710" i="4"/>
  <c r="O1710" i="4" s="1"/>
  <c r="N1711" i="4"/>
  <c r="N1712" i="4"/>
  <c r="N1713" i="4"/>
  <c r="N1714" i="4"/>
  <c r="N1715" i="4"/>
  <c r="N1716" i="4"/>
  <c r="N1717" i="4"/>
  <c r="N1718" i="4"/>
  <c r="N1719" i="4"/>
  <c r="N1720" i="4"/>
  <c r="N1721" i="4"/>
  <c r="N1722" i="4"/>
  <c r="N1723" i="4"/>
  <c r="O1723" i="4" s="1"/>
  <c r="N1724" i="4"/>
  <c r="N1725" i="4"/>
  <c r="N1726" i="4"/>
  <c r="N1727" i="4"/>
  <c r="N1728" i="4"/>
  <c r="O1728" i="4" s="1"/>
  <c r="N1729" i="4"/>
  <c r="O1729" i="4" s="1"/>
  <c r="N1730" i="4"/>
  <c r="O1730" i="4" s="1"/>
  <c r="N1731" i="4"/>
  <c r="O1731" i="4" s="1"/>
  <c r="N1732" i="4"/>
  <c r="O1732" i="4" s="1"/>
  <c r="N1733" i="4"/>
  <c r="O1733" i="4" s="1"/>
  <c r="N1734" i="4"/>
  <c r="O1734" i="4" s="1"/>
  <c r="N1735" i="4"/>
  <c r="O1735" i="4" s="1"/>
  <c r="N1736" i="4"/>
  <c r="O1736" i="4" s="1"/>
  <c r="N1737" i="4"/>
  <c r="N1738" i="4"/>
  <c r="O1738" i="4" s="1"/>
  <c r="N1739" i="4"/>
  <c r="O1739" i="4" s="1"/>
  <c r="N1740" i="4"/>
  <c r="N1741" i="4"/>
  <c r="N1742" i="4"/>
  <c r="N1743" i="4"/>
  <c r="N1744" i="4"/>
  <c r="N1745" i="4"/>
  <c r="N1746" i="4"/>
  <c r="N1747" i="4"/>
  <c r="N1748" i="4"/>
  <c r="N1749" i="4"/>
  <c r="N1750" i="4"/>
  <c r="N1751" i="4"/>
  <c r="N1752" i="4"/>
  <c r="N1753" i="4"/>
  <c r="N1754" i="4"/>
  <c r="N1755" i="4"/>
  <c r="N1756" i="4"/>
  <c r="O1756" i="4" s="1"/>
  <c r="N1757" i="4"/>
  <c r="N1758" i="4"/>
  <c r="O1758" i="4" s="1"/>
  <c r="N1759" i="4"/>
  <c r="O1759" i="4" s="1"/>
  <c r="N1760" i="4"/>
  <c r="O1760" i="4" s="1"/>
  <c r="N1761" i="4"/>
  <c r="O1761" i="4" s="1"/>
  <c r="N1762" i="4"/>
  <c r="O1762" i="4" s="1"/>
  <c r="N1763" i="4"/>
  <c r="O1763" i="4" s="1"/>
  <c r="N1764" i="4"/>
  <c r="N1765" i="4"/>
  <c r="N1766" i="4"/>
  <c r="N1767" i="4"/>
  <c r="N1768" i="4"/>
  <c r="O1768" i="4" s="1"/>
  <c r="N1769" i="4"/>
  <c r="N1770" i="4"/>
  <c r="N1771" i="4"/>
  <c r="N1772" i="4"/>
  <c r="N1773" i="4"/>
  <c r="P414" i="4" l="1"/>
  <c r="P413" i="4"/>
  <c r="P411" i="4"/>
  <c r="P1088" i="4"/>
  <c r="P1068" i="4"/>
  <c r="P1310" i="4"/>
  <c r="P990" i="4"/>
  <c r="P988" i="4"/>
  <c r="P390" i="4"/>
  <c r="P358" i="4"/>
  <c r="P356" i="4"/>
  <c r="P768" i="4"/>
  <c r="P330" i="4"/>
  <c r="P934" i="4"/>
  <c r="P332" i="4"/>
  <c r="P331" i="4"/>
  <c r="P671" i="4"/>
  <c r="P272" i="4"/>
  <c r="P935" i="4"/>
  <c r="P333" i="4"/>
  <c r="P933" i="4"/>
  <c r="P931" i="4"/>
  <c r="P634" i="4"/>
  <c r="P231" i="4"/>
  <c r="P633" i="4"/>
  <c r="P230" i="4"/>
  <c r="P190" i="4"/>
  <c r="P611" i="4"/>
  <c r="P610" i="4"/>
  <c r="P187" i="4"/>
  <c r="P1730" i="4"/>
  <c r="P590" i="4"/>
  <c r="P169" i="4"/>
  <c r="P189" i="4"/>
  <c r="P1673" i="4"/>
  <c r="P531" i="4"/>
  <c r="P153" i="4"/>
  <c r="P1490" i="4"/>
  <c r="P530" i="4"/>
  <c r="P109" i="4"/>
  <c r="P631" i="4"/>
  <c r="P1311" i="4"/>
  <c r="P529" i="4"/>
  <c r="P107" i="4"/>
  <c r="P781" i="4"/>
  <c r="P773" i="4"/>
  <c r="P771" i="4"/>
  <c r="P673" i="4"/>
  <c r="P449" i="4"/>
  <c r="P273" i="4"/>
  <c r="P440" i="4"/>
  <c r="P240" i="4"/>
  <c r="P1554" i="4"/>
  <c r="P873" i="4"/>
  <c r="P355" i="4"/>
  <c r="P1502" i="4"/>
  <c r="P872" i="4"/>
  <c r="P556" i="4"/>
  <c r="P353" i="4"/>
  <c r="P167" i="4"/>
  <c r="P861" i="4"/>
  <c r="P515" i="4"/>
  <c r="P80" i="4"/>
  <c r="P278" i="4"/>
  <c r="P1221" i="4"/>
  <c r="P453" i="4"/>
  <c r="P277" i="4"/>
  <c r="P71" i="4"/>
  <c r="P340" i="4"/>
  <c r="P1231" i="4"/>
  <c r="P770" i="4"/>
  <c r="P513" i="4"/>
  <c r="P72" i="4"/>
  <c r="P1220" i="4"/>
  <c r="P714" i="4"/>
  <c r="P452" i="4"/>
  <c r="P276" i="4"/>
  <c r="P69" i="4"/>
  <c r="P620" i="4"/>
  <c r="P860" i="4"/>
  <c r="P100" i="4"/>
  <c r="P1294" i="4"/>
  <c r="P514" i="4"/>
  <c r="P1161" i="4"/>
  <c r="P713" i="4"/>
  <c r="P451" i="4"/>
  <c r="P275" i="4"/>
  <c r="P49" i="4"/>
  <c r="P1381" i="4"/>
  <c r="P1160" i="4"/>
  <c r="P694" i="4"/>
  <c r="P450" i="4"/>
  <c r="P274" i="4"/>
  <c r="P40" i="4"/>
  <c r="O1705" i="4"/>
  <c r="P1705" i="4"/>
  <c r="O1605" i="4"/>
  <c r="P1605" i="4"/>
  <c r="O1585" i="4"/>
  <c r="P1585" i="4"/>
  <c r="O1565" i="4"/>
  <c r="P1565" i="4"/>
  <c r="O1545" i="4"/>
  <c r="P1545" i="4"/>
  <c r="O1525" i="4"/>
  <c r="P1525" i="4"/>
  <c r="O1505" i="4"/>
  <c r="P1505" i="4"/>
  <c r="O1485" i="4"/>
  <c r="P1485" i="4"/>
  <c r="O1465" i="4"/>
  <c r="P1465" i="4"/>
  <c r="O1445" i="4"/>
  <c r="P1445" i="4"/>
  <c r="O1425" i="4"/>
  <c r="P1425" i="4"/>
  <c r="O1405" i="4"/>
  <c r="P1405" i="4"/>
  <c r="O1385" i="4"/>
  <c r="P1385" i="4"/>
  <c r="O1365" i="4"/>
  <c r="P1365" i="4"/>
  <c r="O1345" i="4"/>
  <c r="P1345" i="4"/>
  <c r="O1325" i="4"/>
  <c r="P1325" i="4"/>
  <c r="O1305" i="4"/>
  <c r="P1305" i="4"/>
  <c r="O1285" i="4"/>
  <c r="P1285" i="4"/>
  <c r="O1265" i="4"/>
  <c r="P1265" i="4"/>
  <c r="O1245" i="4"/>
  <c r="P1245" i="4"/>
  <c r="O1225" i="4"/>
  <c r="P1225" i="4"/>
  <c r="O1205" i="4"/>
  <c r="P1205" i="4"/>
  <c r="O1185" i="4"/>
  <c r="P1185" i="4"/>
  <c r="O1165" i="4"/>
  <c r="P1165" i="4"/>
  <c r="O1145" i="4"/>
  <c r="P1145" i="4"/>
  <c r="O1125" i="4"/>
  <c r="P1125" i="4"/>
  <c r="O1105" i="4"/>
  <c r="P1105" i="4"/>
  <c r="O1085" i="4"/>
  <c r="P1085" i="4"/>
  <c r="O1065" i="4"/>
  <c r="P1065" i="4"/>
  <c r="O1045" i="4"/>
  <c r="P1045" i="4"/>
  <c r="O1025" i="4"/>
  <c r="P1025" i="4"/>
  <c r="O1005" i="4"/>
  <c r="P1005" i="4"/>
  <c r="O1737" i="4"/>
  <c r="P1737" i="4"/>
  <c r="O1657" i="4"/>
  <c r="P1657" i="4"/>
  <c r="O1617" i="4"/>
  <c r="P1617" i="4"/>
  <c r="O1557" i="4"/>
  <c r="P1557" i="4"/>
  <c r="O1537" i="4"/>
  <c r="P1537" i="4"/>
  <c r="O1497" i="4"/>
  <c r="P1497" i="4"/>
  <c r="O1457" i="4"/>
  <c r="P1457" i="4"/>
  <c r="O1437" i="4"/>
  <c r="P1437" i="4"/>
  <c r="O1377" i="4"/>
  <c r="P1377" i="4"/>
  <c r="O1765" i="4"/>
  <c r="P1765" i="4"/>
  <c r="O1645" i="4"/>
  <c r="P1645" i="4"/>
  <c r="O1677" i="4"/>
  <c r="P1677" i="4"/>
  <c r="O1637" i="4"/>
  <c r="P1637" i="4"/>
  <c r="O1577" i="4"/>
  <c r="P1577" i="4"/>
  <c r="O1517" i="4"/>
  <c r="P1517" i="4"/>
  <c r="O1477" i="4"/>
  <c r="P1477" i="4"/>
  <c r="O1417" i="4"/>
  <c r="P1417" i="4"/>
  <c r="O1717" i="4"/>
  <c r="P1717" i="4"/>
  <c r="O1697" i="4"/>
  <c r="P1697" i="4"/>
  <c r="O1597" i="4"/>
  <c r="P1597" i="4"/>
  <c r="O1397" i="4"/>
  <c r="P1397" i="4"/>
  <c r="O1725" i="4"/>
  <c r="P1725" i="4"/>
  <c r="O1685" i="4"/>
  <c r="P1685" i="4"/>
  <c r="O1625" i="4"/>
  <c r="P1625" i="4"/>
  <c r="O1665" i="4"/>
  <c r="P1665" i="4"/>
  <c r="O1757" i="4"/>
  <c r="P1757" i="4"/>
  <c r="O1745" i="4"/>
  <c r="P1745" i="4"/>
  <c r="O1767" i="4"/>
  <c r="P1767" i="4"/>
  <c r="O1747" i="4"/>
  <c r="P1747" i="4"/>
  <c r="O1727" i="4"/>
  <c r="P1727" i="4"/>
  <c r="O1707" i="4"/>
  <c r="P1707" i="4"/>
  <c r="O1687" i="4"/>
  <c r="P1687" i="4"/>
  <c r="O1647" i="4"/>
  <c r="P1647" i="4"/>
  <c r="O1607" i="4"/>
  <c r="P1607" i="4"/>
  <c r="O1587" i="4"/>
  <c r="P1587" i="4"/>
  <c r="O1567" i="4"/>
  <c r="P1567" i="4"/>
  <c r="O1507" i="4"/>
  <c r="P1507" i="4"/>
  <c r="O1447" i="4"/>
  <c r="P1447" i="4"/>
  <c r="O1427" i="4"/>
  <c r="P1427" i="4"/>
  <c r="O1367" i="4"/>
  <c r="P1367" i="4"/>
  <c r="O1327" i="4"/>
  <c r="P1327" i="4"/>
  <c r="O1307" i="4"/>
  <c r="P1307" i="4"/>
  <c r="O1287" i="4"/>
  <c r="P1287" i="4"/>
  <c r="O1267" i="4"/>
  <c r="P1267" i="4"/>
  <c r="O1247" i="4"/>
  <c r="P1247" i="4"/>
  <c r="O1227" i="4"/>
  <c r="P1227" i="4"/>
  <c r="O1207" i="4"/>
  <c r="P1207" i="4"/>
  <c r="O1147" i="4"/>
  <c r="P1147" i="4"/>
  <c r="O1127" i="4"/>
  <c r="P1127" i="4"/>
  <c r="O1107" i="4"/>
  <c r="P1107" i="4"/>
  <c r="O1047" i="4"/>
  <c r="P1047" i="4"/>
  <c r="O1027" i="4"/>
  <c r="P1027" i="4"/>
  <c r="O1007" i="4"/>
  <c r="P1007" i="4"/>
  <c r="O927" i="4"/>
  <c r="P927" i="4"/>
  <c r="O907" i="4"/>
  <c r="P907" i="4"/>
  <c r="O867" i="4"/>
  <c r="P867" i="4"/>
  <c r="O847" i="4"/>
  <c r="P847" i="4"/>
  <c r="O827" i="4"/>
  <c r="P827" i="4"/>
  <c r="O807" i="4"/>
  <c r="P807" i="4"/>
  <c r="O767" i="4"/>
  <c r="P767" i="4"/>
  <c r="O747" i="4"/>
  <c r="P747" i="4"/>
  <c r="O727" i="4"/>
  <c r="P727" i="4"/>
  <c r="O707" i="4"/>
  <c r="P707" i="4"/>
  <c r="O647" i="4"/>
  <c r="P647" i="4"/>
  <c r="O627" i="4"/>
  <c r="P627" i="4"/>
  <c r="O607" i="4"/>
  <c r="P607" i="4"/>
  <c r="O547" i="4"/>
  <c r="P547" i="4"/>
  <c r="O507" i="4"/>
  <c r="P507" i="4"/>
  <c r="O487" i="4"/>
  <c r="P487" i="4"/>
  <c r="O467" i="4"/>
  <c r="P467" i="4"/>
  <c r="O427" i="4"/>
  <c r="P427" i="4"/>
  <c r="O407" i="4"/>
  <c r="P407" i="4"/>
  <c r="O387" i="4"/>
  <c r="P387" i="4"/>
  <c r="O367" i="4"/>
  <c r="P367" i="4"/>
  <c r="O347" i="4"/>
  <c r="P347" i="4"/>
  <c r="O327" i="4"/>
  <c r="P327" i="4"/>
  <c r="O267" i="4"/>
  <c r="P267" i="4"/>
  <c r="O247" i="4"/>
  <c r="P247" i="4"/>
  <c r="O207" i="4"/>
  <c r="P207" i="4"/>
  <c r="O147" i="4"/>
  <c r="P147" i="4"/>
  <c r="O127" i="4"/>
  <c r="P127" i="4"/>
  <c r="O87" i="4"/>
  <c r="P87" i="4"/>
  <c r="O67" i="4"/>
  <c r="P67" i="4"/>
  <c r="O27" i="4"/>
  <c r="P27" i="4"/>
  <c r="O7" i="4"/>
  <c r="P7" i="4"/>
  <c r="P1731" i="4"/>
  <c r="P1674" i="4"/>
  <c r="P1627" i="4"/>
  <c r="P1556" i="4"/>
  <c r="P1512" i="4"/>
  <c r="P1440" i="4"/>
  <c r="P1386" i="4"/>
  <c r="P1312" i="4"/>
  <c r="P1249" i="4"/>
  <c r="P1167" i="4"/>
  <c r="P1090" i="4"/>
  <c r="P1020" i="4"/>
  <c r="P947" i="4"/>
  <c r="P879" i="4"/>
  <c r="P788" i="4"/>
  <c r="P715" i="4"/>
  <c r="P635" i="4"/>
  <c r="P558" i="4"/>
  <c r="P472" i="4"/>
  <c r="P391" i="4"/>
  <c r="P279" i="4"/>
  <c r="P198" i="4"/>
  <c r="P110" i="4"/>
  <c r="O1766" i="4"/>
  <c r="P1766" i="4"/>
  <c r="O1746" i="4"/>
  <c r="P1746" i="4"/>
  <c r="O1726" i="4"/>
  <c r="P1726" i="4"/>
  <c r="O1706" i="4"/>
  <c r="P1706" i="4"/>
  <c r="O1686" i="4"/>
  <c r="P1686" i="4"/>
  <c r="O1666" i="4"/>
  <c r="P1666" i="4"/>
  <c r="O1646" i="4"/>
  <c r="P1646" i="4"/>
  <c r="O1566" i="4"/>
  <c r="P1566" i="4"/>
  <c r="O1546" i="4"/>
  <c r="P1546" i="4"/>
  <c r="O1506" i="4"/>
  <c r="P1506" i="4"/>
  <c r="O1426" i="4"/>
  <c r="P1426" i="4"/>
  <c r="O1406" i="4"/>
  <c r="P1406" i="4"/>
  <c r="O1366" i="4"/>
  <c r="P1366" i="4"/>
  <c r="O1326" i="4"/>
  <c r="P1326" i="4"/>
  <c r="O1306" i="4"/>
  <c r="P1306" i="4"/>
  <c r="O1286" i="4"/>
  <c r="P1286" i="4"/>
  <c r="O1246" i="4"/>
  <c r="P1246" i="4"/>
  <c r="O1206" i="4"/>
  <c r="P1206" i="4"/>
  <c r="O1146" i="4"/>
  <c r="P1146" i="4"/>
  <c r="O1106" i="4"/>
  <c r="P1106" i="4"/>
  <c r="O1006" i="4"/>
  <c r="P1006" i="4"/>
  <c r="O926" i="4"/>
  <c r="P926" i="4"/>
  <c r="O906" i="4"/>
  <c r="P906" i="4"/>
  <c r="O866" i="4"/>
  <c r="P866" i="4"/>
  <c r="O826" i="4"/>
  <c r="P826" i="4"/>
  <c r="O806" i="4"/>
  <c r="P806" i="4"/>
  <c r="O766" i="4"/>
  <c r="P766" i="4"/>
  <c r="O746" i="4"/>
  <c r="P746" i="4"/>
  <c r="O726" i="4"/>
  <c r="P726" i="4"/>
  <c r="O706" i="4"/>
  <c r="P706" i="4"/>
  <c r="O646" i="4"/>
  <c r="P646" i="4"/>
  <c r="O626" i="4"/>
  <c r="P626" i="4"/>
  <c r="O606" i="4"/>
  <c r="P606" i="4"/>
  <c r="O586" i="4"/>
  <c r="P586" i="4"/>
  <c r="O546" i="4"/>
  <c r="P546" i="4"/>
  <c r="O526" i="4"/>
  <c r="P526" i="4"/>
  <c r="O506" i="4"/>
  <c r="P506" i="4"/>
  <c r="O486" i="4"/>
  <c r="P486" i="4"/>
  <c r="O466" i="4"/>
  <c r="P466" i="4"/>
  <c r="O426" i="4"/>
  <c r="P426" i="4"/>
  <c r="O406" i="4"/>
  <c r="P406" i="4"/>
  <c r="O386" i="4"/>
  <c r="P386" i="4"/>
  <c r="O366" i="4"/>
  <c r="P366" i="4"/>
  <c r="O306" i="4"/>
  <c r="P306" i="4"/>
  <c r="O266" i="4"/>
  <c r="P266" i="4"/>
  <c r="O246" i="4"/>
  <c r="P246" i="4"/>
  <c r="O206" i="4"/>
  <c r="P206" i="4"/>
  <c r="O186" i="4"/>
  <c r="P186" i="4"/>
  <c r="O146" i="4"/>
  <c r="P146" i="4"/>
  <c r="O66" i="4"/>
  <c r="P66" i="4"/>
  <c r="O26" i="4"/>
  <c r="P26" i="4"/>
  <c r="O6" i="4"/>
  <c r="P6" i="4"/>
  <c r="P1626" i="4"/>
  <c r="P1555" i="4"/>
  <c r="P1439" i="4"/>
  <c r="P1166" i="4"/>
  <c r="P1089" i="4"/>
  <c r="P1019" i="4"/>
  <c r="P946" i="4"/>
  <c r="P787" i="4"/>
  <c r="P557" i="4"/>
  <c r="O985" i="4"/>
  <c r="P985" i="4"/>
  <c r="O965" i="4"/>
  <c r="P965" i="4"/>
  <c r="O945" i="4"/>
  <c r="P945" i="4"/>
  <c r="O925" i="4"/>
  <c r="P925" i="4"/>
  <c r="O905" i="4"/>
  <c r="P905" i="4"/>
  <c r="O885" i="4"/>
  <c r="P885" i="4"/>
  <c r="O865" i="4"/>
  <c r="P865" i="4"/>
  <c r="O845" i="4"/>
  <c r="P845" i="4"/>
  <c r="O825" i="4"/>
  <c r="P825" i="4"/>
  <c r="O805" i="4"/>
  <c r="P805" i="4"/>
  <c r="O785" i="4"/>
  <c r="P785" i="4"/>
  <c r="O765" i="4"/>
  <c r="P765" i="4"/>
  <c r="O745" i="4"/>
  <c r="P745" i="4"/>
  <c r="O725" i="4"/>
  <c r="P725" i="4"/>
  <c r="O705" i="4"/>
  <c r="P705" i="4"/>
  <c r="O685" i="4"/>
  <c r="P685" i="4"/>
  <c r="O665" i="4"/>
  <c r="P665" i="4"/>
  <c r="O645" i="4"/>
  <c r="P645" i="4"/>
  <c r="O625" i="4"/>
  <c r="P625" i="4"/>
  <c r="O605" i="4"/>
  <c r="P605" i="4"/>
  <c r="O585" i="4"/>
  <c r="P585" i="4"/>
  <c r="O565" i="4"/>
  <c r="P565" i="4"/>
  <c r="O545" i="4"/>
  <c r="P545" i="4"/>
  <c r="O525" i="4"/>
  <c r="P525" i="4"/>
  <c r="O505" i="4"/>
  <c r="P505" i="4"/>
  <c r="O485" i="4"/>
  <c r="P485" i="4"/>
  <c r="O465" i="4"/>
  <c r="P465" i="4"/>
  <c r="O445" i="4"/>
  <c r="P445" i="4"/>
  <c r="O425" i="4"/>
  <c r="P425" i="4"/>
  <c r="O405" i="4"/>
  <c r="P405" i="4"/>
  <c r="O385" i="4"/>
  <c r="P385" i="4"/>
  <c r="O365" i="4"/>
  <c r="P365" i="4"/>
  <c r="O345" i="4"/>
  <c r="P345" i="4"/>
  <c r="O325" i="4"/>
  <c r="P325" i="4"/>
  <c r="O305" i="4"/>
  <c r="P305" i="4"/>
  <c r="O285" i="4"/>
  <c r="P285" i="4"/>
  <c r="O265" i="4"/>
  <c r="P265" i="4"/>
  <c r="O245" i="4"/>
  <c r="P245" i="4"/>
  <c r="O225" i="4"/>
  <c r="P225" i="4"/>
  <c r="O205" i="4"/>
  <c r="P205" i="4"/>
  <c r="O185" i="4"/>
  <c r="P185" i="4"/>
  <c r="O165" i="4"/>
  <c r="P165" i="4"/>
  <c r="O145" i="4"/>
  <c r="P145" i="4"/>
  <c r="O125" i="4"/>
  <c r="P125" i="4"/>
  <c r="O105" i="4"/>
  <c r="P105" i="4"/>
  <c r="O85" i="4"/>
  <c r="P85" i="4"/>
  <c r="O65" i="4"/>
  <c r="P65" i="4"/>
  <c r="O45" i="4"/>
  <c r="P45" i="4"/>
  <c r="O25" i="4"/>
  <c r="P25" i="4"/>
  <c r="O5" i="4"/>
  <c r="P5" i="4"/>
  <c r="P1729" i="4"/>
  <c r="P1667" i="4"/>
  <c r="P1438" i="4"/>
  <c r="P1369" i="4"/>
  <c r="P1226" i="4"/>
  <c r="P1018" i="4"/>
  <c r="P786" i="4"/>
  <c r="O1764" i="4"/>
  <c r="P1764" i="4"/>
  <c r="O1744" i="4"/>
  <c r="P1744" i="4"/>
  <c r="O1724" i="4"/>
  <c r="P1724" i="4"/>
  <c r="O1704" i="4"/>
  <c r="P1704" i="4"/>
  <c r="O1684" i="4"/>
  <c r="P1684" i="4"/>
  <c r="O1664" i="4"/>
  <c r="P1664" i="4"/>
  <c r="O1644" i="4"/>
  <c r="P1644" i="4"/>
  <c r="O1624" i="4"/>
  <c r="P1624" i="4"/>
  <c r="O1564" i="4"/>
  <c r="P1564" i="4"/>
  <c r="O1544" i="4"/>
  <c r="P1544" i="4"/>
  <c r="O1524" i="4"/>
  <c r="P1524" i="4"/>
  <c r="O1504" i="4"/>
  <c r="P1504" i="4"/>
  <c r="O1484" i="4"/>
  <c r="P1484" i="4"/>
  <c r="O1464" i="4"/>
  <c r="P1464" i="4"/>
  <c r="O1444" i="4"/>
  <c r="P1444" i="4"/>
  <c r="O1424" i="4"/>
  <c r="P1424" i="4"/>
  <c r="O1404" i="4"/>
  <c r="P1404" i="4"/>
  <c r="O1384" i="4"/>
  <c r="P1384" i="4"/>
  <c r="O1364" i="4"/>
  <c r="P1364" i="4"/>
  <c r="O1344" i="4"/>
  <c r="P1344" i="4"/>
  <c r="O1324" i="4"/>
  <c r="P1324" i="4"/>
  <c r="O1304" i="4"/>
  <c r="P1304" i="4"/>
  <c r="O1284" i="4"/>
  <c r="P1284" i="4"/>
  <c r="O1264" i="4"/>
  <c r="P1264" i="4"/>
  <c r="O1244" i="4"/>
  <c r="P1244" i="4"/>
  <c r="O1224" i="4"/>
  <c r="P1224" i="4"/>
  <c r="O1204" i="4"/>
  <c r="P1204" i="4"/>
  <c r="O1184" i="4"/>
  <c r="P1184" i="4"/>
  <c r="O1164" i="4"/>
  <c r="P1164" i="4"/>
  <c r="O1144" i="4"/>
  <c r="P1144" i="4"/>
  <c r="O1124" i="4"/>
  <c r="P1124" i="4"/>
  <c r="O1104" i="4"/>
  <c r="P1104" i="4"/>
  <c r="O1084" i="4"/>
  <c r="P1084" i="4"/>
  <c r="O1064" i="4"/>
  <c r="P1064" i="4"/>
  <c r="O1044" i="4"/>
  <c r="P1044" i="4"/>
  <c r="O1024" i="4"/>
  <c r="P1024" i="4"/>
  <c r="O1004" i="4"/>
  <c r="P1004" i="4"/>
  <c r="O984" i="4"/>
  <c r="P984" i="4"/>
  <c r="O964" i="4"/>
  <c r="P964" i="4"/>
  <c r="O944" i="4"/>
  <c r="P944" i="4"/>
  <c r="O924" i="4"/>
  <c r="P924" i="4"/>
  <c r="O904" i="4"/>
  <c r="P904" i="4"/>
  <c r="O884" i="4"/>
  <c r="P884" i="4"/>
  <c r="O864" i="4"/>
  <c r="P864" i="4"/>
  <c r="O844" i="4"/>
  <c r="P844" i="4"/>
  <c r="O824" i="4"/>
  <c r="P824" i="4"/>
  <c r="O804" i="4"/>
  <c r="P804" i="4"/>
  <c r="O784" i="4"/>
  <c r="P784" i="4"/>
  <c r="O764" i="4"/>
  <c r="P764" i="4"/>
  <c r="O744" i="4"/>
  <c r="P744" i="4"/>
  <c r="O724" i="4"/>
  <c r="P724" i="4"/>
  <c r="O704" i="4"/>
  <c r="P704" i="4"/>
  <c r="O684" i="4"/>
  <c r="P684" i="4"/>
  <c r="O664" i="4"/>
  <c r="P664" i="4"/>
  <c r="O644" i="4"/>
  <c r="P644" i="4"/>
  <c r="O624" i="4"/>
  <c r="P624" i="4"/>
  <c r="O604" i="4"/>
  <c r="P604" i="4"/>
  <c r="O584" i="4"/>
  <c r="P584" i="4"/>
  <c r="O564" i="4"/>
  <c r="P564" i="4"/>
  <c r="O544" i="4"/>
  <c r="P544" i="4"/>
  <c r="O524" i="4"/>
  <c r="P524" i="4"/>
  <c r="O504" i="4"/>
  <c r="P504" i="4"/>
  <c r="O484" i="4"/>
  <c r="P484" i="4"/>
  <c r="O464" i="4"/>
  <c r="P464" i="4"/>
  <c r="O444" i="4"/>
  <c r="P444" i="4"/>
  <c r="O424" i="4"/>
  <c r="P424" i="4"/>
  <c r="O404" i="4"/>
  <c r="P404" i="4"/>
  <c r="O384" i="4"/>
  <c r="P384" i="4"/>
  <c r="O364" i="4"/>
  <c r="P364" i="4"/>
  <c r="O344" i="4"/>
  <c r="P344" i="4"/>
  <c r="O324" i="4"/>
  <c r="P324" i="4"/>
  <c r="O304" i="4"/>
  <c r="P304" i="4"/>
  <c r="O284" i="4"/>
  <c r="P284" i="4"/>
  <c r="O264" i="4"/>
  <c r="P264" i="4"/>
  <c r="O244" i="4"/>
  <c r="P244" i="4"/>
  <c r="O224" i="4"/>
  <c r="P224" i="4"/>
  <c r="O204" i="4"/>
  <c r="P204" i="4"/>
  <c r="O184" i="4"/>
  <c r="P184" i="4"/>
  <c r="O164" i="4"/>
  <c r="P164" i="4"/>
  <c r="O144" i="4"/>
  <c r="P144" i="4"/>
  <c r="O124" i="4"/>
  <c r="P124" i="4"/>
  <c r="O104" i="4"/>
  <c r="P104" i="4"/>
  <c r="O84" i="4"/>
  <c r="P84" i="4"/>
  <c r="O64" i="4"/>
  <c r="P64" i="4"/>
  <c r="O44" i="4"/>
  <c r="P44" i="4"/>
  <c r="O24" i="4"/>
  <c r="P24" i="4"/>
  <c r="O4" i="4"/>
  <c r="P4" i="4"/>
  <c r="P1768" i="4"/>
  <c r="P1728" i="4"/>
  <c r="P1661" i="4"/>
  <c r="P1619" i="4"/>
  <c r="P1553" i="4"/>
  <c r="P1358" i="4"/>
  <c r="P1309" i="4"/>
  <c r="P1087" i="4"/>
  <c r="P1017" i="4"/>
  <c r="P712" i="4"/>
  <c r="P357" i="4"/>
  <c r="P106" i="4"/>
  <c r="O1743" i="4"/>
  <c r="P1743" i="4"/>
  <c r="O1683" i="4"/>
  <c r="P1683" i="4"/>
  <c r="O1663" i="4"/>
  <c r="P1663" i="4"/>
  <c r="O1643" i="4"/>
  <c r="P1643" i="4"/>
  <c r="O1623" i="4"/>
  <c r="P1623" i="4"/>
  <c r="O1603" i="4"/>
  <c r="P1603" i="4"/>
  <c r="O1583" i="4"/>
  <c r="P1583" i="4"/>
  <c r="O1563" i="4"/>
  <c r="P1563" i="4"/>
  <c r="O1543" i="4"/>
  <c r="P1543" i="4"/>
  <c r="O1523" i="4"/>
  <c r="P1523" i="4"/>
  <c r="O1503" i="4"/>
  <c r="P1503" i="4"/>
  <c r="O1483" i="4"/>
  <c r="P1483" i="4"/>
  <c r="O1463" i="4"/>
  <c r="P1463" i="4"/>
  <c r="O1443" i="4"/>
  <c r="P1443" i="4"/>
  <c r="O1423" i="4"/>
  <c r="P1423" i="4"/>
  <c r="O1403" i="4"/>
  <c r="P1403" i="4"/>
  <c r="O1383" i="4"/>
  <c r="P1383" i="4"/>
  <c r="O1363" i="4"/>
  <c r="P1363" i="4"/>
  <c r="O1343" i="4"/>
  <c r="P1343" i="4"/>
  <c r="O1323" i="4"/>
  <c r="P1323" i="4"/>
  <c r="O1303" i="4"/>
  <c r="P1303" i="4"/>
  <c r="O1283" i="4"/>
  <c r="P1283" i="4"/>
  <c r="O1263" i="4"/>
  <c r="P1263" i="4"/>
  <c r="O1243" i="4"/>
  <c r="P1243" i="4"/>
  <c r="O1223" i="4"/>
  <c r="P1223" i="4"/>
  <c r="O1203" i="4"/>
  <c r="P1203" i="4"/>
  <c r="O1183" i="4"/>
  <c r="P1183" i="4"/>
  <c r="O1163" i="4"/>
  <c r="P1163" i="4"/>
  <c r="O1143" i="4"/>
  <c r="P1143" i="4"/>
  <c r="O1123" i="4"/>
  <c r="P1123" i="4"/>
  <c r="O1103" i="4"/>
  <c r="P1103" i="4"/>
  <c r="O1083" i="4"/>
  <c r="P1083" i="4"/>
  <c r="O1063" i="4"/>
  <c r="P1063" i="4"/>
  <c r="O1043" i="4"/>
  <c r="P1043" i="4"/>
  <c r="O1023" i="4"/>
  <c r="P1023" i="4"/>
  <c r="O1003" i="4"/>
  <c r="P1003" i="4"/>
  <c r="O983" i="4"/>
  <c r="P983" i="4"/>
  <c r="O963" i="4"/>
  <c r="P963" i="4"/>
  <c r="O943" i="4"/>
  <c r="P943" i="4"/>
  <c r="O923" i="4"/>
  <c r="P923" i="4"/>
  <c r="O903" i="4"/>
  <c r="P903" i="4"/>
  <c r="O883" i="4"/>
  <c r="P883" i="4"/>
  <c r="O863" i="4"/>
  <c r="P863" i="4"/>
  <c r="O843" i="4"/>
  <c r="P843" i="4"/>
  <c r="O823" i="4"/>
  <c r="P823" i="4"/>
  <c r="O803" i="4"/>
  <c r="P803" i="4"/>
  <c r="O783" i="4"/>
  <c r="P783" i="4"/>
  <c r="O763" i="4"/>
  <c r="P763" i="4"/>
  <c r="O743" i="4"/>
  <c r="P743" i="4"/>
  <c r="O723" i="4"/>
  <c r="P723" i="4"/>
  <c r="O703" i="4"/>
  <c r="P703" i="4"/>
  <c r="O683" i="4"/>
  <c r="P683" i="4"/>
  <c r="O663" i="4"/>
  <c r="P663" i="4"/>
  <c r="O643" i="4"/>
  <c r="P643" i="4"/>
  <c r="O623" i="4"/>
  <c r="P623" i="4"/>
  <c r="O603" i="4"/>
  <c r="P603" i="4"/>
  <c r="O583" i="4"/>
  <c r="P583" i="4"/>
  <c r="O563" i="4"/>
  <c r="P563" i="4"/>
  <c r="O543" i="4"/>
  <c r="P543" i="4"/>
  <c r="O523" i="4"/>
  <c r="P523" i="4"/>
  <c r="O503" i="4"/>
  <c r="P503" i="4"/>
  <c r="O483" i="4"/>
  <c r="P483" i="4"/>
  <c r="O463" i="4"/>
  <c r="P463" i="4"/>
  <c r="O443" i="4"/>
  <c r="P443" i="4"/>
  <c r="O423" i="4"/>
  <c r="P423" i="4"/>
  <c r="O403" i="4"/>
  <c r="P403" i="4"/>
  <c r="O383" i="4"/>
  <c r="P383" i="4"/>
  <c r="O363" i="4"/>
  <c r="P363" i="4"/>
  <c r="O343" i="4"/>
  <c r="P343" i="4"/>
  <c r="O323" i="4"/>
  <c r="P323" i="4"/>
  <c r="O303" i="4"/>
  <c r="P303" i="4"/>
  <c r="O283" i="4"/>
  <c r="P283" i="4"/>
  <c r="O263" i="4"/>
  <c r="P263" i="4"/>
  <c r="O243" i="4"/>
  <c r="P243" i="4"/>
  <c r="O223" i="4"/>
  <c r="P223" i="4"/>
  <c r="O203" i="4"/>
  <c r="P203" i="4"/>
  <c r="O183" i="4"/>
  <c r="P183" i="4"/>
  <c r="O163" i="4"/>
  <c r="P163" i="4"/>
  <c r="O143" i="4"/>
  <c r="P143" i="4"/>
  <c r="O123" i="4"/>
  <c r="P123" i="4"/>
  <c r="P1763" i="4"/>
  <c r="P1723" i="4"/>
  <c r="P1660" i="4"/>
  <c r="P1606" i="4"/>
  <c r="P1552" i="4"/>
  <c r="P1489" i="4"/>
  <c r="P1436" i="4"/>
  <c r="P1357" i="4"/>
  <c r="P1159" i="4"/>
  <c r="P1086" i="4"/>
  <c r="P1016" i="4"/>
  <c r="P779" i="4"/>
  <c r="O1742" i="4"/>
  <c r="P1742" i="4"/>
  <c r="O1722" i="4"/>
  <c r="P1722" i="4"/>
  <c r="O1682" i="4"/>
  <c r="P1682" i="4"/>
  <c r="O1662" i="4"/>
  <c r="P1662" i="4"/>
  <c r="O1642" i="4"/>
  <c r="P1642" i="4"/>
  <c r="O1622" i="4"/>
  <c r="P1622" i="4"/>
  <c r="O1602" i="4"/>
  <c r="P1602" i="4"/>
  <c r="O1562" i="4"/>
  <c r="P1562" i="4"/>
  <c r="O1542" i="4"/>
  <c r="P1542" i="4"/>
  <c r="O1482" i="4"/>
  <c r="P1482" i="4"/>
  <c r="O1462" i="4"/>
  <c r="P1462" i="4"/>
  <c r="O1422" i="4"/>
  <c r="P1422" i="4"/>
  <c r="O1402" i="4"/>
  <c r="P1402" i="4"/>
  <c r="O1382" i="4"/>
  <c r="P1382" i="4"/>
  <c r="O1362" i="4"/>
  <c r="P1362" i="4"/>
  <c r="O1342" i="4"/>
  <c r="P1342" i="4"/>
  <c r="O1322" i="4"/>
  <c r="P1322" i="4"/>
  <c r="O1302" i="4"/>
  <c r="P1302" i="4"/>
  <c r="O1282" i="4"/>
  <c r="P1282" i="4"/>
  <c r="O1262" i="4"/>
  <c r="P1262" i="4"/>
  <c r="O1242" i="4"/>
  <c r="P1242" i="4"/>
  <c r="O1222" i="4"/>
  <c r="P1222" i="4"/>
  <c r="O1202" i="4"/>
  <c r="P1202" i="4"/>
  <c r="O1182" i="4"/>
  <c r="P1182" i="4"/>
  <c r="O1162" i="4"/>
  <c r="P1162" i="4"/>
  <c r="O1142" i="4"/>
  <c r="P1142" i="4"/>
  <c r="O1122" i="4"/>
  <c r="P1122" i="4"/>
  <c r="O1102" i="4"/>
  <c r="P1102" i="4"/>
  <c r="O1082" i="4"/>
  <c r="P1082" i="4"/>
  <c r="O1062" i="4"/>
  <c r="P1062" i="4"/>
  <c r="O1042" i="4"/>
  <c r="P1042" i="4"/>
  <c r="O1022" i="4"/>
  <c r="P1022" i="4"/>
  <c r="O1002" i="4"/>
  <c r="P1002" i="4"/>
  <c r="O982" i="4"/>
  <c r="P982" i="4"/>
  <c r="O962" i="4"/>
  <c r="P962" i="4"/>
  <c r="O942" i="4"/>
  <c r="P942" i="4"/>
  <c r="O922" i="4"/>
  <c r="P922" i="4"/>
  <c r="O902" i="4"/>
  <c r="P902" i="4"/>
  <c r="O882" i="4"/>
  <c r="P882" i="4"/>
  <c r="O862" i="4"/>
  <c r="P862" i="4"/>
  <c r="O842" i="4"/>
  <c r="P842" i="4"/>
  <c r="O822" i="4"/>
  <c r="P822" i="4"/>
  <c r="O802" i="4"/>
  <c r="P802" i="4"/>
  <c r="O782" i="4"/>
  <c r="P782" i="4"/>
  <c r="O762" i="4"/>
  <c r="P762" i="4"/>
  <c r="O742" i="4"/>
  <c r="P742" i="4"/>
  <c r="O722" i="4"/>
  <c r="P722" i="4"/>
  <c r="O702" i="4"/>
  <c r="P702" i="4"/>
  <c r="O682" i="4"/>
  <c r="P682" i="4"/>
  <c r="O662" i="4"/>
  <c r="P662" i="4"/>
  <c r="O642" i="4"/>
  <c r="P642" i="4"/>
  <c r="O622" i="4"/>
  <c r="P622" i="4"/>
  <c r="O602" i="4"/>
  <c r="P602" i="4"/>
  <c r="O582" i="4"/>
  <c r="P582" i="4"/>
  <c r="O562" i="4"/>
  <c r="P562" i="4"/>
  <c r="O542" i="4"/>
  <c r="P542" i="4"/>
  <c r="O522" i="4"/>
  <c r="P522" i="4"/>
  <c r="O502" i="4"/>
  <c r="P502" i="4"/>
  <c r="O482" i="4"/>
  <c r="P482" i="4"/>
  <c r="O462" i="4"/>
  <c r="P462" i="4"/>
  <c r="O442" i="4"/>
  <c r="P442" i="4"/>
  <c r="O422" i="4"/>
  <c r="P422" i="4"/>
  <c r="O402" i="4"/>
  <c r="P402" i="4"/>
  <c r="O382" i="4"/>
  <c r="P382" i="4"/>
  <c r="O362" i="4"/>
  <c r="P362" i="4"/>
  <c r="O342" i="4"/>
  <c r="P342" i="4"/>
  <c r="O322" i="4"/>
  <c r="P322" i="4"/>
  <c r="O302" i="4"/>
  <c r="P302" i="4"/>
  <c r="O282" i="4"/>
  <c r="P282" i="4"/>
  <c r="O262" i="4"/>
  <c r="P262" i="4"/>
  <c r="O242" i="4"/>
  <c r="P242" i="4"/>
  <c r="O222" i="4"/>
  <c r="P222" i="4"/>
  <c r="O202" i="4"/>
  <c r="P202" i="4"/>
  <c r="O182" i="4"/>
  <c r="P182" i="4"/>
  <c r="O162" i="4"/>
  <c r="P162" i="4"/>
  <c r="O142" i="4"/>
  <c r="P142" i="4"/>
  <c r="O122" i="4"/>
  <c r="P122" i="4"/>
  <c r="O102" i="4"/>
  <c r="P102" i="4"/>
  <c r="O82" i="4"/>
  <c r="P82" i="4"/>
  <c r="O62" i="4"/>
  <c r="P62" i="4"/>
  <c r="O42" i="4"/>
  <c r="P42" i="4"/>
  <c r="O22" i="4"/>
  <c r="P22" i="4"/>
  <c r="O2" i="4"/>
  <c r="P2" i="4"/>
  <c r="P1762" i="4"/>
  <c r="P1710" i="4"/>
  <c r="P1659" i="4"/>
  <c r="P1551" i="4"/>
  <c r="P1488" i="4"/>
  <c r="P1435" i="4"/>
  <c r="P1356" i="4"/>
  <c r="P1293" i="4"/>
  <c r="P1219" i="4"/>
  <c r="P1158" i="4"/>
  <c r="P1081" i="4"/>
  <c r="P1015" i="4"/>
  <c r="P846" i="4"/>
  <c r="P687" i="4"/>
  <c r="P619" i="4"/>
  <c r="P86" i="4"/>
  <c r="O1741" i="4"/>
  <c r="P1741" i="4"/>
  <c r="O1721" i="4"/>
  <c r="P1721" i="4"/>
  <c r="O1681" i="4"/>
  <c r="P1681" i="4"/>
  <c r="O1641" i="4"/>
  <c r="P1641" i="4"/>
  <c r="O1621" i="4"/>
  <c r="P1621" i="4"/>
  <c r="O1601" i="4"/>
  <c r="P1601" i="4"/>
  <c r="O1581" i="4"/>
  <c r="P1581" i="4"/>
  <c r="O1561" i="4"/>
  <c r="P1561" i="4"/>
  <c r="O1541" i="4"/>
  <c r="P1541" i="4"/>
  <c r="O1501" i="4"/>
  <c r="P1501" i="4"/>
  <c r="O1481" i="4"/>
  <c r="P1481" i="4"/>
  <c r="O1461" i="4"/>
  <c r="P1461" i="4"/>
  <c r="O1421" i="4"/>
  <c r="P1421" i="4"/>
  <c r="O1401" i="4"/>
  <c r="P1401" i="4"/>
  <c r="O1361" i="4"/>
  <c r="P1361" i="4"/>
  <c r="O1321" i="4"/>
  <c r="P1321" i="4"/>
  <c r="O1301" i="4"/>
  <c r="P1301" i="4"/>
  <c r="O1281" i="4"/>
  <c r="P1281" i="4"/>
  <c r="O1241" i="4"/>
  <c r="P1241" i="4"/>
  <c r="O1201" i="4"/>
  <c r="P1201" i="4"/>
  <c r="O1141" i="4"/>
  <c r="P1141" i="4"/>
  <c r="O1101" i="4"/>
  <c r="P1101" i="4"/>
  <c r="O1041" i="4"/>
  <c r="P1041" i="4"/>
  <c r="O1001" i="4"/>
  <c r="P1001" i="4"/>
  <c r="O941" i="4"/>
  <c r="P941" i="4"/>
  <c r="O901" i="4"/>
  <c r="P901" i="4"/>
  <c r="O801" i="4"/>
  <c r="P801" i="4"/>
  <c r="O761" i="4"/>
  <c r="P761" i="4"/>
  <c r="O741" i="4"/>
  <c r="P741" i="4"/>
  <c r="O721" i="4"/>
  <c r="P721" i="4"/>
  <c r="O701" i="4"/>
  <c r="P701" i="4"/>
  <c r="O661" i="4"/>
  <c r="P661" i="4"/>
  <c r="O641" i="4"/>
  <c r="P641" i="4"/>
  <c r="O621" i="4"/>
  <c r="P621" i="4"/>
  <c r="O601" i="4"/>
  <c r="P601" i="4"/>
  <c r="O581" i="4"/>
  <c r="P581" i="4"/>
  <c r="O541" i="4"/>
  <c r="P541" i="4"/>
  <c r="O501" i="4"/>
  <c r="P501" i="4"/>
  <c r="O481" i="4"/>
  <c r="P481" i="4"/>
  <c r="O461" i="4"/>
  <c r="P461" i="4"/>
  <c r="O441" i="4"/>
  <c r="P441" i="4"/>
  <c r="O421" i="4"/>
  <c r="P421" i="4"/>
  <c r="O401" i="4"/>
  <c r="P401" i="4"/>
  <c r="O381" i="4"/>
  <c r="P381" i="4"/>
  <c r="O361" i="4"/>
  <c r="P361" i="4"/>
  <c r="O341" i="4"/>
  <c r="P341" i="4"/>
  <c r="O321" i="4"/>
  <c r="P321" i="4"/>
  <c r="O301" i="4"/>
  <c r="P301" i="4"/>
  <c r="O281" i="4"/>
  <c r="P281" i="4"/>
  <c r="O261" i="4"/>
  <c r="P261" i="4"/>
  <c r="O241" i="4"/>
  <c r="P241" i="4"/>
  <c r="O221" i="4"/>
  <c r="P221" i="4"/>
  <c r="O201" i="4"/>
  <c r="P201" i="4"/>
  <c r="O181" i="4"/>
  <c r="P181" i="4"/>
  <c r="O161" i="4"/>
  <c r="P161" i="4"/>
  <c r="O141" i="4"/>
  <c r="P141" i="4"/>
  <c r="O121" i="4"/>
  <c r="P121" i="4"/>
  <c r="P1761" i="4"/>
  <c r="P1709" i="4"/>
  <c r="P1658" i="4"/>
  <c r="P1604" i="4"/>
  <c r="P1550" i="4"/>
  <c r="P1487" i="4"/>
  <c r="P1434" i="4"/>
  <c r="P1355" i="4"/>
  <c r="P1292" i="4"/>
  <c r="P1218" i="4"/>
  <c r="P1157" i="4"/>
  <c r="P1079" i="4"/>
  <c r="P992" i="4"/>
  <c r="P921" i="4"/>
  <c r="P841" i="4"/>
  <c r="P772" i="4"/>
  <c r="P686" i="4"/>
  <c r="P612" i="4"/>
  <c r="P527" i="4"/>
  <c r="P447" i="4"/>
  <c r="P166" i="4"/>
  <c r="O1740" i="4"/>
  <c r="P1740" i="4"/>
  <c r="O1720" i="4"/>
  <c r="P1720" i="4"/>
  <c r="O1680" i="4"/>
  <c r="P1680" i="4"/>
  <c r="O1640" i="4"/>
  <c r="P1640" i="4"/>
  <c r="O1620" i="4"/>
  <c r="P1620" i="4"/>
  <c r="O1600" i="4"/>
  <c r="P1600" i="4"/>
  <c r="O1580" i="4"/>
  <c r="P1580" i="4"/>
  <c r="O1560" i="4"/>
  <c r="P1560" i="4"/>
  <c r="O1540" i="4"/>
  <c r="P1540" i="4"/>
  <c r="O1500" i="4"/>
  <c r="P1500" i="4"/>
  <c r="O1480" i="4"/>
  <c r="P1480" i="4"/>
  <c r="O1460" i="4"/>
  <c r="P1460" i="4"/>
  <c r="O1420" i="4"/>
  <c r="P1420" i="4"/>
  <c r="O1400" i="4"/>
  <c r="P1400" i="4"/>
  <c r="O1380" i="4"/>
  <c r="P1380" i="4"/>
  <c r="O1360" i="4"/>
  <c r="P1360" i="4"/>
  <c r="O1320" i="4"/>
  <c r="P1320" i="4"/>
  <c r="O1300" i="4"/>
  <c r="P1300" i="4"/>
  <c r="O1280" i="4"/>
  <c r="P1280" i="4"/>
  <c r="O1240" i="4"/>
  <c r="P1240" i="4"/>
  <c r="O1200" i="4"/>
  <c r="P1200" i="4"/>
  <c r="O1180" i="4"/>
  <c r="P1180" i="4"/>
  <c r="O1140" i="4"/>
  <c r="P1140" i="4"/>
  <c r="O1100" i="4"/>
  <c r="P1100" i="4"/>
  <c r="O1080" i="4"/>
  <c r="P1080" i="4"/>
  <c r="O1040" i="4"/>
  <c r="P1040" i="4"/>
  <c r="O1000" i="4"/>
  <c r="P1000" i="4"/>
  <c r="O980" i="4"/>
  <c r="P980" i="4"/>
  <c r="O960" i="4"/>
  <c r="P960" i="4"/>
  <c r="O940" i="4"/>
  <c r="P940" i="4"/>
  <c r="O900" i="4"/>
  <c r="P900" i="4"/>
  <c r="O880" i="4"/>
  <c r="P880" i="4"/>
  <c r="O800" i="4"/>
  <c r="P800" i="4"/>
  <c r="O780" i="4"/>
  <c r="P780" i="4"/>
  <c r="O760" i="4"/>
  <c r="P760" i="4"/>
  <c r="O720" i="4"/>
  <c r="P720" i="4"/>
  <c r="O700" i="4"/>
  <c r="P700" i="4"/>
  <c r="O680" i="4"/>
  <c r="P680" i="4"/>
  <c r="O660" i="4"/>
  <c r="P660" i="4"/>
  <c r="O640" i="4"/>
  <c r="P640" i="4"/>
  <c r="O600" i="4"/>
  <c r="P600" i="4"/>
  <c r="O580" i="4"/>
  <c r="P580" i="4"/>
  <c r="O540" i="4"/>
  <c r="P540" i="4"/>
  <c r="O520" i="4"/>
  <c r="P520" i="4"/>
  <c r="O500" i="4"/>
  <c r="P500" i="4"/>
  <c r="O480" i="4"/>
  <c r="P480" i="4"/>
  <c r="O460" i="4"/>
  <c r="P460" i="4"/>
  <c r="O420" i="4"/>
  <c r="P420" i="4"/>
  <c r="O400" i="4"/>
  <c r="P400" i="4"/>
  <c r="O380" i="4"/>
  <c r="P380" i="4"/>
  <c r="O360" i="4"/>
  <c r="P360" i="4"/>
  <c r="O320" i="4"/>
  <c r="P320" i="4"/>
  <c r="O300" i="4"/>
  <c r="P300" i="4"/>
  <c r="O260" i="4"/>
  <c r="P260" i="4"/>
  <c r="O200" i="4"/>
  <c r="P200" i="4"/>
  <c r="O180" i="4"/>
  <c r="P180" i="4"/>
  <c r="O140" i="4"/>
  <c r="P140" i="4"/>
  <c r="O120" i="4"/>
  <c r="P120" i="4"/>
  <c r="P1760" i="4"/>
  <c r="P1708" i="4"/>
  <c r="P1598" i="4"/>
  <c r="P1549" i="4"/>
  <c r="P1486" i="4"/>
  <c r="P1433" i="4"/>
  <c r="P1350" i="4"/>
  <c r="P1291" i="4"/>
  <c r="P1217" i="4"/>
  <c r="P1134" i="4"/>
  <c r="P991" i="4"/>
  <c r="P920" i="4"/>
  <c r="P840" i="4"/>
  <c r="P681" i="4"/>
  <c r="P521" i="4"/>
  <c r="P446" i="4"/>
  <c r="P346" i="4"/>
  <c r="P160" i="4"/>
  <c r="O1719" i="4"/>
  <c r="P1719" i="4"/>
  <c r="O1679" i="4"/>
  <c r="P1679" i="4"/>
  <c r="O1639" i="4"/>
  <c r="P1639" i="4"/>
  <c r="O1599" i="4"/>
  <c r="P1599" i="4"/>
  <c r="O1579" i="4"/>
  <c r="P1579" i="4"/>
  <c r="O1559" i="4"/>
  <c r="P1559" i="4"/>
  <c r="O1539" i="4"/>
  <c r="P1539" i="4"/>
  <c r="O1499" i="4"/>
  <c r="P1499" i="4"/>
  <c r="O1479" i="4"/>
  <c r="P1479" i="4"/>
  <c r="O1459" i="4"/>
  <c r="P1459" i="4"/>
  <c r="O1419" i="4"/>
  <c r="P1419" i="4"/>
  <c r="O1399" i="4"/>
  <c r="P1399" i="4"/>
  <c r="O1379" i="4"/>
  <c r="P1379" i="4"/>
  <c r="O1359" i="4"/>
  <c r="P1359" i="4"/>
  <c r="O1319" i="4"/>
  <c r="P1319" i="4"/>
  <c r="O1299" i="4"/>
  <c r="P1299" i="4"/>
  <c r="O1239" i="4"/>
  <c r="P1239" i="4"/>
  <c r="O1199" i="4"/>
  <c r="P1199" i="4"/>
  <c r="O1139" i="4"/>
  <c r="P1139" i="4"/>
  <c r="O1099" i="4"/>
  <c r="P1099" i="4"/>
  <c r="O1039" i="4"/>
  <c r="P1039" i="4"/>
  <c r="O999" i="4"/>
  <c r="P999" i="4"/>
  <c r="O959" i="4"/>
  <c r="P959" i="4"/>
  <c r="O939" i="4"/>
  <c r="P939" i="4"/>
  <c r="O899" i="4"/>
  <c r="P899" i="4"/>
  <c r="O859" i="4"/>
  <c r="P859" i="4"/>
  <c r="O799" i="4"/>
  <c r="P799" i="4"/>
  <c r="O759" i="4"/>
  <c r="P759" i="4"/>
  <c r="O719" i="4"/>
  <c r="P719" i="4"/>
  <c r="O699" i="4"/>
  <c r="P699" i="4"/>
  <c r="O659" i="4"/>
  <c r="P659" i="4"/>
  <c r="O639" i="4"/>
  <c r="P639" i="4"/>
  <c r="O599" i="4"/>
  <c r="P599" i="4"/>
  <c r="O579" i="4"/>
  <c r="P579" i="4"/>
  <c r="O539" i="4"/>
  <c r="P539" i="4"/>
  <c r="O519" i="4"/>
  <c r="P519" i="4"/>
  <c r="O499" i="4"/>
  <c r="P499" i="4"/>
  <c r="O479" i="4"/>
  <c r="P479" i="4"/>
  <c r="O459" i="4"/>
  <c r="P459" i="4"/>
  <c r="O439" i="4"/>
  <c r="P439" i="4"/>
  <c r="O419" i="4"/>
  <c r="P419" i="4"/>
  <c r="O379" i="4"/>
  <c r="P379" i="4"/>
  <c r="O359" i="4"/>
  <c r="P359" i="4"/>
  <c r="O339" i="4"/>
  <c r="P339" i="4"/>
  <c r="O319" i="4"/>
  <c r="P319" i="4"/>
  <c r="O299" i="4"/>
  <c r="P299" i="4"/>
  <c r="O259" i="4"/>
  <c r="P259" i="4"/>
  <c r="O219" i="4"/>
  <c r="P219" i="4"/>
  <c r="O179" i="4"/>
  <c r="P179" i="4"/>
  <c r="O139" i="4"/>
  <c r="P139" i="4"/>
  <c r="O119" i="4"/>
  <c r="P119" i="4"/>
  <c r="O99" i="4"/>
  <c r="P99" i="4"/>
  <c r="O79" i="4"/>
  <c r="P79" i="4"/>
  <c r="O59" i="4"/>
  <c r="P59" i="4"/>
  <c r="P1759" i="4"/>
  <c r="P1703" i="4"/>
  <c r="P1656" i="4"/>
  <c r="P1548" i="4"/>
  <c r="P1432" i="4"/>
  <c r="P1349" i="4"/>
  <c r="P1279" i="4"/>
  <c r="P1216" i="4"/>
  <c r="P1133" i="4"/>
  <c r="P1067" i="4"/>
  <c r="P919" i="4"/>
  <c r="P839" i="4"/>
  <c r="P679" i="4"/>
  <c r="P159" i="4"/>
  <c r="O1718" i="4"/>
  <c r="P1718" i="4"/>
  <c r="O1678" i="4"/>
  <c r="P1678" i="4"/>
  <c r="O1638" i="4"/>
  <c r="P1638" i="4"/>
  <c r="O1618" i="4"/>
  <c r="P1618" i="4"/>
  <c r="O1578" i="4"/>
  <c r="P1578" i="4"/>
  <c r="O1558" i="4"/>
  <c r="P1558" i="4"/>
  <c r="O1538" i="4"/>
  <c r="P1538" i="4"/>
  <c r="O1498" i="4"/>
  <c r="P1498" i="4"/>
  <c r="O1478" i="4"/>
  <c r="P1478" i="4"/>
  <c r="O1458" i="4"/>
  <c r="P1458" i="4"/>
  <c r="O1418" i="4"/>
  <c r="P1418" i="4"/>
  <c r="O1378" i="4"/>
  <c r="P1378" i="4"/>
  <c r="O1338" i="4"/>
  <c r="P1338" i="4"/>
  <c r="O1318" i="4"/>
  <c r="P1318" i="4"/>
  <c r="O1298" i="4"/>
  <c r="P1298" i="4"/>
  <c r="O1278" i="4"/>
  <c r="P1278" i="4"/>
  <c r="O1238" i="4"/>
  <c r="P1238" i="4"/>
  <c r="O1198" i="4"/>
  <c r="P1198" i="4"/>
  <c r="O1178" i="4"/>
  <c r="P1178" i="4"/>
  <c r="O1138" i="4"/>
  <c r="P1138" i="4"/>
  <c r="O1098" i="4"/>
  <c r="P1098" i="4"/>
  <c r="O1078" i="4"/>
  <c r="P1078" i="4"/>
  <c r="O1058" i="4"/>
  <c r="P1058" i="4"/>
  <c r="O1038" i="4"/>
  <c r="P1038" i="4"/>
  <c r="O998" i="4"/>
  <c r="P998" i="4"/>
  <c r="O978" i="4"/>
  <c r="P978" i="4"/>
  <c r="O958" i="4"/>
  <c r="P958" i="4"/>
  <c r="O938" i="4"/>
  <c r="P938" i="4"/>
  <c r="O898" i="4"/>
  <c r="P898" i="4"/>
  <c r="O878" i="4"/>
  <c r="P878" i="4"/>
  <c r="O858" i="4"/>
  <c r="P858" i="4"/>
  <c r="O798" i="4"/>
  <c r="P798" i="4"/>
  <c r="O778" i="4"/>
  <c r="P778" i="4"/>
  <c r="O758" i="4"/>
  <c r="P758" i="4"/>
  <c r="O718" i="4"/>
  <c r="P718" i="4"/>
  <c r="O698" i="4"/>
  <c r="P698" i="4"/>
  <c r="O678" i="4"/>
  <c r="P678" i="4"/>
  <c r="O658" i="4"/>
  <c r="P658" i="4"/>
  <c r="O618" i="4"/>
  <c r="P618" i="4"/>
  <c r="O598" i="4"/>
  <c r="P598" i="4"/>
  <c r="O578" i="4"/>
  <c r="P578" i="4"/>
  <c r="O538" i="4"/>
  <c r="P538" i="4"/>
  <c r="O518" i="4"/>
  <c r="P518" i="4"/>
  <c r="O498" i="4"/>
  <c r="P498" i="4"/>
  <c r="O478" i="4"/>
  <c r="P478" i="4"/>
  <c r="O458" i="4"/>
  <c r="P458" i="4"/>
  <c r="O438" i="4"/>
  <c r="P438" i="4"/>
  <c r="O418" i="4"/>
  <c r="P418" i="4"/>
  <c r="O378" i="4"/>
  <c r="P378" i="4"/>
  <c r="O338" i="4"/>
  <c r="P338" i="4"/>
  <c r="O318" i="4"/>
  <c r="P318" i="4"/>
  <c r="O298" i="4"/>
  <c r="P298" i="4"/>
  <c r="O258" i="4"/>
  <c r="P258" i="4"/>
  <c r="O238" i="4"/>
  <c r="P238" i="4"/>
  <c r="O218" i="4"/>
  <c r="P218" i="4"/>
  <c r="O178" i="4"/>
  <c r="P178" i="4"/>
  <c r="O138" i="4"/>
  <c r="P138" i="4"/>
  <c r="O118" i="4"/>
  <c r="P118" i="4"/>
  <c r="O98" i="4"/>
  <c r="P98" i="4"/>
  <c r="P1758" i="4"/>
  <c r="P1702" i="4"/>
  <c r="P1655" i="4"/>
  <c r="P1596" i="4"/>
  <c r="P1547" i="4"/>
  <c r="P1476" i="4"/>
  <c r="P1411" i="4"/>
  <c r="P1348" i="4"/>
  <c r="P1274" i="4"/>
  <c r="P1215" i="4"/>
  <c r="P1131" i="4"/>
  <c r="P1066" i="4"/>
  <c r="P989" i="4"/>
  <c r="P918" i="4"/>
  <c r="P838" i="4"/>
  <c r="P769" i="4"/>
  <c r="P609" i="4"/>
  <c r="P239" i="4"/>
  <c r="P158" i="4"/>
  <c r="O1237" i="4"/>
  <c r="P1237" i="4"/>
  <c r="O1177" i="4"/>
  <c r="P1177" i="4"/>
  <c r="O1137" i="4"/>
  <c r="P1137" i="4"/>
  <c r="O1097" i="4"/>
  <c r="P1097" i="4"/>
  <c r="O1077" i="4"/>
  <c r="P1077" i="4"/>
  <c r="O1057" i="4"/>
  <c r="P1057" i="4"/>
  <c r="O1037" i="4"/>
  <c r="P1037" i="4"/>
  <c r="O997" i="4"/>
  <c r="P997" i="4"/>
  <c r="O977" i="4"/>
  <c r="P977" i="4"/>
  <c r="O957" i="4"/>
  <c r="P957" i="4"/>
  <c r="O937" i="4"/>
  <c r="P937" i="4"/>
  <c r="O897" i="4"/>
  <c r="P897" i="4"/>
  <c r="O877" i="4"/>
  <c r="P877" i="4"/>
  <c r="O857" i="4"/>
  <c r="P857" i="4"/>
  <c r="O837" i="4"/>
  <c r="P837" i="4"/>
  <c r="O797" i="4"/>
  <c r="P797" i="4"/>
  <c r="O777" i="4"/>
  <c r="P777" i="4"/>
  <c r="O757" i="4"/>
  <c r="P757" i="4"/>
  <c r="O697" i="4"/>
  <c r="P697" i="4"/>
  <c r="O677" i="4"/>
  <c r="P677" i="4"/>
  <c r="O657" i="4"/>
  <c r="P657" i="4"/>
  <c r="O617" i="4"/>
  <c r="P617" i="4"/>
  <c r="O597" i="4"/>
  <c r="P597" i="4"/>
  <c r="O577" i="4"/>
  <c r="P577" i="4"/>
  <c r="O537" i="4"/>
  <c r="P537" i="4"/>
  <c r="O517" i="4"/>
  <c r="P517" i="4"/>
  <c r="O477" i="4"/>
  <c r="P477" i="4"/>
  <c r="O457" i="4"/>
  <c r="P457" i="4"/>
  <c r="O437" i="4"/>
  <c r="P437" i="4"/>
  <c r="O417" i="4"/>
  <c r="P417" i="4"/>
  <c r="O377" i="4"/>
  <c r="P377" i="4"/>
  <c r="O337" i="4"/>
  <c r="P337" i="4"/>
  <c r="O317" i="4"/>
  <c r="P317" i="4"/>
  <c r="O297" i="4"/>
  <c r="P297" i="4"/>
  <c r="O257" i="4"/>
  <c r="P257" i="4"/>
  <c r="O217" i="4"/>
  <c r="P217" i="4"/>
  <c r="O197" i="4"/>
  <c r="P197" i="4"/>
  <c r="O177" i="4"/>
  <c r="P177" i="4"/>
  <c r="O137" i="4"/>
  <c r="P137" i="4"/>
  <c r="O117" i="4"/>
  <c r="P117" i="4"/>
  <c r="O97" i="4"/>
  <c r="P97" i="4"/>
  <c r="O77" i="4"/>
  <c r="P77" i="4"/>
  <c r="P1701" i="4"/>
  <c r="P1654" i="4"/>
  <c r="P1595" i="4"/>
  <c r="P1528" i="4"/>
  <c r="P1475" i="4"/>
  <c r="P1410" i="4"/>
  <c r="P1347" i="4"/>
  <c r="P1273" i="4"/>
  <c r="P1214" i="4"/>
  <c r="P1126" i="4"/>
  <c r="P1061" i="4"/>
  <c r="P917" i="4"/>
  <c r="P821" i="4"/>
  <c r="P672" i="4"/>
  <c r="P237" i="4"/>
  <c r="P157" i="4"/>
  <c r="P57" i="4"/>
  <c r="O1716" i="4"/>
  <c r="P1716" i="4"/>
  <c r="O1696" i="4"/>
  <c r="P1696" i="4"/>
  <c r="O1616" i="4"/>
  <c r="P1616" i="4"/>
  <c r="O1576" i="4"/>
  <c r="P1576" i="4"/>
  <c r="O1536" i="4"/>
  <c r="P1536" i="4"/>
  <c r="O1516" i="4"/>
  <c r="P1516" i="4"/>
  <c r="O1496" i="4"/>
  <c r="P1496" i="4"/>
  <c r="O1456" i="4"/>
  <c r="P1456" i="4"/>
  <c r="O1416" i="4"/>
  <c r="P1416" i="4"/>
  <c r="O1396" i="4"/>
  <c r="P1396" i="4"/>
  <c r="O1376" i="4"/>
  <c r="P1376" i="4"/>
  <c r="O1336" i="4"/>
  <c r="P1336" i="4"/>
  <c r="O1296" i="4"/>
  <c r="P1296" i="4"/>
  <c r="O1276" i="4"/>
  <c r="P1276" i="4"/>
  <c r="O1236" i="4"/>
  <c r="P1236" i="4"/>
  <c r="O1176" i="4"/>
  <c r="P1176" i="4"/>
  <c r="O1156" i="4"/>
  <c r="P1156" i="4"/>
  <c r="O1136" i="4"/>
  <c r="P1136" i="4"/>
  <c r="O1096" i="4"/>
  <c r="P1096" i="4"/>
  <c r="O1076" i="4"/>
  <c r="P1076" i="4"/>
  <c r="O1056" i="4"/>
  <c r="P1056" i="4"/>
  <c r="O1036" i="4"/>
  <c r="P1036" i="4"/>
  <c r="O996" i="4"/>
  <c r="P996" i="4"/>
  <c r="O976" i="4"/>
  <c r="P976" i="4"/>
  <c r="O956" i="4"/>
  <c r="P956" i="4"/>
  <c r="O936" i="4"/>
  <c r="P936" i="4"/>
  <c r="O896" i="4"/>
  <c r="P896" i="4"/>
  <c r="O876" i="4"/>
  <c r="P876" i="4"/>
  <c r="O856" i="4"/>
  <c r="P856" i="4"/>
  <c r="O836" i="4"/>
  <c r="P836" i="4"/>
  <c r="O796" i="4"/>
  <c r="P796" i="4"/>
  <c r="O776" i="4"/>
  <c r="P776" i="4"/>
  <c r="O756" i="4"/>
  <c r="P756" i="4"/>
  <c r="O696" i="4"/>
  <c r="P696" i="4"/>
  <c r="O676" i="4"/>
  <c r="P676" i="4"/>
  <c r="O656" i="4"/>
  <c r="P656" i="4"/>
  <c r="O616" i="4"/>
  <c r="P616" i="4"/>
  <c r="O596" i="4"/>
  <c r="P596" i="4"/>
  <c r="O576" i="4"/>
  <c r="P576" i="4"/>
  <c r="O536" i="4"/>
  <c r="P536" i="4"/>
  <c r="O516" i="4"/>
  <c r="P516" i="4"/>
  <c r="O496" i="4"/>
  <c r="P496" i="4"/>
  <c r="O456" i="4"/>
  <c r="P456" i="4"/>
  <c r="O436" i="4"/>
  <c r="P436" i="4"/>
  <c r="O416" i="4"/>
  <c r="P416" i="4"/>
  <c r="O376" i="4"/>
  <c r="P376" i="4"/>
  <c r="O336" i="4"/>
  <c r="P336" i="4"/>
  <c r="O316" i="4"/>
  <c r="P316" i="4"/>
  <c r="O296" i="4"/>
  <c r="P296" i="4"/>
  <c r="O256" i="4"/>
  <c r="P256" i="4"/>
  <c r="O236" i="4"/>
  <c r="P236" i="4"/>
  <c r="O216" i="4"/>
  <c r="P216" i="4"/>
  <c r="O196" i="4"/>
  <c r="P196" i="4"/>
  <c r="O176" i="4"/>
  <c r="P176" i="4"/>
  <c r="O136" i="4"/>
  <c r="P136" i="4"/>
  <c r="O116" i="4"/>
  <c r="P116" i="4"/>
  <c r="O96" i="4"/>
  <c r="P96" i="4"/>
  <c r="O76" i="4"/>
  <c r="P76" i="4"/>
  <c r="O36" i="4"/>
  <c r="P36" i="4"/>
  <c r="O16" i="4"/>
  <c r="P16" i="4"/>
  <c r="P1756" i="4"/>
  <c r="P1700" i="4"/>
  <c r="P1636" i="4"/>
  <c r="P1594" i="4"/>
  <c r="P1527" i="4"/>
  <c r="P1474" i="4"/>
  <c r="P1409" i="4"/>
  <c r="P1346" i="4"/>
  <c r="P1266" i="4"/>
  <c r="P1213" i="4"/>
  <c r="P1121" i="4"/>
  <c r="P1060" i="4"/>
  <c r="P987" i="4"/>
  <c r="P916" i="4"/>
  <c r="P820" i="4"/>
  <c r="P740" i="4"/>
  <c r="P589" i="4"/>
  <c r="P512" i="4"/>
  <c r="P156" i="4"/>
  <c r="P56" i="4"/>
  <c r="O1755" i="4"/>
  <c r="P1755" i="4"/>
  <c r="O1715" i="4"/>
  <c r="P1715" i="4"/>
  <c r="O1695" i="4"/>
  <c r="P1695" i="4"/>
  <c r="O1615" i="4"/>
  <c r="P1615" i="4"/>
  <c r="O1575" i="4"/>
  <c r="P1575" i="4"/>
  <c r="O1535" i="4"/>
  <c r="P1535" i="4"/>
  <c r="O1515" i="4"/>
  <c r="P1515" i="4"/>
  <c r="O1495" i="4"/>
  <c r="P1495" i="4"/>
  <c r="O1455" i="4"/>
  <c r="P1455" i="4"/>
  <c r="O1415" i="4"/>
  <c r="P1415" i="4"/>
  <c r="O1395" i="4"/>
  <c r="P1395" i="4"/>
  <c r="O1375" i="4"/>
  <c r="P1375" i="4"/>
  <c r="O1335" i="4"/>
  <c r="P1335" i="4"/>
  <c r="O1295" i="4"/>
  <c r="P1295" i="4"/>
  <c r="O1275" i="4"/>
  <c r="P1275" i="4"/>
  <c r="O1235" i="4"/>
  <c r="P1235" i="4"/>
  <c r="O1195" i="4"/>
  <c r="P1195" i="4"/>
  <c r="O1175" i="4"/>
  <c r="P1175" i="4"/>
  <c r="O1155" i="4"/>
  <c r="P1155" i="4"/>
  <c r="O1135" i="4"/>
  <c r="P1135" i="4"/>
  <c r="O1095" i="4"/>
  <c r="P1095" i="4"/>
  <c r="O1075" i="4"/>
  <c r="P1075" i="4"/>
  <c r="O1055" i="4"/>
  <c r="P1055" i="4"/>
  <c r="O995" i="4"/>
  <c r="P995" i="4"/>
  <c r="O975" i="4"/>
  <c r="P975" i="4"/>
  <c r="O955" i="4"/>
  <c r="P955" i="4"/>
  <c r="O915" i="4"/>
  <c r="P915" i="4"/>
  <c r="O895" i="4"/>
  <c r="P895" i="4"/>
  <c r="O875" i="4"/>
  <c r="P875" i="4"/>
  <c r="O855" i="4"/>
  <c r="P855" i="4"/>
  <c r="O835" i="4"/>
  <c r="P835" i="4"/>
  <c r="O795" i="4"/>
  <c r="P795" i="4"/>
  <c r="O775" i="4"/>
  <c r="P775" i="4"/>
  <c r="O755" i="4"/>
  <c r="P755" i="4"/>
  <c r="O695" i="4"/>
  <c r="P695" i="4"/>
  <c r="O675" i="4"/>
  <c r="P675" i="4"/>
  <c r="O655" i="4"/>
  <c r="P655" i="4"/>
  <c r="O615" i="4"/>
  <c r="P615" i="4"/>
  <c r="O595" i="4"/>
  <c r="P595" i="4"/>
  <c r="O575" i="4"/>
  <c r="P575" i="4"/>
  <c r="O555" i="4"/>
  <c r="P555" i="4"/>
  <c r="O535" i="4"/>
  <c r="P535" i="4"/>
  <c r="O455" i="4"/>
  <c r="P455" i="4"/>
  <c r="O435" i="4"/>
  <c r="P435" i="4"/>
  <c r="O415" i="4"/>
  <c r="P415" i="4"/>
  <c r="O375" i="4"/>
  <c r="P375" i="4"/>
  <c r="O335" i="4"/>
  <c r="P335" i="4"/>
  <c r="O315" i="4"/>
  <c r="P315" i="4"/>
  <c r="O295" i="4"/>
  <c r="P295" i="4"/>
  <c r="O255" i="4"/>
  <c r="P255" i="4"/>
  <c r="O235" i="4"/>
  <c r="P235" i="4"/>
  <c r="O215" i="4"/>
  <c r="P215" i="4"/>
  <c r="O195" i="4"/>
  <c r="P195" i="4"/>
  <c r="O175" i="4"/>
  <c r="P175" i="4"/>
  <c r="O135" i="4"/>
  <c r="P135" i="4"/>
  <c r="O95" i="4"/>
  <c r="P95" i="4"/>
  <c r="O75" i="4"/>
  <c r="P75" i="4"/>
  <c r="O55" i="4"/>
  <c r="P55" i="4"/>
  <c r="O35" i="4"/>
  <c r="P35" i="4"/>
  <c r="O15" i="4"/>
  <c r="P15" i="4"/>
  <c r="P1739" i="4"/>
  <c r="P1699" i="4"/>
  <c r="P1635" i="4"/>
  <c r="P1593" i="4"/>
  <c r="P1526" i="4"/>
  <c r="P1469" i="4"/>
  <c r="P1408" i="4"/>
  <c r="P1341" i="4"/>
  <c r="P1261" i="4"/>
  <c r="P1197" i="4"/>
  <c r="P1120" i="4"/>
  <c r="P1059" i="4"/>
  <c r="P986" i="4"/>
  <c r="P892" i="4"/>
  <c r="P819" i="4"/>
  <c r="P739" i="4"/>
  <c r="P670" i="4"/>
  <c r="P587" i="4"/>
  <c r="P511" i="4"/>
  <c r="P399" i="4"/>
  <c r="P155" i="4"/>
  <c r="O1754" i="4"/>
  <c r="P1754" i="4"/>
  <c r="O1714" i="4"/>
  <c r="P1714" i="4"/>
  <c r="O1694" i="4"/>
  <c r="P1694" i="4"/>
  <c r="O1614" i="4"/>
  <c r="P1614" i="4"/>
  <c r="O1574" i="4"/>
  <c r="P1574" i="4"/>
  <c r="O1534" i="4"/>
  <c r="P1534" i="4"/>
  <c r="O1514" i="4"/>
  <c r="P1514" i="4"/>
  <c r="O1494" i="4"/>
  <c r="P1494" i="4"/>
  <c r="O1454" i="4"/>
  <c r="P1454" i="4"/>
  <c r="O1414" i="4"/>
  <c r="P1414" i="4"/>
  <c r="O1394" i="4"/>
  <c r="P1394" i="4"/>
  <c r="O1374" i="4"/>
  <c r="P1374" i="4"/>
  <c r="O1354" i="4"/>
  <c r="P1354" i="4"/>
  <c r="O1334" i="4"/>
  <c r="P1334" i="4"/>
  <c r="O1254" i="4"/>
  <c r="P1254" i="4"/>
  <c r="O1234" i="4"/>
  <c r="P1234" i="4"/>
  <c r="O1194" i="4"/>
  <c r="P1194" i="4"/>
  <c r="O1174" i="4"/>
  <c r="P1174" i="4"/>
  <c r="O1154" i="4"/>
  <c r="P1154" i="4"/>
  <c r="O1094" i="4"/>
  <c r="P1094" i="4"/>
  <c r="O1074" i="4"/>
  <c r="P1074" i="4"/>
  <c r="O1054" i="4"/>
  <c r="P1054" i="4"/>
  <c r="O1014" i="4"/>
  <c r="P1014" i="4"/>
  <c r="O994" i="4"/>
  <c r="P994" i="4"/>
  <c r="O974" i="4"/>
  <c r="P974" i="4"/>
  <c r="O954" i="4"/>
  <c r="P954" i="4"/>
  <c r="O914" i="4"/>
  <c r="P914" i="4"/>
  <c r="O894" i="4"/>
  <c r="P894" i="4"/>
  <c r="O874" i="4"/>
  <c r="P874" i="4"/>
  <c r="O854" i="4"/>
  <c r="P854" i="4"/>
  <c r="O834" i="4"/>
  <c r="P834" i="4"/>
  <c r="O794" i="4"/>
  <c r="P794" i="4"/>
  <c r="O774" i="4"/>
  <c r="P774" i="4"/>
  <c r="O754" i="4"/>
  <c r="P754" i="4"/>
  <c r="O674" i="4"/>
  <c r="P674" i="4"/>
  <c r="O654" i="4"/>
  <c r="P654" i="4"/>
  <c r="O614" i="4"/>
  <c r="P614" i="4"/>
  <c r="O594" i="4"/>
  <c r="P594" i="4"/>
  <c r="O574" i="4"/>
  <c r="P574" i="4"/>
  <c r="O554" i="4"/>
  <c r="P554" i="4"/>
  <c r="O534" i="4"/>
  <c r="P534" i="4"/>
  <c r="O494" i="4"/>
  <c r="P494" i="4"/>
  <c r="O454" i="4"/>
  <c r="P454" i="4"/>
  <c r="O434" i="4"/>
  <c r="P434" i="4"/>
  <c r="O374" i="4"/>
  <c r="P374" i="4"/>
  <c r="O354" i="4"/>
  <c r="P354" i="4"/>
  <c r="O334" i="4"/>
  <c r="P334" i="4"/>
  <c r="O314" i="4"/>
  <c r="P314" i="4"/>
  <c r="O294" i="4"/>
  <c r="P294" i="4"/>
  <c r="O254" i="4"/>
  <c r="P254" i="4"/>
  <c r="O234" i="4"/>
  <c r="P234" i="4"/>
  <c r="O214" i="4"/>
  <c r="P214" i="4"/>
  <c r="O194" i="4"/>
  <c r="P194" i="4"/>
  <c r="O174" i="4"/>
  <c r="P174" i="4"/>
  <c r="O154" i="4"/>
  <c r="P154" i="4"/>
  <c r="O134" i="4"/>
  <c r="P134" i="4"/>
  <c r="O94" i="4"/>
  <c r="P94" i="4"/>
  <c r="O74" i="4"/>
  <c r="P74" i="4"/>
  <c r="O54" i="4"/>
  <c r="P54" i="4"/>
  <c r="O34" i="4"/>
  <c r="P34" i="4"/>
  <c r="O14" i="4"/>
  <c r="P14" i="4"/>
  <c r="P1738" i="4"/>
  <c r="P1698" i="4"/>
  <c r="P1634" i="4"/>
  <c r="P1586" i="4"/>
  <c r="P1468" i="4"/>
  <c r="P1407" i="4"/>
  <c r="P1340" i="4"/>
  <c r="P1260" i="4"/>
  <c r="P1196" i="4"/>
  <c r="P1119" i="4"/>
  <c r="P1046" i="4"/>
  <c r="P981" i="4"/>
  <c r="P891" i="4"/>
  <c r="P818" i="4"/>
  <c r="P738" i="4"/>
  <c r="P669" i="4"/>
  <c r="P570" i="4"/>
  <c r="P510" i="4"/>
  <c r="P398" i="4"/>
  <c r="P329" i="4"/>
  <c r="P229" i="4"/>
  <c r="P47" i="4"/>
  <c r="O1773" i="4"/>
  <c r="P1773" i="4"/>
  <c r="O1753" i="4"/>
  <c r="P1753" i="4"/>
  <c r="O1713" i="4"/>
  <c r="P1713" i="4"/>
  <c r="O1693" i="4"/>
  <c r="P1693" i="4"/>
  <c r="O1653" i="4"/>
  <c r="P1653" i="4"/>
  <c r="O1613" i="4"/>
  <c r="P1613" i="4"/>
  <c r="O1573" i="4"/>
  <c r="P1573" i="4"/>
  <c r="O1533" i="4"/>
  <c r="P1533" i="4"/>
  <c r="O1493" i="4"/>
  <c r="P1493" i="4"/>
  <c r="O1473" i="4"/>
  <c r="P1473" i="4"/>
  <c r="O1453" i="4"/>
  <c r="P1453" i="4"/>
  <c r="O1413" i="4"/>
  <c r="P1413" i="4"/>
  <c r="O1393" i="4"/>
  <c r="P1393" i="4"/>
  <c r="O1373" i="4"/>
  <c r="P1373" i="4"/>
  <c r="O1353" i="4"/>
  <c r="P1353" i="4"/>
  <c r="O1333" i="4"/>
  <c r="P1333" i="4"/>
  <c r="O1253" i="4"/>
  <c r="P1253" i="4"/>
  <c r="O1233" i="4"/>
  <c r="P1233" i="4"/>
  <c r="O1193" i="4"/>
  <c r="P1193" i="4"/>
  <c r="O1173" i="4"/>
  <c r="P1173" i="4"/>
  <c r="O1153" i="4"/>
  <c r="P1153" i="4"/>
  <c r="O1093" i="4"/>
  <c r="P1093" i="4"/>
  <c r="O1073" i="4"/>
  <c r="P1073" i="4"/>
  <c r="O1053" i="4"/>
  <c r="P1053" i="4"/>
  <c r="O1013" i="4"/>
  <c r="P1013" i="4"/>
  <c r="O993" i="4"/>
  <c r="P993" i="4"/>
  <c r="O973" i="4"/>
  <c r="P973" i="4"/>
  <c r="O953" i="4"/>
  <c r="P953" i="4"/>
  <c r="O913" i="4"/>
  <c r="P913" i="4"/>
  <c r="O893" i="4"/>
  <c r="P893" i="4"/>
  <c r="O853" i="4"/>
  <c r="P853" i="4"/>
  <c r="O833" i="4"/>
  <c r="P833" i="4"/>
  <c r="O813" i="4"/>
  <c r="P813" i="4"/>
  <c r="O793" i="4"/>
  <c r="P793" i="4"/>
  <c r="O753" i="4"/>
  <c r="P753" i="4"/>
  <c r="O733" i="4"/>
  <c r="P733" i="4"/>
  <c r="O693" i="4"/>
  <c r="P693" i="4"/>
  <c r="O653" i="4"/>
  <c r="P653" i="4"/>
  <c r="O613" i="4"/>
  <c r="P613" i="4"/>
  <c r="O593" i="4"/>
  <c r="P593" i="4"/>
  <c r="O573" i="4"/>
  <c r="P573" i="4"/>
  <c r="O553" i="4"/>
  <c r="P553" i="4"/>
  <c r="O533" i="4"/>
  <c r="P533" i="4"/>
  <c r="O493" i="4"/>
  <c r="P493" i="4"/>
  <c r="O433" i="4"/>
  <c r="P433" i="4"/>
  <c r="O373" i="4"/>
  <c r="P373" i="4"/>
  <c r="O313" i="4"/>
  <c r="P313" i="4"/>
  <c r="O293" i="4"/>
  <c r="P293" i="4"/>
  <c r="O253" i="4"/>
  <c r="P253" i="4"/>
  <c r="O233" i="4"/>
  <c r="P233" i="4"/>
  <c r="O193" i="4"/>
  <c r="P193" i="4"/>
  <c r="O173" i="4"/>
  <c r="P173" i="4"/>
  <c r="O133" i="4"/>
  <c r="P133" i="4"/>
  <c r="O93" i="4"/>
  <c r="P93" i="4"/>
  <c r="O73" i="4"/>
  <c r="P73" i="4"/>
  <c r="O53" i="4"/>
  <c r="P53" i="4"/>
  <c r="O33" i="4"/>
  <c r="P33" i="4"/>
  <c r="O13" i="4"/>
  <c r="P13" i="4"/>
  <c r="P1692" i="4"/>
  <c r="P1633" i="4"/>
  <c r="P1522" i="4"/>
  <c r="P1467" i="4"/>
  <c r="P1398" i="4"/>
  <c r="P1339" i="4"/>
  <c r="P1259" i="4"/>
  <c r="P1188" i="4"/>
  <c r="P1118" i="4"/>
  <c r="P1035" i="4"/>
  <c r="P979" i="4"/>
  <c r="P890" i="4"/>
  <c r="P817" i="4"/>
  <c r="P737" i="4"/>
  <c r="P668" i="4"/>
  <c r="P569" i="4"/>
  <c r="P497" i="4"/>
  <c r="P397" i="4"/>
  <c r="P326" i="4"/>
  <c r="P227" i="4"/>
  <c r="P126" i="4"/>
  <c r="P46" i="4"/>
  <c r="O1772" i="4"/>
  <c r="P1772" i="4"/>
  <c r="O1752" i="4"/>
  <c r="P1752" i="4"/>
  <c r="O1712" i="4"/>
  <c r="P1712" i="4"/>
  <c r="O1672" i="4"/>
  <c r="P1672" i="4"/>
  <c r="O1652" i="4"/>
  <c r="P1652" i="4"/>
  <c r="O1612" i="4"/>
  <c r="P1612" i="4"/>
  <c r="O1592" i="4"/>
  <c r="P1592" i="4"/>
  <c r="O1572" i="4"/>
  <c r="P1572" i="4"/>
  <c r="O1532" i="4"/>
  <c r="P1532" i="4"/>
  <c r="O1492" i="4"/>
  <c r="P1492" i="4"/>
  <c r="O1472" i="4"/>
  <c r="P1472" i="4"/>
  <c r="O1452" i="4"/>
  <c r="P1452" i="4"/>
  <c r="O1412" i="4"/>
  <c r="P1412" i="4"/>
  <c r="O1392" i="4"/>
  <c r="P1392" i="4"/>
  <c r="O1372" i="4"/>
  <c r="P1372" i="4"/>
  <c r="O1352" i="4"/>
  <c r="P1352" i="4"/>
  <c r="O1332" i="4"/>
  <c r="P1332" i="4"/>
  <c r="O1272" i="4"/>
  <c r="P1272" i="4"/>
  <c r="O1252" i="4"/>
  <c r="P1252" i="4"/>
  <c r="O1232" i="4"/>
  <c r="P1232" i="4"/>
  <c r="O1212" i="4"/>
  <c r="P1212" i="4"/>
  <c r="O1192" i="4"/>
  <c r="P1192" i="4"/>
  <c r="O1172" i="4"/>
  <c r="P1172" i="4"/>
  <c r="O1152" i="4"/>
  <c r="P1152" i="4"/>
  <c r="O1132" i="4"/>
  <c r="P1132" i="4"/>
  <c r="O1112" i="4"/>
  <c r="P1112" i="4"/>
  <c r="O1092" i="4"/>
  <c r="P1092" i="4"/>
  <c r="O1072" i="4"/>
  <c r="P1072" i="4"/>
  <c r="O1052" i="4"/>
  <c r="P1052" i="4"/>
  <c r="O1032" i="4"/>
  <c r="P1032" i="4"/>
  <c r="O1012" i="4"/>
  <c r="P1012" i="4"/>
  <c r="O972" i="4"/>
  <c r="P972" i="4"/>
  <c r="O952" i="4"/>
  <c r="P952" i="4"/>
  <c r="O932" i="4"/>
  <c r="P932" i="4"/>
  <c r="O912" i="4"/>
  <c r="P912" i="4"/>
  <c r="O852" i="4"/>
  <c r="P852" i="4"/>
  <c r="O832" i="4"/>
  <c r="P832" i="4"/>
  <c r="O812" i="4"/>
  <c r="P812" i="4"/>
  <c r="O792" i="4"/>
  <c r="P792" i="4"/>
  <c r="O752" i="4"/>
  <c r="P752" i="4"/>
  <c r="O732" i="4"/>
  <c r="P732" i="4"/>
  <c r="O692" i="4"/>
  <c r="P692" i="4"/>
  <c r="O652" i="4"/>
  <c r="P652" i="4"/>
  <c r="O632" i="4"/>
  <c r="P632" i="4"/>
  <c r="O592" i="4"/>
  <c r="P592" i="4"/>
  <c r="O572" i="4"/>
  <c r="P572" i="4"/>
  <c r="O552" i="4"/>
  <c r="P552" i="4"/>
  <c r="O532" i="4"/>
  <c r="P532" i="4"/>
  <c r="O492" i="4"/>
  <c r="P492" i="4"/>
  <c r="O432" i="4"/>
  <c r="P432" i="4"/>
  <c r="O412" i="4"/>
  <c r="P412" i="4"/>
  <c r="O372" i="4"/>
  <c r="P372" i="4"/>
  <c r="O352" i="4"/>
  <c r="P352" i="4"/>
  <c r="O312" i="4"/>
  <c r="P312" i="4"/>
  <c r="O292" i="4"/>
  <c r="P292" i="4"/>
  <c r="O252" i="4"/>
  <c r="P252" i="4"/>
  <c r="O232" i="4"/>
  <c r="P232" i="4"/>
  <c r="O212" i="4"/>
  <c r="P212" i="4"/>
  <c r="O192" i="4"/>
  <c r="P192" i="4"/>
  <c r="O172" i="4"/>
  <c r="P172" i="4"/>
  <c r="O152" i="4"/>
  <c r="P152" i="4"/>
  <c r="O132" i="4"/>
  <c r="P132" i="4"/>
  <c r="O92" i="4"/>
  <c r="P92" i="4"/>
  <c r="O52" i="4"/>
  <c r="P52" i="4"/>
  <c r="O32" i="4"/>
  <c r="P32" i="4"/>
  <c r="O12" i="4"/>
  <c r="P12" i="4"/>
  <c r="P1736" i="4"/>
  <c r="P1691" i="4"/>
  <c r="P1632" i="4"/>
  <c r="P1584" i="4"/>
  <c r="P1521" i="4"/>
  <c r="P1466" i="4"/>
  <c r="P1317" i="4"/>
  <c r="P1258" i="4"/>
  <c r="P1187" i="4"/>
  <c r="P1117" i="4"/>
  <c r="P1034" i="4"/>
  <c r="P968" i="4"/>
  <c r="P889" i="4"/>
  <c r="P816" i="4"/>
  <c r="P736" i="4"/>
  <c r="P667" i="4"/>
  <c r="P567" i="4"/>
  <c r="P495" i="4"/>
  <c r="P396" i="4"/>
  <c r="P307" i="4"/>
  <c r="P226" i="4"/>
  <c r="P115" i="4"/>
  <c r="O1277" i="4"/>
  <c r="P1277" i="4"/>
  <c r="O1771" i="4"/>
  <c r="P1771" i="4"/>
  <c r="O1751" i="4"/>
  <c r="P1751" i="4"/>
  <c r="O1711" i="4"/>
  <c r="P1711" i="4"/>
  <c r="O1671" i="4"/>
  <c r="P1671" i="4"/>
  <c r="O1651" i="4"/>
  <c r="P1651" i="4"/>
  <c r="O1611" i="4"/>
  <c r="P1611" i="4"/>
  <c r="O1591" i="4"/>
  <c r="P1591" i="4"/>
  <c r="O1571" i="4"/>
  <c r="P1571" i="4"/>
  <c r="O1531" i="4"/>
  <c r="P1531" i="4"/>
  <c r="O1511" i="4"/>
  <c r="P1511" i="4"/>
  <c r="O1491" i="4"/>
  <c r="P1491" i="4"/>
  <c r="O1471" i="4"/>
  <c r="P1471" i="4"/>
  <c r="O1451" i="4"/>
  <c r="P1451" i="4"/>
  <c r="O1431" i="4"/>
  <c r="P1431" i="4"/>
  <c r="O1391" i="4"/>
  <c r="P1391" i="4"/>
  <c r="O1371" i="4"/>
  <c r="P1371" i="4"/>
  <c r="O1351" i="4"/>
  <c r="P1351" i="4"/>
  <c r="O1331" i="4"/>
  <c r="P1331" i="4"/>
  <c r="O1271" i="4"/>
  <c r="P1271" i="4"/>
  <c r="O1251" i="4"/>
  <c r="P1251" i="4"/>
  <c r="O1211" i="4"/>
  <c r="P1211" i="4"/>
  <c r="O1191" i="4"/>
  <c r="P1191" i="4"/>
  <c r="O1171" i="4"/>
  <c r="P1171" i="4"/>
  <c r="O1151" i="4"/>
  <c r="P1151" i="4"/>
  <c r="O1111" i="4"/>
  <c r="P1111" i="4"/>
  <c r="O1091" i="4"/>
  <c r="P1091" i="4"/>
  <c r="O1071" i="4"/>
  <c r="P1071" i="4"/>
  <c r="O1051" i="4"/>
  <c r="P1051" i="4"/>
  <c r="O1011" i="4"/>
  <c r="P1011" i="4"/>
  <c r="O971" i="4"/>
  <c r="P971" i="4"/>
  <c r="O951" i="4"/>
  <c r="P951" i="4"/>
  <c r="O911" i="4"/>
  <c r="P911" i="4"/>
  <c r="O871" i="4"/>
  <c r="P871" i="4"/>
  <c r="O851" i="4"/>
  <c r="P851" i="4"/>
  <c r="O831" i="4"/>
  <c r="P831" i="4"/>
  <c r="O811" i="4"/>
  <c r="P811" i="4"/>
  <c r="O791" i="4"/>
  <c r="P791" i="4"/>
  <c r="O751" i="4"/>
  <c r="P751" i="4"/>
  <c r="O731" i="4"/>
  <c r="P731" i="4"/>
  <c r="O711" i="4"/>
  <c r="P711" i="4"/>
  <c r="O691" i="4"/>
  <c r="P691" i="4"/>
  <c r="O651" i="4"/>
  <c r="P651" i="4"/>
  <c r="O591" i="4"/>
  <c r="P591" i="4"/>
  <c r="O571" i="4"/>
  <c r="P571" i="4"/>
  <c r="O551" i="4"/>
  <c r="P551" i="4"/>
  <c r="O491" i="4"/>
  <c r="P491" i="4"/>
  <c r="O471" i="4"/>
  <c r="P471" i="4"/>
  <c r="O431" i="4"/>
  <c r="P431" i="4"/>
  <c r="O371" i="4"/>
  <c r="P371" i="4"/>
  <c r="O351" i="4"/>
  <c r="P351" i="4"/>
  <c r="O311" i="4"/>
  <c r="P311" i="4"/>
  <c r="O291" i="4"/>
  <c r="P291" i="4"/>
  <c r="O271" i="4"/>
  <c r="P271" i="4"/>
  <c r="O251" i="4"/>
  <c r="P251" i="4"/>
  <c r="O191" i="4"/>
  <c r="P191" i="4"/>
  <c r="O171" i="4"/>
  <c r="P171" i="4"/>
  <c r="O151" i="4"/>
  <c r="P151" i="4"/>
  <c r="O131" i="4"/>
  <c r="P131" i="4"/>
  <c r="O91" i="4"/>
  <c r="P91" i="4"/>
  <c r="O51" i="4"/>
  <c r="P51" i="4"/>
  <c r="O11" i="4"/>
  <c r="P11" i="4"/>
  <c r="P1735" i="4"/>
  <c r="P1690" i="4"/>
  <c r="P1631" i="4"/>
  <c r="P1582" i="4"/>
  <c r="P1520" i="4"/>
  <c r="P1446" i="4"/>
  <c r="P1390" i="4"/>
  <c r="P1316" i="4"/>
  <c r="P1257" i="4"/>
  <c r="P1186" i="4"/>
  <c r="P1116" i="4"/>
  <c r="P1033" i="4"/>
  <c r="P967" i="4"/>
  <c r="P888" i="4"/>
  <c r="P815" i="4"/>
  <c r="P735" i="4"/>
  <c r="P666" i="4"/>
  <c r="P566" i="4"/>
  <c r="P476" i="4"/>
  <c r="P395" i="4"/>
  <c r="P289" i="4"/>
  <c r="P220" i="4"/>
  <c r="P114" i="4"/>
  <c r="P39" i="4"/>
  <c r="O1337" i="4"/>
  <c r="P1337" i="4"/>
  <c r="O1297" i="4"/>
  <c r="P1297" i="4"/>
  <c r="O1770" i="4"/>
  <c r="P1770" i="4"/>
  <c r="O1750" i="4"/>
  <c r="P1750" i="4"/>
  <c r="O1670" i="4"/>
  <c r="P1670" i="4"/>
  <c r="O1650" i="4"/>
  <c r="P1650" i="4"/>
  <c r="O1610" i="4"/>
  <c r="P1610" i="4"/>
  <c r="O1590" i="4"/>
  <c r="P1590" i="4"/>
  <c r="O1530" i="4"/>
  <c r="P1530" i="4"/>
  <c r="O1510" i="4"/>
  <c r="P1510" i="4"/>
  <c r="O1470" i="4"/>
  <c r="P1470" i="4"/>
  <c r="O1450" i="4"/>
  <c r="P1450" i="4"/>
  <c r="O1430" i="4"/>
  <c r="P1430" i="4"/>
  <c r="O1370" i="4"/>
  <c r="P1370" i="4"/>
  <c r="O1330" i="4"/>
  <c r="P1330" i="4"/>
  <c r="O1290" i="4"/>
  <c r="P1290" i="4"/>
  <c r="O1270" i="4"/>
  <c r="P1270" i="4"/>
  <c r="O1230" i="4"/>
  <c r="P1230" i="4"/>
  <c r="O1210" i="4"/>
  <c r="P1210" i="4"/>
  <c r="O1190" i="4"/>
  <c r="P1190" i="4"/>
  <c r="O1170" i="4"/>
  <c r="P1170" i="4"/>
  <c r="O1150" i="4"/>
  <c r="P1150" i="4"/>
  <c r="O1130" i="4"/>
  <c r="P1130" i="4"/>
  <c r="O1110" i="4"/>
  <c r="P1110" i="4"/>
  <c r="O1070" i="4"/>
  <c r="P1070" i="4"/>
  <c r="O1050" i="4"/>
  <c r="P1050" i="4"/>
  <c r="O1030" i="4"/>
  <c r="P1030" i="4"/>
  <c r="O1010" i="4"/>
  <c r="P1010" i="4"/>
  <c r="O970" i="4"/>
  <c r="P970" i="4"/>
  <c r="O950" i="4"/>
  <c r="P950" i="4"/>
  <c r="O930" i="4"/>
  <c r="P930" i="4"/>
  <c r="O910" i="4"/>
  <c r="P910" i="4"/>
  <c r="O870" i="4"/>
  <c r="P870" i="4"/>
  <c r="O850" i="4"/>
  <c r="P850" i="4"/>
  <c r="O830" i="4"/>
  <c r="P830" i="4"/>
  <c r="O810" i="4"/>
  <c r="P810" i="4"/>
  <c r="O750" i="4"/>
  <c r="P750" i="4"/>
  <c r="O730" i="4"/>
  <c r="P730" i="4"/>
  <c r="O710" i="4"/>
  <c r="P710" i="4"/>
  <c r="O690" i="4"/>
  <c r="P690" i="4"/>
  <c r="O650" i="4"/>
  <c r="P650" i="4"/>
  <c r="O630" i="4"/>
  <c r="P630" i="4"/>
  <c r="O550" i="4"/>
  <c r="P550" i="4"/>
  <c r="O490" i="4"/>
  <c r="P490" i="4"/>
  <c r="O470" i="4"/>
  <c r="P470" i="4"/>
  <c r="O430" i="4"/>
  <c r="P430" i="4"/>
  <c r="O410" i="4"/>
  <c r="P410" i="4"/>
  <c r="O370" i="4"/>
  <c r="P370" i="4"/>
  <c r="O350" i="4"/>
  <c r="P350" i="4"/>
  <c r="O310" i="4"/>
  <c r="P310" i="4"/>
  <c r="O290" i="4"/>
  <c r="P290" i="4"/>
  <c r="O270" i="4"/>
  <c r="P270" i="4"/>
  <c r="O250" i="4"/>
  <c r="P250" i="4"/>
  <c r="O210" i="4"/>
  <c r="P210" i="4"/>
  <c r="O170" i="4"/>
  <c r="P170" i="4"/>
  <c r="O150" i="4"/>
  <c r="P150" i="4"/>
  <c r="O130" i="4"/>
  <c r="P130" i="4"/>
  <c r="O90" i="4"/>
  <c r="P90" i="4"/>
  <c r="O70" i="4"/>
  <c r="P70" i="4"/>
  <c r="O50" i="4"/>
  <c r="P50" i="4"/>
  <c r="O10" i="4"/>
  <c r="P10" i="4"/>
  <c r="P1734" i="4"/>
  <c r="P1689" i="4"/>
  <c r="P1630" i="4"/>
  <c r="P1570" i="4"/>
  <c r="P1519" i="4"/>
  <c r="P1389" i="4"/>
  <c r="P1315" i="4"/>
  <c r="P1256" i="4"/>
  <c r="P1181" i="4"/>
  <c r="P1115" i="4"/>
  <c r="P1031" i="4"/>
  <c r="P966" i="4"/>
  <c r="P887" i="4"/>
  <c r="P814" i="4"/>
  <c r="P734" i="4"/>
  <c r="P638" i="4"/>
  <c r="P561" i="4"/>
  <c r="P475" i="4"/>
  <c r="P394" i="4"/>
  <c r="P287" i="4"/>
  <c r="P213" i="4"/>
  <c r="P113" i="4"/>
  <c r="P37" i="4"/>
  <c r="O1769" i="4"/>
  <c r="P1769" i="4"/>
  <c r="O1749" i="4"/>
  <c r="P1749" i="4"/>
  <c r="O1669" i="4"/>
  <c r="P1669" i="4"/>
  <c r="O1649" i="4"/>
  <c r="P1649" i="4"/>
  <c r="O1609" i="4"/>
  <c r="P1609" i="4"/>
  <c r="O1589" i="4"/>
  <c r="P1589" i="4"/>
  <c r="O1529" i="4"/>
  <c r="P1529" i="4"/>
  <c r="O1509" i="4"/>
  <c r="P1509" i="4"/>
  <c r="O1449" i="4"/>
  <c r="P1449" i="4"/>
  <c r="O1429" i="4"/>
  <c r="P1429" i="4"/>
  <c r="O1329" i="4"/>
  <c r="P1329" i="4"/>
  <c r="O1289" i="4"/>
  <c r="P1289" i="4"/>
  <c r="O1269" i="4"/>
  <c r="P1269" i="4"/>
  <c r="O1229" i="4"/>
  <c r="P1229" i="4"/>
  <c r="O1209" i="4"/>
  <c r="P1209" i="4"/>
  <c r="O1189" i="4"/>
  <c r="P1189" i="4"/>
  <c r="O1169" i="4"/>
  <c r="P1169" i="4"/>
  <c r="O1149" i="4"/>
  <c r="P1149" i="4"/>
  <c r="O1129" i="4"/>
  <c r="P1129" i="4"/>
  <c r="O1109" i="4"/>
  <c r="P1109" i="4"/>
  <c r="O1069" i="4"/>
  <c r="P1069" i="4"/>
  <c r="O1049" i="4"/>
  <c r="P1049" i="4"/>
  <c r="O1029" i="4"/>
  <c r="P1029" i="4"/>
  <c r="O1009" i="4"/>
  <c r="P1009" i="4"/>
  <c r="O969" i="4"/>
  <c r="P969" i="4"/>
  <c r="O949" i="4"/>
  <c r="P949" i="4"/>
  <c r="O929" i="4"/>
  <c r="P929" i="4"/>
  <c r="O909" i="4"/>
  <c r="P909" i="4"/>
  <c r="O869" i="4"/>
  <c r="P869" i="4"/>
  <c r="O849" i="4"/>
  <c r="P849" i="4"/>
  <c r="O829" i="4"/>
  <c r="P829" i="4"/>
  <c r="O809" i="4"/>
  <c r="P809" i="4"/>
  <c r="O749" i="4"/>
  <c r="P749" i="4"/>
  <c r="O729" i="4"/>
  <c r="P729" i="4"/>
  <c r="O709" i="4"/>
  <c r="P709" i="4"/>
  <c r="O689" i="4"/>
  <c r="P689" i="4"/>
  <c r="O649" i="4"/>
  <c r="P649" i="4"/>
  <c r="O629" i="4"/>
  <c r="P629" i="4"/>
  <c r="O549" i="4"/>
  <c r="P549" i="4"/>
  <c r="O509" i="4"/>
  <c r="P509" i="4"/>
  <c r="O489" i="4"/>
  <c r="P489" i="4"/>
  <c r="O469" i="4"/>
  <c r="P469" i="4"/>
  <c r="O429" i="4"/>
  <c r="P429" i="4"/>
  <c r="O409" i="4"/>
  <c r="P409" i="4"/>
  <c r="O389" i="4"/>
  <c r="P389" i="4"/>
  <c r="O369" i="4"/>
  <c r="P369" i="4"/>
  <c r="O349" i="4"/>
  <c r="P349" i="4"/>
  <c r="O309" i="4"/>
  <c r="P309" i="4"/>
  <c r="O269" i="4"/>
  <c r="P269" i="4"/>
  <c r="O249" i="4"/>
  <c r="P249" i="4"/>
  <c r="O209" i="4"/>
  <c r="P209" i="4"/>
  <c r="O149" i="4"/>
  <c r="P149" i="4"/>
  <c r="O129" i="4"/>
  <c r="P129" i="4"/>
  <c r="O89" i="4"/>
  <c r="P89" i="4"/>
  <c r="O29" i="4"/>
  <c r="P29" i="4"/>
  <c r="O9" i="4"/>
  <c r="P9" i="4"/>
  <c r="P1733" i="4"/>
  <c r="P1676" i="4"/>
  <c r="P1629" i="4"/>
  <c r="P1569" i="4"/>
  <c r="P1518" i="4"/>
  <c r="P1442" i="4"/>
  <c r="P1388" i="4"/>
  <c r="P1314" i="4"/>
  <c r="P1255" i="4"/>
  <c r="P1179" i="4"/>
  <c r="P1114" i="4"/>
  <c r="P1026" i="4"/>
  <c r="P961" i="4"/>
  <c r="P886" i="4"/>
  <c r="P790" i="4"/>
  <c r="P717" i="4"/>
  <c r="P637" i="4"/>
  <c r="P560" i="4"/>
  <c r="P474" i="4"/>
  <c r="P393" i="4"/>
  <c r="P286" i="4"/>
  <c r="P211" i="4"/>
  <c r="P112" i="4"/>
  <c r="P31" i="4"/>
  <c r="O1748" i="4"/>
  <c r="P1748" i="4"/>
  <c r="O1688" i="4"/>
  <c r="P1688" i="4"/>
  <c r="O1668" i="4"/>
  <c r="P1668" i="4"/>
  <c r="O1648" i="4"/>
  <c r="P1648" i="4"/>
  <c r="O1608" i="4"/>
  <c r="P1608" i="4"/>
  <c r="O1588" i="4"/>
  <c r="P1588" i="4"/>
  <c r="O1508" i="4"/>
  <c r="P1508" i="4"/>
  <c r="O1448" i="4"/>
  <c r="P1448" i="4"/>
  <c r="O1428" i="4"/>
  <c r="P1428" i="4"/>
  <c r="O1368" i="4"/>
  <c r="P1368" i="4"/>
  <c r="O1328" i="4"/>
  <c r="P1328" i="4"/>
  <c r="O1308" i="4"/>
  <c r="P1308" i="4"/>
  <c r="O1288" i="4"/>
  <c r="P1288" i="4"/>
  <c r="O1268" i="4"/>
  <c r="P1268" i="4"/>
  <c r="O1248" i="4"/>
  <c r="P1248" i="4"/>
  <c r="O1228" i="4"/>
  <c r="P1228" i="4"/>
  <c r="O1208" i="4"/>
  <c r="P1208" i="4"/>
  <c r="O1148" i="4"/>
  <c r="P1148" i="4"/>
  <c r="O1128" i="4"/>
  <c r="P1128" i="4"/>
  <c r="O1108" i="4"/>
  <c r="P1108" i="4"/>
  <c r="O1048" i="4"/>
  <c r="P1048" i="4"/>
  <c r="O1028" i="4"/>
  <c r="P1028" i="4"/>
  <c r="O1008" i="4"/>
  <c r="P1008" i="4"/>
  <c r="O928" i="4"/>
  <c r="P928" i="4"/>
  <c r="O908" i="4"/>
  <c r="P908" i="4"/>
  <c r="O868" i="4"/>
  <c r="P868" i="4"/>
  <c r="O848" i="4"/>
  <c r="P848" i="4"/>
  <c r="O828" i="4"/>
  <c r="P828" i="4"/>
  <c r="O808" i="4"/>
  <c r="P808" i="4"/>
  <c r="O748" i="4"/>
  <c r="P748" i="4"/>
  <c r="O728" i="4"/>
  <c r="P728" i="4"/>
  <c r="O708" i="4"/>
  <c r="P708" i="4"/>
  <c r="O688" i="4"/>
  <c r="P688" i="4"/>
  <c r="O648" i="4"/>
  <c r="P648" i="4"/>
  <c r="O628" i="4"/>
  <c r="P628" i="4"/>
  <c r="O608" i="4"/>
  <c r="P608" i="4"/>
  <c r="O588" i="4"/>
  <c r="P588" i="4"/>
  <c r="O568" i="4"/>
  <c r="P568" i="4"/>
  <c r="O548" i="4"/>
  <c r="P548" i="4"/>
  <c r="O528" i="4"/>
  <c r="P528" i="4"/>
  <c r="O508" i="4"/>
  <c r="P508" i="4"/>
  <c r="O488" i="4"/>
  <c r="P488" i="4"/>
  <c r="O468" i="4"/>
  <c r="P468" i="4"/>
  <c r="O448" i="4"/>
  <c r="P448" i="4"/>
  <c r="O428" i="4"/>
  <c r="P428" i="4"/>
  <c r="O408" i="4"/>
  <c r="P408" i="4"/>
  <c r="O388" i="4"/>
  <c r="P388" i="4"/>
  <c r="O368" i="4"/>
  <c r="P368" i="4"/>
  <c r="O348" i="4"/>
  <c r="P348" i="4"/>
  <c r="O328" i="4"/>
  <c r="P328" i="4"/>
  <c r="O308" i="4"/>
  <c r="P308" i="4"/>
  <c r="O288" i="4"/>
  <c r="P288" i="4"/>
  <c r="O268" i="4"/>
  <c r="P268" i="4"/>
  <c r="O248" i="4"/>
  <c r="P248" i="4"/>
  <c r="O228" i="4"/>
  <c r="P228" i="4"/>
  <c r="O208" i="4"/>
  <c r="P208" i="4"/>
  <c r="O188" i="4"/>
  <c r="P188" i="4"/>
  <c r="O168" i="4"/>
  <c r="P168" i="4"/>
  <c r="O148" i="4"/>
  <c r="P148" i="4"/>
  <c r="O128" i="4"/>
  <c r="P128" i="4"/>
  <c r="O108" i="4"/>
  <c r="P108" i="4"/>
  <c r="O88" i="4"/>
  <c r="P88" i="4"/>
  <c r="O68" i="4"/>
  <c r="P68" i="4"/>
  <c r="O48" i="4"/>
  <c r="P48" i="4"/>
  <c r="O28" i="4"/>
  <c r="P28" i="4"/>
  <c r="O8" i="4"/>
  <c r="P8" i="4"/>
  <c r="P1732" i="4"/>
  <c r="P1675" i="4"/>
  <c r="P1628" i="4"/>
  <c r="P1568" i="4"/>
  <c r="P1513" i="4"/>
  <c r="P1441" i="4"/>
  <c r="P1387" i="4"/>
  <c r="P1313" i="4"/>
  <c r="P1250" i="4"/>
  <c r="P1168" i="4"/>
  <c r="P1113" i="4"/>
  <c r="P1021" i="4"/>
  <c r="P948" i="4"/>
  <c r="P881" i="4"/>
  <c r="P789" i="4"/>
  <c r="P716" i="4"/>
  <c r="P636" i="4"/>
  <c r="P559" i="4"/>
  <c r="P473" i="4"/>
  <c r="P392" i="4"/>
  <c r="P280" i="4"/>
  <c r="P199" i="4"/>
  <c r="P111" i="4"/>
  <c r="P30" i="4"/>
  <c r="O17" i="4"/>
  <c r="P17" i="4"/>
  <c r="O103" i="4"/>
  <c r="P103" i="4"/>
  <c r="O83" i="4"/>
  <c r="P83" i="4"/>
  <c r="O63" i="4"/>
  <c r="P63" i="4"/>
  <c r="O43" i="4"/>
  <c r="P43" i="4"/>
  <c r="O23" i="4"/>
  <c r="P23" i="4"/>
  <c r="O3" i="4"/>
  <c r="P3" i="4"/>
  <c r="P78" i="4"/>
  <c r="O101" i="4"/>
  <c r="P101" i="4"/>
  <c r="O81" i="4"/>
  <c r="P81" i="4"/>
  <c r="O61" i="4"/>
  <c r="P61" i="4"/>
  <c r="O41" i="4"/>
  <c r="P41" i="4"/>
  <c r="O21" i="4"/>
  <c r="P21" i="4"/>
  <c r="O60" i="4"/>
  <c r="P60" i="4"/>
  <c r="P20" i="4"/>
  <c r="P19" i="4"/>
  <c r="O58" i="4"/>
  <c r="P58" i="4"/>
  <c r="O38" i="4"/>
  <c r="P38" i="4"/>
  <c r="P18" i="4"/>
</calcChain>
</file>

<file path=xl/sharedStrings.xml><?xml version="1.0" encoding="utf-8"?>
<sst xmlns="http://schemas.openxmlformats.org/spreadsheetml/2006/main" count="65565" uniqueCount="14767">
  <si>
    <t>Customer</t>
  </si>
  <si>
    <t>PO Number</t>
  </si>
  <si>
    <t>Vehicle</t>
  </si>
  <si>
    <t>Unit No</t>
  </si>
  <si>
    <t>Type</t>
  </si>
  <si>
    <t>Task</t>
  </si>
  <si>
    <t>Shop ID</t>
  </si>
  <si>
    <t>Order</t>
  </si>
  <si>
    <t>Opened</t>
  </si>
  <si>
    <t>Estimate Requested Date</t>
  </si>
  <si>
    <t>Estimate Due Date</t>
  </si>
  <si>
    <t>Unit Due Date</t>
  </si>
  <si>
    <t>Vendor</t>
  </si>
  <si>
    <t>Owner</t>
  </si>
  <si>
    <t>Status</t>
  </si>
  <si>
    <t>Completed Date</t>
  </si>
  <si>
    <t>CC Vendor</t>
  </si>
  <si>
    <t>Message</t>
  </si>
  <si>
    <t>Customer PO</t>
  </si>
  <si>
    <t>GARDA - VENDED - LEXINGTON, KY 27065</t>
  </si>
  <si>
    <t/>
  </si>
  <si>
    <t>GARDA ERSA</t>
  </si>
  <si>
    <t>Steering Diagnostics</t>
  </si>
  <si>
    <t>1657</t>
  </si>
  <si>
    <t>DEFAULT BLANKET VENDOR - SYSTEM USE ONLY (DO NOT BILL)</t>
  </si>
  <si>
    <t>AArmes@ameritfleet.com</t>
  </si>
  <si>
    <t>GARDA - VENDED - CLEVELAND, OH 19068</t>
  </si>
  <si>
    <t>1FTRS4X88MKA97284</t>
  </si>
  <si>
    <t>GAR-21-073U</t>
  </si>
  <si>
    <t>OOS</t>
  </si>
  <si>
    <t>2/27/2026 8:12:00 AM</t>
  </si>
  <si>
    <t>3/8/2026 12:00:00 AM</t>
  </si>
  <si>
    <t>CORPORATE BILLING LLC</t>
  </si>
  <si>
    <t>NMaysonet@ameritfleet.com</t>
  </si>
  <si>
    <t>PENDING ESTIMATES</t>
  </si>
  <si>
    <t>GARDA - VENDED - NASHVILLE, TN 27008</t>
  </si>
  <si>
    <t>3FRWF65N25V177506</t>
  </si>
  <si>
    <t>GAR-5434</t>
  </si>
  <si>
    <t>SCHEDULED</t>
  </si>
  <si>
    <t>1657-0001774</t>
  </si>
  <si>
    <t>3/6/2026 2:17:00 PM</t>
  </si>
  <si>
    <t>3/6/2026 10:17:38 PM</t>
  </si>
  <si>
    <t>3/6/2026 10:17:10 PM</t>
  </si>
  <si>
    <t>3/9/2026 12:00:00 AM</t>
  </si>
  <si>
    <t>FORD FLEET CARE</t>
  </si>
  <si>
    <t>JHopkins5@ameritfleet.com</t>
  </si>
  <si>
    <t>GARDA - VENDED - ROCHESTER, NY 28055</t>
  </si>
  <si>
    <t>2NPNHM6X9FM277860</t>
  </si>
  <si>
    <t>GAR-15-003</t>
  </si>
  <si>
    <t>1657-0001209</t>
  </si>
  <si>
    <t>2/27/2026 8:09:00 AM</t>
  </si>
  <si>
    <t>3/7/2026 11:30:00 PM</t>
  </si>
  <si>
    <t>3/7/2026 11:24:17 PM</t>
  </si>
  <si>
    <t>3/7/2026 12:00:00 AM</t>
  </si>
  <si>
    <t>GARDA - VENDED - TOLEDO, OH 19066</t>
  </si>
  <si>
    <t>2NPNHM6XXHM319049</t>
  </si>
  <si>
    <t>GAR-17-058</t>
  </si>
  <si>
    <t>OSC PM</t>
  </si>
  <si>
    <t>1657-0001842</t>
  </si>
  <si>
    <t>3/8/2026 9:31:00 AM</t>
  </si>
  <si>
    <t>3/8/2026 4:31:56 PM</t>
  </si>
  <si>
    <t>3/8/2026 4:31:29 PM</t>
  </si>
  <si>
    <t>KAnguzza@ameritfleet.com</t>
  </si>
  <si>
    <t>DISPATCHING AAA PARTS AND SERVICE</t>
  </si>
  <si>
    <t>GARDA - VENDED - DE PERE, WI 19055</t>
  </si>
  <si>
    <t>1FDWE35L37DA38563</t>
  </si>
  <si>
    <t>GAR-5750</t>
  </si>
  <si>
    <t>1657-0001163</t>
  </si>
  <si>
    <t>2/27/2026 7:17:00 AM</t>
  </si>
  <si>
    <t>3/8/2026 1:01:54 AM</t>
  </si>
  <si>
    <t>3/8/2026 1:00:38 AM</t>
  </si>
  <si>
    <t>GARDA - VENDED - BLOOMINGTON, IL 19024</t>
  </si>
  <si>
    <t>2NPNHM6X3HM319104</t>
  </si>
  <si>
    <t>GAR-17-113</t>
  </si>
  <si>
    <t>AFS REPAIR</t>
  </si>
  <si>
    <t>1657-0001609</t>
  </si>
  <si>
    <t>3/4/2026 2:09:00 PM</t>
  </si>
  <si>
    <t>3/8/2026 12:40:18 AM</t>
  </si>
  <si>
    <t>3/8/2026 12:35:05 AM</t>
  </si>
  <si>
    <t>GARDA - VENDED - SCHENECTADY, NY 14027</t>
  </si>
  <si>
    <t>GAR-23-044U</t>
  </si>
  <si>
    <t>GARDA - VENDED - KENTWOOD, MI 19060</t>
  </si>
  <si>
    <t>1FTRS4X85MKA08304</t>
  </si>
  <si>
    <t>GAR-21-023U</t>
  </si>
  <si>
    <t>3/8/2026 12:35:19 AM</t>
  </si>
  <si>
    <t>GARDA - VENDED - MADISON, WI 19056</t>
  </si>
  <si>
    <t>1FTRS4X86MKA97283</t>
  </si>
  <si>
    <t>GAR-21-072U</t>
  </si>
  <si>
    <t>1657-0001801</t>
  </si>
  <si>
    <t>3/7/2026 2:27:00 PM</t>
  </si>
  <si>
    <t>3/7/2026 10:27:03 PM</t>
  </si>
  <si>
    <t>3/7/2026 10:26:36 PM</t>
  </si>
  <si>
    <t>BLAINE BROTHERS MAINTENANCE, INC.</t>
  </si>
  <si>
    <t>DISPATCHING BLAINE BROTHERS</t>
  </si>
  <si>
    <t>GARDA - VENDED - SALINA, KS 13062</t>
  </si>
  <si>
    <t>2NPNHM6X4JM464254</t>
  </si>
  <si>
    <t>GAR-18-099</t>
  </si>
  <si>
    <t>1657-0001328</t>
  </si>
  <si>
    <t>3/1/2026 5:33:00 AM</t>
  </si>
  <si>
    <t>3/1/2026 1:33:24 PM</t>
  </si>
  <si>
    <t>3/1/2026 1:32:59 PM</t>
  </si>
  <si>
    <t>3/1/2026 12:00:00 AM</t>
  </si>
  <si>
    <t>JETS MOBILE TRUCK &amp; EQUIPMENT REPAIR SVC</t>
  </si>
  <si>
    <t>DISPATCHING JETS</t>
  </si>
  <si>
    <t>GARDA - VENDED - AUSTIN, TX 13075</t>
  </si>
  <si>
    <t>2NPNHM6X2GM319013</t>
  </si>
  <si>
    <t>GAR-16-101</t>
  </si>
  <si>
    <t>1657-0001569</t>
  </si>
  <si>
    <t>3/4/2026 6:05:00 AM</t>
  </si>
  <si>
    <t>3/4/2026 2:06:16 PM</t>
  </si>
  <si>
    <t>3/4/2026 2:05:17 PM</t>
  </si>
  <si>
    <t>3/4/2026 12:00:00 AM</t>
  </si>
  <si>
    <t>CREDIT CARD</t>
  </si>
  <si>
    <t>JStephens2@ameritfleet.com</t>
  </si>
  <si>
    <t>GARDA - VENDED - LAFAYETTE, LA 26001</t>
  </si>
  <si>
    <t>2NPNHM6X0HM319061</t>
  </si>
  <si>
    <t>GAR-17-070</t>
  </si>
  <si>
    <t>DEF MAINT</t>
  </si>
  <si>
    <t>2/27/2026 12:00:00 AM</t>
  </si>
  <si>
    <t>BWilliams5@ameritfleet.com</t>
  </si>
  <si>
    <t>GARDA - VENDED - JACKSONVLLE, FL 26019</t>
  </si>
  <si>
    <t>2NPNHM6X5FM277855</t>
  </si>
  <si>
    <t>GAR-15-006</t>
  </si>
  <si>
    <t>1657-0001899</t>
  </si>
  <si>
    <t>3/8/2026 9:17:00 PM</t>
  </si>
  <si>
    <t>3/9/2026 4:17:19 AM</t>
  </si>
  <si>
    <t>3/9/2026 4:17:03 AM</t>
  </si>
  <si>
    <t>VRO 1657-0001899 has been Accepted
Note:</t>
  </si>
  <si>
    <t>GARDA - VENDED - HELENA, MT 23087</t>
  </si>
  <si>
    <t>1FVABPCT93HL06170</t>
  </si>
  <si>
    <t>GAR-340</t>
  </si>
  <si>
    <t>2/28/2026 12:00:00 AM</t>
  </si>
  <si>
    <t>BACKROAD TRUCK AND TRANSPORT LLC</t>
  </si>
  <si>
    <t>GARDA - LONG ISLAND CITY, NY 28052</t>
  </si>
  <si>
    <t>GAR-24-001U</t>
  </si>
  <si>
    <t>2/22/2026 12:00:00 AM</t>
  </si>
  <si>
    <t>ALLIED ENGINE SERVICES LLC</t>
  </si>
  <si>
    <t>FMendozaCruz@ameritfleet.com</t>
  </si>
  <si>
    <t>PENDING INVOICE</t>
  </si>
  <si>
    <t>GARDA - VENDED - SOUTH BEND, IN 19050</t>
  </si>
  <si>
    <t>1FTYR2CMXKKB19264</t>
  </si>
  <si>
    <t>GAR-19-131</t>
  </si>
  <si>
    <t>1657-0001589</t>
  </si>
  <si>
    <t>3/4/2026 8:57:00 AM</t>
  </si>
  <si>
    <t>3/4/2026 5:04:07 PM</t>
  </si>
  <si>
    <t>3/4/2026 4:57:55 PM</t>
  </si>
  <si>
    <t>RMann@ameritfleet.com</t>
  </si>
  <si>
    <t>2/19/2026 12:00:00 AM</t>
  </si>
  <si>
    <t>2NPNHM6XXJM461861</t>
  </si>
  <si>
    <t>GAR-18-027</t>
  </si>
  <si>
    <t>1657-0001648</t>
  </si>
  <si>
    <t>3/5/2026 9:53:00 AM</t>
  </si>
  <si>
    <t>3/5/2026 5:53:45 PM</t>
  </si>
  <si>
    <t>3/5/2026 5:53:18 PM</t>
  </si>
  <si>
    <t>WILL DISPATCH THOMAS BROTHERS FOR PM SERVICE</t>
  </si>
  <si>
    <t>3FRWF65224V610195</t>
  </si>
  <si>
    <t>GAR-4414</t>
  </si>
  <si>
    <t>1657-0000865</t>
  </si>
  <si>
    <t>2/24/2026 6:41:00 AM</t>
  </si>
  <si>
    <t>2/24/2026 2:43:49 PM</t>
  </si>
  <si>
    <t>2/24/2026 2:41:24 PM</t>
  </si>
  <si>
    <t>2/24/2026 12:00:00 AM</t>
  </si>
  <si>
    <t>1FTRS4XM9KKB13860</t>
  </si>
  <si>
    <t>GAR-19-038</t>
  </si>
  <si>
    <t>1657-0001758</t>
  </si>
  <si>
    <t>3/6/2026 12:40:00 PM</t>
  </si>
  <si>
    <t>3/6/2026 8:40:43 PM</t>
  </si>
  <si>
    <t>3/6/2026 8:40:14 PM</t>
  </si>
  <si>
    <t>3/6/2026 12:00:00 AM</t>
  </si>
  <si>
    <t>GARDA - VENDED - RICHLAND, MS 26023</t>
  </si>
  <si>
    <t>1FTRS4X81LKA29102</t>
  </si>
  <si>
    <t>GAR-20-035U</t>
  </si>
  <si>
    <t>3/8/2026 12:49:28 AM</t>
  </si>
  <si>
    <t>GARDA - VENDED - KANSAS CITY, MO 13063</t>
  </si>
  <si>
    <t>3FRWF65N35V177515</t>
  </si>
  <si>
    <t>GAR-5490</t>
  </si>
  <si>
    <t>1657-0001333</t>
  </si>
  <si>
    <t>3/1/2026 6:27:00 AM</t>
  </si>
  <si>
    <t>3/1/2026 2:27:16 PM</t>
  </si>
  <si>
    <t>3/1/2026 2:26:51 PM</t>
  </si>
  <si>
    <t>1FTRS4X84LKA29143</t>
  </si>
  <si>
    <t>GAR-20-076U</t>
  </si>
  <si>
    <t>1657-0001030</t>
  </si>
  <si>
    <t>2/25/2026 6:31:00 PM</t>
  </si>
  <si>
    <t>3/8/2026 12:55:19 AM</t>
  </si>
  <si>
    <t>3/8/2026 12:49:09 AM</t>
  </si>
  <si>
    <t>VRO 1657-0001030 has been Accepted
Note:</t>
  </si>
  <si>
    <t>GARDA - VENDED - SANTA MARIA, CA 12023</t>
  </si>
  <si>
    <t>1FDWE3FL4ADA94579</t>
  </si>
  <si>
    <t>GAR-6294</t>
  </si>
  <si>
    <t>1657-0001682</t>
  </si>
  <si>
    <t>3/5/2026 1:30:00 PM</t>
  </si>
  <si>
    <t>3/5/2026 9:31:17 PM</t>
  </si>
  <si>
    <t>3/5/2026 11:30:19 PM</t>
  </si>
  <si>
    <t>3/5/2026 12:00:00 AM</t>
  </si>
  <si>
    <t>HFrancis@ameritfleet.com</t>
  </si>
  <si>
    <t>Set up unit to go to vendor for smog test on Tuesday the 10th at 4PM Rodrigo will take unit over</t>
  </si>
  <si>
    <t>3FRNF6HPXDV799990</t>
  </si>
  <si>
    <t>GAR-13-045</t>
  </si>
  <si>
    <t>1657-0001180</t>
  </si>
  <si>
    <t>2/27/2026 7:32:00 AM</t>
  </si>
  <si>
    <t>3/7/2026 11:29:08 PM</t>
  </si>
  <si>
    <t>3/7/2026 11:24:19 PM</t>
  </si>
  <si>
    <t>1FDWE3FLXADA04612</t>
  </si>
  <si>
    <t>GAR-6194</t>
  </si>
  <si>
    <t>CLEVELAND DIESEL REPAIR</t>
  </si>
  <si>
    <t>DISPATCHED CLEVELAND DIESEL</t>
  </si>
  <si>
    <t>2NPNHM6X7JM464233</t>
  </si>
  <si>
    <t>GAR-18-078</t>
  </si>
  <si>
    <t>2/23/2026 12:00:00 AM</t>
  </si>
  <si>
    <t>SPeters3@ameritfleet.com</t>
  </si>
  <si>
    <t>GARDA - VENDED - ST. LOUIS, MO 13069</t>
  </si>
  <si>
    <t>1FTRS4XM6KKB13847</t>
  </si>
  <si>
    <t>GAR-19-048</t>
  </si>
  <si>
    <t>2/26/2026 12:00:00 AM</t>
  </si>
  <si>
    <t>1FTRS4X84MKA08309</t>
  </si>
  <si>
    <t>GAR-21-050U</t>
  </si>
  <si>
    <t>1657-0001785</t>
  </si>
  <si>
    <t>3/7/2026 6:25:39 AM</t>
  </si>
  <si>
    <t>3/8/2026 12:26:46 AM</t>
  </si>
  <si>
    <t>3/8/2026 12:24:49 AM</t>
  </si>
  <si>
    <t>VRO 1657-0001785 has been Accepted
Note:</t>
  </si>
  <si>
    <t>aUg9Vft21o06gI1kPE26wcw</t>
  </si>
  <si>
    <t>1FTRS4XM8JKB45522</t>
  </si>
  <si>
    <t>GAR-19-062</t>
  </si>
  <si>
    <t>1657-0001560</t>
  </si>
  <si>
    <t>3/4/2026 4:57:48 AM</t>
  </si>
  <si>
    <t>3/8/2026 12:50:07 AM</t>
  </si>
  <si>
    <t>3/8/2026 12:48:39 AM</t>
  </si>
  <si>
    <t>VRO 1657-0001560 has been Accepted
Note:</t>
  </si>
  <si>
    <t>1052709991</t>
  </si>
  <si>
    <t>GARDA - VENDED - STH BRLNGTON,VT 14421</t>
  </si>
  <si>
    <t>1FTRS4X81MKA08302</t>
  </si>
  <si>
    <t>GAR-21-058U</t>
  </si>
  <si>
    <t>1657-0001207</t>
  </si>
  <si>
    <t>2/27/2026 8:08:00 AM</t>
  </si>
  <si>
    <t>3/8/2026 12:52:38 AM</t>
  </si>
  <si>
    <t>3/8/2026 12:48:55 AM</t>
  </si>
  <si>
    <t>VRO 1657-0001207 has been Accepted
Note:</t>
  </si>
  <si>
    <t>GARDA - VENDED - MCALLEN, TX 13074</t>
  </si>
  <si>
    <t>3FRWF65N85V177641</t>
  </si>
  <si>
    <t>GAR-5340</t>
  </si>
  <si>
    <t>1657-0001034</t>
  </si>
  <si>
    <t>2/25/2026 6:45:00 PM</t>
  </si>
  <si>
    <t>3/8/2026 1:03:12 AM</t>
  </si>
  <si>
    <t>3/8/2026 1:00:51 AM</t>
  </si>
  <si>
    <t>GARDA - VENDED - WEST VALLEY, UT 23037</t>
  </si>
  <si>
    <t>2NPNHM6X5JM483167</t>
  </si>
  <si>
    <t>GAR-18-181</t>
  </si>
  <si>
    <t>1657-0001888</t>
  </si>
  <si>
    <t>3/8/2026 2:04:00 PM</t>
  </si>
  <si>
    <t>3/8/2026 9:04:25 PM</t>
  </si>
  <si>
    <t>3/8/2026 9:04:01 PM</t>
  </si>
  <si>
    <t>WILL DISPATCH ELITE MOBILE</t>
  </si>
  <si>
    <t>2NPNHM6X9HM319110</t>
  </si>
  <si>
    <t>GAR-17-119</t>
  </si>
  <si>
    <t>1657-0001210</t>
  </si>
  <si>
    <t>2/27/2026 8:10:00 AM</t>
  </si>
  <si>
    <t>3/8/2026 1:01:29 AM</t>
  </si>
  <si>
    <t>3/8/2026 1:00:35 AM</t>
  </si>
  <si>
    <t>Unit is in the shop they are working with Harold on getting Special was sent without cellular data card Modem. Harold is going to send the modem with the sims card.</t>
  </si>
  <si>
    <t>GARDA - VENDED - DAVENPORT, IA 19045</t>
  </si>
  <si>
    <t>3FRNF6HP9DV799981</t>
  </si>
  <si>
    <t>GAR-13-061</t>
  </si>
  <si>
    <t>1657-0001819</t>
  </si>
  <si>
    <t>3/8/2026 4:57:00 AM</t>
  </si>
  <si>
    <t>3/8/2026 11:57:49 AM</t>
  </si>
  <si>
    <t>3/8/2026 11:57:25 AM</t>
  </si>
  <si>
    <t>WILL DISPATCH MY MOBILE MECHANIC</t>
  </si>
  <si>
    <t>GARDA - VENDED - CNTRL PT, OR 23059</t>
  </si>
  <si>
    <t>1FDAF5GY5CEC55905</t>
  </si>
  <si>
    <t>GAR-121604</t>
  </si>
  <si>
    <t>1657-0001851</t>
  </si>
  <si>
    <t>3/8/2026 11:23:00 AM</t>
  </si>
  <si>
    <t>3/8/2026 6:23:17 PM</t>
  </si>
  <si>
    <t>3/8/2026 6:22:56 PM</t>
  </si>
  <si>
    <t>GARDA - VENDED - KETTERING, OH 19065</t>
  </si>
  <si>
    <t>2NPNHM6X7JM483154</t>
  </si>
  <si>
    <t>GAR-18-168</t>
  </si>
  <si>
    <t>1657-0001395</t>
  </si>
  <si>
    <t>3/1/2026 1:44:00 PM</t>
  </si>
  <si>
    <t>3/1/2026 9:44:51 PM</t>
  </si>
  <si>
    <t>3/1/2026 9:44:22 PM</t>
  </si>
  <si>
    <t>VRO 1657-0001395 has been Accepted
Note:</t>
  </si>
  <si>
    <t>2NPNHM6X3FM277871</t>
  </si>
  <si>
    <t>GAR-15-017</t>
  </si>
  <si>
    <t>1657-0001893</t>
  </si>
  <si>
    <t>3/8/2026 8:47:00 PM</t>
  </si>
  <si>
    <t>3/9/2026 3:47:44 AM</t>
  </si>
  <si>
    <t>3/9/2026 3:47:27 AM</t>
  </si>
  <si>
    <t>3/10/2026 12:00:00 AM</t>
  </si>
  <si>
    <t>VRO 1657-0001893 has been Accepted
Note:</t>
  </si>
  <si>
    <t>1FTRS4X81PKA69119</t>
  </si>
  <si>
    <t>GAR-23-045U</t>
  </si>
  <si>
    <t>2NPNHM6X8GM319016</t>
  </si>
  <si>
    <t>GAR-16-104</t>
  </si>
  <si>
    <t>3/2/2026 12:00:00 AM</t>
  </si>
  <si>
    <t>M6 DIESEL LLC</t>
  </si>
  <si>
    <t>1FDWE35L37DB42180</t>
  </si>
  <si>
    <t>GAR-6030</t>
  </si>
  <si>
    <t>1657-0001331</t>
  </si>
  <si>
    <t>3/1/2026 5:48:00 AM</t>
  </si>
  <si>
    <t>3/1/2026 1:48:38 PM</t>
  </si>
  <si>
    <t>3/1/2026 1:48:14 PM</t>
  </si>
  <si>
    <t>2NPNHM6XXJM461858</t>
  </si>
  <si>
    <t>GAR-18-024</t>
  </si>
  <si>
    <t>1657-0000729</t>
  </si>
  <si>
    <t>2/21/2026 4:46:00 AM</t>
  </si>
  <si>
    <t>2/24/2026 3:13:30 PM</t>
  </si>
  <si>
    <t>2/24/2026 3:13:13 PM</t>
  </si>
  <si>
    <t>GARDA - VENDED - WHITEHALL, OH 19064</t>
  </si>
  <si>
    <t>2NPNHM6X1HM319053</t>
  </si>
  <si>
    <t>GAR-17-062</t>
  </si>
  <si>
    <t>DISPATCHING WHITESTONE</t>
  </si>
  <si>
    <t>GARDA - EDISON, NJ 14085</t>
  </si>
  <si>
    <t>2NPNHM6X6JM461873</t>
  </si>
  <si>
    <t>GAR-18-039</t>
  </si>
  <si>
    <t>1657-0001521</t>
  </si>
  <si>
    <t>3/3/2026 10:35:00 AM</t>
  </si>
  <si>
    <t>3/8/2026 12:51:04 AM</t>
  </si>
  <si>
    <t>3/8/2026 12:48:42 AM</t>
  </si>
  <si>
    <t>VRO 1657-0001521 has been Accepted
Note:</t>
  </si>
  <si>
    <t>WDYPD144055793756</t>
  </si>
  <si>
    <t>GAR-577B</t>
  </si>
  <si>
    <t>1657-0001822</t>
  </si>
  <si>
    <t>3/8/2026 5:32:00 AM</t>
  </si>
  <si>
    <t>3/8/2026 12:32:28 PM</t>
  </si>
  <si>
    <t>3/8/2026 12:32:06 PM</t>
  </si>
  <si>
    <t>2NPNHM6X6FM277864</t>
  </si>
  <si>
    <t>GAR-15-010</t>
  </si>
  <si>
    <t>1657-0001036</t>
  </si>
  <si>
    <t>2/25/2026 7:03:00 PM</t>
  </si>
  <si>
    <t>3/7/2026 11:30:43 PM</t>
  </si>
  <si>
    <t>3/7/2026 11:24:18 PM</t>
  </si>
  <si>
    <t>VRO 1657-0001036 has been Accepted
Note:</t>
  </si>
  <si>
    <t>GARDA - VENDED - COLUMBIA, MO 13068</t>
  </si>
  <si>
    <t>3FRNF6HP7DV000036</t>
  </si>
  <si>
    <t>GAR-13-014</t>
  </si>
  <si>
    <t>1657-0000773</t>
  </si>
  <si>
    <t>2/23/2026 6:47:00 AM</t>
  </si>
  <si>
    <t>3/1/2026 11:25:42 AM</t>
  </si>
  <si>
    <t>3/1/2026 11:24:34 AM</t>
  </si>
  <si>
    <t>will be dispatching jets</t>
  </si>
  <si>
    <t>1FTYR14U74PB43973</t>
  </si>
  <si>
    <t>GAR-8623</t>
  </si>
  <si>
    <t>1657-0001407</t>
  </si>
  <si>
    <t>3/1/2026 2:09:00 PM</t>
  </si>
  <si>
    <t>3/1/2026 10:09:17 PM</t>
  </si>
  <si>
    <t>3/1/2026 10:08:55 PM</t>
  </si>
  <si>
    <t>1FDWE3FL7ADA04616</t>
  </si>
  <si>
    <t>GAR-6196</t>
  </si>
  <si>
    <t>1FTRS4X80LKA29110</t>
  </si>
  <si>
    <t>GAR-20-037U</t>
  </si>
  <si>
    <t>1657-0000911</t>
  </si>
  <si>
    <t>2/24/2026 3:44:00 PM</t>
  </si>
  <si>
    <t>2/25/2026 2:04:58 PM</t>
  </si>
  <si>
    <t>2/25/2026 2:04:40 PM</t>
  </si>
  <si>
    <t>VRO 1657-0000911 has been Accepted
Note:</t>
  </si>
  <si>
    <t>GARDA - VENDED - CINCINNATI, OH 19067</t>
  </si>
  <si>
    <t>2NPNHM6X2JM464236</t>
  </si>
  <si>
    <t>GAR-18-081</t>
  </si>
  <si>
    <t>DISPATCHED KIRKS MOBILE</t>
  </si>
  <si>
    <t>GARDA - VENDED - UNION GAP, WA 23047</t>
  </si>
  <si>
    <t>1FTYR2CM3KKB19266</t>
  </si>
  <si>
    <t>GAR-19-132</t>
  </si>
  <si>
    <t>1657-0001221</t>
  </si>
  <si>
    <t>2/27/2026 7:29:00 AM</t>
  </si>
  <si>
    <t>3/8/2026 12:45:46 AM</t>
  </si>
  <si>
    <t>3/8/2026 12:35:37 AM</t>
  </si>
  <si>
    <t>VRO 1657-0001221 has been Accepted
Note:</t>
  </si>
  <si>
    <t>aET-_Fbrf6UO_sSWbPMG0NQ</t>
  </si>
  <si>
    <t>1FDWE3FL1ADA04594</t>
  </si>
  <si>
    <t>GAR-6202</t>
  </si>
  <si>
    <t>1FTRS4X80LKA71731</t>
  </si>
  <si>
    <t>GAR-20-150U</t>
  </si>
  <si>
    <t>1657-0001388</t>
  </si>
  <si>
    <t>3/1/2026 1:04:00 PM</t>
  </si>
  <si>
    <t>3/1/2026 9:04:44 PM</t>
  </si>
  <si>
    <t>3/1/2026 9:04:24 PM</t>
  </si>
  <si>
    <t>GARDA - VENDED - SPRINGFIELD, MO 13066</t>
  </si>
  <si>
    <t>1FDWE3FL7ADA26731</t>
  </si>
  <si>
    <t>GAR-6266</t>
  </si>
  <si>
    <t>1657-0001752</t>
  </si>
  <si>
    <t>3/6/2026 10:49:00 AM</t>
  </si>
  <si>
    <t>3/6/2026 11:24:40 PM</t>
  </si>
  <si>
    <t>3/6/2026 6:49:36 PM</t>
  </si>
  <si>
    <t>GARDA - VENDED - KNOXVILLE, TN 27010</t>
  </si>
  <si>
    <t>1FTRS4X88LKA71668</t>
  </si>
  <si>
    <t>GAR-20-112U</t>
  </si>
  <si>
    <t>1FTRS4X83LKA29120</t>
  </si>
  <si>
    <t>GAR-20-056U</t>
  </si>
  <si>
    <t>1657-0001386</t>
  </si>
  <si>
    <t>3/1/2026 12:50:00 PM</t>
  </si>
  <si>
    <t>3/1/2026 8:50:27 PM</t>
  </si>
  <si>
    <t>3/1/2026 8:50:05 PM</t>
  </si>
  <si>
    <t>GARDA - VENDED - CO SPRINGS, CO 23016</t>
  </si>
  <si>
    <t>2NPNHM6X0JM464249</t>
  </si>
  <si>
    <t>GAR-18-094</t>
  </si>
  <si>
    <t>1657-0000558</t>
  </si>
  <si>
    <t>2/19/2026 12:24:00 PM</t>
  </si>
  <si>
    <t>2/19/2026 8:24:39 PM</t>
  </si>
  <si>
    <t>2/19/2026 8:24:04 PM</t>
  </si>
  <si>
    <t>1FTRS4X85LKA67240</t>
  </si>
  <si>
    <t>GAR-20-151U</t>
  </si>
  <si>
    <t>3/8/2026 12:35:08 AM</t>
  </si>
  <si>
    <t>1FTWS4XG6KKB23775</t>
  </si>
  <si>
    <t>GAR-19-052</t>
  </si>
  <si>
    <t>1657-0001536</t>
  </si>
  <si>
    <t>3/3/2026 2:19:00 PM</t>
  </si>
  <si>
    <t>3/6/2026 1:41:09 PM</t>
  </si>
  <si>
    <t>3/6/2026 1:38:40 PM</t>
  </si>
  <si>
    <t>GMS AUTO GLASS</t>
  </si>
  <si>
    <t>ROR//1052077376</t>
  </si>
  <si>
    <t>GARDA - VENDED - NTH CHRLSTN, SC 25092</t>
  </si>
  <si>
    <t>1FTRS4X81LKA29097</t>
  </si>
  <si>
    <t>GAR-20-032U</t>
  </si>
  <si>
    <t>ADVANCED MAINTENANCE ATLANTA</t>
  </si>
  <si>
    <t>2NPNHM6X5FM300194</t>
  </si>
  <si>
    <t>GAR-15-083</t>
  </si>
  <si>
    <t>1FTRS4X80MKA97294</t>
  </si>
  <si>
    <t>GAR-21-083U</t>
  </si>
  <si>
    <t>1657-0001406</t>
  </si>
  <si>
    <t>3/1/2026 2:08:00 PM</t>
  </si>
  <si>
    <t>3/1/2026 10:07:57 PM</t>
  </si>
  <si>
    <t>3/1/2026 10:07:35 PM</t>
  </si>
  <si>
    <t>GARDA - VENDED - RENTON, WA 23051</t>
  </si>
  <si>
    <t>1FDRS6PM1KKA24064</t>
  </si>
  <si>
    <t>GAR-19-017</t>
  </si>
  <si>
    <t>1657-0001866</t>
  </si>
  <si>
    <t>3/8/2026 12:44:00 PM</t>
  </si>
  <si>
    <t>3/8/2026 7:44:05 PM</t>
  </si>
  <si>
    <t>3/8/2026 7:43:41 PM</t>
  </si>
  <si>
    <t>1FTYR2CM4JKA95770</t>
  </si>
  <si>
    <t>GAR-19-101</t>
  </si>
  <si>
    <t>1657-0001279</t>
  </si>
  <si>
    <t>2/28/2026 3:47:00 AM</t>
  </si>
  <si>
    <t>2/28/2026 11:49:53 AM</t>
  </si>
  <si>
    <t>2/28/2026 11:48:14 AM</t>
  </si>
  <si>
    <t>FLEETPRIDE, LLC</t>
  </si>
  <si>
    <t>VRO 1657-0001279 has been Accepted
Note:</t>
  </si>
  <si>
    <t>1FTRS4XM5KKB13841</t>
  </si>
  <si>
    <t>GAR-19-039</t>
  </si>
  <si>
    <t>1657-0001757</t>
  </si>
  <si>
    <t>3/6/2026 12:31:00 PM</t>
  </si>
  <si>
    <t>3/6/2026 8:32:26 PM</t>
  </si>
  <si>
    <t>3/6/2026 8:30:46 PM</t>
  </si>
  <si>
    <t>GARDA - VENDED - SHREVEPORT, LA 26003</t>
  </si>
  <si>
    <t>3FRWF65N15V177576</t>
  </si>
  <si>
    <t>GAR-5252</t>
  </si>
  <si>
    <t>1FTRS4X85LKA29216</t>
  </si>
  <si>
    <t>GAR-20-073U</t>
  </si>
  <si>
    <t>1657-0001635</t>
  </si>
  <si>
    <t>3/5/2026 5:08:00 AM</t>
  </si>
  <si>
    <t>3/5/2026 1:10:07 PM</t>
  </si>
  <si>
    <t>3/5/2026 1:08:26 PM</t>
  </si>
  <si>
    <t>VRO 1657-0001635 has been Accepted
Note:</t>
  </si>
  <si>
    <t>1657-0001838</t>
  </si>
  <si>
    <t>3/8/2026 9:15:00 AM</t>
  </si>
  <si>
    <t>3/8/2026 4:15:43 PM</t>
  </si>
  <si>
    <t>3/8/2026 4:15:23 PM</t>
  </si>
  <si>
    <t>1FTRS4X88LKA29095</t>
  </si>
  <si>
    <t>GAR-20-161U</t>
  </si>
  <si>
    <t>1FTRS4XM3KKB13854</t>
  </si>
  <si>
    <t>GAR-19-044</t>
  </si>
  <si>
    <t>1657-0001373</t>
  </si>
  <si>
    <t>3/1/2026 11:55:00 AM</t>
  </si>
  <si>
    <t>3/1/2026 8:00:14 PM</t>
  </si>
  <si>
    <t>3/1/2026 7:55:24 PM</t>
  </si>
  <si>
    <t>1FDWE35L38DA75162</t>
  </si>
  <si>
    <t>GAR-6094</t>
  </si>
  <si>
    <t>1657-0001169</t>
  </si>
  <si>
    <t>2/27/2026 7:21:00 AM</t>
  </si>
  <si>
    <t>3/6/2026 1:15:16 AM</t>
  </si>
  <si>
    <t>3/6/2026 1:14:46 AM</t>
  </si>
  <si>
    <t>1/1/1970 12:00:00 AM</t>
  </si>
  <si>
    <t>VRO 1657-0001169 has been Accepted
Note:</t>
  </si>
  <si>
    <t>3FRNF65E64V659373</t>
  </si>
  <si>
    <t>GAR-708B</t>
  </si>
  <si>
    <t>1657-0001217</t>
  </si>
  <si>
    <t>2/27/2026 8:14:00 AM</t>
  </si>
  <si>
    <t>3/4/2026 6:20:19 PM</t>
  </si>
  <si>
    <t>3/4/2026 8:19:15 PM</t>
  </si>
  <si>
    <t>3FRWF65N04V659146</t>
  </si>
  <si>
    <t>GAR-4592</t>
  </si>
  <si>
    <t>1657-0000790</t>
  </si>
  <si>
    <t>2/23/2026 7:50:00 AM</t>
  </si>
  <si>
    <t>3/8/2026 12:58:20 AM</t>
  </si>
  <si>
    <t>3/8/2026 12:49:25 AM</t>
  </si>
  <si>
    <t>1FDWE3FL6BDB03199</t>
  </si>
  <si>
    <t>GAR-6512</t>
  </si>
  <si>
    <t>1657-0000432</t>
  </si>
  <si>
    <t>2/18/2026 5:20:01 AM</t>
  </si>
  <si>
    <t>3/8/2026 12:30:24 AM</t>
  </si>
  <si>
    <t>3/8/2026 12:25:29 AM</t>
  </si>
  <si>
    <t>2NPNHM6X8HM319051</t>
  </si>
  <si>
    <t>GAR-17-060</t>
  </si>
  <si>
    <t>1657-0001702</t>
  </si>
  <si>
    <t>3/5/2026 5:42:00 PM</t>
  </si>
  <si>
    <t>3/6/2026 1:42:35 AM</t>
  </si>
  <si>
    <t>3/6/2026 1:42:05 AM</t>
  </si>
  <si>
    <t>VRO 1657-0001702 has been Accepted
Note:</t>
  </si>
  <si>
    <t>GARDA - VENDED - EL PASO, TX 13020</t>
  </si>
  <si>
    <t>1FTSE3EL4BDB34892</t>
  </si>
  <si>
    <t>GAR-111415</t>
  </si>
  <si>
    <t>2/21/2026 12:00:00 AM</t>
  </si>
  <si>
    <t>GARDA - VENDED - TACOMA, WA 23052</t>
  </si>
  <si>
    <t>1FDRS6PM3KKA24065</t>
  </si>
  <si>
    <t>GAR-19-018</t>
  </si>
  <si>
    <t>GARDA - VENDED - MT. VERNON, WA 23053</t>
  </si>
  <si>
    <t>1FTRS4X87LKA71659</t>
  </si>
  <si>
    <t>GAR-20-137U</t>
  </si>
  <si>
    <t>GARDA - VENDED - MRTLE BEACH, SC 25097</t>
  </si>
  <si>
    <t>2NPNHM6X4HM319080</t>
  </si>
  <si>
    <t>GAR-17-089</t>
  </si>
  <si>
    <t>3/8/2026 12:35:45 AM</t>
  </si>
  <si>
    <t>GARDA - VENDED - FLAGSTAFF, AZ 12027</t>
  </si>
  <si>
    <t>GARDA - VENDED - WEST HMPSTD, NY 14028</t>
  </si>
  <si>
    <t>GAR-16-095</t>
  </si>
  <si>
    <t>GARDA - VENDED - BOISE, ID 23039</t>
  </si>
  <si>
    <t>1FTRS4X87NKA52256</t>
  </si>
  <si>
    <t>GAR-22-019U</t>
  </si>
  <si>
    <t>1657-0001847</t>
  </si>
  <si>
    <t>3/8/2026 11:12:00 AM</t>
  </si>
  <si>
    <t>3/8/2026 6:15:07 PM</t>
  </si>
  <si>
    <t>3/8/2026 6:12:23 PM</t>
  </si>
  <si>
    <t>GARDA - VENDED - ROSEBURG, OR 23058</t>
  </si>
  <si>
    <t>3FRWF65N34V685157</t>
  </si>
  <si>
    <t>GAR-4974</t>
  </si>
  <si>
    <t>WILL DISPATCH ELITES MOBILE</t>
  </si>
  <si>
    <t>3FRWF65N94V685163</t>
  </si>
  <si>
    <t>GAR-4834</t>
  </si>
  <si>
    <t>1657-0001891</t>
  </si>
  <si>
    <t>3/8/2026 2:14:00 PM</t>
  </si>
  <si>
    <t>3/8/2026 9:14:07 PM</t>
  </si>
  <si>
    <t>3/8/2026 9:13:45 PM</t>
  </si>
  <si>
    <t>GARDA - VENDED - OKLHMA CITY, OK 13080</t>
  </si>
  <si>
    <t>2NPNHM6X5HM319055</t>
  </si>
  <si>
    <t>GAR-17-064</t>
  </si>
  <si>
    <t>FLEET CHARGE</t>
  </si>
  <si>
    <t>2NPNHM6X9JM461883</t>
  </si>
  <si>
    <t>GAR-18-049</t>
  </si>
  <si>
    <t>2/27/2026 7:42:00 AM</t>
  </si>
  <si>
    <t>2NPNHM6X6JM461856</t>
  </si>
  <si>
    <t>GAR-18-022</t>
  </si>
  <si>
    <t>1657-0001216</t>
  </si>
  <si>
    <t>2/27/2026 8:13:00 AM</t>
  </si>
  <si>
    <t>3/8/2026 1:01:15 AM</t>
  </si>
  <si>
    <t>3/8/2026 1:00:34 AM</t>
  </si>
  <si>
    <t>2NPNHM6X4JM483161</t>
  </si>
  <si>
    <t>GAR-18-175</t>
  </si>
  <si>
    <t>1FTRS4X85LKA71739</t>
  </si>
  <si>
    <t>GAR-20-117U</t>
  </si>
  <si>
    <t>1657-0001341</t>
  </si>
  <si>
    <t>3/1/2026 7:26:00 AM</t>
  </si>
  <si>
    <t>3/1/2026 3:26:31 PM</t>
  </si>
  <si>
    <t>3/1/2026 3:26:04 PM</t>
  </si>
  <si>
    <t>DISPATCHED JETS</t>
  </si>
  <si>
    <t>1FTYR14U14PB35576</t>
  </si>
  <si>
    <t>GAR-8609</t>
  </si>
  <si>
    <t>1657-0001382</t>
  </si>
  <si>
    <t>3/1/2026 12:26:00 PM</t>
  </si>
  <si>
    <t>3/1/2026 8:26:47 PM</t>
  </si>
  <si>
    <t>3/1/2026 8:26:23 PM</t>
  </si>
  <si>
    <t>GARDA - VENDED - LUBBOCK, TX 13011</t>
  </si>
  <si>
    <t>2NPNHM6X0FM300197</t>
  </si>
  <si>
    <t>GAR-15-086</t>
  </si>
  <si>
    <t>2NPNHM6X5JM464232</t>
  </si>
  <si>
    <t>GAR-18-077</t>
  </si>
  <si>
    <t>1657-0001402</t>
  </si>
  <si>
    <t>3/1/2026 2:00:00 PM</t>
  </si>
  <si>
    <t>3/1/2026 10:00:11 PM</t>
  </si>
  <si>
    <t>3/1/2026 9:59:53 PM</t>
  </si>
  <si>
    <t>GARDA - VENDED - LITTLE ROCK, AR 26007</t>
  </si>
  <si>
    <t>1FTRS4X80MKA08291</t>
  </si>
  <si>
    <t>GAR-21-045U</t>
  </si>
  <si>
    <t>1FTRS4XM7JKB45527</t>
  </si>
  <si>
    <t>GAR-19-055</t>
  </si>
  <si>
    <t>2NPNHM6XXGM319017</t>
  </si>
  <si>
    <t>GAR-16-105</t>
  </si>
  <si>
    <t>1657-0001813</t>
  </si>
  <si>
    <t>3/8/2026 3:52:00 AM</t>
  </si>
  <si>
    <t>3/8/2026 10:53:17 AM</t>
  </si>
  <si>
    <t>3/8/2026 10:52:17 AM</t>
  </si>
  <si>
    <t>WILL DISPATCH ALL FLEET</t>
  </si>
  <si>
    <t>1FDWE3FL7ADA26048</t>
  </si>
  <si>
    <t>GAR-6258</t>
  </si>
  <si>
    <t>1FTRS4X87NKA05535</t>
  </si>
  <si>
    <t>GAR-22-001U</t>
  </si>
  <si>
    <t>1657-0001861</t>
  </si>
  <si>
    <t>3/8/2026 12:04:00 PM</t>
  </si>
  <si>
    <t>3/8/2026 7:04:05 PM</t>
  </si>
  <si>
    <t>3/8/2026 7:03:39 PM</t>
  </si>
  <si>
    <t>GARDA - VENDED - DURHAM, NC 25028</t>
  </si>
  <si>
    <t>GAR-17-132</t>
  </si>
  <si>
    <t>2/27/2026 7:40:00 AM</t>
  </si>
  <si>
    <t>1FDWE3FL0ADA94529</t>
  </si>
  <si>
    <t>GAR-6458</t>
  </si>
  <si>
    <t>1657-0001876</t>
  </si>
  <si>
    <t>3/8/2026 1:20:00 PM</t>
  </si>
  <si>
    <t>3/8/2026 8:20:26 PM</t>
  </si>
  <si>
    <t>3/8/2026 8:20:02 PM</t>
  </si>
  <si>
    <t>1FDWE3FL0ADA05025</t>
  </si>
  <si>
    <t>GAR-6210</t>
  </si>
  <si>
    <t>1657-0001660</t>
  </si>
  <si>
    <t>3/5/2026 10:20:00 AM</t>
  </si>
  <si>
    <t>3/5/2026 6:23:39 PM</t>
  </si>
  <si>
    <t>3/5/2026 6:20:43 PM</t>
  </si>
  <si>
    <t>GARDA - RICHARDSON, TX 13071</t>
  </si>
  <si>
    <t>1XPBDP9X7SD730293</t>
  </si>
  <si>
    <t>GAR-25-007U</t>
  </si>
  <si>
    <t>1657-0001434</t>
  </si>
  <si>
    <t>3/2/2026 6:50:00 AM</t>
  </si>
  <si>
    <t>3/8/2026 12:41:45 AM</t>
  </si>
  <si>
    <t>3/8/2026 12:35:17 AM</t>
  </si>
  <si>
    <t>VRO 1657-0001434 has been Accepted
Note:</t>
  </si>
  <si>
    <t>1FTRS4X84NKA35589</t>
  </si>
  <si>
    <t>GAR-22-031U</t>
  </si>
  <si>
    <t>1657-0001636</t>
  </si>
  <si>
    <t>3/5/2026 5:42:00 AM</t>
  </si>
  <si>
    <t>3/5/2026 1:42:48 PM</t>
  </si>
  <si>
    <t>3/5/2026 1:42:11 PM</t>
  </si>
  <si>
    <t>VRO 1657-0001636 has been Accepted
Note:</t>
  </si>
  <si>
    <t>1FTRS4X89PKA01523</t>
  </si>
  <si>
    <t>GAR-23-002U</t>
  </si>
  <si>
    <t>3/8/2026 12:49:19 AM</t>
  </si>
  <si>
    <t>1FTRS4X83LKA29134</t>
  </si>
  <si>
    <t>GAR-20-054U</t>
  </si>
  <si>
    <t>1657-0001853</t>
  </si>
  <si>
    <t>3/8/2026 11:26:00 AM</t>
  </si>
  <si>
    <t>3/8/2026 6:26:37 PM</t>
  </si>
  <si>
    <t>3/8/2026 6:25:59 PM</t>
  </si>
  <si>
    <t>1657-0001505</t>
  </si>
  <si>
    <t>3/3/2026 6:23:00 AM</t>
  </si>
  <si>
    <t>3/3/2026 2:27:05 PM</t>
  </si>
  <si>
    <t>3/3/2026 2:23:30 PM</t>
  </si>
  <si>
    <t>3/3/2026 12:00:00 AM</t>
  </si>
  <si>
    <t>1FTRS4X84LKA53250</t>
  </si>
  <si>
    <t>GAR-20-114U</t>
  </si>
  <si>
    <t>1657-0001339</t>
  </si>
  <si>
    <t>3/1/2026 7:14:00 AM</t>
  </si>
  <si>
    <t>3/1/2026 3:14:36 PM</t>
  </si>
  <si>
    <t>3/1/2026 3:14:16 PM</t>
  </si>
  <si>
    <t>GAR-23-057U</t>
  </si>
  <si>
    <t>1FTRS4X86LKA71667</t>
  </si>
  <si>
    <t>GAR-20-134U</t>
  </si>
  <si>
    <t>1657-0001872</t>
  </si>
  <si>
    <t>3/8/2026 12:57:00 PM</t>
  </si>
  <si>
    <t>3/8/2026 7:57:07 PM</t>
  </si>
  <si>
    <t>3/8/2026 7:56:43 PM</t>
  </si>
  <si>
    <t>1FTSE3EL4BDA24814</t>
  </si>
  <si>
    <t>GAR-111402</t>
  </si>
  <si>
    <t>1657-0001035</t>
  </si>
  <si>
    <t>2/25/2026 6:46:00 PM</t>
  </si>
  <si>
    <t>3/7/2026 11:35:20 PM</t>
  </si>
  <si>
    <t>1FTRS4X81LKA71656</t>
  </si>
  <si>
    <t>GAR-20-118U</t>
  </si>
  <si>
    <t>1FTRS4X88LKA29128</t>
  </si>
  <si>
    <t>GAR-20-063U</t>
  </si>
  <si>
    <t>1657-0001240</t>
  </si>
  <si>
    <t>2/27/2026 10:31:00 AM</t>
  </si>
  <si>
    <t>2/27/2026 6:32:11 PM</t>
  </si>
  <si>
    <t>2/27/2026 6:31:43 PM</t>
  </si>
  <si>
    <t>GARDA - VENDED - ALBUQUERQUE, NM 13088</t>
  </si>
  <si>
    <t>1FTSE3EL2BDB34891</t>
  </si>
  <si>
    <t>GAR-111407</t>
  </si>
  <si>
    <t>1657-0001510</t>
  </si>
  <si>
    <t>3/3/2026 8:19:00 AM</t>
  </si>
  <si>
    <t>3/7/2026 11:28:20 PM</t>
  </si>
  <si>
    <t>3/7/2026 11:25:14 PM</t>
  </si>
  <si>
    <t>VRO 1657-0001510 has been Accepted
Note:</t>
  </si>
  <si>
    <t>adyopNCxCOk23Pbcw2t4Oyw</t>
  </si>
  <si>
    <t>1FDWE35L67DA89023</t>
  </si>
  <si>
    <t>GAR-5822</t>
  </si>
  <si>
    <t>1657-0000343</t>
  </si>
  <si>
    <t>2/17/2026 8:19:00 AM</t>
  </si>
  <si>
    <t>2/17/2026 4:23:31 PM</t>
  </si>
  <si>
    <t>2/17/2026 4:21:14 PM</t>
  </si>
  <si>
    <t>2/17/2026 12:00:00 AM</t>
  </si>
  <si>
    <t>PGallagher@ameritfleet.com</t>
  </si>
  <si>
    <t>3FDWF65891MA70777</t>
  </si>
  <si>
    <t>GAR-4060</t>
  </si>
  <si>
    <t>1657-0001889</t>
  </si>
  <si>
    <t>3/8/2026 2:05:00 PM</t>
  </si>
  <si>
    <t>3/8/2026 9:05:41 PM</t>
  </si>
  <si>
    <t>3/8/2026 9:05:20 PM</t>
  </si>
  <si>
    <t>2NPNHM6X0HM319125</t>
  </si>
  <si>
    <t>GAR-17-134</t>
  </si>
  <si>
    <t>1FTYR2CM1KKA92150</t>
  </si>
  <si>
    <t>GAR-19-135</t>
  </si>
  <si>
    <t>1657-0001122</t>
  </si>
  <si>
    <t>2/26/2026 4:03:00 PM</t>
  </si>
  <si>
    <t>2/27/2026 12:03:24 AM</t>
  </si>
  <si>
    <t>2/27/2026 12:03:03 AM</t>
  </si>
  <si>
    <t>Pending estimate</t>
  </si>
  <si>
    <t>2NPNHM6X5JM461878</t>
  </si>
  <si>
    <t>GAR-18-044</t>
  </si>
  <si>
    <t>1657-0001188</t>
  </si>
  <si>
    <t>3/8/2026 12:45:05 AM</t>
  </si>
  <si>
    <t>3/8/2026 12:35:33 AM</t>
  </si>
  <si>
    <t>VRO 1657-0001188 has been Accepted
Note:</t>
  </si>
  <si>
    <t>3FDXF75R33MB02225</t>
  </si>
  <si>
    <t>GAR-4250</t>
  </si>
  <si>
    <t>1657-0001377</t>
  </si>
  <si>
    <t>3/1/2026 12:11:00 PM</t>
  </si>
  <si>
    <t>3/1/2026 8:11:37 PM</t>
  </si>
  <si>
    <t>3/1/2026 8:11:06 PM</t>
  </si>
  <si>
    <t>GARDA - VENDED - ELMWOOD, LA 26002</t>
  </si>
  <si>
    <t>1HTSCAAN01H372945</t>
  </si>
  <si>
    <t>GAR-6884</t>
  </si>
  <si>
    <t>1657-0001104</t>
  </si>
  <si>
    <t>2/26/2026 1:17:00 PM</t>
  </si>
  <si>
    <t>2/26/2026 11:01:20 PM</t>
  </si>
  <si>
    <t>2/26/2026 9:16:36 PM</t>
  </si>
  <si>
    <t>1FTRS4XM9KKB13857</t>
  </si>
  <si>
    <t>GAR-19-043</t>
  </si>
  <si>
    <t>GARDA - VENDED - WICHITA, KS 13065</t>
  </si>
  <si>
    <t>1FDWE35L77DB42179</t>
  </si>
  <si>
    <t>GAR-6028</t>
  </si>
  <si>
    <t>1657-0001557</t>
  </si>
  <si>
    <t>3/3/2026 5:51:00 PM</t>
  </si>
  <si>
    <t>3/4/2026 1:52:06 AM</t>
  </si>
  <si>
    <t>3/4/2026 1:51:04 AM</t>
  </si>
  <si>
    <t>3/13/2026 12:00:00 AM</t>
  </si>
  <si>
    <t>1FTRS4XM7KKB13842</t>
  </si>
  <si>
    <t>GAR-19-049</t>
  </si>
  <si>
    <t>1657-0001338</t>
  </si>
  <si>
    <t>3/1/2026 7:13:00 AM</t>
  </si>
  <si>
    <t>3/1/2026 3:13:08 PM</t>
  </si>
  <si>
    <t>3/1/2026 3:12:42 PM</t>
  </si>
  <si>
    <t>GARDA - VENDED - HOMEWOOD, AL 26022</t>
  </si>
  <si>
    <t>1FTRU8XG5RKB57974</t>
  </si>
  <si>
    <t>GAR-25-022U</t>
  </si>
  <si>
    <t>1657-0001017</t>
  </si>
  <si>
    <t>2/25/2026 5:32:00 PM</t>
  </si>
  <si>
    <t>3/8/2026 12:55:52 AM</t>
  </si>
  <si>
    <t>3/8/2026 12:49:12 AM</t>
  </si>
  <si>
    <t>VRO 1657-0001017 has been Accepted
Note:</t>
  </si>
  <si>
    <t>3FRWF65N75V177520</t>
  </si>
  <si>
    <t>GAR-5378</t>
  </si>
  <si>
    <t>1657-0000474</t>
  </si>
  <si>
    <t>2/18/2026 1:42:00 PM</t>
  </si>
  <si>
    <t>2/18/2026 9:46:23 PM</t>
  </si>
  <si>
    <t>2/18/2026 9:42:29 PM</t>
  </si>
  <si>
    <t>PRESTIGE  (ALEC - 256-347-6503)</t>
  </si>
  <si>
    <t>2NPNHM6X3JM319139</t>
  </si>
  <si>
    <t>GAR-18-153</t>
  </si>
  <si>
    <t>1657-0001247</t>
  </si>
  <si>
    <t>2/27/2026 11:23:00 AM</t>
  </si>
  <si>
    <t>2/27/2026 7:30:51 PM</t>
  </si>
  <si>
    <t>2/27/2026 7:22:52 PM</t>
  </si>
  <si>
    <t>SAVANNAH MOBILE SERVICE</t>
  </si>
  <si>
    <t>VRO 1657-0001247 has been Accepted
Note:</t>
  </si>
  <si>
    <t>1FTRS4X89MKA97293</t>
  </si>
  <si>
    <t>GAR-21-082U</t>
  </si>
  <si>
    <t>1657-0001397</t>
  </si>
  <si>
    <t>3/1/2026 1:47:00 PM</t>
  </si>
  <si>
    <t>3/1/2026 9:47:33 PM</t>
  </si>
  <si>
    <t>3/1/2026 9:47:11 PM</t>
  </si>
  <si>
    <t>2NPNHM6X6HM319100</t>
  </si>
  <si>
    <t>GAR-17-109</t>
  </si>
  <si>
    <t>1657-0001771</t>
  </si>
  <si>
    <t>3/6/2026 2:05:00 PM</t>
  </si>
  <si>
    <t>3/6/2026 10:05:47 PM</t>
  </si>
  <si>
    <t>3/6/2026 10:05:05 PM</t>
  </si>
  <si>
    <t>1FDWE3FL8ADA22218</t>
  </si>
  <si>
    <t>GAR-6130</t>
  </si>
  <si>
    <t>1657-0001440</t>
  </si>
  <si>
    <t>3/2/2026 6:58:00 AM</t>
  </si>
  <si>
    <t>3/8/2026 12:41:32 AM</t>
  </si>
  <si>
    <t>3/8/2026 12:35:16 AM</t>
  </si>
  <si>
    <t>3FRNF6HP2DV000039</t>
  </si>
  <si>
    <t>GAR-13-011</t>
  </si>
  <si>
    <t>1657-0001835</t>
  </si>
  <si>
    <t>3/8/2026 8:03:00 AM</t>
  </si>
  <si>
    <t>3/8/2026 3:03:14 PM</t>
  </si>
  <si>
    <t>3/8/2026 3:02:51 PM</t>
  </si>
  <si>
    <t>WILL DISPATCH V&amp;E DIESEL</t>
  </si>
  <si>
    <t>GARDA - VENDED - MOBILE, AL 26031</t>
  </si>
  <si>
    <t>GAR-19-054</t>
  </si>
  <si>
    <t>2NPNHM6X2HM319028</t>
  </si>
  <si>
    <t>GAR-17-037</t>
  </si>
  <si>
    <t>2NPNHM6X5FM277872</t>
  </si>
  <si>
    <t>GAR-15-018</t>
  </si>
  <si>
    <t>1657-0001455</t>
  </si>
  <si>
    <t>3/2/2026 9:39:00 AM</t>
  </si>
  <si>
    <t>3/2/2026 5:39:33 PM</t>
  </si>
  <si>
    <t>3/2/2026 5:39:06 PM</t>
  </si>
  <si>
    <t>dispatching prestige alec 2563476503</t>
  </si>
  <si>
    <t>3FRWF65244V610196</t>
  </si>
  <si>
    <t>GAR-4454</t>
  </si>
  <si>
    <t>1657-0001905</t>
  </si>
  <si>
    <t>3/8/2026 9:26:00 PM</t>
  </si>
  <si>
    <t>3/9/2026 4:26:28 AM</t>
  </si>
  <si>
    <t>3/9/2026 4:26:13 AM</t>
  </si>
  <si>
    <t>1FTYR2CM9JKA95764</t>
  </si>
  <si>
    <t>GAR-19-103</t>
  </si>
  <si>
    <t>2NPNHM6X8HM319115</t>
  </si>
  <si>
    <t>GAR-17-124</t>
  </si>
  <si>
    <t>1FTRS4X8XLKA71669</t>
  </si>
  <si>
    <t>GAR-20-100U</t>
  </si>
  <si>
    <t>2/27/2026 8:03:00 AM</t>
  </si>
  <si>
    <t>3/8/2026 12:35:31 AM</t>
  </si>
  <si>
    <t>GARDA - VENDED - ROCKFORD, IL 19049</t>
  </si>
  <si>
    <t>1FTYR2CM3JKA81276</t>
  </si>
  <si>
    <t>GAR-19-106</t>
  </si>
  <si>
    <t>PENDING ESTIMATE</t>
  </si>
  <si>
    <t>2NPNHM6X3GM309123</t>
  </si>
  <si>
    <t>GAR-16-018</t>
  </si>
  <si>
    <t>3/7/2026 11:24:22 PM</t>
  </si>
  <si>
    <t>GARDA - VENDED - CHPPWA FLLS, WI 19053</t>
  </si>
  <si>
    <t>1FTRS4XM8KKB13848</t>
  </si>
  <si>
    <t>GAR-19-026</t>
  </si>
  <si>
    <t>1657-0001305</t>
  </si>
  <si>
    <t>2/28/2026 1:28:00 PM</t>
  </si>
  <si>
    <t>3/8/2026 12:42:41 AM</t>
  </si>
  <si>
    <t>3/8/2026 12:35:22 AM</t>
  </si>
  <si>
    <t>1FTYR2CM8JKA95786</t>
  </si>
  <si>
    <t>GAR-19-110</t>
  </si>
  <si>
    <t>1657-0000704</t>
  </si>
  <si>
    <t>2/20/2026 2:55:00 PM</t>
  </si>
  <si>
    <t>3/8/2026 12:33:54 AM</t>
  </si>
  <si>
    <t>3/8/2026 12:25:50 AM</t>
  </si>
  <si>
    <t>azPJI6NA-6UmQtY4c3MmYng</t>
  </si>
  <si>
    <t>1FTZR15E52PB46685</t>
  </si>
  <si>
    <t>GAR-8211</t>
  </si>
  <si>
    <t>1657-0001884</t>
  </si>
  <si>
    <t>3/8/2026 1:50:00 PM</t>
  </si>
  <si>
    <t>3/8/2026 8:50:14 PM</t>
  </si>
  <si>
    <t>3/8/2026 8:49:50 PM</t>
  </si>
  <si>
    <t>3FRWF65N45V177524</t>
  </si>
  <si>
    <t>GAR-5504</t>
  </si>
  <si>
    <t>2/27/2026 7:14:00 AM</t>
  </si>
  <si>
    <t>1657-0001320</t>
  </si>
  <si>
    <t>3/1/2026 3:49:00 AM</t>
  </si>
  <si>
    <t>3/1/2026 11:49:49 AM</t>
  </si>
  <si>
    <t>3/1/2026 11:49:22 AM</t>
  </si>
  <si>
    <t>dispatching jets</t>
  </si>
  <si>
    <t>1657-0001547</t>
  </si>
  <si>
    <t>3/3/2026 3:35:00 PM</t>
  </si>
  <si>
    <t>3/8/2026 12:50:48 AM</t>
  </si>
  <si>
    <t>3/8/2026 12:48:41 AM</t>
  </si>
  <si>
    <t>2NPNHM6XXFM307111</t>
  </si>
  <si>
    <t>GAR-16-033</t>
  </si>
  <si>
    <t>1FTRS4X84LKA71733</t>
  </si>
  <si>
    <t>GAR-20-109U</t>
  </si>
  <si>
    <t>1657-0001707</t>
  </si>
  <si>
    <t>3/5/2026 6:04:00 PM</t>
  </si>
  <si>
    <t>3/6/2026 2:04:20 AM</t>
  </si>
  <si>
    <t>3/6/2026 2:04:08 AM</t>
  </si>
  <si>
    <t>VRO 1657-0001707 has been Accepted
Note:</t>
  </si>
  <si>
    <t>2NPNHM6X0FM307117</t>
  </si>
  <si>
    <t>GAR-16-039</t>
  </si>
  <si>
    <t>1657-0001716</t>
  </si>
  <si>
    <t>3/6/2026 3:36:00 AM</t>
  </si>
  <si>
    <t>3/6/2026 11:37:45 AM</t>
  </si>
  <si>
    <t>3/6/2026 11:36:28 AM</t>
  </si>
  <si>
    <t>WILL DISPATCH MIDWEST FLEET</t>
  </si>
  <si>
    <t>1FTRS4X84MKA97329</t>
  </si>
  <si>
    <t>GAR-21-092U</t>
  </si>
  <si>
    <t>3FRWF65N95V176823</t>
  </si>
  <si>
    <t>GAR-5272</t>
  </si>
  <si>
    <t>1FTRS4X83LKA71660</t>
  </si>
  <si>
    <t>GAR-20-159U</t>
  </si>
  <si>
    <t>1657-0000279</t>
  </si>
  <si>
    <t>2/16/2026 1:23:00 PM</t>
  </si>
  <si>
    <t>3/8/2026 12:29:20 AM</t>
  </si>
  <si>
    <t>3/8/2026 12:25:26 AM</t>
  </si>
  <si>
    <t>VRO 1657-0000279 has been Accepted
Note:</t>
  </si>
  <si>
    <t>adFw1Ht-M9keh1t9z_sqKhg</t>
  </si>
  <si>
    <t>GARDA - VENDED - FORT WAYNE, IN 19051</t>
  </si>
  <si>
    <t>1FTRS4X88LKA29209</t>
  </si>
  <si>
    <t>GAR-20-082U</t>
  </si>
  <si>
    <t>1657-0001824</t>
  </si>
  <si>
    <t>3/8/2026 6:12:00 AM</t>
  </si>
  <si>
    <t>3/8/2026 1:12:02 PM</t>
  </si>
  <si>
    <t>3/8/2026 1:11:39 PM</t>
  </si>
  <si>
    <t>WILL ATTEMPT TO DISPATCH MCMAHONS</t>
  </si>
  <si>
    <t>1FTRS4X87PKA63907</t>
  </si>
  <si>
    <t>GAR-23-039U</t>
  </si>
  <si>
    <t>2NPNHM6X5HM319072</t>
  </si>
  <si>
    <t>GAR-17-081</t>
  </si>
  <si>
    <t>1657-0001887</t>
  </si>
  <si>
    <t>3/8/2026 1:59:00 PM</t>
  </si>
  <si>
    <t>3/8/2026 8:59:27 PM</t>
  </si>
  <si>
    <t>3/8/2026 8:59:06 PM</t>
  </si>
  <si>
    <t>1FDWE3FL8ADA06312</t>
  </si>
  <si>
    <t>GAR-6226</t>
  </si>
  <si>
    <t>3FRNF6HP2DV000025</t>
  </si>
  <si>
    <t>GAR-13-007</t>
  </si>
  <si>
    <t>1FTYR2CM5JKA70523</t>
  </si>
  <si>
    <t>GAR-19-105</t>
  </si>
  <si>
    <t>1657-0000844</t>
  </si>
  <si>
    <t>2/24/2026 3:25:00 AM</t>
  </si>
  <si>
    <t>2/24/2026 11:26:19 AM</t>
  </si>
  <si>
    <t>2/24/2026 11:25:11 AM</t>
  </si>
  <si>
    <t>2/16/2026 12:00:00 AM</t>
  </si>
  <si>
    <t>2NPNHM6X8HM319101</t>
  </si>
  <si>
    <t>GAR-17-110</t>
  </si>
  <si>
    <t>1657-0001772</t>
  </si>
  <si>
    <t>3/6/2026 2:07:00 PM</t>
  </si>
  <si>
    <t>3/6/2026 10:07:30 PM</t>
  </si>
  <si>
    <t>3/6/2026 10:07:10 PM</t>
  </si>
  <si>
    <t>3/11/2026 12:00:00 AM</t>
  </si>
  <si>
    <t>VRO 1657-0001772 has been Accepted
Note:</t>
  </si>
  <si>
    <t>1657-0001880</t>
  </si>
  <si>
    <t>3/8/2026 1:35:00 PM</t>
  </si>
  <si>
    <t>3/8/2026 8:35:00 PM</t>
  </si>
  <si>
    <t>3/8/2026 8:34:36 PM</t>
  </si>
  <si>
    <t>GAR-18-195</t>
  </si>
  <si>
    <t>3/8/2026 12:49:07 AM</t>
  </si>
  <si>
    <t>3FRNF6HP7DV799980</t>
  </si>
  <si>
    <t>GAR-13-060</t>
  </si>
  <si>
    <t>1FTRS4X85LKA67237</t>
  </si>
  <si>
    <t>GAR-20-110U</t>
  </si>
  <si>
    <t>1657-0001704</t>
  </si>
  <si>
    <t>3/5/2026 5:51:00 PM</t>
  </si>
  <si>
    <t>3/6/2026 1:51:46 AM</t>
  </si>
  <si>
    <t>3/6/2026 1:51:10 AM</t>
  </si>
  <si>
    <t>VRO 1657-0001704 has been Accepted
Note:</t>
  </si>
  <si>
    <t>2NPNHM6X2JM461871</t>
  </si>
  <si>
    <t>GAR-18-037</t>
  </si>
  <si>
    <t>GARDA - VENDED - SPARKS, NV 12061</t>
  </si>
  <si>
    <t>1FVABPCT12HJ58935</t>
  </si>
  <si>
    <t>GAR-329</t>
  </si>
  <si>
    <t>1657-0001907</t>
  </si>
  <si>
    <t>3/8/2026 9:28:00 PM</t>
  </si>
  <si>
    <t>3/9/2026 4:28:26 AM</t>
  </si>
  <si>
    <t>3/9/2026 4:28:05 AM</t>
  </si>
  <si>
    <t>GARDA - VENDED - DULUTH, MN 19058</t>
  </si>
  <si>
    <t>1FTRS4X85PKA00708</t>
  </si>
  <si>
    <t>GAR-23-015U</t>
  </si>
  <si>
    <t>1657-0001845</t>
  </si>
  <si>
    <t>3/8/2026 10:34:00 AM</t>
  </si>
  <si>
    <t>3/8/2026 5:34:20 PM</t>
  </si>
  <si>
    <t>3/8/2026 5:33:59 PM</t>
  </si>
  <si>
    <t>WILL TRY TO DISPATCH BLAINE BROTHERS</t>
  </si>
  <si>
    <t>2NPNHM6X6JM483145</t>
  </si>
  <si>
    <t>GAR-18-159</t>
  </si>
  <si>
    <t>1657-0001693</t>
  </si>
  <si>
    <t>3/5/2026 4:49:58 PM</t>
  </si>
  <si>
    <t>3/8/2026 12:28:32 AM</t>
  </si>
  <si>
    <t>3/8/2026 12:25:07 AM</t>
  </si>
  <si>
    <t>ROS//1054464170</t>
  </si>
  <si>
    <t>GARDA - VENDED - JOHNSTOWN, PA 14082</t>
  </si>
  <si>
    <t>2NPNHM6X9FM285845</t>
  </si>
  <si>
    <t>GAR-15-066</t>
  </si>
  <si>
    <t>3/7/2026 11:24:21 PM</t>
  </si>
  <si>
    <t>2NPNHM6X6HM319114</t>
  </si>
  <si>
    <t>GAR-17-123</t>
  </si>
  <si>
    <t>1657-0001841</t>
  </si>
  <si>
    <t>3/8/2026 9:28:00 AM</t>
  </si>
  <si>
    <t>3/8/2026 4:29:22 PM</t>
  </si>
  <si>
    <t>3/8/2026 4:28:46 PM</t>
  </si>
  <si>
    <t>3/8/2026 12:35:14 AM</t>
  </si>
  <si>
    <t>2NPNHM6X1JM472778</t>
  </si>
  <si>
    <t>GAR-18-123</t>
  </si>
  <si>
    <t>1FTRS4X88LKA29114</t>
  </si>
  <si>
    <t>GAR-20-046U</t>
  </si>
  <si>
    <t>1657-0001318</t>
  </si>
  <si>
    <t>3/1/2026 3:43:00 AM</t>
  </si>
  <si>
    <t>3/1/2026 11:43:04 AM</t>
  </si>
  <si>
    <t>3/1/2026 11:42:45 AM</t>
  </si>
  <si>
    <t>3/8/2026 12:25:28 AM</t>
  </si>
  <si>
    <t>1FTYR2CM6JKA95771</t>
  </si>
  <si>
    <t>GAR-19-124</t>
  </si>
  <si>
    <t>1657-0000718</t>
  </si>
  <si>
    <t>2/20/2026 4:49:00 PM</t>
  </si>
  <si>
    <t>3/8/2026 12:59:08 AM</t>
  </si>
  <si>
    <t>3/8/2026 12:49:30 AM</t>
  </si>
  <si>
    <t>VRO 1657-0000718 has been Accepted
Note:</t>
  </si>
  <si>
    <t>1FDWE35L78DA75164</t>
  </si>
  <si>
    <t>GAR-6088</t>
  </si>
  <si>
    <t>1657-0001352</t>
  </si>
  <si>
    <t>3/1/2026 8:50:00 AM</t>
  </si>
  <si>
    <t>3/1/2026 4:50:11 PM</t>
  </si>
  <si>
    <t>3/1/2026 4:49:46 PM</t>
  </si>
  <si>
    <t>2NPNHM6XXJM483164</t>
  </si>
  <si>
    <t>GAR-18-178</t>
  </si>
  <si>
    <t>2NPNHM6X1GM319018</t>
  </si>
  <si>
    <t>GAR-16-106</t>
  </si>
  <si>
    <t>1657-0001832</t>
  </si>
  <si>
    <t>3/8/2026 7:42:00 AM</t>
  </si>
  <si>
    <t>3/8/2026 2:43:11 PM</t>
  </si>
  <si>
    <t>3/8/2026 2:42:45 PM</t>
  </si>
  <si>
    <t>1FTRS4X87LKA29220</t>
  </si>
  <si>
    <t>GAR-20-065U</t>
  </si>
  <si>
    <t>1657-0001493</t>
  </si>
  <si>
    <t>3/2/2026 4:18:00 PM</t>
  </si>
  <si>
    <t>3/3/2026 12:18:52 AM</t>
  </si>
  <si>
    <t>3/3/2026 12:18:29 AM</t>
  </si>
  <si>
    <t>3FRWF65N85V177655</t>
  </si>
  <si>
    <t>GAR-5464</t>
  </si>
  <si>
    <t>1657-0001858</t>
  </si>
  <si>
    <t>3/8/2026 11:47:00 AM</t>
  </si>
  <si>
    <t>3/8/2026 6:47:59 PM</t>
  </si>
  <si>
    <t>3/8/2026 6:47:30 PM</t>
  </si>
  <si>
    <t>2NPNHM6X0JM464235</t>
  </si>
  <si>
    <t>GAR-18-080</t>
  </si>
  <si>
    <t>1657-0001843</t>
  </si>
  <si>
    <t>3/8/2026 10:27:00 AM</t>
  </si>
  <si>
    <t>3/8/2026 5:27:39 PM</t>
  </si>
  <si>
    <t>3/8/2026 5:26:53 PM</t>
  </si>
  <si>
    <t>1FTRS4X80PKA69693</t>
  </si>
  <si>
    <t>GAR-23-030U</t>
  </si>
  <si>
    <t>1657-0001564</t>
  </si>
  <si>
    <t>3/4/2026 5:37:00 AM</t>
  </si>
  <si>
    <t>3/4/2026 1:37:55 PM</t>
  </si>
  <si>
    <t>3/4/2026 1:36:47 PM</t>
  </si>
  <si>
    <t>1FTRS4X8XLKA29129</t>
  </si>
  <si>
    <t>GAR-20-062U</t>
  </si>
  <si>
    <t>1657-0001639</t>
  </si>
  <si>
    <t>3/5/2026 6:22:00 AM</t>
  </si>
  <si>
    <t>3/8/2026 12:40:17 AM</t>
  </si>
  <si>
    <t>3/8/2026 12:35:04 AM</t>
  </si>
  <si>
    <t>VRO 1657-0001639 has been Accepted
Note:</t>
  </si>
  <si>
    <t>aynblBQvyl0W8UqhvMqN10Q</t>
  </si>
  <si>
    <t>GARDA - VENDED - TUCSON, AZ 12082</t>
  </si>
  <si>
    <t>3FRWF65244V610103</t>
  </si>
  <si>
    <t>GAR-4384</t>
  </si>
  <si>
    <t>1657-0001153</t>
  </si>
  <si>
    <t>2/27/2026 7:11:00 AM</t>
  </si>
  <si>
    <t>3/8/2026 1:02:24 AM</t>
  </si>
  <si>
    <t>3/8/2026 1:00:44 AM</t>
  </si>
  <si>
    <t>1657-0001717</t>
  </si>
  <si>
    <t>3/6/2026 3:42:00 AM</t>
  </si>
  <si>
    <t>3/6/2026 11:42:17 AM</t>
  </si>
  <si>
    <t>3/6/2026 11:41:50 AM</t>
  </si>
  <si>
    <t>GARDA - VENDED - SPOKANE, WA 23050</t>
  </si>
  <si>
    <t>1FTRS4X88LKA71718</t>
  </si>
  <si>
    <t>GAR-20-132U</t>
  </si>
  <si>
    <t>1657-0000651</t>
  </si>
  <si>
    <t>2/20/2026 9:35:00 AM</t>
  </si>
  <si>
    <t>3/8/2026 12:33:33 AM</t>
  </si>
  <si>
    <t>3/8/2026 12:25:48 AM</t>
  </si>
  <si>
    <t>VRO 1657-0000651 has been Accepted
Note:</t>
  </si>
  <si>
    <t>2NPNHM6X0GM318975</t>
  </si>
  <si>
    <t>GAR-16-063</t>
  </si>
  <si>
    <t>2NPNHM6X9JM472799</t>
  </si>
  <si>
    <t>GAR-18-144</t>
  </si>
  <si>
    <t>1657-0001827</t>
  </si>
  <si>
    <t>3/8/2026 6:31:00 AM</t>
  </si>
  <si>
    <t>3/8/2026 1:31:02 PM</t>
  </si>
  <si>
    <t>3/8/2026 1:30:38 PM</t>
  </si>
  <si>
    <t>GARDA - VENDED - CRPS CHRSTI, TX 13072</t>
  </si>
  <si>
    <t>1FTRS4X89LKA29199</t>
  </si>
  <si>
    <t>GAR-20-080U</t>
  </si>
  <si>
    <t>1657-0001032</t>
  </si>
  <si>
    <t>2/25/2026 6:34:00 PM</t>
  </si>
  <si>
    <t>3/8/2026 12:55:07 AM</t>
  </si>
  <si>
    <t>VRO 1657-0001032 has been Accepted
Note:</t>
  </si>
  <si>
    <t>4UZAAPCP17CY33149</t>
  </si>
  <si>
    <t>GAR-298</t>
  </si>
  <si>
    <t>3/8/2026 12:35:42 AM</t>
  </si>
  <si>
    <t>1FTRS4X81PKA63868</t>
  </si>
  <si>
    <t>GAR-23-033U</t>
  </si>
  <si>
    <t>4V5JC2UF3YN871477</t>
  </si>
  <si>
    <t>GAR-3732</t>
  </si>
  <si>
    <t>1657-0001882</t>
  </si>
  <si>
    <t>3/8/2026 1:38:00 PM</t>
  </si>
  <si>
    <t>3/8/2026 8:38:48 PM</t>
  </si>
  <si>
    <t>3/8/2026 8:38:27 PM</t>
  </si>
  <si>
    <t>1FTRS4X89LKA71744</t>
  </si>
  <si>
    <t>GAR-20-149U</t>
  </si>
  <si>
    <t>1FDWE35L77DB27763</t>
  </si>
  <si>
    <t>GAR-5924</t>
  </si>
  <si>
    <t>jets mobile dispatched</t>
  </si>
  <si>
    <t>1FDRS6PM7JKB35474</t>
  </si>
  <si>
    <t>GAR-19-015</t>
  </si>
  <si>
    <t>1657-0001703</t>
  </si>
  <si>
    <t>3/5/2026 5:46:00 PM</t>
  </si>
  <si>
    <t>3/6/2026 1:47:10 AM</t>
  </si>
  <si>
    <t>3/6/2026 1:46:21 AM</t>
  </si>
  <si>
    <t>VRO 1657-0001703 has been Accepted
Note:</t>
  </si>
  <si>
    <t>3FRWF65NX5V177589</t>
  </si>
  <si>
    <t>GAR-5538</t>
  </si>
  <si>
    <t>1657-0001828</t>
  </si>
  <si>
    <t>3/8/2026 6:32:00 AM</t>
  </si>
  <si>
    <t>3/8/2026 1:33:09 PM</t>
  </si>
  <si>
    <t>3/8/2026 1:32:35 PM</t>
  </si>
  <si>
    <t>2NPNHM6X9FM277874</t>
  </si>
  <si>
    <t>GAR-15-020</t>
  </si>
  <si>
    <t>1657-0001632</t>
  </si>
  <si>
    <t>3/4/2026 8:01:00 PM</t>
  </si>
  <si>
    <t>3/5/2026 4:02:04 AM</t>
  </si>
  <si>
    <t>3/5/2026 6:01:11 AM</t>
  </si>
  <si>
    <t>1FTYR2CM3JKB47888</t>
  </si>
  <si>
    <t>GAR-19-104</t>
  </si>
  <si>
    <t>1657-0001280</t>
  </si>
  <si>
    <t>2/28/2026 3:58:00 AM</t>
  </si>
  <si>
    <t>2/28/2026 11:58:13 AM</t>
  </si>
  <si>
    <t>2/28/2026 11:57:43 AM</t>
  </si>
  <si>
    <t>VRO 1657-0001280 has been Accepted
Note:</t>
  </si>
  <si>
    <t>2CTALUEC8B6475061</t>
  </si>
  <si>
    <t>GAR-11-001</t>
  </si>
  <si>
    <t>1657-0001615</t>
  </si>
  <si>
    <t>3/4/2026 2:47:00 PM</t>
  </si>
  <si>
    <t>3/4/2026 11:01:06 PM</t>
  </si>
  <si>
    <t>3/4/2026 10:46:47 PM</t>
  </si>
  <si>
    <t>VRO 1657-0001615 has been Accepted
Note:</t>
  </si>
  <si>
    <t>1657-0001572</t>
  </si>
  <si>
    <t>3/4/2026 5:58:06 AM</t>
  </si>
  <si>
    <t>3/8/2026 12:40:33 AM</t>
  </si>
  <si>
    <t>1052786995</t>
  </si>
  <si>
    <t>3FRWF65N55V177595</t>
  </si>
  <si>
    <t>GAR-5470</t>
  </si>
  <si>
    <t>1657-0001321</t>
  </si>
  <si>
    <t>3/1/2026 3:55:00 AM</t>
  </si>
  <si>
    <t>3/1/2026 11:55:14 AM</t>
  </si>
  <si>
    <t>3/1/2026 11:54:46 AM</t>
  </si>
  <si>
    <t>1FTRS4X86MKA25628</t>
  </si>
  <si>
    <t>GAR-21-014U</t>
  </si>
  <si>
    <t>1657-0001596</t>
  </si>
  <si>
    <t>3/4/2026 11:24:00 AM</t>
  </si>
  <si>
    <t>3/4/2026 7:24:10 PM</t>
  </si>
  <si>
    <t>3/4/2026 7:23:41 PM</t>
  </si>
  <si>
    <t>1FTRU8XG7RKA28957</t>
  </si>
  <si>
    <t>GAR-24-008U</t>
  </si>
  <si>
    <t>1657-0001215</t>
  </si>
  <si>
    <t>3/8/2026 1:01:19 AM</t>
  </si>
  <si>
    <t>1FTRS4X8XPKA01353</t>
  </si>
  <si>
    <t>GAR-23-029U</t>
  </si>
  <si>
    <t>1657-0000983</t>
  </si>
  <si>
    <t>2/25/2026 1:17:00 PM</t>
  </si>
  <si>
    <t>2/25/2026 9:17:37 PM</t>
  </si>
  <si>
    <t>2/25/2026 11:16:37 PM</t>
  </si>
  <si>
    <t>2/25/2026 12:00:00 AM</t>
  </si>
  <si>
    <t>1FTRS4X81PKA63899</t>
  </si>
  <si>
    <t>GAR-23-034U</t>
  </si>
  <si>
    <t>3/8/2026 12:25:27 AM</t>
  </si>
  <si>
    <t>1FTRU8XG3RKB82582</t>
  </si>
  <si>
    <t>GAR-25-033U</t>
  </si>
  <si>
    <t>1657-0001825</t>
  </si>
  <si>
    <t>3/8/2026 6:26:00 AM</t>
  </si>
  <si>
    <t>3/8/2026 1:26:46 PM</t>
  </si>
  <si>
    <t>3/8/2026 1:26:19 PM</t>
  </si>
  <si>
    <t>WILL ATTEMPT TO DIAPATCH MCMAHONS</t>
  </si>
  <si>
    <t>2/27/2026 8:11:00 AM</t>
  </si>
  <si>
    <t>GARDA - VENDED - WENATCHEE, WA 23049</t>
  </si>
  <si>
    <t>3FRWF65N05V177634</t>
  </si>
  <si>
    <t>GAR-5454</t>
  </si>
  <si>
    <t>1657-0001159</t>
  </si>
  <si>
    <t>3/4/2026 7:08:06 PM</t>
  </si>
  <si>
    <t>3/4/2026 9:07:12 PM</t>
  </si>
  <si>
    <t>2NPNHM6X8JM464256</t>
  </si>
  <si>
    <t>GAR-18-101</t>
  </si>
  <si>
    <t>1657-0001385</t>
  </si>
  <si>
    <t>3/1/2026 12:48:00 PM</t>
  </si>
  <si>
    <t>3/1/2026 8:48:47 PM</t>
  </si>
  <si>
    <t>3/1/2026 8:48:20 PM</t>
  </si>
  <si>
    <t>1FTRS4X80NKA61638</t>
  </si>
  <si>
    <t>GAR-22-036U</t>
  </si>
  <si>
    <t>1657-0001892</t>
  </si>
  <si>
    <t>3/8/2026 8:45:00 PM</t>
  </si>
  <si>
    <t>3/9/2026 3:45:00 AM</t>
  </si>
  <si>
    <t>3/9/2026 3:44:44 AM</t>
  </si>
  <si>
    <t>VRO 1657-0001892 has been Accepted
Note:</t>
  </si>
  <si>
    <t>2NPNHM6X1JM472781</t>
  </si>
  <si>
    <t>GAR-18-126</t>
  </si>
  <si>
    <t>3/8/2026 12:25:11 AM</t>
  </si>
  <si>
    <t>1657-0000623</t>
  </si>
  <si>
    <t>2/20/2026 6:25:00 AM</t>
  </si>
  <si>
    <t>2/24/2026 3:20:03 PM</t>
  </si>
  <si>
    <t>2/24/2026 3:19:48 PM</t>
  </si>
  <si>
    <t>allied diesel dispatched</t>
  </si>
  <si>
    <t>2NPNHM6X1FM285855</t>
  </si>
  <si>
    <t>GAR-15-076</t>
  </si>
  <si>
    <t>1657-0001826</t>
  </si>
  <si>
    <t>3/8/2026 6:29:00 AM</t>
  </si>
  <si>
    <t>3/8/2026 1:29:12 PM</t>
  </si>
  <si>
    <t>3/8/2026 1:28:40 PM</t>
  </si>
  <si>
    <t>2NPNHM6X2JM472790</t>
  </si>
  <si>
    <t>GAR-18-135</t>
  </si>
  <si>
    <t>1657-0000751</t>
  </si>
  <si>
    <t>2/23/2026 4:15:00 AM</t>
  </si>
  <si>
    <t>3/8/2026 12:58:52 AM</t>
  </si>
  <si>
    <t>VRO 1657-0000751 has been Accepted
Note:</t>
  </si>
  <si>
    <t>aWYHfSf-egUqihKyJfYAK1A</t>
  </si>
  <si>
    <t>1FTRU8XGXRKB82577</t>
  </si>
  <si>
    <t>GAR-25-044U</t>
  </si>
  <si>
    <t>1657-0001275</t>
  </si>
  <si>
    <t>2/27/2026 2:40:00 PM</t>
  </si>
  <si>
    <t>3/8/2026 12:43:26 AM</t>
  </si>
  <si>
    <t>3/8/2026 12:35:25 AM</t>
  </si>
  <si>
    <t>VRO 1657-0001275 has been Accepted
Note:</t>
  </si>
  <si>
    <t>aDj8BPTuS602MnCbiWXi6uA</t>
  </si>
  <si>
    <t>1657-0001337</t>
  </si>
  <si>
    <t>3/1/2026 7:10:00 AM</t>
  </si>
  <si>
    <t>3/1/2026 3:10:27 PM</t>
  </si>
  <si>
    <t>3/1/2026 3:10:05 PM</t>
  </si>
  <si>
    <t>GARDA - HAMPTON, VA 14031</t>
  </si>
  <si>
    <t>GAR-19-008</t>
  </si>
  <si>
    <t>2NPNHM6X2GM309128</t>
  </si>
  <si>
    <t>GAR-16-023</t>
  </si>
  <si>
    <t>1FTRU8XG3RKB58203</t>
  </si>
  <si>
    <t>GAR-25-025U</t>
  </si>
  <si>
    <t>1FTRS4X85LKA29104</t>
  </si>
  <si>
    <t>GAR-20-041U</t>
  </si>
  <si>
    <t>2NPNHM6X2JM483160</t>
  </si>
  <si>
    <t>GAR-18-174</t>
  </si>
  <si>
    <t>1FDWE3FL3BDB03208</t>
  </si>
  <si>
    <t>GAR-6530</t>
  </si>
  <si>
    <t>1657-0001088</t>
  </si>
  <si>
    <t>2/26/2026 10:18:00 AM</t>
  </si>
  <si>
    <t>2/26/2026 6:20:11 PM</t>
  </si>
  <si>
    <t>2/26/2026 6:18:16 PM</t>
  </si>
  <si>
    <t>1FTRS4X80NKA61770</t>
  </si>
  <si>
    <t>GAR-22-035U</t>
  </si>
  <si>
    <t>1657-0001795</t>
  </si>
  <si>
    <t>3/7/2026 12:09:29 PM</t>
  </si>
  <si>
    <t>3/8/2026 12:26:30 AM</t>
  </si>
  <si>
    <t>3/8/2026 12:24:48 AM</t>
  </si>
  <si>
    <t>VRO 1657-0001795 has been Accepted
Note:</t>
  </si>
  <si>
    <t>aqe5w1wXn9Ea4_OxU216o-A</t>
  </si>
  <si>
    <t>1FTRS4X84LKA71652</t>
  </si>
  <si>
    <t>GAR-20-157U</t>
  </si>
  <si>
    <t>1657-0001837</t>
  </si>
  <si>
    <t>3/8/2026 9:12:00 AM</t>
  </si>
  <si>
    <t>3/8/2026 4:12:59 PM</t>
  </si>
  <si>
    <t>3/8/2026 4:12:31 PM</t>
  </si>
  <si>
    <t>GARDA - DENVER, CO 23030</t>
  </si>
  <si>
    <t>1FDRS6PM5KKA24066</t>
  </si>
  <si>
    <t>GAR-19-019</t>
  </si>
  <si>
    <t>3/5/2026 11:09:00 AM</t>
  </si>
  <si>
    <t>NATIONAL RESCUE LLC</t>
  </si>
  <si>
    <t>KHulbert@ameritfleet.com</t>
  </si>
  <si>
    <t>1FTRS4X88PKA63995</t>
  </si>
  <si>
    <t>GAR-23-031U</t>
  </si>
  <si>
    <t>1657-0001061</t>
  </si>
  <si>
    <t>2/26/2026 5:26:00 AM</t>
  </si>
  <si>
    <t>3/8/2026 12:54:46 AM</t>
  </si>
  <si>
    <t>Service set up with truck ups.</t>
  </si>
  <si>
    <t>aYSZRyRStc0SUkqjsmdTd1w</t>
  </si>
  <si>
    <t>1FTRY2CM4JKA73574</t>
  </si>
  <si>
    <t>GAR-19-112</t>
  </si>
  <si>
    <t>1657-0001212</t>
  </si>
  <si>
    <t>3/8/2026 12:43:52 AM</t>
  </si>
  <si>
    <t>3/8/2026 12:35:28 AM</t>
  </si>
  <si>
    <t>1657-0001379</t>
  </si>
  <si>
    <t>3/1/2026 12:17:00 PM</t>
  </si>
  <si>
    <t>3/1/2026 8:17:32 PM</t>
  </si>
  <si>
    <t>3/1/2026 8:17:07 PM</t>
  </si>
  <si>
    <t>2NPNHM6X8GM309120</t>
  </si>
  <si>
    <t>GAR-16-015</t>
  </si>
  <si>
    <t>1657-0001357</t>
  </si>
  <si>
    <t>3/1/2026 10:58:00 AM</t>
  </si>
  <si>
    <t>3/1/2026 6:58:12 PM</t>
  </si>
  <si>
    <t>3/1/2026 6:57:40 PM</t>
  </si>
  <si>
    <t>1657-0001799</t>
  </si>
  <si>
    <t>3/7/2026 2:23:00 PM</t>
  </si>
  <si>
    <t>3/7/2026 10:23:23 PM</t>
  </si>
  <si>
    <t>3/7/2026 10:23:01 PM</t>
  </si>
  <si>
    <t>1FTRS4X84MKA08293</t>
  </si>
  <si>
    <t>GAR-21-031U</t>
  </si>
  <si>
    <t>1657-0001421</t>
  </si>
  <si>
    <t>3/2/2026 4:44:00 AM</t>
  </si>
  <si>
    <t>3/8/2026 12:42:18 AM</t>
  </si>
  <si>
    <t>3/8/2026 12:35:20 AM</t>
  </si>
  <si>
    <t>VRO 1657-0001421 has been Accepted
Note:</t>
  </si>
  <si>
    <t>abkvvsf34KE-tRzRFU93IEw</t>
  </si>
  <si>
    <t>1FTRS4X83LKA67236</t>
  </si>
  <si>
    <t>GAR-20-154U</t>
  </si>
  <si>
    <t>1657-0001307</t>
  </si>
  <si>
    <t>2/28/2026 1:31:00 PM</t>
  </si>
  <si>
    <t>3/8/2026 12:42:06 AM</t>
  </si>
  <si>
    <t>2NPNHM6XXHM319052</t>
  </si>
  <si>
    <t>GAR-17-061</t>
  </si>
  <si>
    <t>1657-0001358</t>
  </si>
  <si>
    <t>3/1/2026 11:00:00 AM</t>
  </si>
  <si>
    <t>3/1/2026 7:00:24 PM</t>
  </si>
  <si>
    <t>3/1/2026 6:59:55 PM</t>
  </si>
  <si>
    <t>GARDA - RUNNEMEDE, NJ 14083</t>
  </si>
  <si>
    <t>GAR-6564</t>
  </si>
  <si>
    <t>1FDWE35L27DB42185</t>
  </si>
  <si>
    <t>GAR-6040</t>
  </si>
  <si>
    <t>1657-0001815</t>
  </si>
  <si>
    <t>3/8/2026 4:18:00 AM</t>
  </si>
  <si>
    <t>3/8/2026 11:18:46 AM</t>
  </si>
  <si>
    <t>3/8/2026 11:18:21 AM</t>
  </si>
  <si>
    <t>GARDA - VENDED - MEMPHIS, TN 27032</t>
  </si>
  <si>
    <t>1FTRS4X84LKA71666</t>
  </si>
  <si>
    <t>GAR-20-091U</t>
  </si>
  <si>
    <t>2NPNHM6X4JM464237</t>
  </si>
  <si>
    <t>GAR-18-082</t>
  </si>
  <si>
    <t>1FTRS4XM8KKA16634</t>
  </si>
  <si>
    <t>GAR-19-060</t>
  </si>
  <si>
    <t>1657-0001613</t>
  </si>
  <si>
    <t>3/4/2026 2:40:00 PM</t>
  </si>
  <si>
    <t>3/4/2026 10:40:09 PM</t>
  </si>
  <si>
    <t>3/4/2026 10:39:46 PM</t>
  </si>
  <si>
    <t>VRO 1657-0001613 has been Accepted
Note:</t>
  </si>
  <si>
    <t>1FTRU8XG9RKB82599</t>
  </si>
  <si>
    <t>GAR-25-046U</t>
  </si>
  <si>
    <t>1657-0001763</t>
  </si>
  <si>
    <t>3/6/2026 12:56:00 PM</t>
  </si>
  <si>
    <t>3/6/2026 8:57:32 PM</t>
  </si>
  <si>
    <t>3/6/2026 8:56:06 PM</t>
  </si>
  <si>
    <t>1FTRS4X89MKA97312</t>
  </si>
  <si>
    <t>GAR-21-105U</t>
  </si>
  <si>
    <t>1FTYR2CM7JKB28955</t>
  </si>
  <si>
    <t>GAR-19-118</t>
  </si>
  <si>
    <t>1657-0001281</t>
  </si>
  <si>
    <t>2/28/2026 4:00:00 AM</t>
  </si>
  <si>
    <t>3/8/2026 12:42:56 AM</t>
  </si>
  <si>
    <t>VRO 1657-0001281 has been Accepted
Note:</t>
  </si>
  <si>
    <t>1657-0001810</t>
  </si>
  <si>
    <t>3/8/2026 3:42:00 AM</t>
  </si>
  <si>
    <t>3/8/2026 10:43:26 AM</t>
  </si>
  <si>
    <t>3/8/2026 10:41:45 AM</t>
  </si>
  <si>
    <t>GARDA - VENDED - BAKERSFIELD, CA 12025</t>
  </si>
  <si>
    <t>1FDWE35L67DA79706</t>
  </si>
  <si>
    <t>GAR-5796</t>
  </si>
  <si>
    <t>DONAHUE TRUCK CENTERS</t>
  </si>
  <si>
    <t>1FTRS4X89LKA67239</t>
  </si>
  <si>
    <t>GAR-20-148U</t>
  </si>
  <si>
    <t>1657-0001245</t>
  </si>
  <si>
    <t>2/27/2026 10:40:00 AM</t>
  </si>
  <si>
    <t>3/8/2026 12:43:31 AM</t>
  </si>
  <si>
    <t>3/8/2026 12:35:26 AM</t>
  </si>
  <si>
    <t>VRO 1657-0001245 has been Accepted
Note:</t>
  </si>
  <si>
    <t>ac9-oESyQskqQ04S3bYixzg</t>
  </si>
  <si>
    <t>1FTRU8XG7RKB58401</t>
  </si>
  <si>
    <t>GAR-25-021U</t>
  </si>
  <si>
    <t>1657-0001454</t>
  </si>
  <si>
    <t>3/2/2026 9:34:00 AM</t>
  </si>
  <si>
    <t>3/2/2026 5:34:16 PM</t>
  </si>
  <si>
    <t>3/2/2026 5:33:47 PM</t>
  </si>
  <si>
    <t>2NPNHM6X0JM461853</t>
  </si>
  <si>
    <t>GAR-18-019</t>
  </si>
  <si>
    <t>1657-0001878</t>
  </si>
  <si>
    <t>3/8/2026 1:23:00 PM</t>
  </si>
  <si>
    <t>3/8/2026 8:24:16 PM</t>
  </si>
  <si>
    <t>3/8/2026 8:23:16 PM</t>
  </si>
  <si>
    <t>2NPNHM6X0HM319058</t>
  </si>
  <si>
    <t>GAR-17-067</t>
  </si>
  <si>
    <t>1657-0000613</t>
  </si>
  <si>
    <t>2/20/2026 5:08:00 AM</t>
  </si>
  <si>
    <t>3/7/2026 11:32:15 PM</t>
  </si>
  <si>
    <t>akmnFsKO93kCBbN8lVHXWGg</t>
  </si>
  <si>
    <t>4UZAAPCP07CY23373</t>
  </si>
  <si>
    <t>GAR-291</t>
  </si>
  <si>
    <t>1657-0001820</t>
  </si>
  <si>
    <t>3/8/2026 5:00:00 AM</t>
  </si>
  <si>
    <t>3/8/2026 12:00:25 PM</t>
  </si>
  <si>
    <t>3/8/2026 11:59:57 AM</t>
  </si>
  <si>
    <t>1657-0001539</t>
  </si>
  <si>
    <t>3/3/2026 2:59:00 PM</t>
  </si>
  <si>
    <t>3/3/2026 11:04:22 PM</t>
  </si>
  <si>
    <t>3/3/2026 10:58:36 PM</t>
  </si>
  <si>
    <t>2FZAAHCT02AK09769</t>
  </si>
  <si>
    <t>GAR-327</t>
  </si>
  <si>
    <t>1657-0001147</t>
  </si>
  <si>
    <t>2/27/2026 7:07:00 AM</t>
  </si>
  <si>
    <t>3/8/2026 12:46:53 AM</t>
  </si>
  <si>
    <t>VRO 1657-0001147 has been Accepted
Note:</t>
  </si>
  <si>
    <t>1FTRS4X88LKA29100</t>
  </si>
  <si>
    <t>GAR-20-036u</t>
  </si>
  <si>
    <t>1657-0001777</t>
  </si>
  <si>
    <t>3/6/2026 2:33:00 PM</t>
  </si>
  <si>
    <t>3/6/2026 10:34:59 PM</t>
  </si>
  <si>
    <t>3/6/2026 10:32:56 PM</t>
  </si>
  <si>
    <t>1FTRS4X85PKA91298</t>
  </si>
  <si>
    <t>GAR-23-060U</t>
  </si>
  <si>
    <t>1657-0001553</t>
  </si>
  <si>
    <t>3/3/2026 5:36:00 PM</t>
  </si>
  <si>
    <t>3/4/2026 1:40:16 AM</t>
  </si>
  <si>
    <t>3/4/2026 1:39:30 AM</t>
  </si>
  <si>
    <t>1FTRS4X8XLKA29101</t>
  </si>
  <si>
    <t>GAR-20-051U</t>
  </si>
  <si>
    <t>1657-0001720</t>
  </si>
  <si>
    <t>3/6/2026 5:31:00 AM</t>
  </si>
  <si>
    <t>3/6/2026 1:32:12 PM</t>
  </si>
  <si>
    <t>3/6/2026 1:31:20 PM</t>
  </si>
  <si>
    <t>WILL BE DISPATCHING MIDWEST TRUCK</t>
  </si>
  <si>
    <t>2NPNHM6X7HM319056</t>
  </si>
  <si>
    <t>GAR-17-065</t>
  </si>
  <si>
    <t>1657-0001384</t>
  </si>
  <si>
    <t>3/1/2026 12:30:00 PM</t>
  </si>
  <si>
    <t>3/1/2026 8:31:06 PM</t>
  </si>
  <si>
    <t>3/1/2026 8:30:30 PM</t>
  </si>
  <si>
    <t>1657-0001344</t>
  </si>
  <si>
    <t>3/1/2026 8:31:00 AM</t>
  </si>
  <si>
    <t>3/1/2026 4:31:43 PM</t>
  </si>
  <si>
    <t>3/1/2026 4:31:17 PM</t>
  </si>
  <si>
    <t>1FTRS4X82LKA67244</t>
  </si>
  <si>
    <t>GAR-20-160U</t>
  </si>
  <si>
    <t>2NPNHM6X5GM318969</t>
  </si>
  <si>
    <t>GAR-16-057</t>
  </si>
  <si>
    <t>1657-0001448</t>
  </si>
  <si>
    <t>3/2/2026 7:51:00 AM</t>
  </si>
  <si>
    <t>3/6/2026 1:51:22 PM</t>
  </si>
  <si>
    <t>3/6/2026 1:50:09 PM</t>
  </si>
  <si>
    <t>TNA FLEET SOLUTIONS, INC</t>
  </si>
  <si>
    <t>VRO 1657-0001448 has been Accepted
Note:</t>
  </si>
  <si>
    <t>ROR//1050676932</t>
  </si>
  <si>
    <t>1HTJSSKK1DH152775</t>
  </si>
  <si>
    <t>GAR-6670</t>
  </si>
  <si>
    <t>1FTRS4XM2KKB13845</t>
  </si>
  <si>
    <t>GAR-19-050</t>
  </si>
  <si>
    <t>1FTRS4X86LKA71734</t>
  </si>
  <si>
    <t>GAR-20-099U</t>
  </si>
  <si>
    <t>3/8/2026 12:25:10 AM</t>
  </si>
  <si>
    <t>GAR-15-025</t>
  </si>
  <si>
    <t>1FTRS4X88PKA91568</t>
  </si>
  <si>
    <t>GAR-23-061U</t>
  </si>
  <si>
    <t>1657-0001346</t>
  </si>
  <si>
    <t>3/1/2026 8:35:00 AM</t>
  </si>
  <si>
    <t>3/1/2026 4:35:44 PM</t>
  </si>
  <si>
    <t>3/1/2026 4:35:08 PM</t>
  </si>
  <si>
    <t>WDYPD444065857572</t>
  </si>
  <si>
    <t>GAR-799</t>
  </si>
  <si>
    <t>1657-0001324</t>
  </si>
  <si>
    <t>3/1/2026 4:03:00 AM</t>
  </si>
  <si>
    <t>3/1/2026 12:03:14 PM</t>
  </si>
  <si>
    <t>3/1/2026 12:02:47 PM</t>
  </si>
  <si>
    <t>1FTRS4X82LKA29108</t>
  </si>
  <si>
    <t>GAR-20-066U</t>
  </si>
  <si>
    <t>1657-0001507</t>
  </si>
  <si>
    <t>3/3/2026 7:48:00 AM</t>
  </si>
  <si>
    <t>3/3/2026 3:51:27 PM</t>
  </si>
  <si>
    <t>3/3/2026 3:47:56 PM</t>
  </si>
  <si>
    <t>1657-0001538</t>
  </si>
  <si>
    <t>3/3/2026 2:43:00 PM</t>
  </si>
  <si>
    <t>3/8/2026 12:50:56 AM</t>
  </si>
  <si>
    <t>1657-0001362</t>
  </si>
  <si>
    <t>3/1/2026 11:25:00 AM</t>
  </si>
  <si>
    <t>3/1/2026 7:25:24 PM</t>
  </si>
  <si>
    <t>3/1/2026 7:25:03 PM</t>
  </si>
  <si>
    <t>1FTRS4X82LKA29190</t>
  </si>
  <si>
    <t>GAR-20-057U</t>
  </si>
  <si>
    <t>1657-0001375</t>
  </si>
  <si>
    <t>3/1/2026 12:04:00 PM</t>
  </si>
  <si>
    <t>3/1/2026 8:04:42 PM</t>
  </si>
  <si>
    <t>3/1/2026 8:04:14 PM</t>
  </si>
  <si>
    <t>1657-0001542</t>
  </si>
  <si>
    <t>3/3/2026 3:21:00 PM</t>
  </si>
  <si>
    <t>3/3/2026 11:22:36 PM</t>
  </si>
  <si>
    <t>3/3/2026 11:21:31 PM</t>
  </si>
  <si>
    <t>1657-0001883</t>
  </si>
  <si>
    <t>3/8/2026 1:48:00 PM</t>
  </si>
  <si>
    <t>3/8/2026 8:48:00 PM</t>
  </si>
  <si>
    <t>3/8/2026 8:47:39 PM</t>
  </si>
  <si>
    <t>1FDWE3FL1ADA94569</t>
  </si>
  <si>
    <t>GAR-6274</t>
  </si>
  <si>
    <t>1657-0001867</t>
  </si>
  <si>
    <t>3/8/2026 12:45:00 PM</t>
  </si>
  <si>
    <t>3/8/2026 7:45:51 PM</t>
  </si>
  <si>
    <t>3/8/2026 7:45:22 PM</t>
  </si>
  <si>
    <t>2NPNHM6X0HM319111</t>
  </si>
  <si>
    <t>GAR-17-120</t>
  </si>
  <si>
    <t>1657-0001394</t>
  </si>
  <si>
    <t>3/1/2026 1:43:00 PM</t>
  </si>
  <si>
    <t>3/1/2026 9:43:19 PM</t>
  </si>
  <si>
    <t>3/1/2026 9:42:47 PM</t>
  </si>
  <si>
    <t>1657-0001241</t>
  </si>
  <si>
    <t>2/27/2026 10:36:00 AM</t>
  </si>
  <si>
    <t>3/8/2026 12:52:02 AM</t>
  </si>
  <si>
    <t>3/8/2026 12:48:53 AM</t>
  </si>
  <si>
    <t>1657-0000728</t>
  </si>
  <si>
    <t>2/21/2026 4:40:00 AM</t>
  </si>
  <si>
    <t>2/24/2026 3:11:51 PM</t>
  </si>
  <si>
    <t>2/24/2026 3:11:14 PM</t>
  </si>
  <si>
    <t>GAR-5746</t>
  </si>
  <si>
    <t>1FTRS4X85LKA29197</t>
  </si>
  <si>
    <t>GAR-20-084U</t>
  </si>
  <si>
    <t>1657-0001817</t>
  </si>
  <si>
    <t>3/8/2026 4:27:00 AM</t>
  </si>
  <si>
    <t>3/8/2026 11:28:00 AM</t>
  </si>
  <si>
    <t>3/8/2026 11:27:23 AM</t>
  </si>
  <si>
    <t>1FDWE3FL0ADA94532</t>
  </si>
  <si>
    <t>GAR-6464</t>
  </si>
  <si>
    <t>1FVACWCT44HM59905</t>
  </si>
  <si>
    <t>GAR-349</t>
  </si>
  <si>
    <t>1657-0001849</t>
  </si>
  <si>
    <t>3/8/2026 11:20:00 AM</t>
  </si>
  <si>
    <t>3/8/2026 6:20:18 PM</t>
  </si>
  <si>
    <t>3/8/2026 6:19:46 PM</t>
  </si>
  <si>
    <t>2NPNHM6X9JM483155</t>
  </si>
  <si>
    <t>GAR-18-169</t>
  </si>
  <si>
    <t>1657-0001372</t>
  </si>
  <si>
    <t>3/1/2026 11:53:00 AM</t>
  </si>
  <si>
    <t>3/1/2026 7:54:04 PM</t>
  </si>
  <si>
    <t>3/1/2026 7:53:29 PM</t>
  </si>
  <si>
    <t>1FTRS4X89LKA29140</t>
  </si>
  <si>
    <t>GAR-20-055U</t>
  </si>
  <si>
    <t>1657-0001854</t>
  </si>
  <si>
    <t>3/8/2026 11:35:00 AM</t>
  </si>
  <si>
    <t>3/8/2026 6:35:59 PM</t>
  </si>
  <si>
    <t>3/8/2026 6:35:04 PM</t>
  </si>
  <si>
    <t>1FTRS4X8XLKA29096</t>
  </si>
  <si>
    <t>GAR-20-078U</t>
  </si>
  <si>
    <t>1657-0001229</t>
  </si>
  <si>
    <t>2/27/2026 8:50:00 AM</t>
  </si>
  <si>
    <t>2/27/2026 4:51:19 PM</t>
  </si>
  <si>
    <t>2/27/2026 4:50:46 PM</t>
  </si>
  <si>
    <t>VRO 1657-0001229 has been Accepted
Note:</t>
  </si>
  <si>
    <t>1FTRS4X80LKA29107</t>
  </si>
  <si>
    <t>GAR-20-079U</t>
  </si>
  <si>
    <t>1657-0000213</t>
  </si>
  <si>
    <t>TRIANGLE FLEET SERVICE INC</t>
  </si>
  <si>
    <t>1FTRU8XG4RKB82316</t>
  </si>
  <si>
    <t>GAR-25-040U</t>
  </si>
  <si>
    <t>1657-0001831</t>
  </si>
  <si>
    <t>3/8/2026 7:38:00 AM</t>
  </si>
  <si>
    <t>3/8/2026 2:38:53 PM</t>
  </si>
  <si>
    <t>3/8/2026 2:38:26 PM</t>
  </si>
  <si>
    <t>2NPNHM6X9FM285456</t>
  </si>
  <si>
    <t>GAR-15-026</t>
  </si>
  <si>
    <t>1657-0001508</t>
  </si>
  <si>
    <t>3/3/2026 7:56:00 AM</t>
  </si>
  <si>
    <t>3/3/2026 3:58:58 PM</t>
  </si>
  <si>
    <t>3/3/2026 3:56:39 PM</t>
  </si>
  <si>
    <t>2NPNHM6X5HM319119</t>
  </si>
  <si>
    <t>GAR-17-128</t>
  </si>
  <si>
    <t>1657-0001804</t>
  </si>
  <si>
    <t>3/7/2026 2:32:00 PM</t>
  </si>
  <si>
    <t>3/7/2026 10:32:13 PM</t>
  </si>
  <si>
    <t>3/7/2026 10:31:41 PM</t>
  </si>
  <si>
    <t>1FTRS4X82LKA29187</t>
  </si>
  <si>
    <t>GAR-20-045U</t>
  </si>
  <si>
    <t>1FDAF5GY1CEC55917</t>
  </si>
  <si>
    <t>GAR-121616</t>
  </si>
  <si>
    <t>1657-0001356</t>
  </si>
  <si>
    <t>3/1/2026 10:52:00 AM</t>
  </si>
  <si>
    <t>3/1/2026 6:53:54 PM</t>
  </si>
  <si>
    <t>3/1/2026 6:52:18 PM</t>
  </si>
  <si>
    <t>GAR-330</t>
  </si>
  <si>
    <t>1FTRS4X82NKA12540</t>
  </si>
  <si>
    <t>GAR-22-006U</t>
  </si>
  <si>
    <t>1657-0001852</t>
  </si>
  <si>
    <t>3/8/2026 11:24:00 AM</t>
  </si>
  <si>
    <t>3/8/2026 6:24:50 PM</t>
  </si>
  <si>
    <t>3/8/2026 6:24:24 PM</t>
  </si>
  <si>
    <t>3FRNF6HP3DV000017</t>
  </si>
  <si>
    <t>GAR-13-063</t>
  </si>
  <si>
    <t>1657-0001038</t>
  </si>
  <si>
    <t>2/25/2026 8:45:00 PM</t>
  </si>
  <si>
    <t>3/8/2026 1:03:17 AM</t>
  </si>
  <si>
    <t>3/8/2026 1:00:53 AM</t>
  </si>
  <si>
    <t>azMwXW7FDxkScmnnL4FWCjg</t>
  </si>
  <si>
    <t>1657-0001010</t>
  </si>
  <si>
    <t>2/25/2026 3:54:00 PM</t>
  </si>
  <si>
    <t>3/8/2026 12:55:59 AM</t>
  </si>
  <si>
    <t>3/8/2026 12:49:13 AM</t>
  </si>
  <si>
    <t>VRO 1657-0001010 has been Accepted
Note:</t>
  </si>
  <si>
    <t>aahAXnB9pUUOAUAekyKcWCQ</t>
  </si>
  <si>
    <t>2NPNHM6X6HM319050</t>
  </si>
  <si>
    <t>GAR-17-059</t>
  </si>
  <si>
    <t>1657-0001706</t>
  </si>
  <si>
    <t>3/5/2026 6:00:00 PM</t>
  </si>
  <si>
    <t>3/6/2026 2:00:32 AM</t>
  </si>
  <si>
    <t>3/6/2026 2:00:18 AM</t>
  </si>
  <si>
    <t>VRO 1657-0001706 has been Accepted
Note:</t>
  </si>
  <si>
    <t>2NPNHM6XXFM285837</t>
  </si>
  <si>
    <t>GAR-15-058</t>
  </si>
  <si>
    <t>1FTRS4X80NKA61655</t>
  </si>
  <si>
    <t>GAR-22-038U</t>
  </si>
  <si>
    <t>1657-0001612</t>
  </si>
  <si>
    <t>3/4/2026 2:37:00 PM</t>
  </si>
  <si>
    <t>3/4/2026 10:37:33 PM</t>
  </si>
  <si>
    <t>3/4/2026 10:37:05 PM</t>
  </si>
  <si>
    <t>VRO 1657-0001612 has been Accepted
Note:</t>
  </si>
  <si>
    <t>1657-0000640</t>
  </si>
  <si>
    <t>2/20/2026 9:03:00 AM</t>
  </si>
  <si>
    <t>3/8/2026 12:59:22 AM</t>
  </si>
  <si>
    <t>3/8/2026 12:49:32 AM</t>
  </si>
  <si>
    <t>VRO 1657-0000640 has been Accepted
Note:</t>
  </si>
  <si>
    <t>2NPNHM6X9JM461866</t>
  </si>
  <si>
    <t>GAR-18-032</t>
  </si>
  <si>
    <t>1FTRS4X87LKA71726</t>
  </si>
  <si>
    <t>GAR-20-101U</t>
  </si>
  <si>
    <t>1657-0001562</t>
  </si>
  <si>
    <t>3/4/2026 4:51:10 AM</t>
  </si>
  <si>
    <t>3/8/2026 12:50:32 AM</t>
  </si>
  <si>
    <t>3/8/2026 12:48:40 AM</t>
  </si>
  <si>
    <t>VRO 1657-0001562 has been Accepted
Note:</t>
  </si>
  <si>
    <t>az7mqUY2oXkCxjV8NaU5lBQ</t>
  </si>
  <si>
    <t>1FTRS4X85MKA97310</t>
  </si>
  <si>
    <t>GAR-21-091U</t>
  </si>
  <si>
    <t>1FDWE3FLXADA26710</t>
  </si>
  <si>
    <t>GAR-6132</t>
  </si>
  <si>
    <t>1657-0001869</t>
  </si>
  <si>
    <t>3/8/2026 12:48:00 PM</t>
  </si>
  <si>
    <t>3/8/2026 7:48:37 PM</t>
  </si>
  <si>
    <t>3/8/2026 7:48:14 PM</t>
  </si>
  <si>
    <t>1FTNE24L57DA56719</t>
  </si>
  <si>
    <t>GAR-6802</t>
  </si>
  <si>
    <t>1657-0001031</t>
  </si>
  <si>
    <t>2/25/2026 6:33:00 PM</t>
  </si>
  <si>
    <t>3/7/2026 1:06:30 AM</t>
  </si>
  <si>
    <t>3/7/2026 12:58:05 AM</t>
  </si>
  <si>
    <t>1FTRS4X88LKA53249</t>
  </si>
  <si>
    <t>GAR-20-141U</t>
  </si>
  <si>
    <t>1657-0000652</t>
  </si>
  <si>
    <t>2/20/2026 9:37:00 AM</t>
  </si>
  <si>
    <t>3/8/2026 12:33:20 AM</t>
  </si>
  <si>
    <t>3/8/2026 12:25:47 AM</t>
  </si>
  <si>
    <t>VRO 1657-0000652 has been Accepted
Note:</t>
  </si>
  <si>
    <t>3/8/2026 12:25:01 AM</t>
  </si>
  <si>
    <t>GARDA - VENDED - HANVER TNSHP, PA 1409</t>
  </si>
  <si>
    <t>2NPNHM6X6JM483162</t>
  </si>
  <si>
    <t>GAR-18-176</t>
  </si>
  <si>
    <t>1657-0000463</t>
  </si>
  <si>
    <t>2/18/2026 11:14:00 AM</t>
  </si>
  <si>
    <t>2/18/2026 7:15:05 PM</t>
  </si>
  <si>
    <t>2/18/2026 7:14:24 PM</t>
  </si>
  <si>
    <t>2/18/2026 12:00:00 AM</t>
  </si>
  <si>
    <t>VRO 1657-0000463 has been Accepted
Note:</t>
  </si>
  <si>
    <t>1657-0001429</t>
  </si>
  <si>
    <t>3/2/2026 5:45:00 AM</t>
  </si>
  <si>
    <t>3/8/2026 12:51:29 AM</t>
  </si>
  <si>
    <t>3/8/2026 12:48:51 AM</t>
  </si>
  <si>
    <t>VRO 1657-0001429 has been Accepted
Note:</t>
  </si>
  <si>
    <t>1050562942</t>
  </si>
  <si>
    <t>GARDA - VENDED - RED BLUFF, CA 12015</t>
  </si>
  <si>
    <t>1FDWE3FL5ADA01861</t>
  </si>
  <si>
    <t>GAR-6172</t>
  </si>
  <si>
    <t>1657-0001125</t>
  </si>
  <si>
    <t>2/26/2026 5:05:00 PM</t>
  </si>
  <si>
    <t>3/8/2026 12:53:35 AM</t>
  </si>
  <si>
    <t>3/8/2026 12:48:59 AM</t>
  </si>
  <si>
    <t>VRO 1657-0001125 has been Accepted
Note:</t>
  </si>
  <si>
    <t>1048307621</t>
  </si>
  <si>
    <t>1FTYR2CM5KKB19267</t>
  </si>
  <si>
    <t>GAR-19-133</t>
  </si>
  <si>
    <t>1657-0000655</t>
  </si>
  <si>
    <t>2/20/2026 9:42:00 AM</t>
  </si>
  <si>
    <t>3/8/2026 12:34:23 AM</t>
  </si>
  <si>
    <t>3/8/2026 12:25:52 AM</t>
  </si>
  <si>
    <t>VRO 1657-0000655 has been Accepted
Note:</t>
  </si>
  <si>
    <t>1FDWE3FL1ADA06300</t>
  </si>
  <si>
    <t>GAR-6228</t>
  </si>
  <si>
    <t>1657-0001334</t>
  </si>
  <si>
    <t>3/1/2026 6:30:00 AM</t>
  </si>
  <si>
    <t>3/1/2026 2:30:36 PM</t>
  </si>
  <si>
    <t>3/1/2026 2:30:12 PM</t>
  </si>
  <si>
    <t>1FDWE35L87DB42174</t>
  </si>
  <si>
    <t>GAR-6018</t>
  </si>
  <si>
    <t>1657-0001669</t>
  </si>
  <si>
    <t>3/8/2026 12:28:55 AM</t>
  </si>
  <si>
    <t>VRO 1657-0001669 has been Accepted
Note:</t>
  </si>
  <si>
    <t>1657-0001770</t>
  </si>
  <si>
    <t>3/6/2026 2:01:00 PM</t>
  </si>
  <si>
    <t>3/6/2026 10:01:52 PM</t>
  </si>
  <si>
    <t>3/6/2026 10:00:48 PM</t>
  </si>
  <si>
    <t>1657-0001345</t>
  </si>
  <si>
    <t>3/1/2026 8:33:00 AM</t>
  </si>
  <si>
    <t>3/1/2026 4:33:25 PM</t>
  </si>
  <si>
    <t>3/1/2026 4:33:03 PM</t>
  </si>
  <si>
    <t>1FTRU8XG6RKB57739</t>
  </si>
  <si>
    <t>GAR-25-031U</t>
  </si>
  <si>
    <t>1657-0001656</t>
  </si>
  <si>
    <t>3/5/2026 10:12:00 AM</t>
  </si>
  <si>
    <t>3/5/2026 6:12:36 PM</t>
  </si>
  <si>
    <t>3/5/2026 6:12:07 PM</t>
  </si>
  <si>
    <t>3FRNF6HP8DV000045</t>
  </si>
  <si>
    <t>GAR-13-064</t>
  </si>
  <si>
    <t>3FRNF6HP6DV799999</t>
  </si>
  <si>
    <t>GAR-13-062</t>
  </si>
  <si>
    <t>1657-0001461</t>
  </si>
  <si>
    <t>3/2/2026 10:28:00 AM</t>
  </si>
  <si>
    <t>3/7/2026 11:29:24 PM</t>
  </si>
  <si>
    <t>1FTRS4X88NKA52265</t>
  </si>
  <si>
    <t>GAR-22-020U</t>
  </si>
  <si>
    <t>1657-0000658</t>
  </si>
  <si>
    <t>2/20/2026 9:47:00 AM</t>
  </si>
  <si>
    <t>3/8/2026 12:34:05 AM</t>
  </si>
  <si>
    <t>3/8/2026 12:25:51 AM</t>
  </si>
  <si>
    <t>VRO 1657-0000658 has been Accepted
Note:</t>
  </si>
  <si>
    <t>1FTRU8XG4RKB82395</t>
  </si>
  <si>
    <t>GAR-25-042U</t>
  </si>
  <si>
    <t>1657-0001808</t>
  </si>
  <si>
    <t>3/8/2026 3:35:00 AM</t>
  </si>
  <si>
    <t>3/8/2026 10:36:07 AM</t>
  </si>
  <si>
    <t>3/8/2026 10:35:29 AM</t>
  </si>
  <si>
    <t>2NPNHM6X9GM319011</t>
  </si>
  <si>
    <t>GAR-16-099</t>
  </si>
  <si>
    <t>1657-0001492</t>
  </si>
  <si>
    <t>3/2/2026 4:15:00 PM</t>
  </si>
  <si>
    <t>3/3/2026 12:15:55 AM</t>
  </si>
  <si>
    <t>3/3/2026 12:15:07 AM</t>
  </si>
  <si>
    <t>1657-0000643</t>
  </si>
  <si>
    <t>2/20/2026 9:18:00 AM</t>
  </si>
  <si>
    <t>3/8/2026 12:33:08 AM</t>
  </si>
  <si>
    <t>3/8/2026 12:25:45 AM</t>
  </si>
  <si>
    <t>1657-0000893</t>
  </si>
  <si>
    <t>2/24/2026 11:30:00 AM</t>
  </si>
  <si>
    <t>3/8/2026 12:57:44 AM</t>
  </si>
  <si>
    <t>3/8/2026 12:49:21 AM</t>
  </si>
  <si>
    <t>VRO 1657-0000893 has been Accepted
Note:</t>
  </si>
  <si>
    <t>akLbYdz8SQUKwNtVKPWkbrA</t>
  </si>
  <si>
    <t>3FRNF6HP7DV799977</t>
  </si>
  <si>
    <t>GAR-13-032</t>
  </si>
  <si>
    <t>1657-0001099</t>
  </si>
  <si>
    <t>2/26/2026 11:57:00 AM</t>
  </si>
  <si>
    <t>3/7/2026 11:28:50 PM</t>
  </si>
  <si>
    <t>1FTRS4X80LKA71647</t>
  </si>
  <si>
    <t>GAR-20-104U</t>
  </si>
  <si>
    <t>1657-0001202</t>
  </si>
  <si>
    <t>2/27/2026 8:04:00 AM</t>
  </si>
  <si>
    <t>3/8/2026 12:52:17 AM</t>
  </si>
  <si>
    <t>3/8/2026 12:48:54 AM</t>
  </si>
  <si>
    <t>2NPNHM6X0GM309127</t>
  </si>
  <si>
    <t>GAR-16-022</t>
  </si>
  <si>
    <t>1657-0001836</t>
  </si>
  <si>
    <t>3/8/2026 9:10:00 AM</t>
  </si>
  <si>
    <t>3/8/2026 4:10:52 PM</t>
  </si>
  <si>
    <t>3/8/2026 4:10:10 PM</t>
  </si>
  <si>
    <t>GAR-6598</t>
  </si>
  <si>
    <t>1FTRS4X87LKA29136</t>
  </si>
  <si>
    <t>GAR-20-044U</t>
  </si>
  <si>
    <t>1657-0000307</t>
  </si>
  <si>
    <t>2/17/2026 5:28:00 AM</t>
  </si>
  <si>
    <t>2/18/2026 1:58:08 PM</t>
  </si>
  <si>
    <t>2/18/2026 1:57:40 PM</t>
  </si>
  <si>
    <t>VRO 1657-0000307 has been Accepted
Note:</t>
  </si>
  <si>
    <t>aT7MDQ9Dva0KaHKQC6Uo17Q</t>
  </si>
  <si>
    <t>3/8/2026 12:48:58 AM</t>
  </si>
  <si>
    <t>2NPNHM6X2JM461868</t>
  </si>
  <si>
    <t>GAR-18-034</t>
  </si>
  <si>
    <t>1657-0001186</t>
  </si>
  <si>
    <t>3/8/2026 12:45:24 AM</t>
  </si>
  <si>
    <t>3/8/2026 12:35:35 AM</t>
  </si>
  <si>
    <t>GAR-6524</t>
  </si>
  <si>
    <t>2/25/2026 3:31:00 PM</t>
  </si>
  <si>
    <t>1657-0001664</t>
  </si>
  <si>
    <t>3/5/2026 10:50:00 AM</t>
  </si>
  <si>
    <t>3/5/2026 6:50:54 PM</t>
  </si>
  <si>
    <t>3/5/2026 6:50:30 PM</t>
  </si>
  <si>
    <t>DISPATCHING THOMAS BROTHERS FOR PM SERVICE</t>
  </si>
  <si>
    <t>3FRWF65274V610175</t>
  </si>
  <si>
    <t>GAR-4438</t>
  </si>
  <si>
    <t>1657-0001488</t>
  </si>
  <si>
    <t>3/2/2026 3:35:00 PM</t>
  </si>
  <si>
    <t>3/2/2026 11:37:08 PM</t>
  </si>
  <si>
    <t>3/2/2026 11:35:19 PM</t>
  </si>
  <si>
    <t>GARDA - VENDED - CHEYENNE, WY 23096</t>
  </si>
  <si>
    <t>2NPNHM6X9JM472804</t>
  </si>
  <si>
    <t>GAR-18-149</t>
  </si>
  <si>
    <t>1657-0000418</t>
  </si>
  <si>
    <t>2/18/2026 4:56:00 AM</t>
  </si>
  <si>
    <t>3/8/2026 12:30:13 AM</t>
  </si>
  <si>
    <t>1FDWE3FLXADA06327</t>
  </si>
  <si>
    <t>GAR-6216</t>
  </si>
  <si>
    <t>1657-0001675</t>
  </si>
  <si>
    <t>3/5/2026 11:58:00 AM</t>
  </si>
  <si>
    <t>3/5/2026 7:58:32 PM</t>
  </si>
  <si>
    <t>3/5/2026 7:58:07 PM</t>
  </si>
  <si>
    <t>3FRNF65F67V394189</t>
  </si>
  <si>
    <t>GAR-745B</t>
  </si>
  <si>
    <t>1657-0001794</t>
  </si>
  <si>
    <t>3/7/2026 12:41:00 PM</t>
  </si>
  <si>
    <t>3/7/2026 8:42:04 PM</t>
  </si>
  <si>
    <t>3/7/2026 8:41:16 PM</t>
  </si>
  <si>
    <t>WILL DISPATCH MIDWEST TRUCK</t>
  </si>
  <si>
    <t>2NPNHM6X5JM461864</t>
  </si>
  <si>
    <t>GAR-18-030</t>
  </si>
  <si>
    <t>1657-0001327</t>
  </si>
  <si>
    <t>3/1/2026 5:30:00 AM</t>
  </si>
  <si>
    <t>3/1/2026 1:30:41 PM</t>
  </si>
  <si>
    <t>3/1/2026 1:30:15 PM</t>
  </si>
  <si>
    <t>1FDWE35L07DA89020</t>
  </si>
  <si>
    <t>GAR-5828</t>
  </si>
  <si>
    <t>1657-0001792</t>
  </si>
  <si>
    <t>3/7/2026 12:37:00 PM</t>
  </si>
  <si>
    <t>3/7/2026 8:37:39 PM</t>
  </si>
  <si>
    <t>3/7/2026 8:37:05 PM</t>
  </si>
  <si>
    <t>DISPATCHING MIDWEST TRUCK</t>
  </si>
  <si>
    <t>1FTRU8XGXRKA29102</t>
  </si>
  <si>
    <t>GAR-24-011U</t>
  </si>
  <si>
    <t>1657-0001655</t>
  </si>
  <si>
    <t>3/5/2026 10:10:00 AM</t>
  </si>
  <si>
    <t>3/5/2026 6:10:34 PM</t>
  </si>
  <si>
    <t>3/5/2026 6:10:03 PM</t>
  </si>
  <si>
    <t>2NPNHM6X0GM319009</t>
  </si>
  <si>
    <t>GAR-16-097</t>
  </si>
  <si>
    <t>3FRWF65264V577086</t>
  </si>
  <si>
    <t>GAR-4978</t>
  </si>
  <si>
    <t>1657-0001857</t>
  </si>
  <si>
    <t>3/8/2026 11:44:00 AM</t>
  </si>
  <si>
    <t>3/8/2026 6:44:18 PM</t>
  </si>
  <si>
    <t>3/8/2026 6:43:50 PM</t>
  </si>
  <si>
    <t>1FTRS4X82MKA25612</t>
  </si>
  <si>
    <t>GAR-21-022U</t>
  </si>
  <si>
    <t>1657-0001840</t>
  </si>
  <si>
    <t>3/8/2026 9:26:00 AM</t>
  </si>
  <si>
    <t>3/8/2026 4:26:23 PM</t>
  </si>
  <si>
    <t>3/8/2026 4:25:58 PM</t>
  </si>
  <si>
    <t>2NPNHM6X3FM307113</t>
  </si>
  <si>
    <t>GAR-16-035</t>
  </si>
  <si>
    <t>1657-0001850</t>
  </si>
  <si>
    <t>3/8/2026 11:21:00 AM</t>
  </si>
  <si>
    <t>3/8/2026 6:21:52 PM</t>
  </si>
  <si>
    <t>3/8/2026 6:21:26 PM</t>
  </si>
  <si>
    <t>2NPNHM6X0GM318992</t>
  </si>
  <si>
    <t>GAR-16-080</t>
  </si>
  <si>
    <t>1657-0001885</t>
  </si>
  <si>
    <t>3/8/2026 1:51:00 PM</t>
  </si>
  <si>
    <t>3/8/2026 8:51:41 PM</t>
  </si>
  <si>
    <t>3/8/2026 8:51:20 PM</t>
  </si>
  <si>
    <t>WD2PD644555719353</t>
  </si>
  <si>
    <t>GAR-804</t>
  </si>
  <si>
    <t>1657-0001875</t>
  </si>
  <si>
    <t>3/8/2026 1:06:00 PM</t>
  </si>
  <si>
    <t>3/8/2026 8:06:49 PM</t>
  </si>
  <si>
    <t>3/8/2026 8:06:15 PM</t>
  </si>
  <si>
    <t>1FTRS4X87MKA97292</t>
  </si>
  <si>
    <t>GAR-21-081U</t>
  </si>
  <si>
    <t>1FTRS4X84MKA25627</t>
  </si>
  <si>
    <t>GAR-21-013U</t>
  </si>
  <si>
    <t>1657-0001800</t>
  </si>
  <si>
    <t>3/7/2026 2:25:00 PM</t>
  </si>
  <si>
    <t>3/7/2026 10:25:06 PM</t>
  </si>
  <si>
    <t>3/7/2026 10:24:43 PM</t>
  </si>
  <si>
    <t>1FDWE3FL0ADA94594</t>
  </si>
  <si>
    <t>GAR-6348</t>
  </si>
  <si>
    <t>1657-0001175</t>
  </si>
  <si>
    <t>2/27/2026 7:25:00 AM</t>
  </si>
  <si>
    <t>3/8/2026 12:46:22 AM</t>
  </si>
  <si>
    <t>3/8/2026 12:35:40 AM</t>
  </si>
  <si>
    <t>VRO 1657-0001175 has been Accepted
Note:</t>
  </si>
  <si>
    <t>1657-0000391</t>
  </si>
  <si>
    <t>2/17/2026 4:07:00 PM</t>
  </si>
  <si>
    <t>3/8/2026 12:29:55 AM</t>
  </si>
  <si>
    <t>VRO 1657-0000391 has been Accepted
Note:</t>
  </si>
  <si>
    <t>ax11YsBVFr0eubEUkOUAx1Q</t>
  </si>
  <si>
    <t>1FTRS4X83MKA25635</t>
  </si>
  <si>
    <t>GAR-21-040U</t>
  </si>
  <si>
    <t>1FTRS4X8XMKA97285</t>
  </si>
  <si>
    <t>GAR-21-074U</t>
  </si>
  <si>
    <t>1657-0001545</t>
  </si>
  <si>
    <t>3/3/2026 3:31:00 PM</t>
  </si>
  <si>
    <t>3/3/2026 11:32:03 PM</t>
  </si>
  <si>
    <t>3/3/2026 11:31:12 PM</t>
  </si>
  <si>
    <t>1FDWE3FL3ADA04628</t>
  </si>
  <si>
    <t>GAR-6192</t>
  </si>
  <si>
    <t>1657-0001657</t>
  </si>
  <si>
    <t>3/5/2026 10:15:00 AM</t>
  </si>
  <si>
    <t>3/5/2026 6:15:27 PM</t>
  </si>
  <si>
    <t>3/5/2026 6:14:51 PM</t>
  </si>
  <si>
    <t>1FTRU8XG1RKB82497</t>
  </si>
  <si>
    <t>GAR-25-034U</t>
  </si>
  <si>
    <t>2NPNHM6X2HM319076</t>
  </si>
  <si>
    <t>GAR-17-085</t>
  </si>
  <si>
    <t>2NPNHM6X6JM319152</t>
  </si>
  <si>
    <t>GAR-18-011</t>
  </si>
  <si>
    <t>2NPNHM6X2FM307118</t>
  </si>
  <si>
    <t>GAR-16-040</t>
  </si>
  <si>
    <t>1657-0001383</t>
  </si>
  <si>
    <t>3/1/2026 12:28:00 PM</t>
  </si>
  <si>
    <t>3/1/2026 8:28:47 PM</t>
  </si>
  <si>
    <t>3/1/2026 8:28:22 PM</t>
  </si>
  <si>
    <t>1657-0001665</t>
  </si>
  <si>
    <t>3/5/2026 10:52:00 AM</t>
  </si>
  <si>
    <t>3/5/2026 6:52:53 PM</t>
  </si>
  <si>
    <t>3/5/2026 6:52:27 PM</t>
  </si>
  <si>
    <t>GARDA - VENDED - REDMOND, OR 23060</t>
  </si>
  <si>
    <t>1FTRS4X81LKA71737</t>
  </si>
  <si>
    <t>GAR-20-140U</t>
  </si>
  <si>
    <t>1657-0001863</t>
  </si>
  <si>
    <t>3/8/2026 12:37:00 PM</t>
  </si>
  <si>
    <t>3/8/2026 7:37:49 PM</t>
  </si>
  <si>
    <t>3/8/2026 7:37:30 PM</t>
  </si>
  <si>
    <t>2NPNHM6XXJM461892</t>
  </si>
  <si>
    <t>GAR-18-058</t>
  </si>
  <si>
    <t>1657-0000540</t>
  </si>
  <si>
    <t>2/19/2026 9:01:00 AM</t>
  </si>
  <si>
    <t>2/19/2026 5:12:49 PM</t>
  </si>
  <si>
    <t>2/19/2026 5:01:31 PM</t>
  </si>
  <si>
    <t>1FTRS4XM2JKB24469</t>
  </si>
  <si>
    <t>GAR-19-057</t>
  </si>
  <si>
    <t>1657-0001663</t>
  </si>
  <si>
    <t>3/5/2026 6:50:44 PM</t>
  </si>
  <si>
    <t>3/5/2026 6:50:09 PM</t>
  </si>
  <si>
    <t>1FTRS4X89PKA64153</t>
  </si>
  <si>
    <t>GAR-23-040U</t>
  </si>
  <si>
    <t>1657-0000688</t>
  </si>
  <si>
    <t>2/20/2026 2:18:00 PM</t>
  </si>
  <si>
    <t>3/8/2026 12:33:44 AM</t>
  </si>
  <si>
    <t>1657-0001611</t>
  </si>
  <si>
    <t>3/4/2026 2:34:00 PM</t>
  </si>
  <si>
    <t>3/4/2026 10:34:56 PM</t>
  </si>
  <si>
    <t>3/4/2026 10:34:04 PM</t>
  </si>
  <si>
    <t>VRO 1657-0001611 has been Accepted
Note:</t>
  </si>
  <si>
    <t>2NPNHM6X2JM483174</t>
  </si>
  <si>
    <t>GAR-18-188</t>
  </si>
  <si>
    <t>1657-0001531</t>
  </si>
  <si>
    <t>3/3/2026 1:12:00 PM</t>
  </si>
  <si>
    <t>3/3/2026 9:14:20 PM</t>
  </si>
  <si>
    <t>3/3/2026 9:12:06 PM</t>
  </si>
  <si>
    <t>2NP3LJ0XXNM773908</t>
  </si>
  <si>
    <t>GAR-21-002U</t>
  </si>
  <si>
    <t>1657-0001114</t>
  </si>
  <si>
    <t>2/26/2026 1:26:00 PM</t>
  </si>
  <si>
    <t>3/8/2026 1:03:45 AM</t>
  </si>
  <si>
    <t>3/8/2026 1:00:58 AM</t>
  </si>
  <si>
    <t>VRO 1657-0001114 has been Accepted
Note:</t>
  </si>
  <si>
    <t>a_tqlF3nil0-fPVADEtDTsg</t>
  </si>
  <si>
    <t>1657-0001367</t>
  </si>
  <si>
    <t>3/1/2026 11:40:00 AM</t>
  </si>
  <si>
    <t>3/1/2026 7:40:31 PM</t>
  </si>
  <si>
    <t>3/1/2026 7:40:02 PM</t>
  </si>
  <si>
    <t>DISPATCHED ALLIED TRUCK REPAIR</t>
  </si>
  <si>
    <t>1FDWE3FL7ADA06270</t>
  </si>
  <si>
    <t>GAR-6222</t>
  </si>
  <si>
    <t>1657-0001793</t>
  </si>
  <si>
    <t>3/7/2026 12:39:00 PM</t>
  </si>
  <si>
    <t>3/7/2026 8:39:50 PM</t>
  </si>
  <si>
    <t>3/7/2026 8:39:24 PM</t>
  </si>
  <si>
    <t>1FDWE3FL9ADA04603</t>
  </si>
  <si>
    <t>GAR-6200</t>
  </si>
  <si>
    <t>1657-0001730</t>
  </si>
  <si>
    <t>3/6/2026 6:29:00 AM</t>
  </si>
  <si>
    <t>3/6/2026 2:29:20 PM</t>
  </si>
  <si>
    <t>3/6/2026 2:28:59 PM</t>
  </si>
  <si>
    <t>will dispatch jets</t>
  </si>
  <si>
    <t>1657-0000648</t>
  </si>
  <si>
    <t>2/20/2026 9:30:00 AM</t>
  </si>
  <si>
    <t>3/8/2026 12:33:39 AM</t>
  </si>
  <si>
    <t>3/8/2026 12:25:49 AM</t>
  </si>
  <si>
    <t>VRO 1657-0000648 has been Accepted
Note:</t>
  </si>
  <si>
    <t>1FTRS4X81LKA71723</t>
  </si>
  <si>
    <t>GAR-20-156U</t>
  </si>
  <si>
    <t>1657-0001405</t>
  </si>
  <si>
    <t>3/1/2026 2:06:00 PM</t>
  </si>
  <si>
    <t>3/1/2026 10:06:38 PM</t>
  </si>
  <si>
    <t>3/1/2026 10:06:02 PM</t>
  </si>
  <si>
    <t>1657-0001551</t>
  </si>
  <si>
    <t>3/3/2026 5:31:00 PM</t>
  </si>
  <si>
    <t>3/4/2026 1:33:41 AM</t>
  </si>
  <si>
    <t>3/4/2026 1:31:00 AM</t>
  </si>
  <si>
    <t>1FTRS4X82MKA25626</t>
  </si>
  <si>
    <t>GAR-21-046U</t>
  </si>
  <si>
    <t>3FRWF65244V610120</t>
  </si>
  <si>
    <t>GAR-4452</t>
  </si>
  <si>
    <t>1657-0001712</t>
  </si>
  <si>
    <t>3/5/2026 6:55:00 PM</t>
  </si>
  <si>
    <t>3/8/2026 12:28:26 AM</t>
  </si>
  <si>
    <t>3/8/2026 12:25:06 AM</t>
  </si>
  <si>
    <t>1657-0001640</t>
  </si>
  <si>
    <t>3/5/2026 7:15:00 AM</t>
  </si>
  <si>
    <t>3/5/2026 3:16:02 PM</t>
  </si>
  <si>
    <t>3/5/2026 3:15:22 PM</t>
  </si>
  <si>
    <t>1FDWE35LX7DB42189</t>
  </si>
  <si>
    <t>GAR-6048</t>
  </si>
  <si>
    <t>1657-0001844</t>
  </si>
  <si>
    <t>3/8/2026 10:30:00 AM</t>
  </si>
  <si>
    <t>3/8/2026 5:31:13 PM</t>
  </si>
  <si>
    <t>3/8/2026 5:30:28 PM</t>
  </si>
  <si>
    <t>2NPNHM6X1FM307112</t>
  </si>
  <si>
    <t>GAR-16-034</t>
  </si>
  <si>
    <t>1657-0001325</t>
  </si>
  <si>
    <t>3/1/2026 5:01:00 AM</t>
  </si>
  <si>
    <t>3/1/2026 1:01:07 PM</t>
  </si>
  <si>
    <t>3/1/2026 1:00:39 PM</t>
  </si>
  <si>
    <t>1FDWE35L87DA79724</t>
  </si>
  <si>
    <t>GAR-5798</t>
  </si>
  <si>
    <t>1657-0001166</t>
  </si>
  <si>
    <t>2/27/2026 7:19:00 AM</t>
  </si>
  <si>
    <t>3/8/2026 12:46:04 AM</t>
  </si>
  <si>
    <t>3/8/2026 12:35:39 AM</t>
  </si>
  <si>
    <t>1657-0001138</t>
  </si>
  <si>
    <t>2/27/2026 4:41:00 AM</t>
  </si>
  <si>
    <t>3/8/2026 12:47:18 AM</t>
  </si>
  <si>
    <t>VRO 1657-0001138 has been Accepted
Note:</t>
  </si>
  <si>
    <t>aTGWnMjCEa06keSXAT1k_dA</t>
  </si>
  <si>
    <t>1657-0001081</t>
  </si>
  <si>
    <t>2/26/2026 8:33:00 AM</t>
  </si>
  <si>
    <t>2/28/2026 3:09:09 AM</t>
  </si>
  <si>
    <t>2/28/2026 5:06:42 AM</t>
  </si>
  <si>
    <t>2NPNHM6X4GM309115</t>
  </si>
  <si>
    <t>GAR-16-010</t>
  </si>
  <si>
    <t>1657-0001873</t>
  </si>
  <si>
    <t>3/8/2026 12:59:00 PM</t>
  </si>
  <si>
    <t>3/8/2026 7:59:06 PM</t>
  </si>
  <si>
    <t>3/8/2026 7:58:47 PM</t>
  </si>
  <si>
    <t>GARDA - VENDED - SALEM, VA 14024</t>
  </si>
  <si>
    <t>GAR-5210</t>
  </si>
  <si>
    <t>1FTRS4XM1KKB13853</t>
  </si>
  <si>
    <t>GAR-19-036</t>
  </si>
  <si>
    <t>3/8/2026 12:25:02 AM</t>
  </si>
  <si>
    <t>GARDA - VENDED - MISSOULA, MT 23091</t>
  </si>
  <si>
    <t>1FDAF5GY0CEC55911</t>
  </si>
  <si>
    <t>GAR-121610</t>
  </si>
  <si>
    <t>1657-0001446</t>
  </si>
  <si>
    <t>3/2/2026 7:46:00 AM</t>
  </si>
  <si>
    <t>3/7/2026 11:28:30 PM</t>
  </si>
  <si>
    <t>1FTRS4X84LKA67231</t>
  </si>
  <si>
    <t>GAR-20-162U</t>
  </si>
  <si>
    <t>1657-0001203</t>
  </si>
  <si>
    <t>3/8/2026 12:44:38 AM</t>
  </si>
  <si>
    <t>1FTRS4X87MKA97289</t>
  </si>
  <si>
    <t>GAR-21-078U</t>
  </si>
  <si>
    <t>1657-0000920</t>
  </si>
  <si>
    <t>2/24/2026 4:21:00 PM</t>
  </si>
  <si>
    <t>3/8/2026 12:57:29 AM</t>
  </si>
  <si>
    <t>VRO 1657-0000920 has been Accepted
Note:</t>
  </si>
  <si>
    <t>1046039183</t>
  </si>
  <si>
    <t>1FTRS4X84MKA97296</t>
  </si>
  <si>
    <t>GAR-21-085U</t>
  </si>
  <si>
    <t>1657-0001895</t>
  </si>
  <si>
    <t>3/8/2026 9:09:00 PM</t>
  </si>
  <si>
    <t>3/9/2026 4:09:01 AM</t>
  </si>
  <si>
    <t>3/9/2026 4:08:45 AM</t>
  </si>
  <si>
    <t>VRO 1657-0001895 has been Accepted
Note:</t>
  </si>
  <si>
    <t>1FTRS4X83MKA25621</t>
  </si>
  <si>
    <t>GAR-21-011U</t>
  </si>
  <si>
    <t>1657-0001300</t>
  </si>
  <si>
    <t>2/28/2026 1:19:00 PM</t>
  </si>
  <si>
    <t>3/8/2026 12:43:04 AM</t>
  </si>
  <si>
    <t>3/8/2026 12:35:24 AM</t>
  </si>
  <si>
    <t>3FRWF65244V610201</t>
  </si>
  <si>
    <t>GAR-4472</t>
  </si>
  <si>
    <t>1657-0001670</t>
  </si>
  <si>
    <t>3/5/2026 11:12:00 AM</t>
  </si>
  <si>
    <t>3/6/2026 12:07:06 AM</t>
  </si>
  <si>
    <t>3/5/2026 11:40:15 PM</t>
  </si>
  <si>
    <t>VRO 1657-0001670 has been Accepted
Note:</t>
  </si>
  <si>
    <t>2NPNHM6X0JM483142</t>
  </si>
  <si>
    <t>GAR-18-156</t>
  </si>
  <si>
    <t>1657-0001791</t>
  </si>
  <si>
    <t>3/7/2026 11:22:00 AM</t>
  </si>
  <si>
    <t>3/7/2026 7:23:25 PM</t>
  </si>
  <si>
    <t>3/7/2026 7:22:04 PM</t>
  </si>
  <si>
    <t>VRO 1657-0001791 has been Accepted
Note:</t>
  </si>
  <si>
    <t>1FTRS4X81MKA08297</t>
  </si>
  <si>
    <t>GAR-21-015U</t>
  </si>
  <si>
    <t>1657-0001839</t>
  </si>
  <si>
    <t>3/8/2026 9:18:00 AM</t>
  </si>
  <si>
    <t>3/8/2026 4:19:43 PM</t>
  </si>
  <si>
    <t>3/8/2026 4:19:15 PM</t>
  </si>
  <si>
    <t>1657-0001641</t>
  </si>
  <si>
    <t>3/5/2026 7:18:00 AM</t>
  </si>
  <si>
    <t>3/5/2026 3:19:50 PM</t>
  </si>
  <si>
    <t>3/5/2026 3:18:57 PM</t>
  </si>
  <si>
    <t>1657-0001634</t>
  </si>
  <si>
    <t>3/5/2026 4:25:58 AM</t>
  </si>
  <si>
    <t>3/8/2026 12:40:15 AM</t>
  </si>
  <si>
    <t>atSQZZbFsDU2P9BdOg0C6Jg</t>
  </si>
  <si>
    <t>1FTRS4X8XLKA71736</t>
  </si>
  <si>
    <t>GAR-20-142U</t>
  </si>
  <si>
    <t>1657-0001877</t>
  </si>
  <si>
    <t>3/8/2026 1:21:00 PM</t>
  </si>
  <si>
    <t>3/8/2026 8:21:58 PM</t>
  </si>
  <si>
    <t>3/8/2026 8:21:31 PM</t>
  </si>
  <si>
    <t>1FTYR14U64PB60408</t>
  </si>
  <si>
    <t>GAR-8635</t>
  </si>
  <si>
    <t>1657-0001676</t>
  </si>
  <si>
    <t>3/5/2026 12:16:00 PM</t>
  </si>
  <si>
    <t>3/5/2026 8:17:11 PM</t>
  </si>
  <si>
    <t>3/5/2026 8:15:54 PM</t>
  </si>
  <si>
    <t>VRO 1657-0001676 has been Accepted
Note:</t>
  </si>
  <si>
    <t>1FVACWCP24HN10756</t>
  </si>
  <si>
    <t>GAR-399</t>
  </si>
  <si>
    <t>1657-0001868</t>
  </si>
  <si>
    <t>3/8/2026 12:47:00 PM</t>
  </si>
  <si>
    <t>3/8/2026 7:47:15 PM</t>
  </si>
  <si>
    <t>3/8/2026 7:46:47 PM</t>
  </si>
  <si>
    <t>1FTRS4X8XLKA29132</t>
  </si>
  <si>
    <t>GAR-20-033U</t>
  </si>
  <si>
    <t>1657-0001230</t>
  </si>
  <si>
    <t>2/27/2026 8:52:00 AM</t>
  </si>
  <si>
    <t>2/27/2026 4:52:49 PM</t>
  </si>
  <si>
    <t>2/27/2026 4:52:14 PM</t>
  </si>
  <si>
    <t>VRO 1657-0001230 has been Accepted
Note:</t>
  </si>
  <si>
    <t>2NPNHM6X4FM277863</t>
  </si>
  <si>
    <t>GAR-15-009</t>
  </si>
  <si>
    <t>1657-0001631</t>
  </si>
  <si>
    <t>3/4/2026 7:33:00 PM</t>
  </si>
  <si>
    <t>3/5/2026 3:33:39 AM</t>
  </si>
  <si>
    <t>3/5/2026 5:32:36 AM</t>
  </si>
  <si>
    <t>1657-0000730</t>
  </si>
  <si>
    <t>2/21/2026 4:47:00 AM</t>
  </si>
  <si>
    <t>2/24/2026 3:08:03 PM</t>
  </si>
  <si>
    <t>2/24/2026 3:07:40 PM</t>
  </si>
  <si>
    <t>2NPNHM6X3JM464259</t>
  </si>
  <si>
    <t>GAR-18-104</t>
  </si>
  <si>
    <t>1657-0001304</t>
  </si>
  <si>
    <t>2/28/2026 1:27:00 PM</t>
  </si>
  <si>
    <t>3/8/2026 12:51:50 AM</t>
  </si>
  <si>
    <t>3/8/2026 12:48:52 AM</t>
  </si>
  <si>
    <t>1657-0001087</t>
  </si>
  <si>
    <t>2/26/2026 10:17:00 AM</t>
  </si>
  <si>
    <t>3/1/2026 11:43:34 PM</t>
  </si>
  <si>
    <t>3/1/2026 11:43:05 PM</t>
  </si>
  <si>
    <t>2NPNHM6X4GM318980</t>
  </si>
  <si>
    <t>GAR-16-068</t>
  </si>
  <si>
    <t>1657-0001753</t>
  </si>
  <si>
    <t>3/6/2026 11:12:00 AM</t>
  </si>
  <si>
    <t>3/7/2026 11:33:08 PM</t>
  </si>
  <si>
    <t>VRO 1657-0001753 has been Accepted
Note:</t>
  </si>
  <si>
    <t>1657-0001540</t>
  </si>
  <si>
    <t>3/3/2026 3:09:00 PM</t>
  </si>
  <si>
    <t>3/3/2026 11:10:23 PM</t>
  </si>
  <si>
    <t>3/3/2026 11:09:27 PM</t>
  </si>
  <si>
    <t>1FDWE3FL7ADA97945</t>
  </si>
  <si>
    <t>GAR-6310</t>
  </si>
  <si>
    <t>1657-0001859</t>
  </si>
  <si>
    <t>3/8/2026 11:51:00 AM</t>
  </si>
  <si>
    <t>3/8/2026 6:51:32 PM</t>
  </si>
  <si>
    <t>3/8/2026 6:51:00 PM</t>
  </si>
  <si>
    <t>GOODYEAR TIRE AND RUBBER COMPANY</t>
  </si>
  <si>
    <t>1FDWE3FL2ADA97948</t>
  </si>
  <si>
    <t>GAR-6316</t>
  </si>
  <si>
    <t>1657-0001779</t>
  </si>
  <si>
    <t>3/6/2026 3:04:42 PM</t>
  </si>
  <si>
    <t>3/8/2026 12:27:10 AM</t>
  </si>
  <si>
    <t>aj3iXW92iW02Z_oKGC155Gg</t>
  </si>
  <si>
    <t>1FTRU8XG5RKB82518</t>
  </si>
  <si>
    <t>GAR-25-043U</t>
  </si>
  <si>
    <t>1657-0001330</t>
  </si>
  <si>
    <t>3/1/2026 5:37:00 AM</t>
  </si>
  <si>
    <t>3/1/2026 1:37:57 PM</t>
  </si>
  <si>
    <t>3/1/2026 1:37:26 PM</t>
  </si>
  <si>
    <t>2NPNHM6X6FM285852</t>
  </si>
  <si>
    <t>GAR-15-073</t>
  </si>
  <si>
    <t>2NPNHM6X3HM319118</t>
  </si>
  <si>
    <t>GAR-17-127</t>
  </si>
  <si>
    <t>1657-0001647</t>
  </si>
  <si>
    <t>3/5/2026 9:50:00 AM</t>
  </si>
  <si>
    <t>3/5/2026 5:51:42 PM</t>
  </si>
  <si>
    <t>3/5/2026 5:50:03 PM</t>
  </si>
  <si>
    <t>will dispatch thomas brothers for pm service</t>
  </si>
  <si>
    <t>1657-0001182</t>
  </si>
  <si>
    <t>2/27/2026 7:34:00 AM</t>
  </si>
  <si>
    <t>3/7/2026 11:31:19 PM</t>
  </si>
  <si>
    <t>3/7/2026 11:24:20 PM</t>
  </si>
  <si>
    <t>VRO 1657-0001182 has been Accepted
Note:</t>
  </si>
  <si>
    <t>1FTRS4X8XLKA71655</t>
  </si>
  <si>
    <t>GAR-20-090U</t>
  </si>
  <si>
    <t>1657-0001496</t>
  </si>
  <si>
    <t>3/2/2026 6:49:00 PM</t>
  </si>
  <si>
    <t>3/8/2026 12:41:24 AM</t>
  </si>
  <si>
    <t>VRO 1657-0001496 has been Accepted
Note:</t>
  </si>
  <si>
    <t>aXUgpwiBfREO4GOelMhGU6g</t>
  </si>
  <si>
    <t>3FRWF65N55V158416</t>
  </si>
  <si>
    <t>GAR-5068</t>
  </si>
  <si>
    <t>1657-0001722</t>
  </si>
  <si>
    <t>3/6/2026 5:43:00 AM</t>
  </si>
  <si>
    <t>3/6/2026 1:43:53 PM</t>
  </si>
  <si>
    <t>3/6/2026 1:42:59 PM</t>
  </si>
  <si>
    <t>will dispatch midwest truck</t>
  </si>
  <si>
    <t>1657-0001349</t>
  </si>
  <si>
    <t>3/1/2026 8:43:00 AM</t>
  </si>
  <si>
    <t>3/1/2026 4:43:52 PM</t>
  </si>
  <si>
    <t>3/1/2026 4:43:19 PM</t>
  </si>
  <si>
    <t>2NPNHM6X3FM277868</t>
  </si>
  <si>
    <t>GAR-15-014</t>
  </si>
  <si>
    <t>2NPNHM6X6JM464255</t>
  </si>
  <si>
    <t>GAR-18-100</t>
  </si>
  <si>
    <t>1657-0001600</t>
  </si>
  <si>
    <t>3/4/2026 11:59:00 AM</t>
  </si>
  <si>
    <t>3/4/2026 7:59:40 PM</t>
  </si>
  <si>
    <t>3/4/2026 7:59:12 PM</t>
  </si>
  <si>
    <t>2NPNHM6X4JM461869</t>
  </si>
  <si>
    <t>GAR-18-035</t>
  </si>
  <si>
    <t>1657-0001739</t>
  </si>
  <si>
    <t>3/6/2026 7:44:00 AM</t>
  </si>
  <si>
    <t>3/6/2026 3:45:12 PM</t>
  </si>
  <si>
    <t>3/6/2026 3:44:11 PM</t>
  </si>
  <si>
    <t>1FDAF5GY2CEC55912</t>
  </si>
  <si>
    <t>GAR-121611</t>
  </si>
  <si>
    <t>1657-0001865</t>
  </si>
  <si>
    <t>3/8/2026 12:41:00 PM</t>
  </si>
  <si>
    <t>3/8/2026 7:41:48 PM</t>
  </si>
  <si>
    <t>3/8/2026 7:41:23 PM</t>
  </si>
  <si>
    <t>1657-0001543</t>
  </si>
  <si>
    <t>3/3/2026 3:25:00 PM</t>
  </si>
  <si>
    <t>3/3/2026 11:26:25 PM</t>
  </si>
  <si>
    <t>3/3/2026 11:24:46 PM</t>
  </si>
  <si>
    <t>1FDWE35L86DB28435</t>
  </si>
  <si>
    <t>GAR-5624</t>
  </si>
  <si>
    <t>1657-0001710</t>
  </si>
  <si>
    <t>3/5/2026 6:25:00 PM</t>
  </si>
  <si>
    <t>3/6/2026 2:25:35 AM</t>
  </si>
  <si>
    <t>3/6/2026 2:24:38 AM</t>
  </si>
  <si>
    <t>VRO 1657-0001710 has been Accepted
Note:</t>
  </si>
  <si>
    <t>1FDWE3FL7ADA94513</t>
  </si>
  <si>
    <t>GAR-6406</t>
  </si>
  <si>
    <t>1657-0001729</t>
  </si>
  <si>
    <t>3/6/2026 6:27:00 AM</t>
  </si>
  <si>
    <t>3/6/2026 2:27:50 PM</t>
  </si>
  <si>
    <t>3/6/2026 2:26:58 PM</t>
  </si>
  <si>
    <t>will dispatch jets mobile</t>
  </si>
  <si>
    <t>1FTRU8XG5RKB58333</t>
  </si>
  <si>
    <t>GAR-25-023U</t>
  </si>
  <si>
    <t>1657-0001685</t>
  </si>
  <si>
    <t>3/5/2026 2:03:00 PM</t>
  </si>
  <si>
    <t>3/8/2026 12:28:48 AM</t>
  </si>
  <si>
    <t>1FTYR14U47PA69433</t>
  </si>
  <si>
    <t>GAR-8895</t>
  </si>
  <si>
    <t>1657-0001848</t>
  </si>
  <si>
    <t>3/8/2026 11:18:00 AM</t>
  </si>
  <si>
    <t>3/8/2026 6:18:47 PM</t>
  </si>
  <si>
    <t>3/8/2026 6:17:55 PM</t>
  </si>
  <si>
    <t>1657-0001351</t>
  </si>
  <si>
    <t>3/1/2026 8:48:00 AM</t>
  </si>
  <si>
    <t>3/1/2026 4:48:04 PM</t>
  </si>
  <si>
    <t>3/1/2026 4:47:39 PM</t>
  </si>
  <si>
    <t>1FTRS4X85MKA08299</t>
  </si>
  <si>
    <t>GAR-21-039U</t>
  </si>
  <si>
    <t>1657-0001652</t>
  </si>
  <si>
    <t>3/5/2026 10:02:00 AM</t>
  </si>
  <si>
    <t>3/5/2026 6:02:56 PM</t>
  </si>
  <si>
    <t>3/5/2026 6:02:25 PM</t>
  </si>
  <si>
    <t>1657-0000641</t>
  </si>
  <si>
    <t>2/20/2026 9:12:00 AM</t>
  </si>
  <si>
    <t>3/8/2026 12:33:00 AM</t>
  </si>
  <si>
    <t>3/8/2026 12:25:44 AM</t>
  </si>
  <si>
    <t>2NPNHM6X0GM319012</t>
  </si>
  <si>
    <t>GAR-16-100</t>
  </si>
  <si>
    <t>1657-0001811</t>
  </si>
  <si>
    <t>3/8/2026 3:47:00 AM</t>
  </si>
  <si>
    <t>3/8/2026 10:47:33 AM</t>
  </si>
  <si>
    <t>3/8/2026 10:46:54 AM</t>
  </si>
  <si>
    <t>3FRWF65N55V158948</t>
  </si>
  <si>
    <t>GAR-5202</t>
  </si>
  <si>
    <t>1657-0001363</t>
  </si>
  <si>
    <t>3/1/2026 11:27:00 AM</t>
  </si>
  <si>
    <t>3/1/2026 7:27:38 PM</t>
  </si>
  <si>
    <t>3/1/2026 7:27:11 PM</t>
  </si>
  <si>
    <t>1657-0001834</t>
  </si>
  <si>
    <t>3/8/2026 7:47:00 AM</t>
  </si>
  <si>
    <t>3/8/2026 2:50:23 PM</t>
  </si>
  <si>
    <t>3/8/2026 2:47:23 PM</t>
  </si>
  <si>
    <t>VRO 1657-0001834 has been Accepted
Note:</t>
  </si>
  <si>
    <t>GARDA - VENDED - LAREDO, TX 13076</t>
  </si>
  <si>
    <t>2NPNHM6X1FM307109</t>
  </si>
  <si>
    <t>GAR-16-031</t>
  </si>
  <si>
    <t>1FDWE35L77DA38615</t>
  </si>
  <si>
    <t>GAR-5724</t>
  </si>
  <si>
    <t>1657-0000873</t>
  </si>
  <si>
    <t>2/24/2026 8:06:00 AM</t>
  </si>
  <si>
    <t>3/8/2026 1:03:05 AM</t>
  </si>
  <si>
    <t>1045639508</t>
  </si>
  <si>
    <t>1FDWE35LX7DA38639</t>
  </si>
  <si>
    <t>GAR-6072</t>
  </si>
  <si>
    <t>1657-0000839</t>
  </si>
  <si>
    <t>2/23/2026 6:15:00 PM</t>
  </si>
  <si>
    <t>3/8/2026 12:58:06 AM</t>
  </si>
  <si>
    <t>3/8/2026 12:49:23 AM</t>
  </si>
  <si>
    <t>VRO 1657-0000839 has been Accepted
Note:</t>
  </si>
  <si>
    <t>1045023197</t>
  </si>
  <si>
    <t>2NPNHM6X3JM464262</t>
  </si>
  <si>
    <t>GAR-18-107</t>
  </si>
  <si>
    <t>1657-0001190</t>
  </si>
  <si>
    <t>2/27/2026 7:43:00 AM</t>
  </si>
  <si>
    <t>3/8/2026 12:44:46 AM</t>
  </si>
  <si>
    <t>3/8/2026 12:35:32 AM</t>
  </si>
  <si>
    <t>VRO 1657-0001190 has been Accepted
Note:</t>
  </si>
  <si>
    <t>1FTRS4X85MKA97288</t>
  </si>
  <si>
    <t>GAR-21-077U</t>
  </si>
  <si>
    <t>1657-0001823</t>
  </si>
  <si>
    <t>3/8/2026 6:08:00 AM</t>
  </si>
  <si>
    <t>3/8/2026 1:09:25 PM</t>
  </si>
  <si>
    <t>3/8/2026 1:08:32 PM</t>
  </si>
  <si>
    <t>WILL ATTEMPT TO DISPATCH MCMAHON MOBILE</t>
  </si>
  <si>
    <t>2NPNHM6X7JM472803</t>
  </si>
  <si>
    <t>GAR-18-148</t>
  </si>
  <si>
    <t>1657-0001361</t>
  </si>
  <si>
    <t>3/1/2026 11:22:00 AM</t>
  </si>
  <si>
    <t>3/1/2026 7:22:21 PM</t>
  </si>
  <si>
    <t>3/1/2026 7:22:02 PM</t>
  </si>
  <si>
    <t>1657-0001672</t>
  </si>
  <si>
    <t>3/5/2026 11:27:00 AM</t>
  </si>
  <si>
    <t>3/5/2026 7:28:12 PM</t>
  </si>
  <si>
    <t>3/5/2026 7:27:30 PM</t>
  </si>
  <si>
    <t>3FRWF65N55V176835</t>
  </si>
  <si>
    <t>GAR-5274</t>
  </si>
  <si>
    <t>1657-0001890</t>
  </si>
  <si>
    <t>3/8/2026 2:12:00 PM</t>
  </si>
  <si>
    <t>3/8/2026 9:12:41 PM</t>
  </si>
  <si>
    <t>3/8/2026 9:12:16 PM</t>
  </si>
  <si>
    <t>3FRWF65N15V142598</t>
  </si>
  <si>
    <t>GAR-5012</t>
  </si>
  <si>
    <t>1657-0001864</t>
  </si>
  <si>
    <t>3/8/2026 12:39:00 PM</t>
  </si>
  <si>
    <t>3/8/2026 7:40:10 PM</t>
  </si>
  <si>
    <t>3/8/2026 7:39:49 PM</t>
  </si>
  <si>
    <t>GARDA - TAMPA, FL 26043</t>
  </si>
  <si>
    <t>1FTRS4X84LKA71716</t>
  </si>
  <si>
    <t>GAR-20-113U</t>
  </si>
  <si>
    <t>1657-0001477</t>
  </si>
  <si>
    <t>3/2/2026 1:39:00 PM</t>
  </si>
  <si>
    <t>3/8/2026 12:41:39 AM</t>
  </si>
  <si>
    <t>1FTRS4X80LKA71664</t>
  </si>
  <si>
    <t>GAR-20-119U</t>
  </si>
  <si>
    <t>1657-0001558</t>
  </si>
  <si>
    <t>3/3/2026 5:35:00 PM</t>
  </si>
  <si>
    <t>3/8/2026 12:50:40 AM</t>
  </si>
  <si>
    <t>VRO 1657-0001558 has been Accepted
Note:</t>
  </si>
  <si>
    <t>ayeXnVVeMaU-tvu6b87n7ZQ</t>
  </si>
  <si>
    <t>1FTRS4X86MKA08313</t>
  </si>
  <si>
    <t>GAR-21-067U</t>
  </si>
  <si>
    <t>1657-0001376</t>
  </si>
  <si>
    <t>3/1/2026 12:06:00 PM</t>
  </si>
  <si>
    <t>3/1/2026 8:06:30 PM</t>
  </si>
  <si>
    <t>3/1/2026 8:05:50 PM</t>
  </si>
  <si>
    <t>4UZAAPCP47CY48857</t>
  </si>
  <si>
    <t>GAR-297</t>
  </si>
  <si>
    <t>1657-0001821</t>
  </si>
  <si>
    <t>3/8/2026 5:03:00 AM</t>
  </si>
  <si>
    <t>3/8/2026 12:03:22 PM</t>
  </si>
  <si>
    <t>3/8/2026 12:02:46 PM</t>
  </si>
  <si>
    <t>1FTRS4XM0KKB13861</t>
  </si>
  <si>
    <t>GAR-19-032</t>
  </si>
  <si>
    <t>1657-0001650</t>
  </si>
  <si>
    <t>3/5/2026 9:56:00 AM</t>
  </si>
  <si>
    <t>3/5/2026 5:56:57 PM</t>
  </si>
  <si>
    <t>3/5/2026 5:56:15 PM</t>
  </si>
  <si>
    <t>1HTJSSKK5CH699420</t>
  </si>
  <si>
    <t>GAR-6620</t>
  </si>
  <si>
    <t>1657-0001894</t>
  </si>
  <si>
    <t>3/8/2026 9:05:00 PM</t>
  </si>
  <si>
    <t>3/9/2026 4:05:26 AM</t>
  </si>
  <si>
    <t>3/9/2026 4:05:13 AM</t>
  </si>
  <si>
    <t>VRO 1657-0001894 has been Accepted
Note:</t>
  </si>
  <si>
    <t>1657-0001389</t>
  </si>
  <si>
    <t>3/1/2026 1:06:00 PM</t>
  </si>
  <si>
    <t>3/1/2026 9:06:52 PM</t>
  </si>
  <si>
    <t>3/1/2026 9:06:24 PM</t>
  </si>
  <si>
    <t>1657-0000976</t>
  </si>
  <si>
    <t>2/25/2026 12:15:00 PM</t>
  </si>
  <si>
    <t>3/3/2026 9:17:15 PM</t>
  </si>
  <si>
    <t>3/3/2026 8:55:45 PM</t>
  </si>
  <si>
    <t>1FDWE35L47DA80398</t>
  </si>
  <si>
    <t>GAR-5776</t>
  </si>
  <si>
    <t>1657-0001595</t>
  </si>
  <si>
    <t>3/4/2026 11:23:00 AM</t>
  </si>
  <si>
    <t>3/4/2026 7:24:52 PM</t>
  </si>
  <si>
    <t>3/4/2026 7:23:57 PM</t>
  </si>
  <si>
    <t>3/14/2026 12:00:00 AM</t>
  </si>
  <si>
    <t>1FDWE3FL3DDB25955</t>
  </si>
  <si>
    <t>GAR-13-078</t>
  </si>
  <si>
    <t>1657-0001587</t>
  </si>
  <si>
    <t>3/4/2026 8:44:00 AM</t>
  </si>
  <si>
    <t>3/4/2026 4:44:44 PM</t>
  </si>
  <si>
    <t>3/4/2026 4:44:09 PM</t>
  </si>
  <si>
    <t>VRO 1657-0001587 has been Accepted
Note:</t>
  </si>
  <si>
    <t>1657-0001741</t>
  </si>
  <si>
    <t>3/6/2026 8:05:00 AM</t>
  </si>
  <si>
    <t>3/6/2026 4:06:43 PM</t>
  </si>
  <si>
    <t>3/6/2026 4:05:15 PM</t>
  </si>
  <si>
    <t>1657-0001658</t>
  </si>
  <si>
    <t>3/5/2026 10:17:00 AM</t>
  </si>
  <si>
    <t>3/5/2026 6:18:51 PM</t>
  </si>
  <si>
    <t>3/5/2026 6:17:47 PM</t>
  </si>
  <si>
    <t>1657-0001329</t>
  </si>
  <si>
    <t>3/1/2026 5:35:00 AM</t>
  </si>
  <si>
    <t>3/1/2026 1:35:42 PM</t>
  </si>
  <si>
    <t>3/1/2026 1:35:18 PM</t>
  </si>
  <si>
    <t>1657-0001368</t>
  </si>
  <si>
    <t>3/1/2026 11:42:00 AM</t>
  </si>
  <si>
    <t>3/1/2026 7:42:32 PM</t>
  </si>
  <si>
    <t>3/1/2026 7:42:05 PM</t>
  </si>
  <si>
    <t>1FTRS4X80MKA25608</t>
  </si>
  <si>
    <t>GAR-21-028U</t>
  </si>
  <si>
    <t>1657-0001816</t>
  </si>
  <si>
    <t>3/8/2026 4:20:00 AM</t>
  </si>
  <si>
    <t>3/8/2026 11:20:40 AM</t>
  </si>
  <si>
    <t>3/8/2026 11:20:13 AM</t>
  </si>
  <si>
    <t>1FDWE35L87DB27738</t>
  </si>
  <si>
    <t>GAR-5874</t>
  </si>
  <si>
    <t>1657-0001809</t>
  </si>
  <si>
    <t>3/8/2026 3:40:00 AM</t>
  </si>
  <si>
    <t>3/8/2026 10:40:10 AM</t>
  </si>
  <si>
    <t>3/8/2026 10:39:43 AM</t>
  </si>
  <si>
    <t>WILL DISPATCH JETS</t>
  </si>
  <si>
    <t>1FTRS4XM7KKB13856</t>
  </si>
  <si>
    <t>GAR-19-046</t>
  </si>
  <si>
    <t>1657-0001830</t>
  </si>
  <si>
    <t>3/8/2026 7:35:00 AM</t>
  </si>
  <si>
    <t>3/8/2026 2:35:16 PM</t>
  </si>
  <si>
    <t>3/8/2026 2:34:51 PM</t>
  </si>
  <si>
    <t>1FTRS4X80NKA05537</t>
  </si>
  <si>
    <t>GAR-22-002U</t>
  </si>
  <si>
    <t>1657-0000653</t>
  </si>
  <si>
    <t>2/20/2026 9:38:00 AM</t>
  </si>
  <si>
    <t>3/8/2026 12:33:27 AM</t>
  </si>
  <si>
    <t>VRO 1657-0000653 has been Accepted
Note:</t>
  </si>
  <si>
    <t>1657-0001798</t>
  </si>
  <si>
    <t>3/7/2026 2:13:00 PM</t>
  </si>
  <si>
    <t>3/7/2026 10:19:02 PM</t>
  </si>
  <si>
    <t>3/7/2026 10:12:41 PM</t>
  </si>
  <si>
    <t>1FDUF5GY9CEA37995</t>
  </si>
  <si>
    <t>GAR-6710</t>
  </si>
  <si>
    <t>3/8/2026 12:35:36 AM</t>
  </si>
  <si>
    <t>1657-0001412</t>
  </si>
  <si>
    <t>3/2/2026 4:12:00 AM</t>
  </si>
  <si>
    <t>3/2/2026 12:13:50 PM</t>
  </si>
  <si>
    <t>3/2/2026 12:12:20 PM</t>
  </si>
  <si>
    <t>VRO 1657-0001412 has been Accepted
Note:</t>
  </si>
  <si>
    <t>1FDSE3FL6CDA90437</t>
  </si>
  <si>
    <t>GAR-6712</t>
  </si>
  <si>
    <t>1657-0001814</t>
  </si>
  <si>
    <t>3/8/2026 4:16:00 AM</t>
  </si>
  <si>
    <t>3/8/2026 11:16:26 AM</t>
  </si>
  <si>
    <t>3/8/2026 11:15:37 AM</t>
  </si>
  <si>
    <t>1657-0001274</t>
  </si>
  <si>
    <t>2/27/2026 1:49:00 PM</t>
  </si>
  <si>
    <t>3/8/2026 12:43:18 AM</t>
  </si>
  <si>
    <t>VRO 1657-0001274 has been Accepted
Note:</t>
  </si>
  <si>
    <t>afBXThF-Xu0is_alXciDFgA</t>
  </si>
  <si>
    <t>1FDAF5HY3CEC55920</t>
  </si>
  <si>
    <t>GAR-121619</t>
  </si>
  <si>
    <t>1657-0001302</t>
  </si>
  <si>
    <t>2/28/2026 1:24:00 PM</t>
  </si>
  <si>
    <t>3/7/2026 11:28:37 PM</t>
  </si>
  <si>
    <t>2NPNHM6X0JM461870</t>
  </si>
  <si>
    <t>GAR-18-036</t>
  </si>
  <si>
    <t>1657-0000683</t>
  </si>
  <si>
    <t>2/20/2026 1:51:00 PM</t>
  </si>
  <si>
    <t>2/20/2026 9:51:48 PM</t>
  </si>
  <si>
    <t>2/20/2026 9:51:21 PM</t>
  </si>
  <si>
    <t>2/20/2026 12:00:00 AM</t>
  </si>
  <si>
    <t>1FTRS4X81MKA25620</t>
  </si>
  <si>
    <t>GAR-21-030U</t>
  </si>
  <si>
    <t>1657-0001721</t>
  </si>
  <si>
    <t>3/6/2026 5:36:00 AM</t>
  </si>
  <si>
    <t>3/6/2026 1:39:30 PM</t>
  </si>
  <si>
    <t>3/6/2026 1:37:51 PM</t>
  </si>
  <si>
    <t>will dispatch thomas fleet</t>
  </si>
  <si>
    <t>1FTRS4X83LKA71738</t>
  </si>
  <si>
    <t>GAR-20-129U</t>
  </si>
  <si>
    <t>1657-0001846</t>
  </si>
  <si>
    <t>3/8/2026 11:11:00 AM</t>
  </si>
  <si>
    <t>3/8/2026 6:11:18 PM</t>
  </si>
  <si>
    <t>3/8/2026 6:10:46 PM</t>
  </si>
  <si>
    <t>1657-0001829</t>
  </si>
  <si>
    <t>3/8/2026 7:32:00 AM</t>
  </si>
  <si>
    <t>3/8/2026 2:33:07 PM</t>
  </si>
  <si>
    <t>3/8/2026 2:31:56 PM</t>
  </si>
  <si>
    <t>WILL DISPATCH V&amp;E DIESEL REPAIR</t>
  </si>
  <si>
    <t>GARDA - VENDED - SANTA ROSA, CA 12038</t>
  </si>
  <si>
    <t>1FTRS4X81LKA29133</t>
  </si>
  <si>
    <t>GAR-20-020U</t>
  </si>
  <si>
    <t>1657-0001200</t>
  </si>
  <si>
    <t>3/8/2026 12:44:19 AM</t>
  </si>
  <si>
    <t>3/8/2026 12:35:30 AM</t>
  </si>
  <si>
    <t>VRO 1657-0001200 has been Accepted
Note:</t>
  </si>
  <si>
    <t>1657-0001347</t>
  </si>
  <si>
    <t>3/1/2026 8:37:00 AM</t>
  </si>
  <si>
    <t>3/1/2026 4:37:55 PM</t>
  </si>
  <si>
    <t>3/1/2026 4:37:30 PM</t>
  </si>
  <si>
    <t>1FTRS4XM6KKB13849</t>
  </si>
  <si>
    <t>GAR-19-037</t>
  </si>
  <si>
    <t>2NPNHM6X5JM461895</t>
  </si>
  <si>
    <t>GAR-18-061</t>
  </si>
  <si>
    <t>1657-0001089</t>
  </si>
  <si>
    <t>2/26/2026 9:47:00 AM</t>
  </si>
  <si>
    <t>3/8/2026 12:54:04 AM</t>
  </si>
  <si>
    <t>3/8/2026 12:49:02 AM</t>
  </si>
  <si>
    <t>VRO 1657-0001089 has been Accepted
Note:</t>
  </si>
  <si>
    <t>1047939246</t>
  </si>
  <si>
    <t>1FDAF5GYXCEC55916</t>
  </si>
  <si>
    <t>GAR-121615</t>
  </si>
  <si>
    <t>1657-0001355</t>
  </si>
  <si>
    <t>3/1/2026 10:24:00 AM</t>
  </si>
  <si>
    <t>3/1/2026 6:48:32 PM</t>
  </si>
  <si>
    <t>3/1/2026 6:24:07 PM</t>
  </si>
  <si>
    <t>DISPATCHING KIRKS MOBILE</t>
  </si>
  <si>
    <t>3FRXF75T75V140007</t>
  </si>
  <si>
    <t>GAR-4994</t>
  </si>
  <si>
    <t>1657-0001874</t>
  </si>
  <si>
    <t>3/8/2026 1:01:00 PM</t>
  </si>
  <si>
    <t>3/8/2026 8:04:58 PM</t>
  </si>
  <si>
    <t>3/8/2026 8:00:38 PM</t>
  </si>
  <si>
    <t>1FTRS4X82LKA71715</t>
  </si>
  <si>
    <t>GAR-20-116U</t>
  </si>
  <si>
    <t>3FRWF65N95V158418</t>
  </si>
  <si>
    <t>GAR-5414</t>
  </si>
  <si>
    <t>1657-0001862</t>
  </si>
  <si>
    <t>3/8/2026 12:35:00 PM</t>
  </si>
  <si>
    <t>3/8/2026 7:35:42 PM</t>
  </si>
  <si>
    <t>3/8/2026 7:34:59 PM</t>
  </si>
  <si>
    <t>2NPNHM6X2JM472787</t>
  </si>
  <si>
    <t>GAR-18-132</t>
  </si>
  <si>
    <t>1657-0001526</t>
  </si>
  <si>
    <t>3/3/2026 12:26:00 PM</t>
  </si>
  <si>
    <t>3/3/2026 9:57:35 PM</t>
  </si>
  <si>
    <t>3/3/2026 8:25:53 PM</t>
  </si>
  <si>
    <t>1FTRS4X89LKA71730</t>
  </si>
  <si>
    <t>GAR-20-136U</t>
  </si>
  <si>
    <t>1657-0000657</t>
  </si>
  <si>
    <t>2/20/2026 9:46:00 AM</t>
  </si>
  <si>
    <t>3/8/2026 12:34:10 AM</t>
  </si>
  <si>
    <t>1FTYR2CM9GKA30521</t>
  </si>
  <si>
    <t>GAR-T16-003</t>
  </si>
  <si>
    <t>SPECIAL PROJ</t>
  </si>
  <si>
    <t>1657-0001678</t>
  </si>
  <si>
    <t>3/5/2026 12:34:00 PM</t>
  </si>
  <si>
    <t>3/5/2026 8:47:26 PM</t>
  </si>
  <si>
    <t>3/5/2026 8:33:43 PM</t>
  </si>
  <si>
    <t>1657-0001765</t>
  </si>
  <si>
    <t>3/6/2026 1:24:00 PM</t>
  </si>
  <si>
    <t>3/6/2026 9:24:40 PM</t>
  </si>
  <si>
    <t>3/6/2026 9:24:10 PM</t>
  </si>
  <si>
    <t>2NPNHM6X2HM319109</t>
  </si>
  <si>
    <t>GAR-17-118</t>
  </si>
  <si>
    <t>3FRWF65N55V177645</t>
  </si>
  <si>
    <t>GAR-5386</t>
  </si>
  <si>
    <t>1657-0001881</t>
  </si>
  <si>
    <t>3/8/2026 1:37:00 PM</t>
  </si>
  <si>
    <t>3/8/2026 8:37:39 PM</t>
  </si>
  <si>
    <t>3/8/2026 8:37:08 PM</t>
  </si>
  <si>
    <t>2NPNHM6X2FM300198</t>
  </si>
  <si>
    <t>GAR-15-087</t>
  </si>
  <si>
    <t>1657-0001803</t>
  </si>
  <si>
    <t>3/7/2026 2:30:00 PM</t>
  </si>
  <si>
    <t>3/7/2026 10:30:05 PM</t>
  </si>
  <si>
    <t>3/7/2026 10:29:44 PM</t>
  </si>
  <si>
    <t>1FTRS4X89PKA00677</t>
  </si>
  <si>
    <t>GAR-23-004U</t>
  </si>
  <si>
    <t>1657-0001654</t>
  </si>
  <si>
    <t>3/5/2026 10:08:00 AM</t>
  </si>
  <si>
    <t>3/5/2026 6:08:41 PM</t>
  </si>
  <si>
    <t>3/5/2026 6:08:16 PM</t>
  </si>
  <si>
    <t>2NPNHM6X6HM319078</t>
  </si>
  <si>
    <t>GAR-17-087</t>
  </si>
  <si>
    <t>1FTRS4XM9KKB13843</t>
  </si>
  <si>
    <t>GAR-19-045</t>
  </si>
  <si>
    <t>2NPNHM6X8JM483146</t>
  </si>
  <si>
    <t>GAR-18-160</t>
  </si>
  <si>
    <t>2NPNHM6X3HM319071</t>
  </si>
  <si>
    <t>GAR-17-080</t>
  </si>
  <si>
    <t>1657-0001898</t>
  </si>
  <si>
    <t>3/8/2026 9:15:00 PM</t>
  </si>
  <si>
    <t>3/9/2026 4:15:35 AM</t>
  </si>
  <si>
    <t>3/9/2026 4:15:19 AM</t>
  </si>
  <si>
    <t>VRO 1657-0001898 has been Accepted
Note:</t>
  </si>
  <si>
    <t>1657-0001343</t>
  </si>
  <si>
    <t>3/1/2026 7:44:00 AM</t>
  </si>
  <si>
    <t>3/1/2026 3:44:35 PM</t>
  </si>
  <si>
    <t>3/1/2026 3:44:02 PM</t>
  </si>
  <si>
    <t>1657-0001796</t>
  </si>
  <si>
    <t>3/7/2026 1:19:00 PM</t>
  </si>
  <si>
    <t>3/8/2026 12:26:17 AM</t>
  </si>
  <si>
    <t>VRO 1657-0001796 has been Accepted
Note:</t>
  </si>
  <si>
    <t>1FDWE35LX6DA72725</t>
  </si>
  <si>
    <t>GAR-5622</t>
  </si>
  <si>
    <t>1657-0001391</t>
  </si>
  <si>
    <t>3/1/2026 1:11:00 PM</t>
  </si>
  <si>
    <t>3/1/2026 9:11:43 PM</t>
  </si>
  <si>
    <t>3/1/2026 9:11:19 PM</t>
  </si>
  <si>
    <t>1657-0001423</t>
  </si>
  <si>
    <t>3/2/2026 5:07:00 AM</t>
  </si>
  <si>
    <t>3/8/2026 12:51:21 AM</t>
  </si>
  <si>
    <t>VRO 1657-0001423 has been Accepted
Note:</t>
  </si>
  <si>
    <t>abyjak0NCQkalUSOCz0lROw</t>
  </si>
  <si>
    <t>1657-0001152</t>
  </si>
  <si>
    <t>2/27/2026 7:10:00 AM</t>
  </si>
  <si>
    <t>3/8/2026 12:47:01 AM</t>
  </si>
  <si>
    <t>3/8/2026 12:35:43 AM</t>
  </si>
  <si>
    <t>VRO 1657-0001152 has been Accepted
Note:</t>
  </si>
  <si>
    <t>GARDA - FONTANA, CA 12013</t>
  </si>
  <si>
    <t>1FTRS4X86LKA29130</t>
  </si>
  <si>
    <t>GAR-20-031U</t>
  </si>
  <si>
    <t>1657-0001580</t>
  </si>
  <si>
    <t>2/25/2026 2:41:00 PM</t>
  </si>
  <si>
    <t>3/8/2026 12:56:59 AM</t>
  </si>
  <si>
    <t>3/8/2026 12:49:17 AM</t>
  </si>
  <si>
    <t>VRO 1657-0001580 has been Accepted
Note:</t>
  </si>
  <si>
    <t>GARDA - PITTSBURGH, PA 14098</t>
  </si>
  <si>
    <t>1FTRS4X80MKA97327</t>
  </si>
  <si>
    <t>GAR-21-118U</t>
  </si>
  <si>
    <t>1657-0000538</t>
  </si>
  <si>
    <t>2/19/2026 8:11:00 AM</t>
  </si>
  <si>
    <t>3/8/2026 12:31:16 AM</t>
  </si>
  <si>
    <t>3/8/2026 12:25:37 AM</t>
  </si>
  <si>
    <t>axEGl4rvKwk2qBhgIOKgEjA</t>
  </si>
  <si>
    <t>2NPNHM6X9FM300196</t>
  </si>
  <si>
    <t>GAR-15-085</t>
  </si>
  <si>
    <t>1657-0001855</t>
  </si>
  <si>
    <t>3/8/2026 11:40:00 AM</t>
  </si>
  <si>
    <t>3/8/2026 6:40:24 PM</t>
  </si>
  <si>
    <t>3/8/2026 6:39:51 PM</t>
  </si>
  <si>
    <t>1657-0000622</t>
  </si>
  <si>
    <t>2/20/2026 6:21:00 AM</t>
  </si>
  <si>
    <t>2/24/2026 3:18:55 PM</t>
  </si>
  <si>
    <t>2/24/2026 3:17:56 PM</t>
  </si>
  <si>
    <t>1657-0001127</t>
  </si>
  <si>
    <t>2/26/2026 6:03:00 PM</t>
  </si>
  <si>
    <t>3/8/2026 12:53:18 AM</t>
  </si>
  <si>
    <t>aX57jgPGfUEGZ_X9_6hlcag</t>
  </si>
  <si>
    <t>2NPNHM6X1JM464258</t>
  </si>
  <si>
    <t>GAR-18-103</t>
  </si>
  <si>
    <t>1657-0001812</t>
  </si>
  <si>
    <t>3/8/2026 3:49:00 AM</t>
  </si>
  <si>
    <t>3/8/2026 10:49:49 AM</t>
  </si>
  <si>
    <t>3/8/2026 10:49:22 AM</t>
  </si>
  <si>
    <t>1657-0001173</t>
  </si>
  <si>
    <t>2/27/2026 7:24:00 AM</t>
  </si>
  <si>
    <t>3/8/2026 12:46:14 AM</t>
  </si>
  <si>
    <t>2NPNHM6XXJM461889</t>
  </si>
  <si>
    <t>GAR-18-055</t>
  </si>
  <si>
    <t>1657-0001719</t>
  </si>
  <si>
    <t>3/6/2026 4:17:16 AM</t>
  </si>
  <si>
    <t>3/8/2026 12:28:13 AM</t>
  </si>
  <si>
    <t>VRO 1657-0001719 has been Accepted
Note:</t>
  </si>
  <si>
    <t>1054895451</t>
  </si>
  <si>
    <t>1FDRS6PM6JKB35465</t>
  </si>
  <si>
    <t>GAR-19-006</t>
  </si>
  <si>
    <t>1657-0001063</t>
  </si>
  <si>
    <t>2/26/2026 6:06:00 AM</t>
  </si>
  <si>
    <t>3/8/2026 1:03:31 AM</t>
  </si>
  <si>
    <t>3/8/2026 1:00:54 AM</t>
  </si>
  <si>
    <t>VRO 1657-0001063 has been Accepted
Note:</t>
  </si>
  <si>
    <t>aoXqq061zXUOscJhlUQLmtg</t>
  </si>
  <si>
    <t>1FTRS4X81MKA25634</t>
  </si>
  <si>
    <t>GAR-21-034U</t>
  </si>
  <si>
    <t>2NP3LJ0XXNM773911</t>
  </si>
  <si>
    <t>GAR-21-005U</t>
  </si>
  <si>
    <t>1657-0001708</t>
  </si>
  <si>
    <t>3/5/2026 6:08:00 PM</t>
  </si>
  <si>
    <t>3/6/2026 2:07:57 AM</t>
  </si>
  <si>
    <t>3/6/2026 2:07:42 AM</t>
  </si>
  <si>
    <t>VRO 1657-0001708 has been Accepted
Note:</t>
  </si>
  <si>
    <t>1FTRU8XG6RKB82608</t>
  </si>
  <si>
    <t>GAR-25-045U</t>
  </si>
  <si>
    <t>1657-0001802</t>
  </si>
  <si>
    <t>3/7/2026 2:28:00 PM</t>
  </si>
  <si>
    <t>3/7/2026 10:28:33 PM</t>
  </si>
  <si>
    <t>3/7/2026 10:28:11 PM</t>
  </si>
  <si>
    <t>1HTJSSKK9CH699419</t>
  </si>
  <si>
    <t>GAR-6618</t>
  </si>
  <si>
    <t>1657-0001902</t>
  </si>
  <si>
    <t>3/8/2026 9:20:00 PM</t>
  </si>
  <si>
    <t>3/9/2026 4:20:02 AM</t>
  </si>
  <si>
    <t>3/9/2026 4:19:48 AM</t>
  </si>
  <si>
    <t>VRO 1657-0001902 has been Accepted
Note:</t>
  </si>
  <si>
    <t>2NPNHM6X7FM285827</t>
  </si>
  <si>
    <t>GAR-15-048</t>
  </si>
  <si>
    <t>1657-0001626</t>
  </si>
  <si>
    <t>3/4/2026 6:14:00 PM</t>
  </si>
  <si>
    <t>3/7/2026 11:31:10 PM</t>
  </si>
  <si>
    <t>1657-0001039</t>
  </si>
  <si>
    <t>2/25/2026 9:20:00 PM</t>
  </si>
  <si>
    <t>3/8/2026 1:03:24 AM</t>
  </si>
  <si>
    <t>aAemCP11Jj0WrybPhQGrnXg</t>
  </si>
  <si>
    <t>3FRNF6HP7DV000019</t>
  </si>
  <si>
    <t>GAR-13-030</t>
  </si>
  <si>
    <t>2NPNHM6X1HM319084</t>
  </si>
  <si>
    <t>GAR-17-093</t>
  </si>
  <si>
    <t>1FDWE3FL4CDA07671</t>
  </si>
  <si>
    <t>GAR-6566</t>
  </si>
  <si>
    <t>1657-0001301</t>
  </si>
  <si>
    <t>2/28/2026 1:20:00 PM</t>
  </si>
  <si>
    <t>3/8/2026 12:51:56 AM</t>
  </si>
  <si>
    <t>1FTRS4X88LKA29212</t>
  </si>
  <si>
    <t>GAR-20-047U</t>
  </si>
  <si>
    <t>1657-0001319</t>
  </si>
  <si>
    <t>3/1/2026 3:45:00 AM</t>
  </si>
  <si>
    <t>3/1/2026 11:46:58 AM</t>
  </si>
  <si>
    <t>3/1/2026 11:45:24 AM</t>
  </si>
  <si>
    <t>2NPNHM6X7JM319144</t>
  </si>
  <si>
    <t>GAR-18-003</t>
  </si>
  <si>
    <t>1657-0001610</t>
  </si>
  <si>
    <t>3/4/2026 2:29:00 PM</t>
  </si>
  <si>
    <t>3/4/2026 10:30:17 PM</t>
  </si>
  <si>
    <t>3/4/2026 10:29:17 PM</t>
  </si>
  <si>
    <t>VRO 1657-0001610 has been Accepted
Note:</t>
  </si>
  <si>
    <t>1657-0001348</t>
  </si>
  <si>
    <t>3/1/2026 8:39:00 AM</t>
  </si>
  <si>
    <t>3/1/2026 4:39:37 PM</t>
  </si>
  <si>
    <t>3/1/2026 4:39:15 PM</t>
  </si>
  <si>
    <t>GARDA - CHARLOTTE, NC 25099</t>
  </si>
  <si>
    <t>2NPNHM6X0JM483173</t>
  </si>
  <si>
    <t>GAR-18-187</t>
  </si>
  <si>
    <t>1657-0001578</t>
  </si>
  <si>
    <t>3/4/2026 8:04:00 AM</t>
  </si>
  <si>
    <t>3/4/2026 4:16:47 PM</t>
  </si>
  <si>
    <t>3/4/2026 4:03:45 PM</t>
  </si>
  <si>
    <t>1FTRS4X86LKA71653</t>
  </si>
  <si>
    <t>GAR-20-133U</t>
  </si>
  <si>
    <t>1657-0000646</t>
  </si>
  <si>
    <t>2/20/2026 9:23:00 AM</t>
  </si>
  <si>
    <t>3/8/2026 12:33:15 AM</t>
  </si>
  <si>
    <t>1FTRS4XM5KKB13855</t>
  </si>
  <si>
    <t>GAR-19-041</t>
  </si>
  <si>
    <t>1657-0001544</t>
  </si>
  <si>
    <t>3/3/2026 3:28:00 PM</t>
  </si>
  <si>
    <t>3/3/2026 11:29:30 PM</t>
  </si>
  <si>
    <t>3/3/2026 11:28:00 PM</t>
  </si>
  <si>
    <t>1FMCU9D73CKA44933</t>
  </si>
  <si>
    <t>GAR-9047</t>
  </si>
  <si>
    <t>1657-0001870</t>
  </si>
  <si>
    <t>3/8/2026 12:51:00 PM</t>
  </si>
  <si>
    <t>3/8/2026 7:51:35 PM</t>
  </si>
  <si>
    <t>3/8/2026 7:50:36 PM</t>
  </si>
  <si>
    <t>1657-0001860</t>
  </si>
  <si>
    <t>3/8/2026 11:53:00 AM</t>
  </si>
  <si>
    <t>3/8/2026 6:53:23 PM</t>
  </si>
  <si>
    <t>3/8/2026 6:53:02 PM</t>
  </si>
  <si>
    <t>1657-0001871</t>
  </si>
  <si>
    <t>3/8/2026 12:54:00 PM</t>
  </si>
  <si>
    <t>3/8/2026 7:54:57 PM</t>
  </si>
  <si>
    <t>3/8/2026 7:54:04 PM</t>
  </si>
  <si>
    <t>1657-0001653</t>
  </si>
  <si>
    <t>3/5/2026 10:06:00 AM</t>
  </si>
  <si>
    <t>3/5/2026 6:06:57 PM</t>
  </si>
  <si>
    <t>3/5/2026 6:06:27 PM</t>
  </si>
  <si>
    <t>GARDA - DETROIT, MI 19063</t>
  </si>
  <si>
    <t>3FRNF6HP9DV000037</t>
  </si>
  <si>
    <t>GAR-13-059</t>
  </si>
  <si>
    <t>1657-0001398</t>
  </si>
  <si>
    <t>3/1/2026 1:50:00 PM</t>
  </si>
  <si>
    <t>3/1/2026 9:50:36 PM</t>
  </si>
  <si>
    <t>3/1/2026 9:49:44 PM</t>
  </si>
  <si>
    <t>1FTRS4X86LKA71670</t>
  </si>
  <si>
    <t>GAR-20-135U</t>
  </si>
  <si>
    <t>1657-0000656</t>
  </si>
  <si>
    <t>2/20/2026 9:44:00 AM</t>
  </si>
  <si>
    <t>3/8/2026 12:34:16 AM</t>
  </si>
  <si>
    <t>VRO 1657-0000656 has been Accepted
Note:</t>
  </si>
  <si>
    <t>Power Steering</t>
  </si>
  <si>
    <t>1657-0000635</t>
  </si>
  <si>
    <t>2/20/2026 8:41:00 AM</t>
  </si>
  <si>
    <t>2/23/2026 5:22:56 PM</t>
  </si>
  <si>
    <t>2/23/2026 5:11:42 PM</t>
  </si>
  <si>
    <t>ESTIMATES</t>
  </si>
  <si>
    <t>01657A0000362095</t>
  </si>
  <si>
    <t>1HTMMAAM45H169172</t>
  </si>
  <si>
    <t>GAR-6888</t>
  </si>
  <si>
    <t>TOWING SERVICE</t>
  </si>
  <si>
    <t>1657-0000592</t>
  </si>
  <si>
    <t>2/19/2026 5:18:00 PM</t>
  </si>
  <si>
    <t>2/20/2026 1:18:07 AM</t>
  </si>
  <si>
    <t>2/20/2026 1:17:44 AM</t>
  </si>
  <si>
    <t>DNicholson@ameritfleet.com</t>
  </si>
  <si>
    <t>WORK IN PROGRESS</t>
  </si>
  <si>
    <t>VRO 1657-0000592 has been Accepted
Note:</t>
  </si>
  <si>
    <t>01657A0000372880</t>
  </si>
  <si>
    <t>1FDRS6PM3JKB35472</t>
  </si>
  <si>
    <t>GAR-19-013</t>
  </si>
  <si>
    <t>1657-0001503</t>
  </si>
  <si>
    <t>3/3/2026 6:13:00 AM</t>
  </si>
  <si>
    <t>3/3/2026 2:14:27 PM</t>
  </si>
  <si>
    <t>3/3/2026 2:13:30 PM</t>
  </si>
  <si>
    <t>01657A0000363156</t>
  </si>
  <si>
    <t>1FTRS4X82MKA97331</t>
  </si>
  <si>
    <t>GAR-21-109U</t>
  </si>
  <si>
    <t>1657-0000717</t>
  </si>
  <si>
    <t>2/20/2026 4:24:00 PM</t>
  </si>
  <si>
    <t>2/21/2026 12:24:26 AM</t>
  </si>
  <si>
    <t>2/21/2026 12:23:57 AM</t>
  </si>
  <si>
    <t>VRO 1657-0000717 has been Accepted
Note:</t>
  </si>
  <si>
    <t>01657A0000365634</t>
  </si>
  <si>
    <t>2NPNHM6X5HM319122</t>
  </si>
  <si>
    <t>GAR-17-131</t>
  </si>
  <si>
    <t>A INSPECTION</t>
  </si>
  <si>
    <t>1657-0000875</t>
  </si>
  <si>
    <t>2/24/2026 8:28:00 AM</t>
  </si>
  <si>
    <t>2/24/2026 4:28:25 PM</t>
  </si>
  <si>
    <t>2/24/2026 4:27:40 PM</t>
  </si>
  <si>
    <t>VRO 1657-0000875 has been Accepted
Note:</t>
  </si>
  <si>
    <t>01657A0000374067</t>
  </si>
  <si>
    <t>Brakes Diagnostics</t>
  </si>
  <si>
    <t>1657-0001566</t>
  </si>
  <si>
    <t>3/4/2026 5:49:00 AM</t>
  </si>
  <si>
    <t>3/4/2026 1:49:29 PM</t>
  </si>
  <si>
    <t>3/4/2026 1:48:59 PM</t>
  </si>
  <si>
    <t>AMERIT CREDIT CARD PURCHASE</t>
  </si>
  <si>
    <t>GARDA - LOUISVILLE, KY 27064</t>
  </si>
  <si>
    <t>01657A0000377992</t>
  </si>
  <si>
    <t>3FRNF6HP0DV000010</t>
  </si>
  <si>
    <t>GAR-13-029</t>
  </si>
  <si>
    <t>1657-0001764</t>
  </si>
  <si>
    <t>3/6/2026 1:10:00 PM</t>
  </si>
  <si>
    <t>3/6/2026 9:10:52 PM</t>
  </si>
  <si>
    <t>3/6/2026 9:10:33 PM</t>
  </si>
  <si>
    <t>3/20/2026 12:00:00 AM</t>
  </si>
  <si>
    <t>VRO 1657-0001764 has been Accepted
Note:</t>
  </si>
  <si>
    <t>1FTRS4X80MKA08307</t>
  </si>
  <si>
    <t>GAR-21-036U</t>
  </si>
  <si>
    <t>Tires, Tubes, Liners &amp; Valves</t>
  </si>
  <si>
    <t>1657-0001473</t>
  </si>
  <si>
    <t>3/2/2026 12:20:00 PM</t>
  </si>
  <si>
    <t>3/2/2026 8:20:48 PM</t>
  </si>
  <si>
    <t>3/2/2026 8:20:25 PM</t>
  </si>
  <si>
    <t>01657A0000369277</t>
  </si>
  <si>
    <t>1FTRS4X82LKA71729</t>
  </si>
  <si>
    <t>GAR-20-105U</t>
  </si>
  <si>
    <t>1657-0001101</t>
  </si>
  <si>
    <t>2/26/2026 12:22:00 PM</t>
  </si>
  <si>
    <t>2/26/2026 8:23:09 PM</t>
  </si>
  <si>
    <t>2/26/2026 8:22:33 PM</t>
  </si>
  <si>
    <t>Powerplant Diagnostics</t>
  </si>
  <si>
    <t>01657A0000365058</t>
  </si>
  <si>
    <t>Tires, Tubes, Liners, Valves Diagnostics</t>
  </si>
  <si>
    <t>1657-0000824</t>
  </si>
  <si>
    <t>2/23/2026 1:56:00 PM</t>
  </si>
  <si>
    <t>2/23/2026 9:58:10 PM</t>
  </si>
  <si>
    <t>2/23/2026 9:56:36 PM</t>
  </si>
  <si>
    <t>VRO 1657-0000824 has been Accepted
Note:</t>
  </si>
  <si>
    <t>1FDWE3FL8ADA97940</t>
  </si>
  <si>
    <t>GAR-6440</t>
  </si>
  <si>
    <t>Standard PM OR PM C</t>
  </si>
  <si>
    <t>01657A0000378161</t>
  </si>
  <si>
    <t>1FDRS6PMXJKB35470</t>
  </si>
  <si>
    <t>GAR-19-011</t>
  </si>
  <si>
    <t>1657-0001468</t>
  </si>
  <si>
    <t>3/2/2026 11:02:00 AM</t>
  </si>
  <si>
    <t>3/2/2026 8:01:40 PM</t>
  </si>
  <si>
    <t>3/2/2026 7:03:57 PM</t>
  </si>
  <si>
    <t>VRO 1657-0001468 has been Accepted
Note:</t>
  </si>
  <si>
    <t>01657A0000366853</t>
  </si>
  <si>
    <t>1657-0000955</t>
  </si>
  <si>
    <t>2/25/2026 8:12:00 AM</t>
  </si>
  <si>
    <t>2/25/2026 4:12:17 PM</t>
  </si>
  <si>
    <t>2/25/2026 4:11:40 PM</t>
  </si>
  <si>
    <t>SGerdes@ameritfleet.com</t>
  </si>
  <si>
    <t>1FDWE3FL5ADA23942</t>
  </si>
  <si>
    <t>GAR-6160</t>
  </si>
  <si>
    <t>1657-0000714</t>
  </si>
  <si>
    <t>2/20/2026 3:39:00 PM</t>
  </si>
  <si>
    <t>2/27/2026 3:32:44 AM</t>
  </si>
  <si>
    <t>2/27/2026 5:31:48 AM</t>
  </si>
  <si>
    <t>HO3.6</t>
  </si>
  <si>
    <t>01657A0000362102</t>
  </si>
  <si>
    <t>3FRWF65N15V177593</t>
  </si>
  <si>
    <t>GAR-5452</t>
  </si>
  <si>
    <t>1657-0000597</t>
  </si>
  <si>
    <t>2/19/2026 5:44:00 PM</t>
  </si>
  <si>
    <t>2/20/2026 1:44:31 AM</t>
  </si>
  <si>
    <t>2/20/2026 1:43:54 AM</t>
  </si>
  <si>
    <t>VRO 1657-0000597 has been Accepted
Note:</t>
  </si>
  <si>
    <t>01657A0000369715</t>
  </si>
  <si>
    <t>1657-0001145</t>
  </si>
  <si>
    <t>2/27/2026 6:40:00 AM</t>
  </si>
  <si>
    <t>2/27/2026 2:40:58 PM</t>
  </si>
  <si>
    <t>2/27/2026 2:39:35 PM</t>
  </si>
  <si>
    <t>01657A0000377087</t>
  </si>
  <si>
    <t>Lighting System Diagnostic</t>
  </si>
  <si>
    <t>1657-0001692</t>
  </si>
  <si>
    <t>3/5/2026 4:44:00 PM</t>
  </si>
  <si>
    <t>3/6/2026 12:46:44 AM</t>
  </si>
  <si>
    <t>3/6/2026 12:44:01 AM</t>
  </si>
  <si>
    <t>GAR-6084</t>
  </si>
  <si>
    <t>GARDA E350 PM LEVEL B</t>
  </si>
  <si>
    <t>01657A0000377156</t>
  </si>
  <si>
    <t>1FTRS4X85MKA97324</t>
  </si>
  <si>
    <t>GAR-21-093U</t>
  </si>
  <si>
    <t>1657-0001571</t>
  </si>
  <si>
    <t>3/4/2026 5:46:40 AM</t>
  </si>
  <si>
    <t>3/6/2026 11:32:11 AM</t>
  </si>
  <si>
    <t>3/6/2026 11:30:13 AM</t>
  </si>
  <si>
    <t>1052773735</t>
  </si>
  <si>
    <t>01657A0000365177</t>
  </si>
  <si>
    <t>1657-0000533</t>
  </si>
  <si>
    <t>2/19/2026 7:06:00 AM</t>
  </si>
  <si>
    <t>2/19/2026 3:06:31 PM</t>
  </si>
  <si>
    <t>2/19/2026 3:06:11 PM</t>
  </si>
  <si>
    <t>01657A0000370067</t>
  </si>
  <si>
    <t>3FDWF65811MA59692</t>
  </si>
  <si>
    <t>GAR-4054</t>
  </si>
  <si>
    <t>1657-0001238</t>
  </si>
  <si>
    <t>2/27/2026 9:53:00 AM</t>
  </si>
  <si>
    <t>2/27/2026 5:54:48 PM</t>
  </si>
  <si>
    <t>2/27/2026 5:53:20 PM</t>
  </si>
  <si>
    <t>JKennedy2@ameritfleet.com</t>
  </si>
  <si>
    <t>1FDRS6PMXJKB22119</t>
  </si>
  <si>
    <t>GAR-19-002</t>
  </si>
  <si>
    <t>GARDA - ATLANTA, GA 26085</t>
  </si>
  <si>
    <t>GAR-6636</t>
  </si>
  <si>
    <t>ENGINE DIAGNOSTIC</t>
  </si>
  <si>
    <t>TRI COUNTY TRUCK AND TRAILER REPAIR INC</t>
  </si>
  <si>
    <t>01657A0000375167</t>
  </si>
  <si>
    <t>2NPNHM6X8HM319034</t>
  </si>
  <si>
    <t>GAR-17-043</t>
  </si>
  <si>
    <t>1657-0001630</t>
  </si>
  <si>
    <t>3/4/2026 7:15:00 PM</t>
  </si>
  <si>
    <t>3/5/2026 3:15:30 AM</t>
  </si>
  <si>
    <t>3/5/2026 5:14:50 AM</t>
  </si>
  <si>
    <t>1657-0000321</t>
  </si>
  <si>
    <t>2/17/2026 6:26:00 AM</t>
  </si>
  <si>
    <t>2/17/2026 2:26:29 PM</t>
  </si>
  <si>
    <t>2/17/2026 2:26:11 PM</t>
  </si>
  <si>
    <t>01657A0000368759</t>
  </si>
  <si>
    <t>2NPNHM6X7FM300200</t>
  </si>
  <si>
    <t>GAR-15-089</t>
  </si>
  <si>
    <t>1657-0001080</t>
  </si>
  <si>
    <t>2/26/2026 8:32:00 AM</t>
  </si>
  <si>
    <t>2/26/2026 4:32:56 PM</t>
  </si>
  <si>
    <t>2/26/2026 4:31:44 PM</t>
  </si>
  <si>
    <t>01657A0000377109</t>
  </si>
  <si>
    <t>3FRXF75T75V145871</t>
  </si>
  <si>
    <t>GAR-4992</t>
  </si>
  <si>
    <t>1657-0001713</t>
  </si>
  <si>
    <t>3/5/2026 7:16:00 PM</t>
  </si>
  <si>
    <t>3/6/2026 3:16:44 AM</t>
  </si>
  <si>
    <t>3/6/2026 3:16:11 AM</t>
  </si>
  <si>
    <t>01657A0000376988</t>
  </si>
  <si>
    <t>1FTRS4X85NKA23225</t>
  </si>
  <si>
    <t>GAR-22-010U</t>
  </si>
  <si>
    <t>1657-0001686</t>
  </si>
  <si>
    <t>3/5/2026 2:13:00 PM</t>
  </si>
  <si>
    <t>3/5/2026 10:13:41 PM</t>
  </si>
  <si>
    <t>3/6/2026 12:12:45 AM</t>
  </si>
  <si>
    <t>01657A0000379540</t>
  </si>
  <si>
    <t>Total Vehicle Assembly</t>
  </si>
  <si>
    <t>1657-0001071</t>
  </si>
  <si>
    <t>2/26/2026 7:10:00 AM</t>
  </si>
  <si>
    <t>3/8/2026 12:54:12 AM</t>
  </si>
  <si>
    <t>3FRWF65N75V177629</t>
  </si>
  <si>
    <t>GAR-5574</t>
  </si>
  <si>
    <t>Cranking System Diagnositics</t>
  </si>
  <si>
    <t>01657A0000368649</t>
  </si>
  <si>
    <t>1657-0000647</t>
  </si>
  <si>
    <t>2/20/2026 9:26:00 AM</t>
  </si>
  <si>
    <t>2/26/2026 3:47:48 PM</t>
  </si>
  <si>
    <t>2/26/2026 3:46:31 PM</t>
  </si>
  <si>
    <t>VRO 1657-0000647 has been Accepted
Note:</t>
  </si>
  <si>
    <t>GARDA - SPRNGF HKE MA 14420</t>
  </si>
  <si>
    <t>01657A0000377800</t>
  </si>
  <si>
    <t>1FTRU8XG2RKB58340</t>
  </si>
  <si>
    <t>GAR-25-028U</t>
  </si>
  <si>
    <t>1657-0001755</t>
  </si>
  <si>
    <t>3/6/2026 11:32:00 AM</t>
  </si>
  <si>
    <t>3/6/2026 7:32:37 PM</t>
  </si>
  <si>
    <t>3/6/2026 7:32:11 PM</t>
  </si>
  <si>
    <t>FLEET HQ 07709835</t>
  </si>
  <si>
    <t>GARDA - RICHMOND, VA 14089</t>
  </si>
  <si>
    <t>01657A0000361921</t>
  </si>
  <si>
    <t>1FDWE35L98DA75179</t>
  </si>
  <si>
    <t>GAR-6096</t>
  </si>
  <si>
    <t>1657-0000562</t>
  </si>
  <si>
    <t>2/19/2026 3:49:00 PM</t>
  </si>
  <si>
    <t>2/19/2026 9:14:08 PM</t>
  </si>
  <si>
    <t>2/19/2026 8:55:56 PM</t>
  </si>
  <si>
    <t>FRANCO COMPANIES INC</t>
  </si>
  <si>
    <t>Module - Regeneration</t>
  </si>
  <si>
    <t>1657-0000230</t>
  </si>
  <si>
    <t>2/16/2026 6:31:00 AM</t>
  </si>
  <si>
    <t>2/16/2026 2:45:50 PM</t>
  </si>
  <si>
    <t>2/16/2026 2:31:15 PM</t>
  </si>
  <si>
    <t>FLEET CARE INC</t>
  </si>
  <si>
    <t>PENDING INVOICE.</t>
  </si>
  <si>
    <t>Security System - Cab Alarm</t>
  </si>
  <si>
    <t>01657A0000365542</t>
  </si>
  <si>
    <t>2NPNHM6X6JM464224</t>
  </si>
  <si>
    <t>GAR-18-069</t>
  </si>
  <si>
    <t>Cooling Systems</t>
  </si>
  <si>
    <t>1657-0000872</t>
  </si>
  <si>
    <t>2/24/2026 7:51:00 AM</t>
  </si>
  <si>
    <t>2/24/2026 3:52:04 PM</t>
  </si>
  <si>
    <t>2/24/2026 3:51:28 PM</t>
  </si>
  <si>
    <t>VRO 1657-0000872 has been Accepted
Note:</t>
  </si>
  <si>
    <t>1FTRS4X81PKA65071</t>
  </si>
  <si>
    <t>GAR-23-032U</t>
  </si>
  <si>
    <t>HVAC Diagnostics</t>
  </si>
  <si>
    <t>1657-0001436</t>
  </si>
  <si>
    <t>3/2/2026 6:55:00 AM</t>
  </si>
  <si>
    <t>3/2/2026 2:55:49 PM</t>
  </si>
  <si>
    <t>3/2/2026 2:55:06 PM</t>
  </si>
  <si>
    <t>TRUCKUP LLC</t>
  </si>
  <si>
    <t>1FDWE3FL6ADA06308</t>
  </si>
  <si>
    <t>GAR-6230</t>
  </si>
  <si>
    <t>1657-0001509</t>
  </si>
  <si>
    <t>3/3/2026 8:15:00 AM</t>
  </si>
  <si>
    <t>3/3/2026 4:34:43 PM</t>
  </si>
  <si>
    <t>3/3/2026 4:14:41 PM</t>
  </si>
  <si>
    <t>01657A0000378169</t>
  </si>
  <si>
    <t>3FDXF75R73MB03958</t>
  </si>
  <si>
    <t>GAR-4324</t>
  </si>
  <si>
    <t>1657-0001467</t>
  </si>
  <si>
    <t>3/2/2026 11:00:00 AM</t>
  </si>
  <si>
    <t>3/2/2026 7:59:03 PM</t>
  </si>
  <si>
    <t>3/2/2026 7:00:44 PM</t>
  </si>
  <si>
    <t>01657A0000372180</t>
  </si>
  <si>
    <t>2NPNHM6X6JM461890</t>
  </si>
  <si>
    <t>GAR-18-056</t>
  </si>
  <si>
    <t>1657-0001463</t>
  </si>
  <si>
    <t>3/2/2026 10:46:00 AM</t>
  </si>
  <si>
    <t>3/2/2026 6:46:54 PM</t>
  </si>
  <si>
    <t>3/2/2026 6:46:26 PM</t>
  </si>
  <si>
    <t>01657A0000366145</t>
  </si>
  <si>
    <t>1FDWE3FL6ADA94521</t>
  </si>
  <si>
    <t>GAR-6442</t>
  </si>
  <si>
    <t>1657-0000895</t>
  </si>
  <si>
    <t>2/24/2026 12:39:00 PM</t>
  </si>
  <si>
    <t>2/24/2026 8:39:38 PM</t>
  </si>
  <si>
    <t>2/24/2026 8:39:04 PM</t>
  </si>
  <si>
    <t>BRIDGESTONE AMERICAS TIRE OPERATIONS, LL</t>
  </si>
  <si>
    <t>VRO 1657-0000895 has been Accepted
Note:</t>
  </si>
  <si>
    <t>2NPNHM6X8JM472776</t>
  </si>
  <si>
    <t>GAR-18-121</t>
  </si>
  <si>
    <t>General Accessories</t>
  </si>
  <si>
    <t>1657-0001437</t>
  </si>
  <si>
    <t>3/2/2026 7:01:00 AM</t>
  </si>
  <si>
    <t>3/2/2026 3:07:58 PM</t>
  </si>
  <si>
    <t>3/2/2026 3:07:33 PM</t>
  </si>
  <si>
    <t>VRO 1657-0001437 has been Accepted
Note:</t>
  </si>
  <si>
    <t>01657A0000364992</t>
  </si>
  <si>
    <t>Suspension Diagnostics</t>
  </si>
  <si>
    <t>1657-0000819</t>
  </si>
  <si>
    <t>2/23/2026 12:40:00 PM</t>
  </si>
  <si>
    <t>2/23/2026 8:41:46 PM</t>
  </si>
  <si>
    <t>2/23/2026 8:40:00 PM</t>
  </si>
  <si>
    <t>01657A0000377664</t>
  </si>
  <si>
    <t>3FRNF6HP2DV000042</t>
  </si>
  <si>
    <t>GAR-13-012</t>
  </si>
  <si>
    <t>1657-0001749</t>
  </si>
  <si>
    <t>3/6/2026 9:34:00 AM</t>
  </si>
  <si>
    <t>3/6/2026 5:34:51 PM</t>
  </si>
  <si>
    <t>3/6/2026 5:34:20 PM</t>
  </si>
  <si>
    <t>01657A0000359031</t>
  </si>
  <si>
    <t>1657-0000369</t>
  </si>
  <si>
    <t>2/17/2026 12:32:00 PM</t>
  </si>
  <si>
    <t>2/17/2026 8:32:36 PM</t>
  </si>
  <si>
    <t>2/17/2026 8:32:08 PM</t>
  </si>
  <si>
    <t>POMP'S TIRE SERVICE INC</t>
  </si>
  <si>
    <t>VRO 1657-0000369 has been Accepted
Note:</t>
  </si>
  <si>
    <t>01657A0000377055</t>
  </si>
  <si>
    <t>1XPBDP9X7SD730292</t>
  </si>
  <si>
    <t>GAR-25-008U</t>
  </si>
  <si>
    <t>Bumper Assembly - Front</t>
  </si>
  <si>
    <t>1657-0001689</t>
  </si>
  <si>
    <t>3/5/2026 3:31:00 PM</t>
  </si>
  <si>
    <t>3/5/2026 11:31:51 PM</t>
  </si>
  <si>
    <t>3/5/2026 11:30:40 PM</t>
  </si>
  <si>
    <t>01657A0000378349</t>
  </si>
  <si>
    <t>2NPNHM6X5FM285857</t>
  </si>
  <si>
    <t>GAR-15-078</t>
  </si>
  <si>
    <t>1657-0001718</t>
  </si>
  <si>
    <t>3/6/2026 4:11:00 AM</t>
  </si>
  <si>
    <t>3/6/2026 12:11:13 PM</t>
  </si>
  <si>
    <t>3/6/2026 12:10:39 PM</t>
  </si>
  <si>
    <t>GARDA - BROADVIEW, IL 19048</t>
  </si>
  <si>
    <t>01657A0000366041</t>
  </si>
  <si>
    <t>1FTRS4X83MKA08298</t>
  </si>
  <si>
    <t>GAR-21-026U</t>
  </si>
  <si>
    <t>1657-0000889</t>
  </si>
  <si>
    <t>2/24/2026 11:47:00 AM</t>
  </si>
  <si>
    <t>2/24/2026 7:47:26 PM</t>
  </si>
  <si>
    <t>2/24/2026 7:46:39 PM</t>
  </si>
  <si>
    <t>VRO 1657-0000889 has been Accepted
Note:</t>
  </si>
  <si>
    <t>01657A0000365066</t>
  </si>
  <si>
    <t>1FTRS4X80MKA25611</t>
  </si>
  <si>
    <t>GAR-21-033U</t>
  </si>
  <si>
    <t>1657-0000825</t>
  </si>
  <si>
    <t>2/23/2026 2:06:00 PM</t>
  </si>
  <si>
    <t>2/23/2026 10:06:36 PM</t>
  </si>
  <si>
    <t>2/23/2026 10:05:49 PM</t>
  </si>
  <si>
    <t>VRO 1657-0000825 has been Accepted
Note:</t>
  </si>
  <si>
    <t>01657A0000373145</t>
  </si>
  <si>
    <t>1657-0001511</t>
  </si>
  <si>
    <t>3/3/2026 8:22:00 AM</t>
  </si>
  <si>
    <t>3/3/2026 4:21:53 PM</t>
  </si>
  <si>
    <t>3/3/2026 4:21:34 PM</t>
  </si>
  <si>
    <t>VRO 1657-0001511 has been Accepted
Note:</t>
  </si>
  <si>
    <t>01657A0000375163</t>
  </si>
  <si>
    <t>1FDWE3FL0ADA23945</t>
  </si>
  <si>
    <t>GAR-6162</t>
  </si>
  <si>
    <t>Powerplant Diagnostics Lighting System Diagnostic</t>
  </si>
  <si>
    <t>1657-0001628</t>
  </si>
  <si>
    <t>3/4/2026 6:42:00 PM</t>
  </si>
  <si>
    <t>3/5/2026 2:42:03 AM</t>
  </si>
  <si>
    <t>3/5/2026 4:41:37 AM</t>
  </si>
  <si>
    <t>01657A0000359047</t>
  </si>
  <si>
    <t>1657-0000360</t>
  </si>
  <si>
    <t>2/17/2026 10:35:00 AM</t>
  </si>
  <si>
    <t>2/17/2026 6:36:45 PM</t>
  </si>
  <si>
    <t>2/17/2026 6:34:52 PM</t>
  </si>
  <si>
    <t>General Accessories Diagnostics</t>
  </si>
  <si>
    <t>01657A0000375166</t>
  </si>
  <si>
    <t>OTHER Fuel Systems Diagnostics</t>
  </si>
  <si>
    <t>1657-0001149</t>
  </si>
  <si>
    <t>2/27/2026 7:08:00 AM</t>
  </si>
  <si>
    <t>3/3/2026 11:12:01 PM</t>
  </si>
  <si>
    <t>3/4/2026 1:07:31 AM</t>
  </si>
  <si>
    <t>01657A0000362965</t>
  </si>
  <si>
    <t>1657-0000673</t>
  </si>
  <si>
    <t>2/20/2026 12:17:00 PM</t>
  </si>
  <si>
    <t>2/20/2026 8:18:46 PM</t>
  </si>
  <si>
    <t>2/20/2026 8:17:27 PM</t>
  </si>
  <si>
    <t>KING FLEET INC</t>
  </si>
  <si>
    <t>GAR-17-069</t>
  </si>
  <si>
    <t>Heating &amp; Ventilating</t>
  </si>
  <si>
    <t>01657A0000378045</t>
  </si>
  <si>
    <t>3FRWF65N54V684821</t>
  </si>
  <si>
    <t>GAR-4698</t>
  </si>
  <si>
    <t>1657-0001766</t>
  </si>
  <si>
    <t>3/6/2026 1:29:00 PM</t>
  </si>
  <si>
    <t>3/6/2026 9:36:01 PM</t>
  </si>
  <si>
    <t>3/6/2026 9:29:30 PM</t>
  </si>
  <si>
    <t>VRO 1657-0001766 has been Accepted
Note:</t>
  </si>
  <si>
    <t>1657-0001520</t>
  </si>
  <si>
    <t>3/3/2026 10:34:00 AM</t>
  </si>
  <si>
    <t>3/3/2026 6:37:08 PM</t>
  </si>
  <si>
    <t>3/3/2026 6:35:04 PM</t>
  </si>
  <si>
    <t>01657A0000377860</t>
  </si>
  <si>
    <t>3FRWF65NX5V158430</t>
  </si>
  <si>
    <t>GAR-5046</t>
  </si>
  <si>
    <t>1657-0001756</t>
  </si>
  <si>
    <t>3/6/2026 12:00:00 PM</t>
  </si>
  <si>
    <t>3/6/2026 8:00:49 PM</t>
  </si>
  <si>
    <t>3/6/2026 8:00:28 PM</t>
  </si>
  <si>
    <t>GARDA - VENDED - GREENVILLE, SC 25095</t>
  </si>
  <si>
    <t>01657A0000369994</t>
  </si>
  <si>
    <t>3FRWF65N85V177669</t>
  </si>
  <si>
    <t>GAR-5696</t>
  </si>
  <si>
    <t>Steering - All Steer</t>
  </si>
  <si>
    <t>1657-0001234</t>
  </si>
  <si>
    <t>2/27/2026 9:11:00 AM</t>
  </si>
  <si>
    <t>2/27/2026 5:11:34 PM</t>
  </si>
  <si>
    <t>2/27/2026 5:11:10 PM</t>
  </si>
  <si>
    <t>E2 DIESEL REPAIR</t>
  </si>
  <si>
    <t>VRO 1657-0001234 has been Accepted
Note:</t>
  </si>
  <si>
    <t>01657A0000359146</t>
  </si>
  <si>
    <t>1657-0000378</t>
  </si>
  <si>
    <t>2/17/2026 1:26:00 PM</t>
  </si>
  <si>
    <t>2/17/2026 9:27:09 PM</t>
  </si>
  <si>
    <t>2/17/2026 9:26:27 PM</t>
  </si>
  <si>
    <t>VRO 1657-0000378 has been Accepted
Note:</t>
  </si>
  <si>
    <t>01657A0000375131</t>
  </si>
  <si>
    <t>1FTRS4X89LKA29218</t>
  </si>
  <si>
    <t>GAR-20-053U</t>
  </si>
  <si>
    <t>1657-0001622</t>
  </si>
  <si>
    <t>3/4/2026 4:23:00 PM</t>
  </si>
  <si>
    <t>3/5/2026 12:23:45 AM</t>
  </si>
  <si>
    <t>3/5/2026 2:23:10 AM</t>
  </si>
  <si>
    <t>GARDA - FAIRFIELD, NJ 28050</t>
  </si>
  <si>
    <t>01657A0000366587</t>
  </si>
  <si>
    <t>2NPNHM6X5GM318955</t>
  </si>
  <si>
    <t>GAR-16-043</t>
  </si>
  <si>
    <t>1657-0000903</t>
  </si>
  <si>
    <t>2/24/2026 5:17:00 PM</t>
  </si>
  <si>
    <t>2/25/2026 2:03:21 PM</t>
  </si>
  <si>
    <t>2/25/2026 2:02:53 PM</t>
  </si>
  <si>
    <t>01657A0000376890</t>
  </si>
  <si>
    <t>1657-0001681</t>
  </si>
  <si>
    <t>3/5/2026 1:04:00 PM</t>
  </si>
  <si>
    <t>3/5/2026 9:05:17 PM</t>
  </si>
  <si>
    <t>3/5/2026 9:04:36 PM</t>
  </si>
  <si>
    <t>01657A0000371513</t>
  </si>
  <si>
    <t>1657-0001426</t>
  </si>
  <si>
    <t>3/2/2026 5:40:00 AM</t>
  </si>
  <si>
    <t>3/2/2026 1:45:17 PM</t>
  </si>
  <si>
    <t>3/2/2026 1:39:57 PM</t>
  </si>
  <si>
    <t>01657A0000363182</t>
  </si>
  <si>
    <t>1FTYR2ZM0GKA98603</t>
  </si>
  <si>
    <t>GAR-T16-004</t>
  </si>
  <si>
    <t>1657-0000483</t>
  </si>
  <si>
    <t>2/18/2026 2:37:00 PM</t>
  </si>
  <si>
    <t>2/21/2026 4:10:49 AM</t>
  </si>
  <si>
    <t>2/21/2026 4:00:18 AM</t>
  </si>
  <si>
    <t>DISPATCH WRECKER SERVICE</t>
  </si>
  <si>
    <t>1657-0001084</t>
  </si>
  <si>
    <t>2/26/2026 9:59:00 AM</t>
  </si>
  <si>
    <t>2/26/2026 6:00:34 PM</t>
  </si>
  <si>
    <t>2/26/2026 5:59:30 PM</t>
  </si>
  <si>
    <t>01657A0000373171</t>
  </si>
  <si>
    <t>1657-0001512</t>
  </si>
  <si>
    <t>3/3/2026 8:29:00 AM</t>
  </si>
  <si>
    <t>3/3/2026 4:31:54 PM</t>
  </si>
  <si>
    <t>3/3/2026 4:29:48 PM</t>
  </si>
  <si>
    <t>1657-0000874</t>
  </si>
  <si>
    <t>2/24/2026 8:22:00 AM</t>
  </si>
  <si>
    <t>2/24/2026 4:23:53 PM</t>
  </si>
  <si>
    <t>2/24/2026 4:21:57 PM</t>
  </si>
  <si>
    <t>GARDA - SACRAMENTO, CA 12035</t>
  </si>
  <si>
    <t>01657A0000376831</t>
  </si>
  <si>
    <t>1FDWE35L97DB42152</t>
  </si>
  <si>
    <t>GAR-5974</t>
  </si>
  <si>
    <t>1657-0001677</t>
  </si>
  <si>
    <t>3/5/2026 12:19:00 PM</t>
  </si>
  <si>
    <t>3/5/2026 8:19:42 PM</t>
  </si>
  <si>
    <t>3/5/2026 8:19:17 PM</t>
  </si>
  <si>
    <t>1657-0001427</t>
  </si>
  <si>
    <t>3/2/2026 6:16:00 AM</t>
  </si>
  <si>
    <t>3/2/2026 2:17:54 PM</t>
  </si>
  <si>
    <t>3/2/2026 2:16:31 PM</t>
  </si>
  <si>
    <t>01657A0000362847</t>
  </si>
  <si>
    <t>1657-0000668</t>
  </si>
  <si>
    <t>2/20/2026 11:11:00 AM</t>
  </si>
  <si>
    <t>2/20/2026 7:11:16 PM</t>
  </si>
  <si>
    <t>2/20/2026 7:10:41 PM</t>
  </si>
  <si>
    <t>01657A0000376911</t>
  </si>
  <si>
    <t>1657-0001680</t>
  </si>
  <si>
    <t>3/5/2026 1:01:00 PM</t>
  </si>
  <si>
    <t>3/5/2026 9:03:47 PM</t>
  </si>
  <si>
    <t>3/5/2026 9:00:38 PM</t>
  </si>
  <si>
    <t>01657A0000378350</t>
  </si>
  <si>
    <t>OTHER</t>
  </si>
  <si>
    <t>1657-0001184</t>
  </si>
  <si>
    <t>2/27/2026 7:39:00 AM</t>
  </si>
  <si>
    <t>3/8/2026 12:45:30 AM</t>
  </si>
  <si>
    <t>GARDA-EDISON NJ 14085</t>
  </si>
  <si>
    <t>GAR-IND-EDISON-001</t>
  </si>
  <si>
    <t>1657-0000939</t>
  </si>
  <si>
    <t>2/25/2026 5:55:00 AM</t>
  </si>
  <si>
    <t>2/25/2026 1:56:51 PM</t>
  </si>
  <si>
    <t>2/25/2026 1:55:08 PM</t>
  </si>
  <si>
    <t>VRO 1657-0000939 has been Accepted
Note:</t>
  </si>
  <si>
    <t>01657A0000370741</t>
  </si>
  <si>
    <t>1657-0001266</t>
  </si>
  <si>
    <t>2/27/2026 1:27:00 PM</t>
  </si>
  <si>
    <t>2/28/2026 5:20:01 PM</t>
  </si>
  <si>
    <t>2/28/2026 5:19:22 PM</t>
  </si>
  <si>
    <t>KMR TRUCK PARTS &amp; SERVICE</t>
  </si>
  <si>
    <t>01657A0000369204</t>
  </si>
  <si>
    <t>1657-0001097</t>
  </si>
  <si>
    <t>2/26/2026 11:47:00 AM</t>
  </si>
  <si>
    <t>2/26/2026 7:47:41 PM</t>
  </si>
  <si>
    <t>2/26/2026 7:46:51 PM</t>
  </si>
  <si>
    <t>01657A0000377426</t>
  </si>
  <si>
    <t>1FDWE3FL3ADA23924</t>
  </si>
  <si>
    <t>GAR-6152</t>
  </si>
  <si>
    <t>1657-0001738</t>
  </si>
  <si>
    <t>3/6/2026 7:43:00 AM</t>
  </si>
  <si>
    <t>3/6/2026 3:43:45 PM</t>
  </si>
  <si>
    <t>3/6/2026 3:42:40 PM</t>
  </si>
  <si>
    <t>01657A0000373214</t>
  </si>
  <si>
    <t>2NPNHM6X5JM483153</t>
  </si>
  <si>
    <t>GAR-18-167</t>
  </si>
  <si>
    <t>1657-0001194</t>
  </si>
  <si>
    <t>2/27/2026 7:47:00 AM</t>
  </si>
  <si>
    <t>3/3/2026 4:12:15 PM</t>
  </si>
  <si>
    <t>3/3/2026 4:11:07 PM</t>
  </si>
  <si>
    <t>01657A0000362499</t>
  </si>
  <si>
    <t>1FDWE3FLXADA94599</t>
  </si>
  <si>
    <t>GAR-6358</t>
  </si>
  <si>
    <t>Exhaust System</t>
  </si>
  <si>
    <t>1657-0000631</t>
  </si>
  <si>
    <t>2/20/2026 7:56:00 AM</t>
  </si>
  <si>
    <t>2/20/2026 4:00:05 PM</t>
  </si>
  <si>
    <t>2/20/2026 5:56:23 PM</t>
  </si>
  <si>
    <t>01657A0000377368</t>
  </si>
  <si>
    <t>3FRWF65N95V158421</t>
  </si>
  <si>
    <t>GAR-5076</t>
  </si>
  <si>
    <t>1657-0001736</t>
  </si>
  <si>
    <t>3/6/2026 7:04:00 AM</t>
  </si>
  <si>
    <t>3/6/2026 3:05:28 PM</t>
  </si>
  <si>
    <t>3/6/2026 3:04:46 PM</t>
  </si>
  <si>
    <t>01657A0000359391</t>
  </si>
  <si>
    <t>2NPNHM6X3HM319121</t>
  </si>
  <si>
    <t>GAR-17-130</t>
  </si>
  <si>
    <t>1657-0000375</t>
  </si>
  <si>
    <t>2/17/2026 1:15:00 PM</t>
  </si>
  <si>
    <t>2/18/2026 12:45:57 PM</t>
  </si>
  <si>
    <t>2/18/2026 12:38:42 PM</t>
  </si>
  <si>
    <t>01657A0000365650</t>
  </si>
  <si>
    <t>1657-0000876</t>
  </si>
  <si>
    <t>2/24/2026 8:33:00 AM</t>
  </si>
  <si>
    <t>2/24/2026 4:34:56 PM</t>
  </si>
  <si>
    <t>2/24/2026 4:33:19 PM</t>
  </si>
  <si>
    <t>01657A0000365531</t>
  </si>
  <si>
    <t>2NPNHM6X4GM318963</t>
  </si>
  <si>
    <t>GAR-16-051</t>
  </si>
  <si>
    <t>1657-0000870</t>
  </si>
  <si>
    <t>2/24/2026 7:26:00 AM</t>
  </si>
  <si>
    <t>2/24/2026 3:43:38 PM</t>
  </si>
  <si>
    <t>2/24/2026 3:43:03 PM</t>
  </si>
  <si>
    <t>01657A0000365530</t>
  </si>
  <si>
    <t>2NPNHM6X4JM464223</t>
  </si>
  <si>
    <t>GAR-18-068</t>
  </si>
  <si>
    <t>Side Door - Special Application</t>
  </si>
  <si>
    <t>1657-0000871</t>
  </si>
  <si>
    <t>2/24/2026 7:38:00 AM</t>
  </si>
  <si>
    <t>2/24/2026 3:41:48 PM</t>
  </si>
  <si>
    <t>2/24/2026 3:38:22 PM</t>
  </si>
  <si>
    <t>VRO 1657-0000871 has been Accepted
Note:</t>
  </si>
  <si>
    <t>1FTRU8XG4RKB58095</t>
  </si>
  <si>
    <t>GAR-25-026U</t>
  </si>
  <si>
    <t>1657-0001073</t>
  </si>
  <si>
    <t>2/26/2026 7:55:00 AM</t>
  </si>
  <si>
    <t>2/26/2026 3:55:45 PM</t>
  </si>
  <si>
    <t>2/26/2026 3:55:28 PM</t>
  </si>
  <si>
    <t>SOUTHERN TIRE MART LLC-303317</t>
  </si>
  <si>
    <t>CASE</t>
  </si>
  <si>
    <t>yes</t>
  </si>
  <si>
    <t>01657A0000359327</t>
  </si>
  <si>
    <t>1FTSE3EL5CDA59864</t>
  </si>
  <si>
    <t>GAR-121418</t>
  </si>
  <si>
    <t>1657-0000383</t>
  </si>
  <si>
    <t>2/17/2026 2:56:00 PM</t>
  </si>
  <si>
    <t>2/18/2026 1:50:32 AM</t>
  </si>
  <si>
    <t>2/17/2026 10:55:57 PM</t>
  </si>
  <si>
    <t>01657A0000363179</t>
  </si>
  <si>
    <t>1657-0000428</t>
  </si>
  <si>
    <t>2/18/2026 5:57:00 AM</t>
  </si>
  <si>
    <t>2/21/2026 3:42:37 AM</t>
  </si>
  <si>
    <t>2/21/2026 3:40:16 AM</t>
  </si>
  <si>
    <t>01657A0000377841</t>
  </si>
  <si>
    <t>1657-0000543</t>
  </si>
  <si>
    <t>2/19/2026 9:15:00 AM</t>
  </si>
  <si>
    <t>2/19/2026 5:15:29 PM</t>
  </si>
  <si>
    <t>2/19/2026 5:14:42 PM</t>
  </si>
  <si>
    <t>1657-0000323</t>
  </si>
  <si>
    <t>2/17/2026 6:29:00 AM</t>
  </si>
  <si>
    <t>2/17/2026 2:29:30 PM</t>
  </si>
  <si>
    <t>2/17/2026 2:29:09 PM</t>
  </si>
  <si>
    <t>VRO 1657-0000323 has been Accepted
Note:</t>
  </si>
  <si>
    <t>01657A0000364913</t>
  </si>
  <si>
    <t>1FDWE3FLXADA06294</t>
  </si>
  <si>
    <t>GAR-6212</t>
  </si>
  <si>
    <t>1657-0000811</t>
  </si>
  <si>
    <t>2/23/2026 12:19:00 PM</t>
  </si>
  <si>
    <t>2/23/2026 8:19:24 PM</t>
  </si>
  <si>
    <t>2/23/2026 8:18:56 PM</t>
  </si>
  <si>
    <t>3FRWF65N74V659208</t>
  </si>
  <si>
    <t>GAR-4700</t>
  </si>
  <si>
    <t>1657-0001742</t>
  </si>
  <si>
    <t>3/6/2026 8:07:00 AM</t>
  </si>
  <si>
    <t>3/6/2026 4:10:14 PM</t>
  </si>
  <si>
    <t>3/6/2026 4:07:52 PM</t>
  </si>
  <si>
    <t>1FDAF5GY9CEC55907</t>
  </si>
  <si>
    <t>GAR-121606</t>
  </si>
  <si>
    <t>1657-0000644</t>
  </si>
  <si>
    <t>2/20/2026 8:31:50 AM</t>
  </si>
  <si>
    <t>2/21/2026 3:48:06 PM</t>
  </si>
  <si>
    <t>2/21/2026 3:44:53 PM</t>
  </si>
  <si>
    <t>aEnO_1MI1_E2kAI9GHxiKdA</t>
  </si>
  <si>
    <t>1657-0000802</t>
  </si>
  <si>
    <t>2/23/2026 10:44:00 AM</t>
  </si>
  <si>
    <t>2/23/2026 6:45:29 PM</t>
  </si>
  <si>
    <t>2/23/2026 6:43:48 PM</t>
  </si>
  <si>
    <t>01657A0000373347</t>
  </si>
  <si>
    <t>2NPNHM6X4HM319077</t>
  </si>
  <si>
    <t>GAR-17-086</t>
  </si>
  <si>
    <t>1657-0001519</t>
  </si>
  <si>
    <t>3/3/2026 10:24:00 AM</t>
  </si>
  <si>
    <t>3/3/2026 6:25:00 PM</t>
  </si>
  <si>
    <t>3/3/2026 6:24:12 PM</t>
  </si>
  <si>
    <t>01657A0000369547</t>
  </si>
  <si>
    <t>1657-0001132</t>
  </si>
  <si>
    <t>2/27/2026 3:57:00 AM</t>
  </si>
  <si>
    <t>2/27/2026 11:57:50 AM</t>
  </si>
  <si>
    <t>2/27/2026 11:57:20 AM</t>
  </si>
  <si>
    <t>VRO 1657-0001132 has been Accepted
Note:</t>
  </si>
  <si>
    <t>01657A0000372674</t>
  </si>
  <si>
    <t>2NPNHM6X3FM285825</t>
  </si>
  <si>
    <t>GAR-15-046</t>
  </si>
  <si>
    <t>1657-0001495</t>
  </si>
  <si>
    <t>3/2/2026 5:50:00 PM</t>
  </si>
  <si>
    <t>3/3/2026 1:50:51 AM</t>
  </si>
  <si>
    <t>3/3/2026 1:49:36 AM</t>
  </si>
  <si>
    <t>01657A0000369115</t>
  </si>
  <si>
    <t>1657-0001091</t>
  </si>
  <si>
    <t>2/26/2026 11:19:00 AM</t>
  </si>
  <si>
    <t>2/26/2026 7:19:55 PM</t>
  </si>
  <si>
    <t>2/26/2026 7:19:30 PM</t>
  </si>
  <si>
    <t>01657A0000378135</t>
  </si>
  <si>
    <t>2NPNHM6X8HM319132</t>
  </si>
  <si>
    <t>GAR-17-141</t>
  </si>
  <si>
    <t>1657-0001782</t>
  </si>
  <si>
    <t>3/6/2026 6:30:00 PM</t>
  </si>
  <si>
    <t>3/7/2026 2:30:45 AM</t>
  </si>
  <si>
    <t>3/7/2026 2:30:21 AM</t>
  </si>
  <si>
    <t>01657A0000370180</t>
  </si>
  <si>
    <t>1657-0001242</t>
  </si>
  <si>
    <t>2/27/2026 10:43:00 AM</t>
  </si>
  <si>
    <t>2/27/2026 6:46:28 PM</t>
  </si>
  <si>
    <t>2/27/2026 6:43:05 PM</t>
  </si>
  <si>
    <t>GAR-4460</t>
  </si>
  <si>
    <t>01657A0000376527</t>
  </si>
  <si>
    <t>Horn &amp; Mounting Horn &amp; Mounting Horn &amp; Mounting Horn &amp; Mounting</t>
  </si>
  <si>
    <t>1657-0001439</t>
  </si>
  <si>
    <t>3/2/2026 6:38:16 AM</t>
  </si>
  <si>
    <t>3/3/2026 10:57:29 PM</t>
  </si>
  <si>
    <t>3/3/2026 10:56:49 PM</t>
  </si>
  <si>
    <t>01657A0000367587</t>
  </si>
  <si>
    <t>1657-0000829</t>
  </si>
  <si>
    <t>2/23/2026 3:18:00 PM</t>
  </si>
  <si>
    <t>2/25/2026 11:32:41 PM</t>
  </si>
  <si>
    <t>2/25/2026 11:31:26 PM</t>
  </si>
  <si>
    <t>1657-0001489</t>
  </si>
  <si>
    <t>3/2/2026 3:41:00 PM</t>
  </si>
  <si>
    <t>3/2/2026 11:41:23 PM</t>
  </si>
  <si>
    <t>3/2/2026 11:40:42 PM</t>
  </si>
  <si>
    <t>01657A0000369502</t>
  </si>
  <si>
    <t>2NPNHM6X5JM319143</t>
  </si>
  <si>
    <t>GAR-18-002</t>
  </si>
  <si>
    <t>1657-0001129</t>
  </si>
  <si>
    <t>2/26/2026 7:12:00 PM</t>
  </si>
  <si>
    <t>2/27/2026 3:12:57 AM</t>
  </si>
  <si>
    <t>2/27/2026 3:12:07 AM</t>
  </si>
  <si>
    <t>VRO 1657-0001129 has been Accepted
Note:</t>
  </si>
  <si>
    <t>01657A0000375158</t>
  </si>
  <si>
    <t>1FDWE35L47DA89067</t>
  </si>
  <si>
    <t>GAR-5814</t>
  </si>
  <si>
    <t>1657-0001627</t>
  </si>
  <si>
    <t>3/4/2026 6:30:00 PM</t>
  </si>
  <si>
    <t>3/5/2026 2:31:16 AM</t>
  </si>
  <si>
    <t>3/5/2026 4:30:11 AM</t>
  </si>
  <si>
    <t>01657A0000362372</t>
  </si>
  <si>
    <t>1657-0000627</t>
  </si>
  <si>
    <t>2/20/2026 7:07:00 AM</t>
  </si>
  <si>
    <t>2/20/2026 3:07:33 PM</t>
  </si>
  <si>
    <t>2/20/2026 3:06:54 PM</t>
  </si>
  <si>
    <t>CDecker@ameritfleet.com</t>
  </si>
  <si>
    <t>2NPNHM6X1JM464227</t>
  </si>
  <si>
    <t>GAR-18-072</t>
  </si>
  <si>
    <t>3/4/2026 3:05:00 PM</t>
  </si>
  <si>
    <t>01657A0000376161</t>
  </si>
  <si>
    <t>1FTRS4XM6KKA16633</t>
  </si>
  <si>
    <t>GAR-19-061</t>
  </si>
  <si>
    <t>1657-0001276</t>
  </si>
  <si>
    <t>2/27/2026 3:31:00 PM</t>
  </si>
  <si>
    <t>2/27/2026 11:37:26 PM</t>
  </si>
  <si>
    <t>2/27/2026 11:30:58 PM</t>
  </si>
  <si>
    <t>01657A0000367607</t>
  </si>
  <si>
    <t>2NPNHM6X5GM318972</t>
  </si>
  <si>
    <t>GAR-16-060</t>
  </si>
  <si>
    <t>1657-0001013</t>
  </si>
  <si>
    <t>2/25/2026 4:30:00 PM</t>
  </si>
  <si>
    <t>2/26/2026 12:31:08 AM</t>
  </si>
  <si>
    <t>2/26/2026 12:30:13 AM</t>
  </si>
  <si>
    <t>SWooton@ameritfleet.com</t>
  </si>
  <si>
    <t>01657A0000379060</t>
  </si>
  <si>
    <t>1FTRS4X8XLKA67234</t>
  </si>
  <si>
    <t>GAR-20-163U</t>
  </si>
  <si>
    <t>1657-0001909</t>
  </si>
  <si>
    <t>3/9/2026 4:00:00 AM</t>
  </si>
  <si>
    <t>3/9/2026 11:00:41 AM</t>
  </si>
  <si>
    <t>3/9/2026 11:00:12 AM</t>
  </si>
  <si>
    <t>VRO 1657-0001909 has been Accepted
Note:</t>
  </si>
  <si>
    <t>1FDRS6PM4JKB22116</t>
  </si>
  <si>
    <t>GAR-19-001</t>
  </si>
  <si>
    <t>3/31/2026 12:00:00 AM</t>
  </si>
  <si>
    <t>01657A0000372548</t>
  </si>
  <si>
    <t>1657-0001480</t>
  </si>
  <si>
    <t>3/2/2026 2:06:00 PM</t>
  </si>
  <si>
    <t>3/2/2026 10:10:08 PM</t>
  </si>
  <si>
    <t>3/2/2026 10:06:26 PM</t>
  </si>
  <si>
    <t>VRO 1657-0001480 has been Accepted
Note:</t>
  </si>
  <si>
    <t>01657A0000376531</t>
  </si>
  <si>
    <t>1657-0001619</t>
  </si>
  <si>
    <t>3/4/2026 3:17:00 PM</t>
  </si>
  <si>
    <t>3/4/2026 11:18:51 PM</t>
  </si>
  <si>
    <t>3/4/2026 11:17:01 PM</t>
  </si>
  <si>
    <t>01657A0000378073</t>
  </si>
  <si>
    <t>1657-0001773</t>
  </si>
  <si>
    <t>3/6/2026 10:08:00 PM</t>
  </si>
  <si>
    <t>3/7/2026 12:07:21 AM</t>
  </si>
  <si>
    <t>2NPNHM6X8HM319082</t>
  </si>
  <si>
    <t>GAR-17-091</t>
  </si>
  <si>
    <t>1657-0001483</t>
  </si>
  <si>
    <t>3/2/2026 2:51:00 PM</t>
  </si>
  <si>
    <t>3/2/2026 10:51:38 PM</t>
  </si>
  <si>
    <t>3/2/2026 10:51:08 PM</t>
  </si>
  <si>
    <t>01657A0000372601</t>
  </si>
  <si>
    <t>1FTRS4X87LKA29198</t>
  </si>
  <si>
    <t>GAR-20-010U</t>
  </si>
  <si>
    <t>1657-0001484</t>
  </si>
  <si>
    <t>3/2/2026 3:17:00 PM</t>
  </si>
  <si>
    <t>3/2/2026 11:17:49 PM</t>
  </si>
  <si>
    <t>3/3/2026 1:17:10 AM</t>
  </si>
  <si>
    <t>01657A0000358716</t>
  </si>
  <si>
    <t>1657-0000350</t>
  </si>
  <si>
    <t>2/17/2026 9:44:00 AM</t>
  </si>
  <si>
    <t>2/17/2026 5:50:43 PM</t>
  </si>
  <si>
    <t>2/17/2026 5:44:37 PM</t>
  </si>
  <si>
    <t>01657A0000362720</t>
  </si>
  <si>
    <t>1FTRS4X85LKA29121</t>
  </si>
  <si>
    <t>GAR-20-083U</t>
  </si>
  <si>
    <t>1657-0000663</t>
  </si>
  <si>
    <t>2/20/2026 9:55:00 AM</t>
  </si>
  <si>
    <t>2/20/2026 6:08:16 PM</t>
  </si>
  <si>
    <t>2/20/2026 5:55:10 PM</t>
  </si>
  <si>
    <t>01657A0000358562</t>
  </si>
  <si>
    <t>TEST &amp; REPLACE BATTERIES</t>
  </si>
  <si>
    <t>1657-0000297</t>
  </si>
  <si>
    <t>2/17/2026 5:22:00 AM</t>
  </si>
  <si>
    <t>2/17/2026 5:00:50 PM</t>
  </si>
  <si>
    <t>2/17/2026 5:00:10 PM</t>
  </si>
  <si>
    <t>01657A0000379978</t>
  </si>
  <si>
    <t>1657-0001734</t>
  </si>
  <si>
    <t>3/6/2026 6:56:00 AM</t>
  </si>
  <si>
    <t>3/6/2026 2:57:41 PM</t>
  </si>
  <si>
    <t>3/6/2026 2:56:35 PM</t>
  </si>
  <si>
    <t>01657A0000370830</t>
  </si>
  <si>
    <t>1657-0000439</t>
  </si>
  <si>
    <t>2/18/2026 7:11:00 AM</t>
  </si>
  <si>
    <t>2/18/2026 3:11:36 PM</t>
  </si>
  <si>
    <t>2/18/2026 3:11:20 PM</t>
  </si>
  <si>
    <t>01657A0000369249</t>
  </si>
  <si>
    <t>1657-0001100</t>
  </si>
  <si>
    <t>2/26/2026 12:19:00 PM</t>
  </si>
  <si>
    <t>2/26/2026 8:19:49 PM</t>
  </si>
  <si>
    <t>2/26/2026 8:19:12 PM</t>
  </si>
  <si>
    <t>GARDA - ANAHEIM, CA 12003</t>
  </si>
  <si>
    <t>1FDWE35L37DA38756</t>
  </si>
  <si>
    <t>GAR-5726</t>
  </si>
  <si>
    <t>01657A0000364999</t>
  </si>
  <si>
    <t>1657-0000820</t>
  </si>
  <si>
    <t>2/23/2026 1:02:00 PM</t>
  </si>
  <si>
    <t>2/23/2026 9:02:32 PM</t>
  </si>
  <si>
    <t>2/23/2026 9:02:04 PM</t>
  </si>
  <si>
    <t>01657A0000373872</t>
  </si>
  <si>
    <t>1657-0001554</t>
  </si>
  <si>
    <t>3/3/2026 5:40:00 PM</t>
  </si>
  <si>
    <t>3/4/2026 1:40:06 AM</t>
  </si>
  <si>
    <t>3/4/2026 1:39:40 AM</t>
  </si>
  <si>
    <t>GOOD YEAR ID 07702106</t>
  </si>
  <si>
    <t>01657A0000370006</t>
  </si>
  <si>
    <t>Steering Linkage</t>
  </si>
  <si>
    <t>1657-0001236</t>
  </si>
  <si>
    <t>2/27/2026 9:16:00 AM</t>
  </si>
  <si>
    <t>2/27/2026 5:16:50 PM</t>
  </si>
  <si>
    <t>2/27/2026 5:16:10 PM</t>
  </si>
  <si>
    <t>VRO 1657-0001236 has been Accepted
Note:</t>
  </si>
  <si>
    <t>emailed for auth</t>
  </si>
  <si>
    <t>01657A0000379994</t>
  </si>
  <si>
    <t>1657-0001732</t>
  </si>
  <si>
    <t>3/6/2026 6:42:00 AM</t>
  </si>
  <si>
    <t>3/6/2026 2:43:43 PM</t>
  </si>
  <si>
    <t>3/6/2026 2:42:25 PM</t>
  </si>
  <si>
    <t>VRO 1657-0001732 has been Accepted
Note:</t>
  </si>
  <si>
    <t>01657A0000369101</t>
  </si>
  <si>
    <t>2NPNHM6X2FM277859</t>
  </si>
  <si>
    <t>GAR-15-004</t>
  </si>
  <si>
    <t>1657-0000982</t>
  </si>
  <si>
    <t>2/25/2026 4:11:00 PM</t>
  </si>
  <si>
    <t>2/25/2026 9:18:12 PM</t>
  </si>
  <si>
    <t>2/25/2026 9:17:47 PM</t>
  </si>
  <si>
    <t>VRO 1657-0000982 has been Accepted
Note:</t>
  </si>
  <si>
    <t>01657A0000358022</t>
  </si>
  <si>
    <t>1657-0000285</t>
  </si>
  <si>
    <t>2/16/2026 3:06:00 PM</t>
  </si>
  <si>
    <t>2/16/2026 11:07:37 PM</t>
  </si>
  <si>
    <t>2/16/2026 11:06:24 PM</t>
  </si>
  <si>
    <t>01657A0000377111</t>
  </si>
  <si>
    <t>4VHJAAPF1XN865092</t>
  </si>
  <si>
    <t>GAR-3054</t>
  </si>
  <si>
    <t>1657-0001715</t>
  </si>
  <si>
    <t>3/5/2026 7:49:00 PM</t>
  </si>
  <si>
    <t>3/6/2026 3:49:44 AM</t>
  </si>
  <si>
    <t>3/6/2026 3:49:20 AM</t>
  </si>
  <si>
    <t>01657A0000370832</t>
  </si>
  <si>
    <t>1657-0001313</t>
  </si>
  <si>
    <t>2/28/2026 6:51:00 PM</t>
  </si>
  <si>
    <t>3/1/2026 2:52:07 AM</t>
  </si>
  <si>
    <t>3/1/2026 2:51:23 AM</t>
  </si>
  <si>
    <t>1657-0000319</t>
  </si>
  <si>
    <t>2/17/2026 6:24:00 AM</t>
  </si>
  <si>
    <t>2/17/2026 2:24:50 PM</t>
  </si>
  <si>
    <t>2/17/2026 2:24:26 PM</t>
  </si>
  <si>
    <t>VRO 1657-0000319 has been Accepted
Note:</t>
  </si>
  <si>
    <t>01657A0000370879</t>
  </si>
  <si>
    <t>1657-0000855</t>
  </si>
  <si>
    <t>2/24/2026 5:14:05 AM</t>
  </si>
  <si>
    <t>3/2/2026 12:51:01 AM</t>
  </si>
  <si>
    <t>3/2/2026 12:50:23 AM</t>
  </si>
  <si>
    <t>1FDWE3FL8ADA01871</t>
  </si>
  <si>
    <t>GAR-6184</t>
  </si>
  <si>
    <t>1657-0000547</t>
  </si>
  <si>
    <t>2/19/2026 9:43:00 AM</t>
  </si>
  <si>
    <t>2/20/2026 1:58:22 PM</t>
  </si>
  <si>
    <t>2/20/2026 1:57:37 PM</t>
  </si>
  <si>
    <t>1657-0000318</t>
  </si>
  <si>
    <t>2/17/2026 6:22:00 AM</t>
  </si>
  <si>
    <t>2/17/2026 2:22:43 PM</t>
  </si>
  <si>
    <t>2/17/2026 2:22:18 PM</t>
  </si>
  <si>
    <t>VRO 1657-0000318 has been Accepted
Note:</t>
  </si>
  <si>
    <t>01657A0000378134</t>
  </si>
  <si>
    <t>1657-0001780</t>
  </si>
  <si>
    <t>3/6/2026 5:13:00 PM</t>
  </si>
  <si>
    <t>3/7/2026 1:26:34 AM</t>
  </si>
  <si>
    <t>3/7/2026 1:12:48 AM</t>
  </si>
  <si>
    <t>VRO 1657-0001780 has been Accepted
Note:</t>
  </si>
  <si>
    <t>01657A0000372661</t>
  </si>
  <si>
    <t>1657-0001494</t>
  </si>
  <si>
    <t>3/2/2026 5:07:00 PM</t>
  </si>
  <si>
    <t>3/3/2026 1:08:11 AM</t>
  </si>
  <si>
    <t>3/3/2026 3:07:18 AM</t>
  </si>
  <si>
    <t>1HTMMAAM0BH375780</t>
  </si>
  <si>
    <t>GAR-6876</t>
  </si>
  <si>
    <t>01657A0000372359</t>
  </si>
  <si>
    <t>Headlamps</t>
  </si>
  <si>
    <t>1657-0001472</t>
  </si>
  <si>
    <t>3/2/2026 12:13:00 PM</t>
  </si>
  <si>
    <t>3/2/2026 8:17:06 PM</t>
  </si>
  <si>
    <t>3/2/2026 8:13:06 PM</t>
  </si>
  <si>
    <t>01657A0000365484</t>
  </si>
  <si>
    <t>1657-0000868</t>
  </si>
  <si>
    <t>2/24/2026 7:20:00 AM</t>
  </si>
  <si>
    <t>2/24/2026 3:20:25 PM</t>
  </si>
  <si>
    <t>2/24/2026 3:19:36 PM</t>
  </si>
  <si>
    <t>VRO 1657-0000868 has been Accepted
Note:</t>
  </si>
  <si>
    <t>01657A0000366128</t>
  </si>
  <si>
    <t>2NPNHM6X2GM318976</t>
  </si>
  <si>
    <t>GAR-16-064</t>
  </si>
  <si>
    <t>1657-0000894</t>
  </si>
  <si>
    <t>2/24/2026 12:26:00 PM</t>
  </si>
  <si>
    <t>2/24/2026 8:26:53 PM</t>
  </si>
  <si>
    <t>2/24/2026 8:26:25 PM</t>
  </si>
  <si>
    <t>01657A0000369274</t>
  </si>
  <si>
    <t>2NPNHM6X3JM472796</t>
  </si>
  <si>
    <t>GAR-18-141</t>
  </si>
  <si>
    <t>1657-0001093</t>
  </si>
  <si>
    <t>2/26/2026 11:28:00 AM</t>
  </si>
  <si>
    <t>2/26/2026 8:35:15 PM</t>
  </si>
  <si>
    <t>2/26/2026 8:34:51 PM</t>
  </si>
  <si>
    <t>pending parts from cambli</t>
  </si>
  <si>
    <t>GAR-360</t>
  </si>
  <si>
    <t>01657A0000375096</t>
  </si>
  <si>
    <t>1657-0001620</t>
  </si>
  <si>
    <t>3/4/2026 3:20:00 PM</t>
  </si>
  <si>
    <t>3/4/2026 11:20:23 PM</t>
  </si>
  <si>
    <t>3/5/2026 1:19:47 AM</t>
  </si>
  <si>
    <t>01657A0000378132</t>
  </si>
  <si>
    <t>1657-0001781</t>
  </si>
  <si>
    <t>3/6/2026 5:14:00 PM</t>
  </si>
  <si>
    <t>3/7/2026 1:25:57 AM</t>
  </si>
  <si>
    <t>3/7/2026 1:14:16 AM</t>
  </si>
  <si>
    <t>01657A0000362028</t>
  </si>
  <si>
    <t>1657-0000583</t>
  </si>
  <si>
    <t>2/19/2026 2:34:00 PM</t>
  </si>
  <si>
    <t>2/19/2026 10:35:03 PM</t>
  </si>
  <si>
    <t>2/19/2026 10:33:53 PM</t>
  </si>
  <si>
    <t>VRO 1657-0000583 has been Accepted
Note:</t>
  </si>
  <si>
    <t>01657A0000359714</t>
  </si>
  <si>
    <t>1657-0000443</t>
  </si>
  <si>
    <t>2/18/2026 7:37:00 AM</t>
  </si>
  <si>
    <t>2/18/2026 4:05:40 PM</t>
  </si>
  <si>
    <t>2/18/2026 3:36:45 PM</t>
  </si>
  <si>
    <t>1657-0001629</t>
  </si>
  <si>
    <t>3/4/2026 6:59:00 PM</t>
  </si>
  <si>
    <t>3/5/2026 3:00:12 AM</t>
  </si>
  <si>
    <t>3/5/2026 4:58:54 AM</t>
  </si>
  <si>
    <t>01657A0000363149</t>
  </si>
  <si>
    <t>1FTRS4X89MKA25624</t>
  </si>
  <si>
    <t>GAR-21-048U</t>
  </si>
  <si>
    <t>1657-0000709</t>
  </si>
  <si>
    <t>2/20/2026 4:05:00 PM</t>
  </si>
  <si>
    <t>2/21/2026 12:06:20 AM</t>
  </si>
  <si>
    <t>2/21/2026 12:05:04 AM</t>
  </si>
  <si>
    <t>01657A0000377494</t>
  </si>
  <si>
    <t>1657-0001743</t>
  </si>
  <si>
    <t>3/6/2026 8:16:00 AM</t>
  </si>
  <si>
    <t>3/6/2026 4:20:59 PM</t>
  </si>
  <si>
    <t>3/6/2026 4:16:33 PM</t>
  </si>
  <si>
    <t>CORCENTRIC, LLC-116356747</t>
  </si>
  <si>
    <t>VRO 1657-0001743 has been Accepted
Note:</t>
  </si>
  <si>
    <t>01657A0000375168</t>
  </si>
  <si>
    <t>1657-0001156</t>
  </si>
  <si>
    <t>2/27/2026 7:12:00 AM</t>
  </si>
  <si>
    <t>3/5/2026 3:21:10 AM</t>
  </si>
  <si>
    <t>3/5/2026 5:20:24 AM</t>
  </si>
  <si>
    <t>01657A0000377944</t>
  </si>
  <si>
    <t>1657-0001759</t>
  </si>
  <si>
    <t>3/6/2026 12:43:00 PM</t>
  </si>
  <si>
    <t>3/6/2026 8:43:01 PM</t>
  </si>
  <si>
    <t>3/6/2026 8:42:35 PM</t>
  </si>
  <si>
    <t>01657A0000379999</t>
  </si>
  <si>
    <t>1657-0001731</t>
  </si>
  <si>
    <t>3/6/2026 6:40:00 AM</t>
  </si>
  <si>
    <t>3/6/2026 2:40:41 PM</t>
  </si>
  <si>
    <t>3/6/2026 2:40:10 PM</t>
  </si>
  <si>
    <t>01657A0000377044</t>
  </si>
  <si>
    <t>1FDRS6PM1JKB35471</t>
  </si>
  <si>
    <t>GAR-19-012</t>
  </si>
  <si>
    <t>1657-0001688</t>
  </si>
  <si>
    <t>3/5/2026 3:15:00 PM</t>
  </si>
  <si>
    <t>3/5/2026 11:16:41 PM</t>
  </si>
  <si>
    <t>3/5/2026 11:15:29 PM</t>
  </si>
  <si>
    <t>01657A0000361132</t>
  </si>
  <si>
    <t>1FTRS4X87LKA67241</t>
  </si>
  <si>
    <t>GAR-20-111U</t>
  </si>
  <si>
    <t>Ignition Switch</t>
  </si>
  <si>
    <t>1657-0000523</t>
  </si>
  <si>
    <t>2/19/2026 6:20:00 AM</t>
  </si>
  <si>
    <t>2/19/2026 2:20:53 PM</t>
  </si>
  <si>
    <t>2/19/2026 2:19:41 PM</t>
  </si>
  <si>
    <t>ELITE TRUCK REPAIR INC</t>
  </si>
  <si>
    <t>01657A0000359972</t>
  </si>
  <si>
    <t>1657-0000460</t>
  </si>
  <si>
    <t>2/18/2026 10:26:00 AM</t>
  </si>
  <si>
    <t>2/18/2026 6:29:18 PM</t>
  </si>
  <si>
    <t>2/18/2026 6:27:33 PM</t>
  </si>
  <si>
    <t>01657A0000357533</t>
  </si>
  <si>
    <t>3FRWF65N15V176833</t>
  </si>
  <si>
    <t>GAR-5238</t>
  </si>
  <si>
    <t>GARDA F650 PM LEVEL B</t>
  </si>
  <si>
    <t>1657-0000246</t>
  </si>
  <si>
    <t>2/16/2026 9:37:00 AM</t>
  </si>
  <si>
    <t>2/16/2026 5:37:50 PM</t>
  </si>
  <si>
    <t>2/16/2026 5:37:30 PM</t>
  </si>
  <si>
    <t>VRO 1657-0000246 has been Accepted
Note:</t>
  </si>
  <si>
    <t>1657-0001744</t>
  </si>
  <si>
    <t>3/6/2026 8:20:00 AM</t>
  </si>
  <si>
    <t>3/6/2026 4:21:00 PM</t>
  </si>
  <si>
    <t>3/6/2026 4:20:15 PM</t>
  </si>
  <si>
    <t>1FTRU8XG6RKA28786</t>
  </si>
  <si>
    <t>GAR-24-009U</t>
  </si>
  <si>
    <t>1657-0000532</t>
  </si>
  <si>
    <t>2/19/2026 6:57:00 AM</t>
  </si>
  <si>
    <t>2/23/2026 6:01:55 PM</t>
  </si>
  <si>
    <t>2/23/2026 5:39:58 PM</t>
  </si>
  <si>
    <t>01657A0000359342</t>
  </si>
  <si>
    <t>2NPNHM6X7JM483171</t>
  </si>
  <si>
    <t>GAR-18-185</t>
  </si>
  <si>
    <t>1657-0000396</t>
  </si>
  <si>
    <t>2/17/2026 8:36:00 PM</t>
  </si>
  <si>
    <t>2/18/2026 4:37:19 AM</t>
  </si>
  <si>
    <t>2/18/2026 5:36:03 AM</t>
  </si>
  <si>
    <t>FBeardslee@ameritfleet.com</t>
  </si>
  <si>
    <t>VRO 1657-0000396 has been Accepted
Note: NA</t>
  </si>
  <si>
    <t>01657A0000369550</t>
  </si>
  <si>
    <t>1657-0001133</t>
  </si>
  <si>
    <t>2/27/2026 4:01:00 AM</t>
  </si>
  <si>
    <t>2/27/2026 12:01:32 PM</t>
  </si>
  <si>
    <t>2/27/2026 12:01:06 PM</t>
  </si>
  <si>
    <t>VRO 1657-0001133 has been Accepted
Note:</t>
  </si>
  <si>
    <t>01657A0000376676</t>
  </si>
  <si>
    <t>1FTRS4X85LKA29118</t>
  </si>
  <si>
    <t>GAR-20-048U</t>
  </si>
  <si>
    <t>1657-0001667</t>
  </si>
  <si>
    <t>3/5/2026 11:00:00 AM</t>
  </si>
  <si>
    <t>3/5/2026 7:03:46 PM</t>
  </si>
  <si>
    <t>3/5/2026 6:59:39 PM</t>
  </si>
  <si>
    <t>2NPNHM6X1HM319067</t>
  </si>
  <si>
    <t>GAR-17-076</t>
  </si>
  <si>
    <t>01657A0000370331</t>
  </si>
  <si>
    <t>Powerplant</t>
  </si>
  <si>
    <t>1657-0001254</t>
  </si>
  <si>
    <t>2/27/2026 12:00:00 PM</t>
  </si>
  <si>
    <t>2/27/2026 8:01:17 PM</t>
  </si>
  <si>
    <t>2/27/2026 8:00:46 PM</t>
  </si>
  <si>
    <t>01657A0000375156</t>
  </si>
  <si>
    <t>2NPNHM6X5GM318986</t>
  </si>
  <si>
    <t>GAR-16-074</t>
  </si>
  <si>
    <t>1657-0000838</t>
  </si>
  <si>
    <t>2/23/2026 4:30:00 PM</t>
  </si>
  <si>
    <t>2/24/2026 12:31:04 AM</t>
  </si>
  <si>
    <t>2/24/2026 12:30:21 AM</t>
  </si>
  <si>
    <t>01657A0000369352</t>
  </si>
  <si>
    <t>1657-0001107</t>
  </si>
  <si>
    <t>2/26/2026 1:27:00 PM</t>
  </si>
  <si>
    <t>2/26/2026 9:30:45 PM</t>
  </si>
  <si>
    <t>2/26/2026 9:27:40 PM</t>
  </si>
  <si>
    <t>VRO 1657-0001107 has been Accepted
Note:</t>
  </si>
  <si>
    <t>1657-0001108</t>
  </si>
  <si>
    <t>2/26/2026 1:38:00 PM</t>
  </si>
  <si>
    <t>2/26/2026 9:39:59 PM</t>
  </si>
  <si>
    <t>2/26/2026 9:39:31 PM</t>
  </si>
  <si>
    <t>BETTS TRUCK PARTS SERVICE</t>
  </si>
  <si>
    <t>VRO 1657-0001108 has been Accepted
Note:</t>
  </si>
  <si>
    <t>GARDA - SAN DIEGO, CA 12005</t>
  </si>
  <si>
    <t>01657A0000359214</t>
  </si>
  <si>
    <t>2NPNHM6X5JM461850</t>
  </si>
  <si>
    <t>GAR-18-016</t>
  </si>
  <si>
    <t>1657-0000381</t>
  </si>
  <si>
    <t>2/17/2026 2:25:00 PM</t>
  </si>
  <si>
    <t>2/17/2026 10:25:59 PM</t>
  </si>
  <si>
    <t>2/17/2026 10:24:56 PM</t>
  </si>
  <si>
    <t>VRO 1657-0000381 has been Accepted
Note:</t>
  </si>
  <si>
    <t>01657A0000378095</t>
  </si>
  <si>
    <t>1FDSE35L33HB66190</t>
  </si>
  <si>
    <t>GAR-4552</t>
  </si>
  <si>
    <t>1657-0001776</t>
  </si>
  <si>
    <t>3/6/2026 2:32:00 PM</t>
  </si>
  <si>
    <t>3/6/2026 10:33:20 PM</t>
  </si>
  <si>
    <t>3/6/2026 10:32:35 PM</t>
  </si>
  <si>
    <t>1657-0001567</t>
  </si>
  <si>
    <t>3/4/2026 5:50:00 AM</t>
  </si>
  <si>
    <t>3/4/2026 1:55:07 PM</t>
  </si>
  <si>
    <t>3/4/2026 1:49:45 PM</t>
  </si>
  <si>
    <t>01657A0000374936</t>
  </si>
  <si>
    <t>2NPNHM6X4JM472788</t>
  </si>
  <si>
    <t>GAR-18-133</t>
  </si>
  <si>
    <t>1657-0001191</t>
  </si>
  <si>
    <t>2/27/2026 7:44:00 AM</t>
  </si>
  <si>
    <t>3/4/2026 7:31:31 PM</t>
  </si>
  <si>
    <t>3/4/2026 9:20:29 PM</t>
  </si>
  <si>
    <t>MAD MECHANICS LLC KENNEWICK</t>
  </si>
  <si>
    <t>ROAD CALL</t>
  </si>
  <si>
    <t>FINAL CHARGES SUBMITTED</t>
  </si>
  <si>
    <t>01657A0000364042</t>
  </si>
  <si>
    <t>1657-0000736</t>
  </si>
  <si>
    <t>2/21/2026 7:22:00 AM</t>
  </si>
  <si>
    <t>2/23/2026 11:33:14 AM</t>
  </si>
  <si>
    <t>2/23/2026 11:32:34 AM</t>
  </si>
  <si>
    <t>01657A0000373408</t>
  </si>
  <si>
    <t>1657-0001522</t>
  </si>
  <si>
    <t>3/3/2026 11:03:00 AM</t>
  </si>
  <si>
    <t>3/3/2026 7:04:49 PM</t>
  </si>
  <si>
    <t>3/3/2026 7:03:31 PM</t>
  </si>
  <si>
    <t>01657A0000367364</t>
  </si>
  <si>
    <t>2NPNHM6X2JM464219</t>
  </si>
  <si>
    <t>GAR-18-064</t>
  </si>
  <si>
    <t>1657-0000660</t>
  </si>
  <si>
    <t>2/20/2026 9:50:00 AM</t>
  </si>
  <si>
    <t>2/20/2026 5:55:44 PM</t>
  </si>
  <si>
    <t>2/20/2026 5:49:56 PM</t>
  </si>
  <si>
    <t>2NPNHM6XXGM318997</t>
  </si>
  <si>
    <t>GAR-16-085</t>
  </si>
  <si>
    <t>1FTRU8XGXRKB82515</t>
  </si>
  <si>
    <t>GAR-25-035U</t>
  </si>
  <si>
    <t>01657A0000357593</t>
  </si>
  <si>
    <t>1657-0000252</t>
  </si>
  <si>
    <t>2/16/2026 10:08:00 AM</t>
  </si>
  <si>
    <t>2/16/2026 6:10:53 PM</t>
  </si>
  <si>
    <t>2/16/2026 6:07:41 PM</t>
  </si>
  <si>
    <t>01657A0000372546</t>
  </si>
  <si>
    <t>1657-0001479</t>
  </si>
  <si>
    <t>3/2/2026 2:02:00 PM</t>
  </si>
  <si>
    <t>3/2/2026 10:21:06 PM</t>
  </si>
  <si>
    <t>3/2/2026 10:01:57 PM</t>
  </si>
  <si>
    <t>01657A0000371653</t>
  </si>
  <si>
    <t>Air Conditioning Assembly - Complete</t>
  </si>
  <si>
    <t>1657-0001172</t>
  </si>
  <si>
    <t>2/27/2026 7:23:00 AM</t>
  </si>
  <si>
    <t>2/27/2026 6:35:08 PM</t>
  </si>
  <si>
    <t>2/27/2026 6:33:44 PM</t>
  </si>
  <si>
    <t>01657A0000373908</t>
  </si>
  <si>
    <t>1657-0000774</t>
  </si>
  <si>
    <t>2/23/2026 6:48:00 AM</t>
  </si>
  <si>
    <t>2/27/2026 4:40:01 PM</t>
  </si>
  <si>
    <t>2/27/2026 4:39:40 PM</t>
  </si>
  <si>
    <t>01657A0000366433</t>
  </si>
  <si>
    <t>1657-0000696</t>
  </si>
  <si>
    <t>2/20/2026 2:27:00 PM</t>
  </si>
  <si>
    <t>2/25/2026 3:40:29 AM</t>
  </si>
  <si>
    <t>2/25/2026 4:40:08 AM</t>
  </si>
  <si>
    <t>KGuittard@ameritfleet.com</t>
  </si>
  <si>
    <t>01657A0000370744</t>
  </si>
  <si>
    <t>1FTRS4X85PKA01440</t>
  </si>
  <si>
    <t>GAR-23-003U</t>
  </si>
  <si>
    <t>1657-0001291</t>
  </si>
  <si>
    <t>2/28/2026 7:22:00 AM</t>
  </si>
  <si>
    <t>2/28/2026 3:42:05 PM</t>
  </si>
  <si>
    <t>2/28/2026 3:41:39 PM</t>
  </si>
  <si>
    <t>2NPNHM6X2JM464253</t>
  </si>
  <si>
    <t>GAR-18-098</t>
  </si>
  <si>
    <t>01657A0000374079</t>
  </si>
  <si>
    <t>Electronic/electrical Control &amp; Monitor</t>
  </si>
  <si>
    <t>1657-0000725</t>
  </si>
  <si>
    <t>2/20/2026 10:13:00 PM</t>
  </si>
  <si>
    <t>2/25/2026 4:19:21 AM</t>
  </si>
  <si>
    <t>2/25/2026 5:18:41 AM</t>
  </si>
  <si>
    <t>Jobs</t>
  </si>
  <si>
    <t>anQc2k07TNkC_axZZtsoP0A</t>
  </si>
  <si>
    <t>01657A0000378205</t>
  </si>
  <si>
    <t>3FRNF6HP0DV000024</t>
  </si>
  <si>
    <t>GAR-13-009</t>
  </si>
  <si>
    <t>1657-0001303</t>
  </si>
  <si>
    <t>2/28/2026 1:25:00 PM</t>
  </si>
  <si>
    <t>3/7/2026 2:20:46 PM</t>
  </si>
  <si>
    <t>3/7/2026 2:19:56 PM</t>
  </si>
  <si>
    <t>NORTH AMERICAN TRAILER SALES LTD</t>
  </si>
  <si>
    <t>01657A0000375140</t>
  </si>
  <si>
    <t>Charging System Diagnostics</t>
  </si>
  <si>
    <t>1657-0001438</t>
  </si>
  <si>
    <t>3/2/2026 7:19:00 AM</t>
  </si>
  <si>
    <t>3/2/2026 3:28:41 PM</t>
  </si>
  <si>
    <t>3/2/2026 3:19:06 PM</t>
  </si>
  <si>
    <t>01657A0000374876</t>
  </si>
  <si>
    <t>1657-0001598</t>
  </si>
  <si>
    <t>3/4/2026 11:38:00 AM</t>
  </si>
  <si>
    <t>3/4/2026 7:40:33 PM</t>
  </si>
  <si>
    <t>3/4/2026 7:38:11 PM</t>
  </si>
  <si>
    <t>01657A0000366445</t>
  </si>
  <si>
    <t>1657-0000783</t>
  </si>
  <si>
    <t>2/23/2026 7:39:00 AM</t>
  </si>
  <si>
    <t>2/25/2026 4:39:02 AM</t>
  </si>
  <si>
    <t>2/25/2026 5:38:14 AM</t>
  </si>
  <si>
    <t>01657A0000370833</t>
  </si>
  <si>
    <t>2NPNHM6X4GM309132</t>
  </si>
  <si>
    <t>GAR-16-027</t>
  </si>
  <si>
    <t>Bearings, Hubs - Position Not Specified</t>
  </si>
  <si>
    <t>1657-0001299</t>
  </si>
  <si>
    <t>2/28/2026 12:31:00 PM</t>
  </si>
  <si>
    <t>2/28/2026 8:31:19 PM</t>
  </si>
  <si>
    <t>2/28/2026 8:30:52 PM</t>
  </si>
  <si>
    <t>01657A0000378049</t>
  </si>
  <si>
    <t>1657-0001767</t>
  </si>
  <si>
    <t>3/6/2026 1:36:00 PM</t>
  </si>
  <si>
    <t>3/6/2026 9:46:28 PM</t>
  </si>
  <si>
    <t>3/6/2026 9:45:54 PM</t>
  </si>
  <si>
    <t>GAR-5816</t>
  </si>
  <si>
    <t>01657A0000360082</t>
  </si>
  <si>
    <t>Housing - Power Steering Pump Motor</t>
  </si>
  <si>
    <t>1657-0000334</t>
  </si>
  <si>
    <t>2/17/2026 7:36:00 AM</t>
  </si>
  <si>
    <t>2/18/2026 12:21:37 PM</t>
  </si>
  <si>
    <t>2/18/2026 12:10:54 PM</t>
  </si>
  <si>
    <t>01657A0000374391</t>
  </si>
  <si>
    <t>1657-0001584</t>
  </si>
  <si>
    <t>3/4/2026 8:30:00 AM</t>
  </si>
  <si>
    <t>3/4/2026 4:31:03 PM</t>
  </si>
  <si>
    <t>3/4/2026 4:30:07 PM</t>
  </si>
  <si>
    <t>01657A0000370873</t>
  </si>
  <si>
    <t>2NPNHM6X1JM483165</t>
  </si>
  <si>
    <t>GAR-18-179</t>
  </si>
  <si>
    <t>1657-0001408</t>
  </si>
  <si>
    <t>3/1/2026 3:21:00 PM</t>
  </si>
  <si>
    <t>3/1/2026 11:21:05 PM</t>
  </si>
  <si>
    <t>3/1/2026 11:20:37 PM</t>
  </si>
  <si>
    <t>1FTRS4X8XNKA23012</t>
  </si>
  <si>
    <t>GAR-22-007U</t>
  </si>
  <si>
    <t>GARDA TRANSIT PM Level B</t>
  </si>
  <si>
    <t>01657A0000373866</t>
  </si>
  <si>
    <t>1657-0001078</t>
  </si>
  <si>
    <t>2/26/2026 8:23:00 AM</t>
  </si>
  <si>
    <t>3/4/2026 12:55:52 AM</t>
  </si>
  <si>
    <t>3/4/2026 12:54:07 AM</t>
  </si>
  <si>
    <t>01657A0000372739</t>
  </si>
  <si>
    <t>1657-0001298</t>
  </si>
  <si>
    <t>2/28/2026 12:28:00 PM</t>
  </si>
  <si>
    <t>2/28/2026 8:28:54 PM</t>
  </si>
  <si>
    <t>2/28/2026 8:28:34 PM</t>
  </si>
  <si>
    <t>GARDA - VENDED - DOVER, DE 14092</t>
  </si>
  <si>
    <t>01657A0000371483</t>
  </si>
  <si>
    <t>1FDWE35L97DB27764</t>
  </si>
  <si>
    <t>GAR-5926</t>
  </si>
  <si>
    <t>1657-0001425</t>
  </si>
  <si>
    <t>3/2/2026 5:22:00 AM</t>
  </si>
  <si>
    <t>3/2/2026 1:24:14 PM</t>
  </si>
  <si>
    <t>3/2/2026 1:22:32 PM</t>
  </si>
  <si>
    <t>J&amp;J FLEET SERVICES LLC</t>
  </si>
  <si>
    <t>01657A0000370882</t>
  </si>
  <si>
    <t>1657-0000793</t>
  </si>
  <si>
    <t>2/23/2026 8:01:00 AM</t>
  </si>
  <si>
    <t>3/2/2026 8:16:24 AM</t>
  </si>
  <si>
    <t>3/2/2026 9:15:44 AM</t>
  </si>
  <si>
    <t>01657A0000371903</t>
  </si>
  <si>
    <t>1657-0001451</t>
  </si>
  <si>
    <t>3/2/2026 8:45:00 AM</t>
  </si>
  <si>
    <t>3/2/2026 4:45:27 PM</t>
  </si>
  <si>
    <t>3/2/2026 4:44:52 PM</t>
  </si>
  <si>
    <t>GAR-20-098U</t>
  </si>
  <si>
    <t>01657A0000370874</t>
  </si>
  <si>
    <t>1657-0001409</t>
  </si>
  <si>
    <t>3/1/2026 3:34:00 PM</t>
  </si>
  <si>
    <t>3/1/2026 11:34:53 PM</t>
  </si>
  <si>
    <t>3/1/2026 11:34:00 PM</t>
  </si>
  <si>
    <t>GAR-15-053</t>
  </si>
  <si>
    <t>01657A0000366937</t>
  </si>
  <si>
    <t>1FTRS4X83LKA53031</t>
  </si>
  <si>
    <t>GAR-20-130U</t>
  </si>
  <si>
    <t>1657-0000661</t>
  </si>
  <si>
    <t>2/20/2026 9:51:00 AM</t>
  </si>
  <si>
    <t>2/25/2026 4:44:32 PM</t>
  </si>
  <si>
    <t>2/25/2026 4:43:58 PM</t>
  </si>
  <si>
    <t>01657A0000366360</t>
  </si>
  <si>
    <t>1657-0000309</t>
  </si>
  <si>
    <t>2/17/2026 5:29:52 AM</t>
  </si>
  <si>
    <t>2/24/2026 10:29:08 PM</t>
  </si>
  <si>
    <t>2/25/2026 12:27:48 AM</t>
  </si>
  <si>
    <t>01657A0000362884 -4iZCHoIppQ</t>
  </si>
  <si>
    <t>01657A0000366442</t>
  </si>
  <si>
    <t>1657-0000789</t>
  </si>
  <si>
    <t>2/23/2026 7:49:00 AM</t>
  </si>
  <si>
    <t>2/25/2026 4:33:35 AM</t>
  </si>
  <si>
    <t>2/25/2026 5:33:11 AM</t>
  </si>
  <si>
    <t>01657A0000377655</t>
  </si>
  <si>
    <t>1FTRS4XM4KKB82441</t>
  </si>
  <si>
    <t>GAR-19-059</t>
  </si>
  <si>
    <t>1657-0001748</t>
  </si>
  <si>
    <t>3/6/2026 9:30:00 AM</t>
  </si>
  <si>
    <t>3/6/2026 5:31:50 PM</t>
  </si>
  <si>
    <t>3/6/2026 5:30:16 PM</t>
  </si>
  <si>
    <t>01657A0000366452</t>
  </si>
  <si>
    <t>Lighting System</t>
  </si>
  <si>
    <t>1657-0000436</t>
  </si>
  <si>
    <t>2/18/2026 6:03:41 AM</t>
  </si>
  <si>
    <t>2/25/2026 7:52:21 AM</t>
  </si>
  <si>
    <t>2/25/2026 8:51:48 AM</t>
  </si>
  <si>
    <t>aiMV4h8mq50Wv7Dcf7GkETw</t>
  </si>
  <si>
    <t>01657A0000377053</t>
  </si>
  <si>
    <t>1657-0001621</t>
  </si>
  <si>
    <t>3/4/2026 4:07:00 PM</t>
  </si>
  <si>
    <t>3/5/2026 11:26:47 PM</t>
  </si>
  <si>
    <t>3/5/2026 11:26:26 PM</t>
  </si>
  <si>
    <t>01657A0000363181</t>
  </si>
  <si>
    <t>1FTRS4X87LKA29119</t>
  </si>
  <si>
    <t>GAR-20-081U</t>
  </si>
  <si>
    <t>Guard - Security Seal, Rear Door</t>
  </si>
  <si>
    <t>1657-0000723</t>
  </si>
  <si>
    <t>2/20/2026 7:47:00 PM</t>
  </si>
  <si>
    <t>2/21/2026 3:47:03 AM</t>
  </si>
  <si>
    <t>2/21/2026 3:46:43 AM</t>
  </si>
  <si>
    <t>01657A0000371399</t>
  </si>
  <si>
    <t>2NPNHM6X7JM461865</t>
  </si>
  <si>
    <t>GAR-18-031</t>
  </si>
  <si>
    <t>1657-0000966</t>
  </si>
  <si>
    <t>2/25/2026 11:11:00 AM</t>
  </si>
  <si>
    <t>3/2/2026 12:07:11 PM</t>
  </si>
  <si>
    <t>3/2/2026 12:06:37 PM</t>
  </si>
  <si>
    <t>01657A0000371405</t>
  </si>
  <si>
    <t>1657-0001244</t>
  </si>
  <si>
    <t>2/27/2026 11:17:00 AM</t>
  </si>
  <si>
    <t>3/2/2026 12:22:32 PM</t>
  </si>
  <si>
    <t>3/2/2026 12:21:47 PM</t>
  </si>
  <si>
    <t>01657A0000376472</t>
  </si>
  <si>
    <t>1657-0001607</t>
  </si>
  <si>
    <t>3/4/2026 1:59:00 PM</t>
  </si>
  <si>
    <t>3/5/2026 5:04:18 PM</t>
  </si>
  <si>
    <t>3/5/2026 5:02:48 PM</t>
  </si>
  <si>
    <t>GARDA - MANCHESTER, NH 14424</t>
  </si>
  <si>
    <t>01657A0000373823</t>
  </si>
  <si>
    <t>1FTRS4X87MKA08286</t>
  </si>
  <si>
    <t>GAR-21-056U</t>
  </si>
  <si>
    <t>1657-0001548</t>
  </si>
  <si>
    <t>3/3/2026 3:56:00 PM</t>
  </si>
  <si>
    <t>3/3/2026 11:56:43 PM</t>
  </si>
  <si>
    <t>3/3/2026 11:56:01 PM</t>
  </si>
  <si>
    <t>3/27/2026 12:00:00 AM</t>
  </si>
  <si>
    <t>1FDWE35L07DA80401</t>
  </si>
  <si>
    <t>GAR-5774</t>
  </si>
  <si>
    <t>01657A0000373769</t>
  </si>
  <si>
    <t>1657-0001535</t>
  </si>
  <si>
    <t>3/3/2026 2:21:00 PM</t>
  </si>
  <si>
    <t>3/3/2026 10:40:02 PM</t>
  </si>
  <si>
    <t>3/3/2026 10:20:41 PM</t>
  </si>
  <si>
    <t>GAR-20-139U</t>
  </si>
  <si>
    <t>NONSCHEDULED</t>
  </si>
  <si>
    <t>15020</t>
  </si>
  <si>
    <t>01657A0000370878</t>
  </si>
  <si>
    <t>1657-0001157</t>
  </si>
  <si>
    <t>2/27/2026 7:13:00 AM</t>
  </si>
  <si>
    <t>3/2/2026 12:41:04 AM</t>
  </si>
  <si>
    <t>3/2/2026 12:39:47 AM</t>
  </si>
  <si>
    <t>01657A0000366448</t>
  </si>
  <si>
    <t>1657-0000546</t>
  </si>
  <si>
    <t>2/25/2026 4:48:56 AM</t>
  </si>
  <si>
    <t>2/25/2026 5:46:59 AM</t>
  </si>
  <si>
    <t>01657A0000370472</t>
  </si>
  <si>
    <t>1657-0001268</t>
  </si>
  <si>
    <t>2/27/2026 1:44:00 PM</t>
  </si>
  <si>
    <t>2/27/2026 9:44:32 PM</t>
  </si>
  <si>
    <t>2/27/2026 9:43:44 PM</t>
  </si>
  <si>
    <t>01657A0000369279</t>
  </si>
  <si>
    <t>2NPNHM6X3FM300193</t>
  </si>
  <si>
    <t>GAR-15-082</t>
  </si>
  <si>
    <t>1657-0001102</t>
  </si>
  <si>
    <t>2/26/2026 12:39:00 PM</t>
  </si>
  <si>
    <t>2/26/2026 8:41:12 PM</t>
  </si>
  <si>
    <t>2/26/2026 8:40:04 PM</t>
  </si>
  <si>
    <t>01657A0000376261</t>
  </si>
  <si>
    <t>1657-0001568</t>
  </si>
  <si>
    <t>3/4/2026 5:56:00 AM</t>
  </si>
  <si>
    <t>3/4/2026 1:56:44 PM</t>
  </si>
  <si>
    <t>3/4/2026 1:56:27 PM</t>
  </si>
  <si>
    <t>01657A0000366446</t>
  </si>
  <si>
    <t>1657-0000784</t>
  </si>
  <si>
    <t>2/23/2026 7:41:00 AM</t>
  </si>
  <si>
    <t>2/25/2026 4:41:38 AM</t>
  </si>
  <si>
    <t>2/25/2026 5:40:57 AM</t>
  </si>
  <si>
    <t>01657A0000373909</t>
  </si>
  <si>
    <t>Body /Container Assembly Complete</t>
  </si>
  <si>
    <t>1657-0000901</t>
  </si>
  <si>
    <t>2/24/2026 1:45:00 PM</t>
  </si>
  <si>
    <t>3/4/2026 9:35:21 AM</t>
  </si>
  <si>
    <t>3/4/2026 10:34:23 AM</t>
  </si>
  <si>
    <t>01657A0000376651</t>
  </si>
  <si>
    <t>1657-0001666</t>
  </si>
  <si>
    <t>3/5/2026 10:53:00 AM</t>
  </si>
  <si>
    <t>3/5/2026 6:54:03 PM</t>
  </si>
  <si>
    <t>3/5/2026 6:53:03 PM</t>
  </si>
  <si>
    <t>01657A0000365716</t>
  </si>
  <si>
    <t>1657-0000878</t>
  </si>
  <si>
    <t>2/24/2026 9:02:00 AM</t>
  </si>
  <si>
    <t>2/24/2026 5:03:03 PM</t>
  </si>
  <si>
    <t>2/24/2026 5:02:09 PM</t>
  </si>
  <si>
    <t>GARDA - PHOENIX, AZ 12081</t>
  </si>
  <si>
    <t>01657A0000373641</t>
  </si>
  <si>
    <t>1FTRS4X85MKA08285</t>
  </si>
  <si>
    <t>GAR-21-065U</t>
  </si>
  <si>
    <t>1657-0001528</t>
  </si>
  <si>
    <t>3/3/2026 12:44:00 PM</t>
  </si>
  <si>
    <t>3/3/2026 8:44:33 PM</t>
  </si>
  <si>
    <t>3/3/2026 8:43:57 PM</t>
  </si>
  <si>
    <t>01657A0000366431</t>
  </si>
  <si>
    <t>2NPNHM6X9JM464234</t>
  </si>
  <si>
    <t>GAR-18-079</t>
  </si>
  <si>
    <t>1657-0000685</t>
  </si>
  <si>
    <t>2/20/2026 2:13:00 PM</t>
  </si>
  <si>
    <t>2/25/2026 3:26:49 AM</t>
  </si>
  <si>
    <t>2/25/2026 4:25:13 AM</t>
  </si>
  <si>
    <t>Windshield Wiper &amp; Washer</t>
  </si>
  <si>
    <t>01657A0000365188</t>
  </si>
  <si>
    <t>1657-0000283</t>
  </si>
  <si>
    <t>2/16/2026 2:35:00 PM</t>
  </si>
  <si>
    <t>2/24/2026 3:17:18 AM</t>
  </si>
  <si>
    <t>2/24/2026 5:16:24 AM</t>
  </si>
  <si>
    <t>aWBwcA5214kS0kK5T15LOBQ</t>
  </si>
  <si>
    <t>01657A0000366440</t>
  </si>
  <si>
    <t>1657-0000780</t>
  </si>
  <si>
    <t>2/23/2026 7:32:00 AM</t>
  </si>
  <si>
    <t>2/25/2026 4:28:17 AM</t>
  </si>
  <si>
    <t>2/25/2026 5:27:53 AM</t>
  </si>
  <si>
    <t>01657A0000376501</t>
  </si>
  <si>
    <t>1FTRS4XM6KKB13850</t>
  </si>
  <si>
    <t>GAR-19-047</t>
  </si>
  <si>
    <t>Head - Mirror, Left</t>
  </si>
  <si>
    <t>1657-0000462</t>
  </si>
  <si>
    <t>2/18/2026 10:30:00 AM</t>
  </si>
  <si>
    <t>2/18/2026 7:01:10 PM</t>
  </si>
  <si>
    <t>2/18/2026 6:30:07 PM</t>
  </si>
  <si>
    <t>01657A0000365114</t>
  </si>
  <si>
    <t>Trasmission - Automatic Diagnostics</t>
  </si>
  <si>
    <t>1657-0000827</t>
  </si>
  <si>
    <t>2/23/2026 2:39:00 PM</t>
  </si>
  <si>
    <t>2/23/2026 10:41:50 PM</t>
  </si>
  <si>
    <t>2/23/2026 10:41:14 PM</t>
  </si>
  <si>
    <t>01657A0000378212</t>
  </si>
  <si>
    <t>1FTRS4X84LKA29188</t>
  </si>
  <si>
    <t>GAR-20-089U</t>
  </si>
  <si>
    <t>1657-0000762</t>
  </si>
  <si>
    <t>2/23/2026 6:07:00 AM</t>
  </si>
  <si>
    <t>2/27/2026 1:12:12 PM</t>
  </si>
  <si>
    <t>2/27/2026 1:10:24 PM</t>
  </si>
  <si>
    <t>01657A0000368540</t>
  </si>
  <si>
    <t>DRY-RUN</t>
  </si>
  <si>
    <t>1657-0001067</t>
  </si>
  <si>
    <t>2/26/2026 6:49:00 AM</t>
  </si>
  <si>
    <t>2/26/2026 2:51:45 PM</t>
  </si>
  <si>
    <t>2/26/2026 2:49:25 PM</t>
  </si>
  <si>
    <t>01657A0000368440</t>
  </si>
  <si>
    <t>1657-0001055</t>
  </si>
  <si>
    <t>2/26/2026 5:40:00 AM</t>
  </si>
  <si>
    <t>2/26/2026 1:40:06 PM</t>
  </si>
  <si>
    <t>2/26/2026 1:39:48 PM</t>
  </si>
  <si>
    <t>01657A0000378173</t>
  </si>
  <si>
    <t>1657-0001264</t>
  </si>
  <si>
    <t>2/27/2026 1:19:00 PM</t>
  </si>
  <si>
    <t>3/7/2026 1:07:46 PM</t>
  </si>
  <si>
    <t>3/7/2026 1:07:13 PM</t>
  </si>
  <si>
    <t>GAR-17-090</t>
  </si>
  <si>
    <t>01657A0000365437</t>
  </si>
  <si>
    <t>1657-0000733</t>
  </si>
  <si>
    <t>2/21/2026 7:07:00 AM</t>
  </si>
  <si>
    <t>2/24/2026 2:41:01 PM</t>
  </si>
  <si>
    <t>2/24/2026 2:39:59 PM</t>
  </si>
  <si>
    <t>01657A0000371403</t>
  </si>
  <si>
    <t>1657-0001350</t>
  </si>
  <si>
    <t>3/1/2026 8:45:00 AM</t>
  </si>
  <si>
    <t>3/1/2026 4:46:01 PM</t>
  </si>
  <si>
    <t>3/1/2026 4:45:32 PM</t>
  </si>
  <si>
    <t>GAR-22-012U</t>
  </si>
  <si>
    <t>01657A0000376469</t>
  </si>
  <si>
    <t>1FDAF5GY3CEC55918</t>
  </si>
  <si>
    <t>GAR-121617</t>
  </si>
  <si>
    <t>1657-0001645</t>
  </si>
  <si>
    <t>3/5/2026 8:25:00 AM</t>
  </si>
  <si>
    <t>3/5/2026 5:07:48 PM</t>
  </si>
  <si>
    <t>3/5/2026 4:25:33 PM</t>
  </si>
  <si>
    <t>01657A0000365094</t>
  </si>
  <si>
    <t>1657-0000826</t>
  </si>
  <si>
    <t>2/23/2026 2:22:00 PM</t>
  </si>
  <si>
    <t>2/23/2026 10:23:46 PM</t>
  </si>
  <si>
    <t>2/23/2026 10:22:30 PM</t>
  </si>
  <si>
    <t>01657A0000372611</t>
  </si>
  <si>
    <t>1657-0001486</t>
  </si>
  <si>
    <t>3/2/2026 3:31:00 PM</t>
  </si>
  <si>
    <t>3/2/2026 11:31:18 PM</t>
  </si>
  <si>
    <t>3/2/2026 11:30:42 PM</t>
  </si>
  <si>
    <t>Coil &amp; Spark Plugs</t>
  </si>
  <si>
    <t>01657A0000369158</t>
  </si>
  <si>
    <t>1657-0001094</t>
  </si>
  <si>
    <t>2/26/2026 11:34:00 AM</t>
  </si>
  <si>
    <t>2/26/2026 7:38:29 PM</t>
  </si>
  <si>
    <t>2/26/2026 7:34:24 PM</t>
  </si>
  <si>
    <t>01657A0000372659</t>
  </si>
  <si>
    <t>1657-0001075</t>
  </si>
  <si>
    <t>2/26/2026 8:09:00 AM</t>
  </si>
  <si>
    <t>2/27/2026 8:58:44 PM</t>
  </si>
  <si>
    <t>2/27/2026 8:47:43 PM</t>
  </si>
  <si>
    <t>01657A0000369860</t>
  </si>
  <si>
    <t>1657-0001198</t>
  </si>
  <si>
    <t>2/27/2026 7:58:00 AM</t>
  </si>
  <si>
    <t>2/27/2026 3:58:29 PM</t>
  </si>
  <si>
    <t>2/27/2026 3:57:54 PM</t>
  </si>
  <si>
    <t>01657A0000370875</t>
  </si>
  <si>
    <t>1657-0001002</t>
  </si>
  <si>
    <t>2/25/2026 3:47:00 PM</t>
  </si>
  <si>
    <t>3/1/2026 11:40:34 PM</t>
  </si>
  <si>
    <t>3/1/2026 11:40:06 PM</t>
  </si>
  <si>
    <t>01657A0000364056</t>
  </si>
  <si>
    <t>1657-0000699</t>
  </si>
  <si>
    <t>2/20/2026 2:30:00 PM</t>
  </si>
  <si>
    <t>2/20/2026 10:30:42 PM</t>
  </si>
  <si>
    <t>2/20/2026 10:30:11 PM</t>
  </si>
  <si>
    <t>01657A0000366395</t>
  </si>
  <si>
    <t>3FRWF65N75V158949</t>
  </si>
  <si>
    <t>GAR-5200</t>
  </si>
  <si>
    <t>1657-0000918</t>
  </si>
  <si>
    <t>2/24/2026 5:14:00 PM</t>
  </si>
  <si>
    <t>2/25/2026 1:15:16 AM</t>
  </si>
  <si>
    <t>2/25/2026 1:14:33 AM</t>
  </si>
  <si>
    <t>01657A0000370469</t>
  </si>
  <si>
    <t>2NPNHM6X4FM285851</t>
  </si>
  <si>
    <t>GAR-15-072</t>
  </si>
  <si>
    <t>1657-0001001</t>
  </si>
  <si>
    <t>2/26/2026 12:10:21 AM</t>
  </si>
  <si>
    <t>2/25/2026 11:31:27 PM</t>
  </si>
  <si>
    <t>01657A0000372065</t>
  </si>
  <si>
    <t>1FDWE3FLXADA94568</t>
  </si>
  <si>
    <t>GAR-6272</t>
  </si>
  <si>
    <t>1657-0001444</t>
  </si>
  <si>
    <t>3/2/2026 7:30:00 AM</t>
  </si>
  <si>
    <t>3/2/2026 5:54:52 PM</t>
  </si>
  <si>
    <t>3/2/2026 5:54:04 PM</t>
  </si>
  <si>
    <t>01657A0000370834</t>
  </si>
  <si>
    <t>1657-0001315</t>
  </si>
  <si>
    <t>3/1/2026 2:55:00 AM</t>
  </si>
  <si>
    <t>3/1/2026 10:56:26 AM</t>
  </si>
  <si>
    <t>3/1/2026 10:54:51 AM</t>
  </si>
  <si>
    <t>01657A0000373706</t>
  </si>
  <si>
    <t>2NPNHM6X5HM319086</t>
  </si>
  <si>
    <t>GAR-17-095</t>
  </si>
  <si>
    <t>1657-0001000</t>
  </si>
  <si>
    <t>2/25/2026 3:26:00 PM</t>
  </si>
  <si>
    <t>3/3/2026 2:15:21 AM</t>
  </si>
  <si>
    <t>3/3/2026 4:10:44 AM</t>
  </si>
  <si>
    <t>01657A0000371983</t>
  </si>
  <si>
    <t>OSC RD</t>
  </si>
  <si>
    <t>1657-0001453</t>
  </si>
  <si>
    <t>3/2/2026 9:23:00 AM</t>
  </si>
  <si>
    <t>3/2/2026 5:24:01 PM</t>
  </si>
  <si>
    <t>3/2/2026 5:23:23 PM</t>
  </si>
  <si>
    <t>01657A0000378199</t>
  </si>
  <si>
    <t>1657-0001784</t>
  </si>
  <si>
    <t>3/7/2026 6:05:00 AM</t>
  </si>
  <si>
    <t>3/7/2026 2:05:47 PM</t>
  </si>
  <si>
    <t>3/7/2026 2:05:13 PM</t>
  </si>
  <si>
    <t>1FTRU8XG2RKB58113</t>
  </si>
  <si>
    <t>GAR-25-027U</t>
  </si>
  <si>
    <t>01657A0000377914</t>
  </si>
  <si>
    <t>2NPNHM6X9HM319043</t>
  </si>
  <si>
    <t>GAR-17-052</t>
  </si>
  <si>
    <t>1657-0001735</t>
  </si>
  <si>
    <t>3/6/2026 6:57:00 AM</t>
  </si>
  <si>
    <t>3/6/2026 3:03:05 PM</t>
  </si>
  <si>
    <t>3/6/2026 2:56:44 PM</t>
  </si>
  <si>
    <t>01657A0000371398</t>
  </si>
  <si>
    <t>1657-0000965</t>
  </si>
  <si>
    <t>2/25/2026 11:08:00 AM</t>
  </si>
  <si>
    <t>3/2/2026 12:00:27 PM</t>
  </si>
  <si>
    <t>3/2/2026 11:59:48 AM</t>
  </si>
  <si>
    <t>01657A0000366439</t>
  </si>
  <si>
    <t>1657-0000785</t>
  </si>
  <si>
    <t>2/23/2026 7:43:00 AM</t>
  </si>
  <si>
    <t>2/25/2026 5:24:52 AM</t>
  </si>
  <si>
    <t>01657A0000376340</t>
  </si>
  <si>
    <t>1657-0001644</t>
  </si>
  <si>
    <t>3/5/2026 8:12:00 AM</t>
  </si>
  <si>
    <t>3/5/2026 4:12:24 PM</t>
  </si>
  <si>
    <t>3/5/2026 4:11:55 PM</t>
  </si>
  <si>
    <t>01657A0000371408</t>
  </si>
  <si>
    <t>1657-0000990</t>
  </si>
  <si>
    <t>2/25/2026 2:53:00 PM</t>
  </si>
  <si>
    <t>3/2/2026 12:29:30 PM</t>
  </si>
  <si>
    <t>3/2/2026 12:29:04 PM</t>
  </si>
  <si>
    <t>GAR-23-052U</t>
  </si>
  <si>
    <t>01657A0000369484</t>
  </si>
  <si>
    <t>1657-0000907</t>
  </si>
  <si>
    <t>2/24/2026 2:25:00 PM</t>
  </si>
  <si>
    <t>2/24/2026 11:52:56 PM</t>
  </si>
  <si>
    <t>2/24/2026 10:24:48 PM</t>
  </si>
  <si>
    <t>01657A0000369775</t>
  </si>
  <si>
    <t>1657-0000858</t>
  </si>
  <si>
    <t>2/24/2026 6:00:00 AM</t>
  </si>
  <si>
    <t>2/24/2026 2:20:53 PM</t>
  </si>
  <si>
    <t>2/24/2026 2:00:23 PM</t>
  </si>
  <si>
    <t>01657A0000375136</t>
  </si>
  <si>
    <t>1657-0001624</t>
  </si>
  <si>
    <t>3/4/2026 4:57:00 PM</t>
  </si>
  <si>
    <t>3/5/2026 12:57:10 AM</t>
  </si>
  <si>
    <t>3/5/2026 12:56:42 AM</t>
  </si>
  <si>
    <t>01657A0000365826</t>
  </si>
  <si>
    <t>GARDA PB330 PM LEVEL B</t>
  </si>
  <si>
    <t>1657-0000301</t>
  </si>
  <si>
    <t>2/17/2026 4:50:00 AM</t>
  </si>
  <si>
    <t>2/24/2026 6:01:20 PM</t>
  </si>
  <si>
    <t>2/24/2026 6:00:24 PM</t>
  </si>
  <si>
    <t>aWrvxxge6REGgnnHfaYTcOg</t>
  </si>
  <si>
    <t>01657A0000371388</t>
  </si>
  <si>
    <t>1657-0001411</t>
  </si>
  <si>
    <t>3/2/2026 3:32:00 AM</t>
  </si>
  <si>
    <t>3/2/2026 11:32:25 AM</t>
  </si>
  <si>
    <t>3/2/2026 11:31:51 AM</t>
  </si>
  <si>
    <t>01657A0000377110</t>
  </si>
  <si>
    <t>1657-0001714</t>
  </si>
  <si>
    <t>3/5/2026 7:24:00 PM</t>
  </si>
  <si>
    <t>3/6/2026 3:24:24 AM</t>
  </si>
  <si>
    <t>3/6/2026 5:23:38 AM</t>
  </si>
  <si>
    <t>2NPNHM6X0JM464221</t>
  </si>
  <si>
    <t>GAR-18-066</t>
  </si>
  <si>
    <t>01657A0000374363</t>
  </si>
  <si>
    <t>1657-0001581</t>
  </si>
  <si>
    <t>3/4/2026 8:18:00 AM</t>
  </si>
  <si>
    <t>3/4/2026 4:18:28 PM</t>
  </si>
  <si>
    <t>3/4/2026 4:17:57 PM</t>
  </si>
  <si>
    <t>01657A0000369073</t>
  </si>
  <si>
    <t>1657-0001057</t>
  </si>
  <si>
    <t>2/26/2026 5:52:00 AM</t>
  </si>
  <si>
    <t>2/26/2026 1:57:37 PM</t>
  </si>
  <si>
    <t>2/26/2026 1:51:54 PM</t>
  </si>
  <si>
    <t>01657A0000378220</t>
  </si>
  <si>
    <t>1657-0000947</t>
  </si>
  <si>
    <t>2/25/2026 7:09:00 AM</t>
  </si>
  <si>
    <t>3/7/2026 3:14:39 PM</t>
  </si>
  <si>
    <t>3/7/2026 3:13:48 PM</t>
  </si>
  <si>
    <t>01657A0000372702</t>
  </si>
  <si>
    <t>1657-0000692</t>
  </si>
  <si>
    <t>2/20/2026 2:20:00 PM</t>
  </si>
  <si>
    <t>3/3/2026 10:03:36 AM</t>
  </si>
  <si>
    <t>3/3/2026 11:02:33 AM</t>
  </si>
  <si>
    <t>01657A0000371476</t>
  </si>
  <si>
    <t>1657-0001419</t>
  </si>
  <si>
    <t>3/2/2026 5:18:00 AM</t>
  </si>
  <si>
    <t>3/2/2026 1:18:52 PM</t>
  </si>
  <si>
    <t>3/2/2026 1:18:24 PM</t>
  </si>
  <si>
    <t>01657A0000363173</t>
  </si>
  <si>
    <t>1657-0000722</t>
  </si>
  <si>
    <t>2/20/2026 6:27:00 PM</t>
  </si>
  <si>
    <t>2/21/2026 2:28:08 AM</t>
  </si>
  <si>
    <t>2/21/2026 2:26:51 AM</t>
  </si>
  <si>
    <t>01657A0000366434</t>
  </si>
  <si>
    <t>1657-0000693</t>
  </si>
  <si>
    <t>2/20/2026 2:21:00 PM</t>
  </si>
  <si>
    <t>2/25/2026 4:05:25 AM</t>
  </si>
  <si>
    <t>2/25/2026 5:04:43 AM</t>
  </si>
  <si>
    <t>1FDWE35L57DB27745</t>
  </si>
  <si>
    <t>GAR-5860</t>
  </si>
  <si>
    <t>01657A0000365958</t>
  </si>
  <si>
    <t>1657-0000650</t>
  </si>
  <si>
    <t>2/20/2026 9:33:00 AM</t>
  </si>
  <si>
    <t>2/24/2026 7:13:05 PM</t>
  </si>
  <si>
    <t>2/24/2026 7:09:53 PM</t>
  </si>
  <si>
    <t>01657A0000378315</t>
  </si>
  <si>
    <t>WD0PD444665963043</t>
  </si>
  <si>
    <t>GAR-764</t>
  </si>
  <si>
    <t>1657-0001790</t>
  </si>
  <si>
    <t>3/7/2026 10:33:00 AM</t>
  </si>
  <si>
    <t>3/7/2026 6:33:30 PM</t>
  </si>
  <si>
    <t>3/7/2026 6:32:49 PM</t>
  </si>
  <si>
    <t>1FTRS4X80MKA97330</t>
  </si>
  <si>
    <t>GAR-21-108U</t>
  </si>
  <si>
    <t>01657A0000370577</t>
  </si>
  <si>
    <t>1657-0001253</t>
  </si>
  <si>
    <t>2/27/2026 8:00:32 PM</t>
  </si>
  <si>
    <t>2/27/2026 7:59:48 PM</t>
  </si>
  <si>
    <t>01657A0000372709</t>
  </si>
  <si>
    <t>1657-0000686</t>
  </si>
  <si>
    <t>2/20/2026 2:15:00 PM</t>
  </si>
  <si>
    <t>3/3/2026 10:45:35 AM</t>
  </si>
  <si>
    <t>3/3/2026 11:38:32 AM</t>
  </si>
  <si>
    <t>01657A0000366428</t>
  </si>
  <si>
    <t>1657-0000794</t>
  </si>
  <si>
    <t>2/23/2026 8:03:00 AM</t>
  </si>
  <si>
    <t>2/25/2026 3:12:25 AM</t>
  </si>
  <si>
    <t>2/25/2026 4:07:34 AM</t>
  </si>
  <si>
    <t>01657A0000362951</t>
  </si>
  <si>
    <t>1657-0000634</t>
  </si>
  <si>
    <t>2/20/2026 4:41:42 PM</t>
  </si>
  <si>
    <t>2/20/2026 4:40:45 PM</t>
  </si>
  <si>
    <t>1FTRU8XG8RKA28627</t>
  </si>
  <si>
    <t>GAR-24-010U</t>
  </si>
  <si>
    <t>2NPNHM6X0GM309130</t>
  </si>
  <si>
    <t>GAR-16-025</t>
  </si>
  <si>
    <t>01657A0000366246</t>
  </si>
  <si>
    <t>1657-0000900</t>
  </si>
  <si>
    <t>2/24/2026 1:34:00 PM</t>
  </si>
  <si>
    <t>2/24/2026 9:34:47 PM</t>
  </si>
  <si>
    <t>2/24/2026 11:34:21 PM</t>
  </si>
  <si>
    <t>01657A0000371622</t>
  </si>
  <si>
    <t>1657-0000734</t>
  </si>
  <si>
    <t>2/21/2026 7:08:00 AM</t>
  </si>
  <si>
    <t>2/23/2026 8:27:57 PM</t>
  </si>
  <si>
    <t>2/23/2026 8:25:26 PM</t>
  </si>
  <si>
    <t>01657A0000378215</t>
  </si>
  <si>
    <t>Transmission Assembly - Automatic</t>
  </si>
  <si>
    <t>1657-0000761</t>
  </si>
  <si>
    <t>2/23/2026 6:05:00 AM</t>
  </si>
  <si>
    <t>2/23/2026 2:06:04 PM</t>
  </si>
  <si>
    <t>2/23/2026 2:05:17 PM</t>
  </si>
  <si>
    <t>01657A0000371800</t>
  </si>
  <si>
    <t>1657-0001187</t>
  </si>
  <si>
    <t>2/27/2026 7:41:00 AM</t>
  </si>
  <si>
    <t>3/2/2026 3:59:18 PM</t>
  </si>
  <si>
    <t>3/2/2026 3:58:21 PM</t>
  </si>
  <si>
    <t>01657A0000371640</t>
  </si>
  <si>
    <t>1FTRU8XG4RKB57500</t>
  </si>
  <si>
    <t>GAR-25-020U</t>
  </si>
  <si>
    <t>1657-0001251</t>
  </si>
  <si>
    <t>2/27/2026 11:41:00 AM</t>
  </si>
  <si>
    <t>3/2/2026 2:47:59 PM</t>
  </si>
  <si>
    <t>3/2/2026 2:47:38 PM</t>
  </si>
  <si>
    <t>01657A0000366430</t>
  </si>
  <si>
    <t>1657-0000694</t>
  </si>
  <si>
    <t>2/20/2026 2:25:00 PM</t>
  </si>
  <si>
    <t>2/25/2026 3:20:03 AM</t>
  </si>
  <si>
    <t>2/25/2026 4:19:28 AM</t>
  </si>
  <si>
    <t>01657A0000372948</t>
  </si>
  <si>
    <t>3FRWF65N84V685123</t>
  </si>
  <si>
    <t>GAR-4864</t>
  </si>
  <si>
    <t>1657-0001501</t>
  </si>
  <si>
    <t>3/3/2026 5:34:00 AM</t>
  </si>
  <si>
    <t>3/3/2026 1:36:54 PM</t>
  </si>
  <si>
    <t>3/3/2026 1:33:55 PM</t>
  </si>
  <si>
    <t>01657A0000357557</t>
  </si>
  <si>
    <t>1657-0000249</t>
  </si>
  <si>
    <t>2/16/2026 9:51:00 AM</t>
  </si>
  <si>
    <t>2/16/2026 5:55:21 PM</t>
  </si>
  <si>
    <t>2/16/2026 5:51:44 PM</t>
  </si>
  <si>
    <t>01657A0000359295</t>
  </si>
  <si>
    <t>1657-0000389</t>
  </si>
  <si>
    <t>2/17/2026 3:56:00 PM</t>
  </si>
  <si>
    <t>2/17/2026 11:56:52 PM</t>
  </si>
  <si>
    <t>2/17/2026 11:55:54 PM</t>
  </si>
  <si>
    <t>01657A0000362529</t>
  </si>
  <si>
    <t>1657-0000633</t>
  </si>
  <si>
    <t>2/20/2026 8:14:00 AM</t>
  </si>
  <si>
    <t>2/20/2026 4:14:53 PM</t>
  </si>
  <si>
    <t>2/20/2026 4:14:08 PM</t>
  </si>
  <si>
    <t>01657A0000371859</t>
  </si>
  <si>
    <t>1657-0001450</t>
  </si>
  <si>
    <t>3/2/2026 8:25:00 AM</t>
  </si>
  <si>
    <t>3/2/2026 4:25:45 PM</t>
  </si>
  <si>
    <t>3/2/2026 4:25:01 PM</t>
  </si>
  <si>
    <t>01657A0000371663</t>
  </si>
  <si>
    <t>1657-0001435</t>
  </si>
  <si>
    <t>3/2/2026 2:50:42 PM</t>
  </si>
  <si>
    <t>3/2/2026 2:50:17 PM</t>
  </si>
  <si>
    <t>01657A0000366438</t>
  </si>
  <si>
    <t>1657-0000786</t>
  </si>
  <si>
    <t>2/23/2026 7:45:00 AM</t>
  </si>
  <si>
    <t>2/25/2026 4:21:30 AM</t>
  </si>
  <si>
    <t>2/25/2026 5:20:59 AM</t>
  </si>
  <si>
    <t>01657A0000366435</t>
  </si>
  <si>
    <t>1657-0000695</t>
  </si>
  <si>
    <t>2/20/2026 2:26:00 PM</t>
  </si>
  <si>
    <t>2/25/2026 4:08:22 AM</t>
  </si>
  <si>
    <t>2/25/2026 5:08:01 AM</t>
  </si>
  <si>
    <t>01657A0000366444</t>
  </si>
  <si>
    <t>1FTRS4X88MKA25615</t>
  </si>
  <si>
    <t>GAR-21-027U</t>
  </si>
  <si>
    <t>1657-0000781</t>
  </si>
  <si>
    <t>2/23/2026 7:34:00 AM</t>
  </si>
  <si>
    <t>2/25/2026 4:36:03 AM</t>
  </si>
  <si>
    <t>2/25/2026 5:35:42 AM</t>
  </si>
  <si>
    <t>01657A0000371879</t>
  </si>
  <si>
    <t>1657-0001424</t>
  </si>
  <si>
    <t>3/2/2026 5:09:30 AM</t>
  </si>
  <si>
    <t>3/2/2026 4:23:05 PM</t>
  </si>
  <si>
    <t>3/2/2026 4:21:56 PM</t>
  </si>
  <si>
    <t>awD-b-sAIL0mvR0A024PWvQ</t>
  </si>
  <si>
    <t>01657A0000372618</t>
  </si>
  <si>
    <t>2NPNHM6X5GM309110</t>
  </si>
  <si>
    <t>GAR-16-005</t>
  </si>
  <si>
    <t>1657-0001487</t>
  </si>
  <si>
    <t>3/2/2026 3:33:00 PM</t>
  </si>
  <si>
    <t>3/2/2026 11:33:20 PM</t>
  </si>
  <si>
    <t>3/2/2026 11:33:00 PM</t>
  </si>
  <si>
    <t>01657A0000374066</t>
  </si>
  <si>
    <t>1657-0001570</t>
  </si>
  <si>
    <t>3/4/2026 6:12:00 AM</t>
  </si>
  <si>
    <t>3/4/2026 2:13:11 PM</t>
  </si>
  <si>
    <t>3/4/2026 2:12:27 PM</t>
  </si>
  <si>
    <t>01657A0000366441</t>
  </si>
  <si>
    <t>1657-0000792</t>
  </si>
  <si>
    <t>2/23/2026 7:53:00 AM</t>
  </si>
  <si>
    <t>2/25/2026 4:30:26 AM</t>
  </si>
  <si>
    <t>2/25/2026 5:30:05 AM</t>
  </si>
  <si>
    <t>01657A0000371401</t>
  </si>
  <si>
    <t>1FTRS4X84LKA29112</t>
  </si>
  <si>
    <t>GAR-20-064U</t>
  </si>
  <si>
    <t>1657-0000969</t>
  </si>
  <si>
    <t>2/25/2026 11:16:00 AM</t>
  </si>
  <si>
    <t>3/2/2026 12:11:31 PM</t>
  </si>
  <si>
    <t>3/2/2026 12:10:57 PM</t>
  </si>
  <si>
    <t>01657A0000376142</t>
  </si>
  <si>
    <t>1657-0001638</t>
  </si>
  <si>
    <t>3/5/2026 6:49:00 AM</t>
  </si>
  <si>
    <t>3/5/2026 2:49:27 PM</t>
  </si>
  <si>
    <t>3/5/2026 2:48:55 PM</t>
  </si>
  <si>
    <t>01657A0000377729</t>
  </si>
  <si>
    <t>1657-0001751</t>
  </si>
  <si>
    <t>3/6/2026 10:16:00 AM</t>
  </si>
  <si>
    <t>3/6/2026 6:16:40 PM</t>
  </si>
  <si>
    <t>3/6/2026 6:15:56 PM</t>
  </si>
  <si>
    <t>01657A0000370876</t>
  </si>
  <si>
    <t>2NPNHM6XXGM309121</t>
  </si>
  <si>
    <t>GAR-16-016</t>
  </si>
  <si>
    <t>1657-0001023</t>
  </si>
  <si>
    <t>2/25/2026 6:17:00 PM</t>
  </si>
  <si>
    <t>2/26/2026 2:18:37 AM</t>
  </si>
  <si>
    <t>2/26/2026 4:17:45 AM</t>
  </si>
  <si>
    <t>GARDA - SAN ANTNIO, TX 13079</t>
  </si>
  <si>
    <t>01657A0000370788</t>
  </si>
  <si>
    <t>1FTRS4X81LKA67235</t>
  </si>
  <si>
    <t>GAR-20-097U</t>
  </si>
  <si>
    <t>1657-0001290</t>
  </si>
  <si>
    <t>2/28/2026 7:13:00 AM</t>
  </si>
  <si>
    <t>2/28/2026 3:14:11 PM</t>
  </si>
  <si>
    <t>2/28/2026 3:12:59 PM</t>
  </si>
  <si>
    <t>01657A0000366731</t>
  </si>
  <si>
    <t>2NPNHM6X5JM472797</t>
  </si>
  <si>
    <t>GAR-18-142</t>
  </si>
  <si>
    <t>1657-0000948</t>
  </si>
  <si>
    <t>2/25/2026 7:13:00 AM</t>
  </si>
  <si>
    <t>2/25/2026 3:21:15 PM</t>
  </si>
  <si>
    <t>2/25/2026 3:14:25 PM</t>
  </si>
  <si>
    <t>01657A0000374114</t>
  </si>
  <si>
    <t>1657-0001575</t>
  </si>
  <si>
    <t>3/4/2026 6:38:00 AM</t>
  </si>
  <si>
    <t>3/4/2026 2:39:47 PM</t>
  </si>
  <si>
    <t>3/4/2026 2:38:48 PM</t>
  </si>
  <si>
    <t>GAR-5976</t>
  </si>
  <si>
    <t>01657A0000369716</t>
  </si>
  <si>
    <t>1657-0000809</t>
  </si>
  <si>
    <t>2/23/2026 11:39:00 AM</t>
  </si>
  <si>
    <t>2/27/2026 2:40:14 PM</t>
  </si>
  <si>
    <t>2/27/2026 2:31:26 PM</t>
  </si>
  <si>
    <t>01657A0000373879</t>
  </si>
  <si>
    <t>1657-0001317</t>
  </si>
  <si>
    <t>3/1/2026 3:39:00 AM</t>
  </si>
  <si>
    <t>3/1/2026 11:39:20 AM</t>
  </si>
  <si>
    <t>3/1/2026 11:38:44 AM</t>
  </si>
  <si>
    <t>GAR-20-049U</t>
  </si>
  <si>
    <t>01657A0000371396</t>
  </si>
  <si>
    <t>1657-0000701</t>
  </si>
  <si>
    <t>2/20/2026 2:37:00 PM</t>
  </si>
  <si>
    <t>3/2/2026 11:52:24 AM</t>
  </si>
  <si>
    <t>3/2/2026 11:52:07 AM</t>
  </si>
  <si>
    <t>01657A0000373839</t>
  </si>
  <si>
    <t>1FTRS4X8XMKA08301</t>
  </si>
  <si>
    <t>GAR-21-012U</t>
  </si>
  <si>
    <t>1657-0001500</t>
  </si>
  <si>
    <t>3/3/2026 5:14:00 AM</t>
  </si>
  <si>
    <t>3/4/2026 12:37:19 AM</t>
  </si>
  <si>
    <t>3/4/2026 12:16:47 AM</t>
  </si>
  <si>
    <t>ap-Dim39QgkKqLE_5ra_I0w</t>
  </si>
  <si>
    <t>01657A0000378061</t>
  </si>
  <si>
    <t>1657-0001769</t>
  </si>
  <si>
    <t>3/6/2026 1:58:00 PM</t>
  </si>
  <si>
    <t>3/6/2026 9:58:08 PM</t>
  </si>
  <si>
    <t>3/6/2026 9:57:44 PM</t>
  </si>
  <si>
    <t>01657A0000376569</t>
  </si>
  <si>
    <t>1657-0000828</t>
  </si>
  <si>
    <t>2/23/2026 2:59:00 PM</t>
  </si>
  <si>
    <t>3/5/2026 6:02:02 PM</t>
  </si>
  <si>
    <t>3/5/2026 6:01:21 PM</t>
  </si>
  <si>
    <t>01657A0000378128</t>
  </si>
  <si>
    <t>1657-0000772</t>
  </si>
  <si>
    <t>3/6/2026 10:51:14 PM</t>
  </si>
  <si>
    <t>3/6/2026 10:28:54 PM</t>
  </si>
  <si>
    <t>2NPNHM6X5HM319136</t>
  </si>
  <si>
    <t>GAR-17-145</t>
  </si>
  <si>
    <t>01657A0000365947</t>
  </si>
  <si>
    <t>1657-0000649</t>
  </si>
  <si>
    <t>2/20/2026 9:32:00 AM</t>
  </si>
  <si>
    <t>2/24/2026 7:06:42 PM</t>
  </si>
  <si>
    <t>2/24/2026 7:05:28 PM</t>
  </si>
  <si>
    <t>01657A0000378002</t>
  </si>
  <si>
    <t>1657-0001365</t>
  </si>
  <si>
    <t>3/1/2026 11:35:00 AM</t>
  </si>
  <si>
    <t>3/1/2026 7:35:00 PM</t>
  </si>
  <si>
    <t>3/1/2026 7:34:36 PM</t>
  </si>
  <si>
    <t>01657A0000371393</t>
  </si>
  <si>
    <t>1657-0000970</t>
  </si>
  <si>
    <t>2/25/2026 11:21:00 AM</t>
  </si>
  <si>
    <t>2/25/2026 7:21:47 PM</t>
  </si>
  <si>
    <t>2/25/2026 7:21:10 PM</t>
  </si>
  <si>
    <t>01657A0000372461</t>
  </si>
  <si>
    <t>1657-0001171</t>
  </si>
  <si>
    <t>2/27/2026 7:22:00 AM</t>
  </si>
  <si>
    <t>3/2/2026 9:07:52 PM</t>
  </si>
  <si>
    <t>3/2/2026 11:03:13 PM</t>
  </si>
  <si>
    <t>01657A0000370401</t>
  </si>
  <si>
    <t>1FDRS6PM9KKA24071</t>
  </si>
  <si>
    <t>GAR-19-024</t>
  </si>
  <si>
    <t>1657-0001261</t>
  </si>
  <si>
    <t>2/27/2026 12:57:00 PM</t>
  </si>
  <si>
    <t>2/27/2026 8:58:02 PM</t>
  </si>
  <si>
    <t>2/27/2026 8:57:33 PM</t>
  </si>
  <si>
    <t>01657A0000366432</t>
  </si>
  <si>
    <t>3FRWF65N45V177653</t>
  </si>
  <si>
    <t>GAR-5590</t>
  </si>
  <si>
    <t>1657-0000698</t>
  </si>
  <si>
    <t>2/25/2026 3:30:29 AM</t>
  </si>
  <si>
    <t>2/25/2026 4:30:12 AM</t>
  </si>
  <si>
    <t>01657A0000377666</t>
  </si>
  <si>
    <t>1657-0001447</t>
  </si>
  <si>
    <t>3/2/2026 7:47:00 AM</t>
  </si>
  <si>
    <t>3/2/2026 3:47:45 PM</t>
  </si>
  <si>
    <t>3/2/2026 3:47:03 PM</t>
  </si>
  <si>
    <t>01657A0000369497</t>
  </si>
  <si>
    <t>1657-0001128</t>
  </si>
  <si>
    <t>2/26/2026 6:28:00 PM</t>
  </si>
  <si>
    <t>2/27/2026 2:28:16 AM</t>
  </si>
  <si>
    <t>2/27/2026 4:27:41 AM</t>
  </si>
  <si>
    <t>GAR-20-144U</t>
  </si>
  <si>
    <t>1FTRS4X82LKA29125</t>
  </si>
  <si>
    <t>GAR-20-074U</t>
  </si>
  <si>
    <t>01657A0000376568</t>
  </si>
  <si>
    <t>1FTRS4X80NKA61607</t>
  </si>
  <si>
    <t>GAR-22-032U</t>
  </si>
  <si>
    <t>1657-0001651</t>
  </si>
  <si>
    <t>3/5/2026 9:59:00 AM</t>
  </si>
  <si>
    <t>3/5/2026 5:59:46 PM</t>
  </si>
  <si>
    <t>3/5/2026 5:59:03 PM</t>
  </si>
  <si>
    <t>01657A0000369206</t>
  </si>
  <si>
    <t>1657-0000967</t>
  </si>
  <si>
    <t>2/26/2026 6:23:00 PM</t>
  </si>
  <si>
    <t>2/26/2026 6:11:53 PM</t>
  </si>
  <si>
    <t>01657A0000373689</t>
  </si>
  <si>
    <t>1657-0000882</t>
  </si>
  <si>
    <t>2/24/2026 9:55:00 AM</t>
  </si>
  <si>
    <t>2/24/2026 5:55:12 PM</t>
  </si>
  <si>
    <t>2/24/2026 5:54:41 PM</t>
  </si>
  <si>
    <t>01657A0000373906</t>
  </si>
  <si>
    <t>1657-0000879</t>
  </si>
  <si>
    <t>2/24/2026 9:05:00 AM</t>
  </si>
  <si>
    <t>2/24/2026 5:05:23 PM</t>
  </si>
  <si>
    <t>2/24/2026 5:04:39 PM</t>
  </si>
  <si>
    <t>01657A0000374109</t>
  </si>
  <si>
    <t>1657-0001574</t>
  </si>
  <si>
    <t>3/4/2026 6:35:00 AM</t>
  </si>
  <si>
    <t>3/4/2026 2:35:28 PM</t>
  </si>
  <si>
    <t>3/4/2026 2:34:34 PM</t>
  </si>
  <si>
    <t>01657A0000368713</t>
  </si>
  <si>
    <t>1657-0000999</t>
  </si>
  <si>
    <t>2/25/2026 3:24:00 PM</t>
  </si>
  <si>
    <t>2/26/2026 3:54:15 PM</t>
  </si>
  <si>
    <t>2/26/2026 3:52:33 PM</t>
  </si>
  <si>
    <t>1FTRS4X8XMKA97299</t>
  </si>
  <si>
    <t>GAR-21-088U</t>
  </si>
  <si>
    <t>01657A0000378296</t>
  </si>
  <si>
    <t>1657-0000681</t>
  </si>
  <si>
    <t>2/20/2026 1:33:00 PM</t>
  </si>
  <si>
    <t>2/28/2026 2:57:10 AM</t>
  </si>
  <si>
    <t>2/28/2026 4:55:33 AM</t>
  </si>
  <si>
    <t>01657A0000374714</t>
  </si>
  <si>
    <t>1657-0001155</t>
  </si>
  <si>
    <t>3/4/2026 6:55:41 PM</t>
  </si>
  <si>
    <t>3/4/2026 6:53:17 PM</t>
  </si>
  <si>
    <t>01657A0000366831</t>
  </si>
  <si>
    <t>1657-0000659</t>
  </si>
  <si>
    <t>2/25/2026 4:06:08 PM</t>
  </si>
  <si>
    <t>2/25/2026 4:02:49 PM</t>
  </si>
  <si>
    <t>01657A0000372453</t>
  </si>
  <si>
    <t>1657-0001475</t>
  </si>
  <si>
    <t>3/2/2026 1:00:00 PM</t>
  </si>
  <si>
    <t>3/2/2026 9:00:57 PM</t>
  </si>
  <si>
    <t>3/2/2026 9:00:19 PM</t>
  </si>
  <si>
    <t>01657A0000373907</t>
  </si>
  <si>
    <t>1657-0000787</t>
  </si>
  <si>
    <t>2/23/2026 7:47:00 AM</t>
  </si>
  <si>
    <t>2/27/2026 4:40:04 PM</t>
  </si>
  <si>
    <t>2/27/2026 4:36:28 PM</t>
  </si>
  <si>
    <t>01657A0000366157</t>
  </si>
  <si>
    <t>1657-0000438</t>
  </si>
  <si>
    <t>2/18/2026 6:45:00 AM</t>
  </si>
  <si>
    <t>2/18/2026 2:49:13 PM</t>
  </si>
  <si>
    <t>2/18/2026 2:45:17 PM</t>
  </si>
  <si>
    <t>1FTRS4X86MKA08294</t>
  </si>
  <si>
    <t>GAR-21-047U</t>
  </si>
  <si>
    <t>01657A0000371370</t>
  </si>
  <si>
    <t>1657-0001297</t>
  </si>
  <si>
    <t>2/28/2026 12:26:00 PM</t>
  </si>
  <si>
    <t>2/28/2026 8:26:27 PM</t>
  </si>
  <si>
    <t>2/28/2026 8:25:44 PM</t>
  </si>
  <si>
    <t>01657A0000374372</t>
  </si>
  <si>
    <t>3FRWF65N05V177617</t>
  </si>
  <si>
    <t>GAR-5546</t>
  </si>
  <si>
    <t>1657-0001583</t>
  </si>
  <si>
    <t>3/4/2026 8:26:00 AM</t>
  </si>
  <si>
    <t>3/4/2026 4:28:06 PM</t>
  </si>
  <si>
    <t>3/4/2026 4:26:39 PM</t>
  </si>
  <si>
    <t>01657A0000364242</t>
  </si>
  <si>
    <t>1657-0000775</t>
  </si>
  <si>
    <t>2/23/2026 6:49:00 AM</t>
  </si>
  <si>
    <t>2/23/2026 2:49:11 PM</t>
  </si>
  <si>
    <t>2/23/2026 2:48:44 PM</t>
  </si>
  <si>
    <t>1FTRS4X82MKA97295</t>
  </si>
  <si>
    <t>GAR-21-084U</t>
  </si>
  <si>
    <t>01657A0000374145</t>
  </si>
  <si>
    <t>1657-0001576</t>
  </si>
  <si>
    <t>3/4/2026 6:54:00 AM</t>
  </si>
  <si>
    <t>3/4/2026 3:01:02 PM</t>
  </si>
  <si>
    <t>3/4/2026 2:53:40 PM</t>
  </si>
  <si>
    <t>01657A0000377764</t>
  </si>
  <si>
    <t>1657-0001747</t>
  </si>
  <si>
    <t>3/6/2026 9:18:00 AM</t>
  </si>
  <si>
    <t>3/6/2026 5:30:05 PM</t>
  </si>
  <si>
    <t>3/6/2026 5:28:10 PM</t>
  </si>
  <si>
    <t>01657A0000370883</t>
  </si>
  <si>
    <t>1657-0001335</t>
  </si>
  <si>
    <t>3/1/2026 6:59:00 AM</t>
  </si>
  <si>
    <t>3/1/2026 2:59:27 PM</t>
  </si>
  <si>
    <t>3/1/2026 2:59:03 PM</t>
  </si>
  <si>
    <t>01657A0000371584</t>
  </si>
  <si>
    <t>1657-0001165</t>
  </si>
  <si>
    <t>2/27/2026 4:02:53 PM</t>
  </si>
  <si>
    <t>2/27/2026 4:02:26 PM</t>
  </si>
  <si>
    <t>01657A0000378352</t>
  </si>
  <si>
    <t>1657-0000520</t>
  </si>
  <si>
    <t>2/19/2026 5:24:00 AM</t>
  </si>
  <si>
    <t>3/7/2026 10:59:46 PM</t>
  </si>
  <si>
    <t>3/7/2026 10:31:59 PM</t>
  </si>
  <si>
    <t>aCj__8fbAKEazhiZSsRwj9w</t>
  </si>
  <si>
    <t>01657A0000377074</t>
  </si>
  <si>
    <t>1657-0000490</t>
  </si>
  <si>
    <t>2/18/2026 2:32:00 PM</t>
  </si>
  <si>
    <t>3/4/2026 9:27:24 AM</t>
  </si>
  <si>
    <t>3/4/2026 10:26:29 AM</t>
  </si>
  <si>
    <t>asxi-pMr4Tk-2oWYANw0Mrg</t>
  </si>
  <si>
    <t>01657A0000378224</t>
  </si>
  <si>
    <t>1657-0000949</t>
  </si>
  <si>
    <t>2/25/2026 7:14:00 AM</t>
  </si>
  <si>
    <t>3/7/2026 3:19:37 PM</t>
  </si>
  <si>
    <t>3/7/2026 3:18:48 PM</t>
  </si>
  <si>
    <t>01657A0000362718</t>
  </si>
  <si>
    <t>1657-0000664</t>
  </si>
  <si>
    <t>2/20/2026 10:02:00 AM</t>
  </si>
  <si>
    <t>2/20/2026 6:06:47 PM</t>
  </si>
  <si>
    <t>2/20/2026 6:02:20 PM</t>
  </si>
  <si>
    <t>01657A0000377531</t>
  </si>
  <si>
    <t>1657-0001745</t>
  </si>
  <si>
    <t>3/6/2026 8:32:00 AM</t>
  </si>
  <si>
    <t>3/6/2026 4:32:24 PM</t>
  </si>
  <si>
    <t>3/6/2026 4:32:03 PM</t>
  </si>
  <si>
    <t>GAR-15-064</t>
  </si>
  <si>
    <t>GAR-20-016U</t>
  </si>
  <si>
    <t>GAR-21-069U</t>
  </si>
  <si>
    <t>01657A0000377221</t>
  </si>
  <si>
    <t>1657-0001705</t>
  </si>
  <si>
    <t>3/5/2026 5:00:56 PM</t>
  </si>
  <si>
    <t>3/6/2026 12:40:50 PM</t>
  </si>
  <si>
    <t>3/6/2026 12:39:16 PM</t>
  </si>
  <si>
    <t>1054472134</t>
  </si>
  <si>
    <t>01657A0000371609</t>
  </si>
  <si>
    <t>1657-0001211</t>
  </si>
  <si>
    <t>2/27/2026 4:10:25 PM</t>
  </si>
  <si>
    <t>2/27/2026 4:10:03 PM</t>
  </si>
  <si>
    <t>01657A0000367575</t>
  </si>
  <si>
    <t>1657-0000642</t>
  </si>
  <si>
    <t>2/20/2026 9:16:00 AM</t>
  </si>
  <si>
    <t>2/25/2026 11:08:02 PM</t>
  </si>
  <si>
    <t>2/25/2026 11:07:02 PM</t>
  </si>
  <si>
    <t>01657A0000371831</t>
  </si>
  <si>
    <t>1657-0001124</t>
  </si>
  <si>
    <t>2/26/2026 5:04:00 PM</t>
  </si>
  <si>
    <t>3/2/2026 4:08:56 PM</t>
  </si>
  <si>
    <t>3/2/2026 4:08:19 PM</t>
  </si>
  <si>
    <t>01657A0000364346</t>
  </si>
  <si>
    <t>1657-0000779</t>
  </si>
  <si>
    <t>2/23/2026 7:31:00 AM</t>
  </si>
  <si>
    <t>2/23/2026 3:31:46 PM</t>
  </si>
  <si>
    <t>2/23/2026 3:30:40 PM</t>
  </si>
  <si>
    <t>01657A0000372161</t>
  </si>
  <si>
    <t>1657-0001462</t>
  </si>
  <si>
    <t>3/2/2026 10:30:00 AM</t>
  </si>
  <si>
    <t>3/2/2026 6:30:43 PM</t>
  </si>
  <si>
    <t>3/2/2026 6:29:48 PM</t>
  </si>
  <si>
    <t>01657A0000372595</t>
  </si>
  <si>
    <t>1657-0001474</t>
  </si>
  <si>
    <t>3/2/2026 12:46:00 PM</t>
  </si>
  <si>
    <t>3/2/2026 8:47:57 PM</t>
  </si>
  <si>
    <t>3/2/2026 8:45:55 PM</t>
  </si>
  <si>
    <t>01657A0000377061</t>
  </si>
  <si>
    <t>1657-0000513</t>
  </si>
  <si>
    <t>2/19/2026 5:03:00 AM</t>
  </si>
  <si>
    <t>3/3/2026 11:06:54 PM</t>
  </si>
  <si>
    <t>3/3/2026 11:06:24 PM</t>
  </si>
  <si>
    <t>aSFUpmaTCHUa2kR0w9kDL2w</t>
  </si>
  <si>
    <t>01657A0000366447</t>
  </si>
  <si>
    <t>1657-0000791</t>
  </si>
  <si>
    <t>2/23/2026 7:52:00 AM</t>
  </si>
  <si>
    <t>2/25/2026 4:44:01 AM</t>
  </si>
  <si>
    <t>2/25/2026 5:43:25 AM</t>
  </si>
  <si>
    <t>01657A0000371747</t>
  </si>
  <si>
    <t>1657-0001443</t>
  </si>
  <si>
    <t>3/2/2026 7:28:00 AM</t>
  </si>
  <si>
    <t>3/2/2026 3:29:39 PM</t>
  </si>
  <si>
    <t>3/2/2026 3:28:26 PM</t>
  </si>
  <si>
    <t>01657A0000378346</t>
  </si>
  <si>
    <t>1657-0001643</t>
  </si>
  <si>
    <t>3/5/2026 7:59:00 AM</t>
  </si>
  <si>
    <t>3/7/2026 11:51:46 PM</t>
  </si>
  <si>
    <t>3/7/2026 11:50:41 PM</t>
  </si>
  <si>
    <t>01657A0000366437</t>
  </si>
  <si>
    <t>1657-0000697</t>
  </si>
  <si>
    <t>2/20/2026 2:28:00 PM</t>
  </si>
  <si>
    <t>2/25/2026 4:12:15 AM</t>
  </si>
  <si>
    <t>2/25/2026 5:11:37 AM</t>
  </si>
  <si>
    <t>01657A0000377916</t>
  </si>
  <si>
    <t>1657-0001316</t>
  </si>
  <si>
    <t>3/1/2026 3:36:00 AM</t>
  </si>
  <si>
    <t>3/1/2026 11:36:57 AM</t>
  </si>
  <si>
    <t>3/1/2026 11:36:08 AM</t>
  </si>
  <si>
    <t>01657A0000373875</t>
  </si>
  <si>
    <t>1657-0001556</t>
  </si>
  <si>
    <t>3/3/2026 5:47:00 PM</t>
  </si>
  <si>
    <t>3/4/2026 1:47:47 AM</t>
  </si>
  <si>
    <t>3/4/2026 1:47:18 AM</t>
  </si>
  <si>
    <t>1FDRS6PM5JKB35473</t>
  </si>
  <si>
    <t>GAR-19-014</t>
  </si>
  <si>
    <t>01657A0000377097</t>
  </si>
  <si>
    <t>1657-0001699</t>
  </si>
  <si>
    <t>3/5/2026 5:17:00 PM</t>
  </si>
  <si>
    <t>3/6/2026 1:17:42 AM</t>
  </si>
  <si>
    <t>3/6/2026 1:17:22 AM</t>
  </si>
  <si>
    <t>COMPLETED</t>
  </si>
  <si>
    <t>Work completed</t>
  </si>
  <si>
    <t>GARDA - SYLMAR, CA 12020</t>
  </si>
  <si>
    <t>01657A0000374004</t>
  </si>
  <si>
    <t>2NPNHM6X3GM318971</t>
  </si>
  <si>
    <t>GAR-16-059</t>
  </si>
  <si>
    <t>1657-0001565</t>
  </si>
  <si>
    <t>3/4/2026 5:40:00 AM</t>
  </si>
  <si>
    <t>3/4/2026 1:40:26 PM</t>
  </si>
  <si>
    <t>3/4/2026 1:39:49 PM</t>
  </si>
  <si>
    <t>TIDEWATER EXPRESS INC</t>
  </si>
  <si>
    <t>01657A0000370599</t>
  </si>
  <si>
    <t>1FTRS4X83NKA32344</t>
  </si>
  <si>
    <t>GAR-22-014U</t>
  </si>
  <si>
    <t>1657-0001278</t>
  </si>
  <si>
    <t>2/27/2026 5:51:00 PM</t>
  </si>
  <si>
    <t>2/28/2026 3:37:25 AM</t>
  </si>
  <si>
    <t>2/28/2026 5:36:18 AM</t>
  </si>
  <si>
    <t>01657A0000378210</t>
  </si>
  <si>
    <t>1657-0001364</t>
  </si>
  <si>
    <t>3/1/2026 11:30:00 AM</t>
  </si>
  <si>
    <t>3/1/2026 7:30:37 PM</t>
  </si>
  <si>
    <t>3/1/2026 7:30:08 PM</t>
  </si>
  <si>
    <t>1657-0000807</t>
  </si>
  <si>
    <t>2/23/2026 11:32:00 AM</t>
  </si>
  <si>
    <t>2/23/2026 7:33:25 PM</t>
  </si>
  <si>
    <t>2/23/2026 7:32:15 PM</t>
  </si>
  <si>
    <t>01657A0000366985</t>
  </si>
  <si>
    <t>1657-0000958</t>
  </si>
  <si>
    <t>2/25/2026 9:05:00 AM</t>
  </si>
  <si>
    <t>2/25/2026 5:08:14 PM</t>
  </si>
  <si>
    <t>2/25/2026 5:05:09 PM</t>
  </si>
  <si>
    <t>01657A0000377059</t>
  </si>
  <si>
    <t>1657-0001690</t>
  </si>
  <si>
    <t>3/5/2026 3:41:00 PM</t>
  </si>
  <si>
    <t>3/5/2026 11:42:45 PM</t>
  </si>
  <si>
    <t>3/5/2026 11:40:36 PM</t>
  </si>
  <si>
    <t>1657-0000403</t>
  </si>
  <si>
    <t>2/18/2026 4:25:00 AM</t>
  </si>
  <si>
    <t>2/18/2026 12:26:11 PM</t>
  </si>
  <si>
    <t>2/18/2026 12:25:14 PM</t>
  </si>
  <si>
    <t>01657A0000377093</t>
  </si>
  <si>
    <t>1657-0001695</t>
  </si>
  <si>
    <t>3/5/2026 4:59:00 PM</t>
  </si>
  <si>
    <t>3/6/2026 12:59:21 AM</t>
  </si>
  <si>
    <t>3/6/2026 12:59:04 AM</t>
  </si>
  <si>
    <t>DO NOT CLOSE, NEED UPDATED INVOICE.</t>
  </si>
  <si>
    <t>1657-0001787</t>
  </si>
  <si>
    <t>3/7/2026 9:57:00 AM</t>
  </si>
  <si>
    <t>3/7/2026 5:57:51 PM</t>
  </si>
  <si>
    <t>3/7/2026 5:56:48 PM</t>
  </si>
  <si>
    <t>1657-0000771</t>
  </si>
  <si>
    <t>2/23/2026 6:46:00 AM</t>
  </si>
  <si>
    <t>2/23/2026 2:47:11 PM</t>
  </si>
  <si>
    <t>2/23/2026 2:46:30 PM</t>
  </si>
  <si>
    <t>01657A0000365920</t>
  </si>
  <si>
    <t>1657-0000887</t>
  </si>
  <si>
    <t>2/24/2026 10:54:00 AM</t>
  </si>
  <si>
    <t>2/24/2026 6:55:01 PM</t>
  </si>
  <si>
    <t>2/24/2026 6:54:35 PM</t>
  </si>
  <si>
    <t>01657A0000367592</t>
  </si>
  <si>
    <t>1657-0001004</t>
  </si>
  <si>
    <t>2/25/2026 3:53:00 PM</t>
  </si>
  <si>
    <t>2/25/2026 11:53:46 PM</t>
  </si>
  <si>
    <t>2/25/2026 11:53:23 PM</t>
  </si>
  <si>
    <t>1657-0000348</t>
  </si>
  <si>
    <t>2/17/2026 9:18:00 AM</t>
  </si>
  <si>
    <t>2/17/2026 5:19:22 PM</t>
  </si>
  <si>
    <t>2/17/2026 5:18:25 PM</t>
  </si>
  <si>
    <t>01657A0000373685</t>
  </si>
  <si>
    <t>1657-0001532</t>
  </si>
  <si>
    <t>3/3/2026 1:40:00 PM</t>
  </si>
  <si>
    <t>3/3/2026 9:41:39 PM</t>
  </si>
  <si>
    <t>3/3/2026 9:40:22 PM</t>
  </si>
  <si>
    <t>01657A0000370857</t>
  </si>
  <si>
    <t>1657-0001342</t>
  </si>
  <si>
    <t>3/1/2026 7:29:00 AM</t>
  </si>
  <si>
    <t>3/1/2026 3:31:44 PM</t>
  </si>
  <si>
    <t>3/1/2026 3:30:29 PM</t>
  </si>
  <si>
    <t>GARDA - ST PAUL, MN 19059</t>
  </si>
  <si>
    <t>01657A0000379199</t>
  </si>
  <si>
    <t>1FTRS4X84PKA02045</t>
  </si>
  <si>
    <t>GAR-23-012U</t>
  </si>
  <si>
    <t>1657-0001293</t>
  </si>
  <si>
    <t>2/28/2026 8:12:00 AM</t>
  </si>
  <si>
    <t>3/8/2026 12:43:11 AM</t>
  </si>
  <si>
    <t>01657A0000365137</t>
  </si>
  <si>
    <t>1657-0000834</t>
  </si>
  <si>
    <t>2/23/2026 3:22:00 PM</t>
  </si>
  <si>
    <t>2/23/2026 11:23:48 PM</t>
  </si>
  <si>
    <t>2/23/2026 11:21:53 PM</t>
  </si>
  <si>
    <t>ALFREDO TOWING SERVICES LLC</t>
  </si>
  <si>
    <t>01657A0000379747</t>
  </si>
  <si>
    <t>1657-0000980</t>
  </si>
  <si>
    <t>2/25/2026 12:53:00 PM</t>
  </si>
  <si>
    <t>3/8/2026 12:56:38 AM</t>
  </si>
  <si>
    <t>3/8/2026 12:49:15 AM</t>
  </si>
  <si>
    <t>Pending Jim to add invoice for closure.</t>
  </si>
  <si>
    <t>01657A0000370073</t>
  </si>
  <si>
    <t>1657-0000971</t>
  </si>
  <si>
    <t>2/25/2026 11:26:00 AM</t>
  </si>
  <si>
    <t>2/25/2026 7:48:58 PM</t>
  </si>
  <si>
    <t>2/25/2026 7:25:46 PM</t>
  </si>
  <si>
    <t>pending invoice</t>
  </si>
  <si>
    <t>2NPNHM6XXFM285823</t>
  </si>
  <si>
    <t>GAR-15-044</t>
  </si>
  <si>
    <t>1657-0000313</t>
  </si>
  <si>
    <t>2/17/2026 6:08:00 AM</t>
  </si>
  <si>
    <t>2/17/2026 2:12:47 PM</t>
  </si>
  <si>
    <t>2/17/2026 2:08:20 PM</t>
  </si>
  <si>
    <t>01657A0000372526</t>
  </si>
  <si>
    <t>1657-0001478</t>
  </si>
  <si>
    <t>3/2/2026 1:52:00 PM</t>
  </si>
  <si>
    <t>3/2/2026 9:54:37 PM</t>
  </si>
  <si>
    <t>3/2/2026 9:52:26 PM</t>
  </si>
  <si>
    <t>01657A0000361957</t>
  </si>
  <si>
    <t>1657-0000569</t>
  </si>
  <si>
    <t>2/19/2026 4:22:00 PM</t>
  </si>
  <si>
    <t>2/19/2026 9:26:16 PM</t>
  </si>
  <si>
    <t>2/19/2026 9:25:14 PM</t>
  </si>
  <si>
    <t>CASE 476</t>
  </si>
  <si>
    <t>01657A0000367483</t>
  </si>
  <si>
    <t>1657-0000987</t>
  </si>
  <si>
    <t>2/25/2026 1:49:00 PM</t>
  </si>
  <si>
    <t>2/25/2026 9:49:30 PM</t>
  </si>
  <si>
    <t>2/25/2026 9:49:12 PM</t>
  </si>
  <si>
    <t>01657A0000377790</t>
  </si>
  <si>
    <t>1FTRS4X87MKA97308</t>
  </si>
  <si>
    <t>GAR-21-098U</t>
  </si>
  <si>
    <t>1657-0001754</t>
  </si>
  <si>
    <t>3/6/2026 11:23:00 AM</t>
  </si>
  <si>
    <t>3/6/2026 7:24:32 PM</t>
  </si>
  <si>
    <t>3/6/2026 7:23:53 PM</t>
  </si>
  <si>
    <t>01657A0000360047</t>
  </si>
  <si>
    <t>1657-0000464</t>
  </si>
  <si>
    <t>2/18/2026 11:15:00 AM</t>
  </si>
  <si>
    <t>2/18/2026 7:16:23 PM</t>
  </si>
  <si>
    <t>2/18/2026 7:15:29 PM</t>
  </si>
  <si>
    <t>01657A0000357952</t>
  </si>
  <si>
    <t>1657-0000281</t>
  </si>
  <si>
    <t>2/16/2026 1:55:00 PM</t>
  </si>
  <si>
    <t>2/16/2026 9:55:34 PM</t>
  </si>
  <si>
    <t>2/16/2026 9:54:54 PM</t>
  </si>
  <si>
    <t>01657A0000357259</t>
  </si>
  <si>
    <t>1657-0000235</t>
  </si>
  <si>
    <t>2/16/2026 7:07:00 AM</t>
  </si>
  <si>
    <t>2/16/2026 3:07:25 PM</t>
  </si>
  <si>
    <t>2/16/2026 3:07:06 PM</t>
  </si>
  <si>
    <t>TND TRUCK SERVICE, LLC</t>
  </si>
  <si>
    <t>01657A0000363146</t>
  </si>
  <si>
    <t>1657-0000708</t>
  </si>
  <si>
    <t>2/20/2026 3:55:00 PM</t>
  </si>
  <si>
    <t>2/20/2026 11:55:34 PM</t>
  </si>
  <si>
    <t>2/20/2026 11:55:10 PM</t>
  </si>
  <si>
    <t>01657A0000378409</t>
  </si>
  <si>
    <t>1FTRS4X86MKA25631</t>
  </si>
  <si>
    <t>GAR-21-049U</t>
  </si>
  <si>
    <t>Step</t>
  </si>
  <si>
    <t>1657-0001485</t>
  </si>
  <si>
    <t>3/2/2026 3:20:00 PM</t>
  </si>
  <si>
    <t>3/2/2026 11:26:10 PM</t>
  </si>
  <si>
    <t>3/2/2026 11:19:55 PM</t>
  </si>
  <si>
    <t>01657A0000370365</t>
  </si>
  <si>
    <t>1657-0001258</t>
  </si>
  <si>
    <t>2/27/2026 12:29:00 PM</t>
  </si>
  <si>
    <t>2/27/2026 8:30:01 PM</t>
  </si>
  <si>
    <t>2/27/2026 8:29:29 PM</t>
  </si>
  <si>
    <t>01657A0000370831</t>
  </si>
  <si>
    <t>2NPNHM6X7GM319010</t>
  </si>
  <si>
    <t>GAR-16-098</t>
  </si>
  <si>
    <t>1657-0000877</t>
  </si>
  <si>
    <t>2/24/2026 8:54:00 AM</t>
  </si>
  <si>
    <t>3/1/2026 2:28:50 AM</t>
  </si>
  <si>
    <t>3/1/2026 2:28:03 AM</t>
  </si>
  <si>
    <t>pending final invoice</t>
  </si>
  <si>
    <t>01657A0000371406</t>
  </si>
  <si>
    <t>2NPNHM6X2JM461885</t>
  </si>
  <si>
    <t>GAR-18-051</t>
  </si>
  <si>
    <t>1657-0001416</t>
  </si>
  <si>
    <t>3/2/2026 4:24:00 AM</t>
  </si>
  <si>
    <t>3/2/2026 12:24:29 PM</t>
  </si>
  <si>
    <t>3/2/2026 12:23:57 PM</t>
  </si>
  <si>
    <t>01657A0000363141</t>
  </si>
  <si>
    <t>Tire - Pneumatic</t>
  </si>
  <si>
    <t>1657-0000702</t>
  </si>
  <si>
    <t>2/20/2026 2:57:00 PM</t>
  </si>
  <si>
    <t>2/20/2026 10:58:06 PM</t>
  </si>
  <si>
    <t>2/20/2026 10:57:05 PM</t>
  </si>
  <si>
    <t>01657A0000370257</t>
  </si>
  <si>
    <t>1657-0001248</t>
  </si>
  <si>
    <t>2/27/2026 11:24:00 AM</t>
  </si>
  <si>
    <t>2/27/2026 7:25:48 PM</t>
  </si>
  <si>
    <t>2/27/2026 7:24:35 PM</t>
  </si>
  <si>
    <t>01657A0000368638</t>
  </si>
  <si>
    <t>1657-0000881</t>
  </si>
  <si>
    <t>2/24/2026 9:52:00 AM</t>
  </si>
  <si>
    <t>2/24/2026 5:53:33 PM</t>
  </si>
  <si>
    <t>2/24/2026 5:52:26 PM</t>
  </si>
  <si>
    <t>Alternator charging at 14.2 bolts, both batteries are good, serpentine belt had to be replaced.</t>
  </si>
  <si>
    <t>1FDRS6PM3JKB22124</t>
  </si>
  <si>
    <t>GAR-19-003</t>
  </si>
  <si>
    <t>1657-0001746</t>
  </si>
  <si>
    <t>3/6/2026 9:05:00 AM</t>
  </si>
  <si>
    <t>3/6/2026 5:06:41 PM</t>
  </si>
  <si>
    <t>3/6/2026 5:05:53 PM</t>
  </si>
  <si>
    <t>01657A0000380178</t>
  </si>
  <si>
    <t>1657-0001728</t>
  </si>
  <si>
    <t>3/6/2026 6:08:00 AM</t>
  </si>
  <si>
    <t>3/7/2026 11:32:22 PM</t>
  </si>
  <si>
    <t>3/7/2026 11:25:28 PM</t>
  </si>
  <si>
    <t>01657A0000366205</t>
  </si>
  <si>
    <t>1FDWE35L17DB27743</t>
  </si>
  <si>
    <t>GAR-5836</t>
  </si>
  <si>
    <t>1657-0000897</t>
  </si>
  <si>
    <t>2/24/2026 1:08:00 PM</t>
  </si>
  <si>
    <t>2/24/2026 9:13:09 PM</t>
  </si>
  <si>
    <t>2/24/2026 9:08:43 PM</t>
  </si>
  <si>
    <t>1657-0001452</t>
  </si>
  <si>
    <t>3/2/2026 9:18:00 AM</t>
  </si>
  <si>
    <t>3/2/2026 5:24:24 PM</t>
  </si>
  <si>
    <t>3/2/2026 5:18:34 PM</t>
  </si>
  <si>
    <t>1657-0001797</t>
  </si>
  <si>
    <t>3/7/2026 2:04:00 PM</t>
  </si>
  <si>
    <t>3/7/2026 10:04:02 PM</t>
  </si>
  <si>
    <t>3/7/2026 10:03:40 PM</t>
  </si>
  <si>
    <t>Pending final invoice</t>
  </si>
  <si>
    <t>01657A0000367467</t>
  </si>
  <si>
    <t>1657-0000986</t>
  </si>
  <si>
    <t>2/25/2026 1:26:00 PM</t>
  </si>
  <si>
    <t>2/25/2026 9:27:36 PM</t>
  </si>
  <si>
    <t>2/25/2026 9:26:21 PM</t>
  </si>
  <si>
    <t>01657A0000378122</t>
  </si>
  <si>
    <t>1FDWE3FL1ADA94572</t>
  </si>
  <si>
    <t>GAR-6280</t>
  </si>
  <si>
    <t>Transceiver - Satellite Communications Systems Components</t>
  </si>
  <si>
    <t>1657-0001263</t>
  </si>
  <si>
    <t>2/27/2026 1:10:00 PM</t>
  </si>
  <si>
    <t>2/27/2026 9:11:01 PM</t>
  </si>
  <si>
    <t>2/27/2026 9:10:23 PM</t>
  </si>
  <si>
    <t>01657A0000361850</t>
  </si>
  <si>
    <t>1657-0000559</t>
  </si>
  <si>
    <t>2/19/2026 12:33:00 PM</t>
  </si>
  <si>
    <t>2/19/2026 8:33:16 PM</t>
  </si>
  <si>
    <t>2/19/2026 8:32:51 PM</t>
  </si>
  <si>
    <t>01657A0000372965</t>
  </si>
  <si>
    <t>1FTRS4X82NKA22940</t>
  </si>
  <si>
    <t>GAR-22-027U</t>
  </si>
  <si>
    <t>1657-0001506</t>
  </si>
  <si>
    <t>3/3/2026 7:01:00 AM</t>
  </si>
  <si>
    <t>3/3/2026 3:04:26 PM</t>
  </si>
  <si>
    <t>3/3/2026 3:00:55 PM</t>
  </si>
  <si>
    <t>01657A0000357414</t>
  </si>
  <si>
    <t>1657-0000237</t>
  </si>
  <si>
    <t>2/16/2026 8:15:00 AM</t>
  </si>
  <si>
    <t>2/16/2026 4:31:00 PM</t>
  </si>
  <si>
    <t>2/16/2026 4:15:24 PM</t>
  </si>
  <si>
    <t>01657A0000377095</t>
  </si>
  <si>
    <t>1FDWE35L17DA89012</t>
  </si>
  <si>
    <t>GAR-5806</t>
  </si>
  <si>
    <t>1657-0001696</t>
  </si>
  <si>
    <t>3/5/2026 5:03:00 PM</t>
  </si>
  <si>
    <t>3/6/2026 1:07:03 AM</t>
  </si>
  <si>
    <t>3/6/2026 1:03:22 AM</t>
  </si>
  <si>
    <t>01657A0000373613</t>
  </si>
  <si>
    <t>1FTRS4X88PKA01318</t>
  </si>
  <si>
    <t>GAR-23-021U</t>
  </si>
  <si>
    <t>1657-0001530</t>
  </si>
  <si>
    <t>2/23/2026 12:50:00 PM</t>
  </si>
  <si>
    <t>3/3/2026 8:56:16 PM</t>
  </si>
  <si>
    <t>3/3/2026 8:50:25 PM</t>
  </si>
  <si>
    <t>01657A0000366284</t>
  </si>
  <si>
    <t>1657-0000902</t>
  </si>
  <si>
    <t>2/24/2026 1:54:00 PM</t>
  </si>
  <si>
    <t>2/24/2026 9:54:52 PM</t>
  </si>
  <si>
    <t>2/24/2026 9:54:18 PM</t>
  </si>
  <si>
    <t>GAR-18-040</t>
  </si>
  <si>
    <t>GARDA - HOUSTON, TX 13077</t>
  </si>
  <si>
    <t>2NPNHM6X7HM319106</t>
  </si>
  <si>
    <t>GAR-17-115</t>
  </si>
  <si>
    <t>1657-0001294</t>
  </si>
  <si>
    <t>2/28/2026 8:30:00 AM</t>
  </si>
  <si>
    <t>2/28/2026 4:33:41 PM</t>
  </si>
  <si>
    <t>2/28/2026 4:30:30 PM</t>
  </si>
  <si>
    <t>01657A0000362186</t>
  </si>
  <si>
    <t>1657-0000605</t>
  </si>
  <si>
    <t>2/20/2026 4:57:00 AM</t>
  </si>
  <si>
    <t>2/20/2026 12:57:13 PM</t>
  </si>
  <si>
    <t>2/20/2026 12:56:43 PM</t>
  </si>
  <si>
    <t>BL291170</t>
  </si>
  <si>
    <t>01657A0000377094</t>
  </si>
  <si>
    <t>1HTJSSKK6CH151846</t>
  </si>
  <si>
    <t>GAR-6658</t>
  </si>
  <si>
    <t>1657-0001697</t>
  </si>
  <si>
    <t>3/5/2026 5:04:00 PM</t>
  </si>
  <si>
    <t>3/6/2026 1:04:14 AM</t>
  </si>
  <si>
    <t>3/6/2026 1:03:54 AM</t>
  </si>
  <si>
    <t>01657A0000358386</t>
  </si>
  <si>
    <t>1FTRS4X8XLKA29194</t>
  </si>
  <si>
    <t>GAR-20-026U</t>
  </si>
  <si>
    <t>1657-0000333</t>
  </si>
  <si>
    <t>2/17/2026 7:35:00 AM</t>
  </si>
  <si>
    <t>2/17/2026 3:36:17 PM</t>
  </si>
  <si>
    <t>2/17/2026 3:35:35 PM</t>
  </si>
  <si>
    <t>01657A0000377096</t>
  </si>
  <si>
    <t>1657-0001698</t>
  </si>
  <si>
    <t>3/5/2026 5:08:00 PM</t>
  </si>
  <si>
    <t>3/6/2026 1:09:16 AM</t>
  </si>
  <si>
    <t>3/6/2026 1:08:17 AM</t>
  </si>
  <si>
    <t>01657A0000366450</t>
  </si>
  <si>
    <t>1657-0000687</t>
  </si>
  <si>
    <t>2/20/2026 2:16:00 PM</t>
  </si>
  <si>
    <t>2/25/2026 7:35:42 AM</t>
  </si>
  <si>
    <t>2/25/2026 8:34:56 AM</t>
  </si>
  <si>
    <t>01657A0000362485</t>
  </si>
  <si>
    <t>1657-0000632</t>
  </si>
  <si>
    <t>2/20/2026 7:59:00 AM</t>
  </si>
  <si>
    <t>2/20/2026 4:00:00 PM</t>
  </si>
  <si>
    <t>2/20/2026 3:59:24 PM</t>
  </si>
  <si>
    <t>01657A0000369526</t>
  </si>
  <si>
    <t>1657-0001130</t>
  </si>
  <si>
    <t>2/27/2026 2:58:00 AM</t>
  </si>
  <si>
    <t>2/27/2026 10:58:55 AM</t>
  </si>
  <si>
    <t>2/27/2026 10:58:00 AM</t>
  </si>
  <si>
    <t>01657A0000377032</t>
  </si>
  <si>
    <t>1657-0001687</t>
  </si>
  <si>
    <t>3/5/2026 2:58:00 PM</t>
  </si>
  <si>
    <t>3/5/2026 11:02:49 PM</t>
  </si>
  <si>
    <t>3/5/2026 10:58:06 PM</t>
  </si>
  <si>
    <t>01657A0000376610</t>
  </si>
  <si>
    <t>1657-0001661</t>
  </si>
  <si>
    <t>3/5/2026 10:34:00 AM</t>
  </si>
  <si>
    <t>3/5/2026 6:35:42 PM</t>
  </si>
  <si>
    <t>3/5/2026 6:34:25 PM</t>
  </si>
  <si>
    <t>01657A0000357153</t>
  </si>
  <si>
    <t>1657-0000226</t>
  </si>
  <si>
    <t>2/16/2026 5:58:00 AM</t>
  </si>
  <si>
    <t>2/16/2026 1:58:23 PM</t>
  </si>
  <si>
    <t>2/16/2026 1:57:51 PM</t>
  </si>
  <si>
    <t>01657A0000377451</t>
  </si>
  <si>
    <t>1657-0001737</t>
  </si>
  <si>
    <t>3/6/2026 7:36:00 AM</t>
  </si>
  <si>
    <t>3/6/2026 3:46:10 PM</t>
  </si>
  <si>
    <t>3/6/2026 3:43:42 PM</t>
  </si>
  <si>
    <t>VRO 1657-0001737 has been Submitted for Review</t>
  </si>
  <si>
    <t>VRO 1657-0000722 has been Submitted for Review</t>
  </si>
  <si>
    <t>01657A0000370344</t>
  </si>
  <si>
    <t>1FTRS4X88MKA97317</t>
  </si>
  <si>
    <t>GAR-21-106U</t>
  </si>
  <si>
    <t>1657-0001256</t>
  </si>
  <si>
    <t>2/27/2026 12:16:00 PM</t>
  </si>
  <si>
    <t>2/27/2026 8:17:24 PM</t>
  </si>
  <si>
    <t>2/27/2026 8:16:12 PM</t>
  </si>
  <si>
    <t>01657A0000359419</t>
  </si>
  <si>
    <t>1657-0000407</t>
  </si>
  <si>
    <t>2/18/2026 5:10:00 AM</t>
  </si>
  <si>
    <t>2/18/2026 1:10:32 PM</t>
  </si>
  <si>
    <t>2/18/2026 1:09:55 PM</t>
  </si>
  <si>
    <t>CASE 409</t>
  </si>
  <si>
    <t>01657A0000358403</t>
  </si>
  <si>
    <t>1657-0000336</t>
  </si>
  <si>
    <t>2/17/2026 7:45:00 AM</t>
  </si>
  <si>
    <t>2/17/2026 3:45:33 PM</t>
  </si>
  <si>
    <t>2/17/2026 3:44:54 PM</t>
  </si>
  <si>
    <t>01657A0000369320</t>
  </si>
  <si>
    <t>1FDWE35L48DA75218</t>
  </si>
  <si>
    <t>GAR-6112</t>
  </si>
  <si>
    <t>1657-0001103</t>
  </si>
  <si>
    <t>2/26/2026 1:06:00 PM</t>
  </si>
  <si>
    <t>2/26/2026 9:07:12 PM</t>
  </si>
  <si>
    <t>2/26/2026 9:05:58 PM</t>
  </si>
  <si>
    <t>01657A0000361756</t>
  </si>
  <si>
    <t>2NPNHM6X3HM319040</t>
  </si>
  <si>
    <t>GAR-17-049</t>
  </si>
  <si>
    <t>1657-0000556</t>
  </si>
  <si>
    <t>2/19/2026 11:48:00 AM</t>
  </si>
  <si>
    <t>2/19/2026 7:48:59 PM</t>
  </si>
  <si>
    <t>2/19/2026 7:48:32 PM</t>
  </si>
  <si>
    <t>01657A0000362676</t>
  </si>
  <si>
    <t>2NPNHM6XXGM318966</t>
  </si>
  <si>
    <t>GAR-16-054</t>
  </si>
  <si>
    <t>1657-0000626</t>
  </si>
  <si>
    <t>2/20/2026 9:57:00 AM</t>
  </si>
  <si>
    <t>2/20/2026 5:45:48 PM</t>
  </si>
  <si>
    <t>2/20/2026 5:45:23 PM</t>
  </si>
  <si>
    <t>1FTRS4X84MKA08312</t>
  </si>
  <si>
    <t>GAR-21-060U</t>
  </si>
  <si>
    <t>1657-0000331</t>
  </si>
  <si>
    <t>2/17/2026 7:07:00 AM</t>
  </si>
  <si>
    <t>2/17/2026 3:09:45 PM</t>
  </si>
  <si>
    <t>2/17/2026 3:06:42 PM</t>
  </si>
  <si>
    <t>01657A0000377099</t>
  </si>
  <si>
    <t>1657-0001701</t>
  </si>
  <si>
    <t>3/5/2026 5:35:00 PM</t>
  </si>
  <si>
    <t>3/6/2026 1:35:31 AM</t>
  </si>
  <si>
    <t>3/6/2026 1:34:56 AM</t>
  </si>
  <si>
    <t>01657A0000368712</t>
  </si>
  <si>
    <t>1FDXE4FN3TDD19329</t>
  </si>
  <si>
    <t>GAR-26-015U</t>
  </si>
  <si>
    <t>1657-0001077</t>
  </si>
  <si>
    <t>2/26/2026 8:15:00 AM</t>
  </si>
  <si>
    <t>2/26/2026 4:14:59 PM</t>
  </si>
  <si>
    <t>2/26/2026 4:14:40 PM</t>
  </si>
  <si>
    <t>01657A0000380166</t>
  </si>
  <si>
    <t>1657-0001723</t>
  </si>
  <si>
    <t>3/6/2026 5:46:00 AM</t>
  </si>
  <si>
    <t>3/8/2026 12:27:32 AM</t>
  </si>
  <si>
    <t>01657A0000367619</t>
  </si>
  <si>
    <t>1657-0001018</t>
  </si>
  <si>
    <t>2/25/2026 5:46:00 PM</t>
  </si>
  <si>
    <t>2/26/2026 1:46:47 AM</t>
  </si>
  <si>
    <t>2/26/2026 1:46:06 AM</t>
  </si>
  <si>
    <t>01657A0000366617</t>
  </si>
  <si>
    <t>1657-0000940</t>
  </si>
  <si>
    <t>2/25/2026 6:13:00 AM</t>
  </si>
  <si>
    <t>2/25/2026 2:14:26 PM</t>
  </si>
  <si>
    <t>2/25/2026 2:13:30 PM</t>
  </si>
  <si>
    <t>01657A0000372028</t>
  </si>
  <si>
    <t>1657-0001456</t>
  </si>
  <si>
    <t>3/2/2026 9:42:00 AM</t>
  </si>
  <si>
    <t>3/2/2026 5:44:27 PM</t>
  </si>
  <si>
    <t>3/2/2026 5:42:06 PM</t>
  </si>
  <si>
    <t>01657A0000369985</t>
  </si>
  <si>
    <t>Oil Pan &amp; Screen Assembly</t>
  </si>
  <si>
    <t>1657-0001233</t>
  </si>
  <si>
    <t>2/27/2026 9:03:00 AM</t>
  </si>
  <si>
    <t>2/27/2026 5:03:56 PM</t>
  </si>
  <si>
    <t>2/27/2026 5:03:14 PM</t>
  </si>
  <si>
    <t>01657A0000370253</t>
  </si>
  <si>
    <t>1657-0001243</t>
  </si>
  <si>
    <t>2/27/2026 11:12:00 AM</t>
  </si>
  <si>
    <t>2/27/2026 7:27:12 PM</t>
  </si>
  <si>
    <t>2/27/2026 7:11:45 PM</t>
  </si>
  <si>
    <t>01657A0000365187</t>
  </si>
  <si>
    <t>1657-0000840</t>
  </si>
  <si>
    <t>2/23/2026 7:07:00 PM</t>
  </si>
  <si>
    <t>2/24/2026 3:07:49 AM</t>
  </si>
  <si>
    <t>2/24/2026 4:07:25 AM</t>
  </si>
  <si>
    <t>01657A0000363180</t>
  </si>
  <si>
    <t>1FTRS4X80LKA29138</t>
  </si>
  <si>
    <t>GAR-20-069U</t>
  </si>
  <si>
    <t>1657-0000288</t>
  </si>
  <si>
    <t>2/16/2026 4:17:00 PM</t>
  </si>
  <si>
    <t>2/21/2026 3:44:21 AM</t>
  </si>
  <si>
    <t>2/21/2026 3:43:47 AM</t>
  </si>
  <si>
    <t>awJQKdo3iR0GS2txuNMbnEw</t>
  </si>
  <si>
    <t>GARDA - BALTIMORE, MD 14087</t>
  </si>
  <si>
    <t>01657A0000375960</t>
  </si>
  <si>
    <t>3AKJHHDR3SSVT0014</t>
  </si>
  <si>
    <t>GAR-25-009U</t>
  </si>
  <si>
    <t>1657-0001637</t>
  </si>
  <si>
    <t>3/5/2026 6:02:00 AM</t>
  </si>
  <si>
    <t>3/5/2026 2:02:16 PM</t>
  </si>
  <si>
    <t>3/5/2026 2:01:41 PM</t>
  </si>
  <si>
    <t>01657A0000363038</t>
  </si>
  <si>
    <t>1657-0000676</t>
  </si>
  <si>
    <t>2/20/2026 12:59:00 PM</t>
  </si>
  <si>
    <t>2/20/2026 9:00:19 PM</t>
  </si>
  <si>
    <t>2/20/2026 8:59:04 PM</t>
  </si>
  <si>
    <t>01657A0000373726</t>
  </si>
  <si>
    <t>1657-0001533</t>
  </si>
  <si>
    <t>3/3/2026 1:52:00 PM</t>
  </si>
  <si>
    <t>3/3/2026 9:52:46 PM</t>
  </si>
  <si>
    <t>3/3/2026 9:51:46 PM</t>
  </si>
  <si>
    <t>2NPNHM6X7HM319090</t>
  </si>
  <si>
    <t>GAR-17-099</t>
  </si>
  <si>
    <t>1657-0001192</t>
  </si>
  <si>
    <t>2/27/2026 7:46:00 AM</t>
  </si>
  <si>
    <t>2/27/2026 3:47:15 PM</t>
  </si>
  <si>
    <t>2/27/2026 3:46:11 PM</t>
  </si>
  <si>
    <t>01657A0000370482</t>
  </si>
  <si>
    <t>1657-0001269</t>
  </si>
  <si>
    <t>2/27/2026 1:51:00 PM</t>
  </si>
  <si>
    <t>2/27/2026 9:51:57 PM</t>
  </si>
  <si>
    <t>2/27/2026 9:51:17 PM</t>
  </si>
  <si>
    <t>01657A0000368326</t>
  </si>
  <si>
    <t>1657-0001041</t>
  </si>
  <si>
    <t>2/26/2026 3:08:00 AM</t>
  </si>
  <si>
    <t>2/26/2026 11:11:57 AM</t>
  </si>
  <si>
    <t>2/26/2026 12:10:51 PM</t>
  </si>
  <si>
    <t>01657A0000372190</t>
  </si>
  <si>
    <t>1657-0001465</t>
  </si>
  <si>
    <t>3/2/2026 10:54:00 AM</t>
  </si>
  <si>
    <t>3/2/2026 6:55:10 PM</t>
  </si>
  <si>
    <t>3/2/2026 6:54:03 PM</t>
  </si>
  <si>
    <t>01657A0000370383</t>
  </si>
  <si>
    <t>2NPNHM6X3HM319135</t>
  </si>
  <si>
    <t>GAR-17-144</t>
  </si>
  <si>
    <t>1657-0001260</t>
  </si>
  <si>
    <t>2/27/2026 12:42:00 PM</t>
  </si>
  <si>
    <t>2/27/2026 8:42:13 PM</t>
  </si>
  <si>
    <t>2/27/2026 8:41:49 PM</t>
  </si>
  <si>
    <t>01657A0000377104</t>
  </si>
  <si>
    <t>1657-0001709</t>
  </si>
  <si>
    <t>3/5/2026 6:15:00 PM</t>
  </si>
  <si>
    <t>3/6/2026 2:15:22 AM</t>
  </si>
  <si>
    <t>3/6/2026 2:14:59 AM</t>
  </si>
  <si>
    <t>GARDA - READING, PA 14094</t>
  </si>
  <si>
    <t>01657A0000366384</t>
  </si>
  <si>
    <t>1HTJSSKK1CH151866</t>
  </si>
  <si>
    <t>GAR-6648</t>
  </si>
  <si>
    <t>1657-0000917</t>
  </si>
  <si>
    <t>2/24/2026 7:43:00 PM</t>
  </si>
  <si>
    <t>2/25/2026 12:48:10 AM</t>
  </si>
  <si>
    <t>2/25/2026 12:47:43 AM</t>
  </si>
  <si>
    <t>01657A0000372620</t>
  </si>
  <si>
    <t>1657-0001491</t>
  </si>
  <si>
    <t>3/2/2026 3:51:00 PM</t>
  </si>
  <si>
    <t>3/2/2026 11:51:56 PM</t>
  </si>
  <si>
    <t>3/2/2026 11:51:24 PM</t>
  </si>
  <si>
    <t>GARDA - CLARKSBURG, MD 14046</t>
  </si>
  <si>
    <t>01657A0000367313</t>
  </si>
  <si>
    <t>2NPNHM6X6HM319033</t>
  </si>
  <si>
    <t>GAR-17-042</t>
  </si>
  <si>
    <t>1657-0000973</t>
  </si>
  <si>
    <t>2/25/2026 11:44:00 AM</t>
  </si>
  <si>
    <t>2/25/2026 7:44:33 PM</t>
  </si>
  <si>
    <t>2/25/2026 7:44:04 PM</t>
  </si>
  <si>
    <t>01657A0000366967</t>
  </si>
  <si>
    <t>1657-0000957</t>
  </si>
  <si>
    <t>2/25/2026 8:56:00 AM</t>
  </si>
  <si>
    <t>2/25/2026 5:00:29 PM</t>
  </si>
  <si>
    <t>2/25/2026 4:56:45 PM</t>
  </si>
  <si>
    <t>01657A0000374199</t>
  </si>
  <si>
    <t>1657-0001428</t>
  </si>
  <si>
    <t>3/2/2026 6:18:00 AM</t>
  </si>
  <si>
    <t>3/2/2026 4:08:47 PM</t>
  </si>
  <si>
    <t>3/2/2026 4:07:20 PM</t>
  </si>
  <si>
    <t>01657A0000375084</t>
  </si>
  <si>
    <t>1657-0001618</t>
  </si>
  <si>
    <t>3/4/2026 11:05:48 PM</t>
  </si>
  <si>
    <t>3/4/2026 11:05:25 PM</t>
  </si>
  <si>
    <t>01657A0000362759</t>
  </si>
  <si>
    <t>Case Assembly - Automatic Transmission</t>
  </si>
  <si>
    <t>1657-0000666</t>
  </si>
  <si>
    <t>2/20/2026 10:31:00 AM</t>
  </si>
  <si>
    <t>2/20/2026 6:31:12 PM</t>
  </si>
  <si>
    <t>2/20/2026 6:30:43 PM</t>
  </si>
  <si>
    <t>Hollie 3/2 Customer states that the units Not turning on that they unit thinks its in park and is having transmission issiues Not sure if its a wiring issue in the transmission. Unit sent to National fleet for Diag and repair. (801)-810-4207. Unit will have a diag with in the hour or so.</t>
  </si>
  <si>
    <t>CASE 517</t>
  </si>
  <si>
    <t>01657A0000379555</t>
  </si>
  <si>
    <t>1657-0001786</t>
  </si>
  <si>
    <t>3/7/2026 8:16:00 AM</t>
  </si>
  <si>
    <t>3/7/2026 4:28:20 PM</t>
  </si>
  <si>
    <t>3/7/2026 4:17:00 PM</t>
  </si>
  <si>
    <t>01657A0000376781</t>
  </si>
  <si>
    <t>1657-0001674</t>
  </si>
  <si>
    <t>3/5/2026 11:49:00 AM</t>
  </si>
  <si>
    <t>3/5/2026 7:50:20 PM</t>
  </si>
  <si>
    <t>3/5/2026 7:49:31 PM</t>
  </si>
  <si>
    <t>01657A0000376714</t>
  </si>
  <si>
    <t>1657-0001671</t>
  </si>
  <si>
    <t>3/5/2026 11:19:00 AM</t>
  </si>
  <si>
    <t>3/5/2026 7:19:49 PM</t>
  </si>
  <si>
    <t>3/5/2026 7:19:32 PM</t>
  </si>
  <si>
    <t>GREAVES FLEET SERVICES, LLC</t>
  </si>
  <si>
    <t>01657A0000367507</t>
  </si>
  <si>
    <t>1657-0000988</t>
  </si>
  <si>
    <t>2/25/2026 1:56:00 PM</t>
  </si>
  <si>
    <t>2/25/2026 9:57:33 PM</t>
  </si>
  <si>
    <t>2/25/2026 9:56:44 PM</t>
  </si>
  <si>
    <t>01657A0000369712</t>
  </si>
  <si>
    <t>1657-0001146</t>
  </si>
  <si>
    <t>2/27/2026 6:42:00 AM</t>
  </si>
  <si>
    <t>2/27/2026 2:42:31 PM</t>
  </si>
  <si>
    <t>2/27/2026 2:41:51 PM</t>
  </si>
  <si>
    <t>01657A0000377098</t>
  </si>
  <si>
    <t>Handle - Stack Lock</t>
  </si>
  <si>
    <t>1657-0001700</t>
  </si>
  <si>
    <t>3/5/2026 5:28:00 PM</t>
  </si>
  <si>
    <t>3/6/2026 1:28:44 AM</t>
  </si>
  <si>
    <t>3/6/2026 1:28:30 AM</t>
  </si>
  <si>
    <t>01657A0000357402</t>
  </si>
  <si>
    <t>1657-0000236</t>
  </si>
  <si>
    <t>2/16/2026 8:14:00 AM</t>
  </si>
  <si>
    <t>2/16/2026 4:25:48 PM</t>
  </si>
  <si>
    <t>2/16/2026 4:14:06 PM</t>
  </si>
  <si>
    <t>01657A0000361576</t>
  </si>
  <si>
    <t>1657-0000552</t>
  </si>
  <si>
    <t>2/19/2026 10:18:00 AM</t>
  </si>
  <si>
    <t>2/19/2026 6:18:00 PM</t>
  </si>
  <si>
    <t>2/19/2026 6:17:38 PM</t>
  </si>
  <si>
    <t>DOSSMAN FLEET SERVICES LLC</t>
  </si>
  <si>
    <t>01657A0000378121</t>
  </si>
  <si>
    <t>2NPNHM6X9FM307116</t>
  </si>
  <si>
    <t>GAR-16-038</t>
  </si>
  <si>
    <t>1657-0001262</t>
  </si>
  <si>
    <t>2/27/2026 1:05:00 PM</t>
  </si>
  <si>
    <t>2/27/2026 9:05:46 PM</t>
  </si>
  <si>
    <t>2/27/2026 9:05:23 PM</t>
  </si>
  <si>
    <t>01657A0000377006</t>
  </si>
  <si>
    <t>1657-0001158</t>
  </si>
  <si>
    <t>3/5/2026 5:23:28 PM</t>
  </si>
  <si>
    <t>3/5/2026 5:16:42 PM</t>
  </si>
  <si>
    <t>01657A0000362036</t>
  </si>
  <si>
    <t>1657-0000584</t>
  </si>
  <si>
    <t>2/19/2026 2:51:00 PM</t>
  </si>
  <si>
    <t>2/19/2026 10:52:20 PM</t>
  </si>
  <si>
    <t>2/19/2026 10:51:29 PM</t>
  </si>
  <si>
    <t>Gauges &amp; Warning Devices</t>
  </si>
  <si>
    <t>Glass - Windshield</t>
  </si>
  <si>
    <t>3/12/2026 12:00:00 AM</t>
  </si>
  <si>
    <t>Central</t>
  </si>
  <si>
    <t>Upper Midwest</t>
  </si>
  <si>
    <t>Broadview, IL 190-48</t>
  </si>
  <si>
    <t>GAR-09-008</t>
  </si>
  <si>
    <t>East</t>
  </si>
  <si>
    <t>New England</t>
  </si>
  <si>
    <t>Cranston, RI 144-22</t>
  </si>
  <si>
    <t>GAR-13-003</t>
  </si>
  <si>
    <t>South</t>
  </si>
  <si>
    <t>Lonestar</t>
  </si>
  <si>
    <t>Oklahoma City, OK 130-80</t>
  </si>
  <si>
    <t>Lower Midwest</t>
  </si>
  <si>
    <t>Columbia, MO 130-68</t>
  </si>
  <si>
    <t>Midwest</t>
  </si>
  <si>
    <t>Indy, IN 190-14</t>
  </si>
  <si>
    <t>GAR-13-021</t>
  </si>
  <si>
    <t>Louisville, KY 270-64</t>
  </si>
  <si>
    <t>Midatlantic</t>
  </si>
  <si>
    <t>Johnstown, PA 140-82</t>
  </si>
  <si>
    <t>Holyoke, MA 144-20</t>
  </si>
  <si>
    <t>GAR-13-035</t>
  </si>
  <si>
    <t>GAR-13-038</t>
  </si>
  <si>
    <t>Lower Hudson</t>
  </si>
  <si>
    <t>Rochester, NY 280-55</t>
  </si>
  <si>
    <t>Runnemede, NJ 140-83</t>
  </si>
  <si>
    <t>GAR-13-046</t>
  </si>
  <si>
    <t>Long Island City, NY 280-52</t>
  </si>
  <si>
    <t>GAR-13-048</t>
  </si>
  <si>
    <t>GAR-13-055</t>
  </si>
  <si>
    <t>Detroit, MI 190-63</t>
  </si>
  <si>
    <t>Boston, MA 144-23</t>
  </si>
  <si>
    <t>GAR-15-015</t>
  </si>
  <si>
    <t>Carolinas</t>
  </si>
  <si>
    <t>Birmingham, AL 260-22</t>
  </si>
  <si>
    <t>Manchester, NH 144-24</t>
  </si>
  <si>
    <t>GAR-15-027</t>
  </si>
  <si>
    <t>Baltimore, MD 140-87</t>
  </si>
  <si>
    <t>GAR-15-028</t>
  </si>
  <si>
    <t>Corpus Christi, TX 130-72</t>
  </si>
  <si>
    <t>GAR-15-029</t>
  </si>
  <si>
    <t>GAR-15-033</t>
  </si>
  <si>
    <t>GAR-15-039</t>
  </si>
  <si>
    <t>Pittsburgh, PA 140-98</t>
  </si>
  <si>
    <t>El Paso, TX 130-20</t>
  </si>
  <si>
    <t>West</t>
  </si>
  <si>
    <t>Northcal</t>
  </si>
  <si>
    <t>Morgan Hill, CA 120-32</t>
  </si>
  <si>
    <t>GAR-15-047</t>
  </si>
  <si>
    <t>GAR-15-051</t>
  </si>
  <si>
    <t>Clarksburg, MD 140-46</t>
  </si>
  <si>
    <t>GAR-15-052</t>
  </si>
  <si>
    <t>Northwest</t>
  </si>
  <si>
    <t>Medford, OR 230-59</t>
  </si>
  <si>
    <t>GAR-15-070</t>
  </si>
  <si>
    <t>Fairfield, NJ 280-50</t>
  </si>
  <si>
    <t>GAR-15-071</t>
  </si>
  <si>
    <t>GAR-15-075</t>
  </si>
  <si>
    <t>Folcroft, PA 140-97</t>
  </si>
  <si>
    <t>GAR-15-077</t>
  </si>
  <si>
    <t>Southcal</t>
  </si>
  <si>
    <t>San Bernardino, CA 120-13</t>
  </si>
  <si>
    <t>Sacramento, CA 120-35</t>
  </si>
  <si>
    <t>GAR-16-007</t>
  </si>
  <si>
    <t>Little Rock, AR 260-07</t>
  </si>
  <si>
    <t>Toledo, OH 190-66</t>
  </si>
  <si>
    <t>GAR-16-026</t>
  </si>
  <si>
    <t>Laredo, TX 130-76</t>
  </si>
  <si>
    <t>Oakland, CA 120-41</t>
  </si>
  <si>
    <t>GAR-16-032</t>
  </si>
  <si>
    <t>Kansas City, KS 130-63</t>
  </si>
  <si>
    <t>GAR-16-050</t>
  </si>
  <si>
    <t>GAR-16-052</t>
  </si>
  <si>
    <t>Edison, NJ 140-85</t>
  </si>
  <si>
    <t>Atlanta, GA 260-85</t>
  </si>
  <si>
    <t>GAR-16-055</t>
  </si>
  <si>
    <t>Reading, PA 140-94</t>
  </si>
  <si>
    <t>GAR-16-066</t>
  </si>
  <si>
    <t>Lexington, KY 270-65</t>
  </si>
  <si>
    <t>Durham, NC 250-28</t>
  </si>
  <si>
    <t>GAR-16-076</t>
  </si>
  <si>
    <t>San Diego, CA 120-05</t>
  </si>
  <si>
    <t>GAR-16-079</t>
  </si>
  <si>
    <t>GAR-16-081</t>
  </si>
  <si>
    <t>GAR-16-082</t>
  </si>
  <si>
    <t>GAR-16-087</t>
  </si>
  <si>
    <t>GAR-16-088</t>
  </si>
  <si>
    <t>Richmond, VA 140-89</t>
  </si>
  <si>
    <t>GAR-16-090</t>
  </si>
  <si>
    <t>GAR-16-096</t>
  </si>
  <si>
    <t>Grand Rapids, MI 190-60</t>
  </si>
  <si>
    <t>South Bend, IN 190-50</t>
  </si>
  <si>
    <t>Austin, TX 130-75</t>
  </si>
  <si>
    <t>Southeast</t>
  </si>
  <si>
    <t>Orlando, FL 260-10</t>
  </si>
  <si>
    <t>GAR-17-035</t>
  </si>
  <si>
    <t>Anaheim, CA 120-03</t>
  </si>
  <si>
    <t>GAR-17-036</t>
  </si>
  <si>
    <t>GAR-17-047</t>
  </si>
  <si>
    <t>Charlotte, NC 250-99</t>
  </si>
  <si>
    <t>GAR-17-050</t>
  </si>
  <si>
    <t>Miami, FL 260-18</t>
  </si>
  <si>
    <t>Columbus, OH 190-64</t>
  </si>
  <si>
    <t>GAR-17-063</t>
  </si>
  <si>
    <t>Lafayette, LA 260-01</t>
  </si>
  <si>
    <t>Evansville, IN 190-52</t>
  </si>
  <si>
    <t>Houston, TX 130-77</t>
  </si>
  <si>
    <t>GAR-17-114</t>
  </si>
  <si>
    <t>Cincinnati, OH 190-67</t>
  </si>
  <si>
    <t>Cleveland, OH 190-68</t>
  </si>
  <si>
    <t>Davenport, IA 190-45</t>
  </si>
  <si>
    <t>GAR-17-129</t>
  </si>
  <si>
    <t>GAR-17-136</t>
  </si>
  <si>
    <t>GAR-17-140</t>
  </si>
  <si>
    <t>Tampa, FL 260-43</t>
  </si>
  <si>
    <t>GAR-18-004</t>
  </si>
  <si>
    <t>Yakima, WA 230-47</t>
  </si>
  <si>
    <t>Schenectady, NY 140-27</t>
  </si>
  <si>
    <t>West Hempstead, NY 140-28</t>
  </si>
  <si>
    <t>GAR-18-059</t>
  </si>
  <si>
    <t>GAR-18-060</t>
  </si>
  <si>
    <t>Las Vegas, NV 120-62</t>
  </si>
  <si>
    <t>GAR-18-062</t>
  </si>
  <si>
    <t>Van Nuys, CA 120-20</t>
  </si>
  <si>
    <t>GAR-18-063</t>
  </si>
  <si>
    <t>New Orleans, LA 260-02</t>
  </si>
  <si>
    <t>Southwest</t>
  </si>
  <si>
    <t>Colorado Springs, CO 230-16</t>
  </si>
  <si>
    <t>GAR-18-095</t>
  </si>
  <si>
    <t>Helena, MT 230-87</t>
  </si>
  <si>
    <t>Spokane, WA 230-50</t>
  </si>
  <si>
    <t>GAR-18-137</t>
  </si>
  <si>
    <t>GAR-18-143</t>
  </si>
  <si>
    <t>Ft. Wayne, IN 190-51</t>
  </si>
  <si>
    <t>Greenville, SC 250-95</t>
  </si>
  <si>
    <t>St. Louis, MO 130-69</t>
  </si>
  <si>
    <t>Phoenix, AZ 120-81</t>
  </si>
  <si>
    <t>GAR-18-184</t>
  </si>
  <si>
    <t>GAR-18-191</t>
  </si>
  <si>
    <t>GAR-18-197</t>
  </si>
  <si>
    <t>GAR-18-199</t>
  </si>
  <si>
    <t>GAR-19-004</t>
  </si>
  <si>
    <t>Nashville, TN 270-08</t>
  </si>
  <si>
    <t>Denver, CO 230-30</t>
  </si>
  <si>
    <t>Mobile, AL 260-31</t>
  </si>
  <si>
    <t>Columbia, SC 250-93</t>
  </si>
  <si>
    <t>GAR-19-058</t>
  </si>
  <si>
    <t>Jacksonville, FL 260-19</t>
  </si>
  <si>
    <t>GAR-19-117</t>
  </si>
  <si>
    <t>GAR-19-119</t>
  </si>
  <si>
    <t>Richardson, TX 130-71</t>
  </si>
  <si>
    <t>Fresno, CA 120-29</t>
  </si>
  <si>
    <t>GAR-20-003U</t>
  </si>
  <si>
    <t>GAR-20-012U</t>
  </si>
  <si>
    <t>GAR-20-019U</t>
  </si>
  <si>
    <t>Santa Rosa, CA 120-38</t>
  </si>
  <si>
    <t>GAR-20-021U</t>
  </si>
  <si>
    <t>GAR-20-040U</t>
  </si>
  <si>
    <t>Tucson, AZ 120-82</t>
  </si>
  <si>
    <t>GAR-20-061U</t>
  </si>
  <si>
    <t>Tacoma, WA 230-52</t>
  </si>
  <si>
    <t>Burlington, VT 144-21</t>
  </si>
  <si>
    <t>St. Paul, MN 190-59</t>
  </si>
  <si>
    <t>GAR-23-048U</t>
  </si>
  <si>
    <t>Lubbock, TX 130-11</t>
  </si>
  <si>
    <t>GAR-25-005U</t>
  </si>
  <si>
    <t>GAR-25-037U</t>
  </si>
  <si>
    <t>GAR-25-047U</t>
  </si>
  <si>
    <t>GAR-26-036U</t>
  </si>
  <si>
    <t>Casper, WY 230-95</t>
  </si>
  <si>
    <t>GAR-334</t>
  </si>
  <si>
    <t>GAR-347</t>
  </si>
  <si>
    <t>Cheyenne, WY 230-96</t>
  </si>
  <si>
    <t>Renton, WA 230-51</t>
  </si>
  <si>
    <t>GAR-4004</t>
  </si>
  <si>
    <t>GAR-4012</t>
  </si>
  <si>
    <t>GAR-4150</t>
  </si>
  <si>
    <t>GAR-4304</t>
  </si>
  <si>
    <t>GAR-4358</t>
  </si>
  <si>
    <t>McAllen, TX 130-74</t>
  </si>
  <si>
    <t>GAR-4492</t>
  </si>
  <si>
    <t>GAR-4604</t>
  </si>
  <si>
    <t>GAR-4818</t>
  </si>
  <si>
    <t>GAR-4824</t>
  </si>
  <si>
    <t>Portland, OR 230-55</t>
  </si>
  <si>
    <t>GAR-4976</t>
  </si>
  <si>
    <t>GAR-5000</t>
  </si>
  <si>
    <t>GAR-5220</t>
  </si>
  <si>
    <t>GAR-5226</t>
  </si>
  <si>
    <t>GAR-5242</t>
  </si>
  <si>
    <t>San Antonio, TX 130-79</t>
  </si>
  <si>
    <t>GAR-5282</t>
  </si>
  <si>
    <t>GAR-5384</t>
  </si>
  <si>
    <t>GAR-5446</t>
  </si>
  <si>
    <t>Wenatchee, WA 230-49</t>
  </si>
  <si>
    <t>GAR-5462</t>
  </si>
  <si>
    <t>Roseburg, OR 230-58</t>
  </si>
  <si>
    <t>GAR-5510</t>
  </si>
  <si>
    <t>GAR-5520</t>
  </si>
  <si>
    <t>GAR-5560</t>
  </si>
  <si>
    <t>Wilmington, DE 140-90</t>
  </si>
  <si>
    <t>GAR-5640</t>
  </si>
  <si>
    <t>GAR-5644</t>
  </si>
  <si>
    <t>GAR-5694</t>
  </si>
  <si>
    <t>GAR-5702</t>
  </si>
  <si>
    <t>GAR-5708</t>
  </si>
  <si>
    <t>Bakersfield, CA 120-25</t>
  </si>
  <si>
    <t>Green Bay, WI 190-55</t>
  </si>
  <si>
    <t>Memphis, TN 270-32</t>
  </si>
  <si>
    <t>Albuquerque, NM 130-88</t>
  </si>
  <si>
    <t>Bell, CA 120-01</t>
  </si>
  <si>
    <t>GAR-6016</t>
  </si>
  <si>
    <t>Rockford, IL 190-49</t>
  </si>
  <si>
    <t>Wichita, KS 130-65</t>
  </si>
  <si>
    <t>GAR-6054</t>
  </si>
  <si>
    <t>Knoxville, TN 270-10</t>
  </si>
  <si>
    <t>GAR-6098</t>
  </si>
  <si>
    <t>GAR-6104</t>
  </si>
  <si>
    <t>City of Industry, CA 120-04</t>
  </si>
  <si>
    <t>GAR-6168</t>
  </si>
  <si>
    <t>GAR-6182</t>
  </si>
  <si>
    <t>Springfield, MO 130-66</t>
  </si>
  <si>
    <t>GAR-6268</t>
  </si>
  <si>
    <t>GAR-6276</t>
  </si>
  <si>
    <t>GAR-6302</t>
  </si>
  <si>
    <t>Mt. Vernon, WA 230-53</t>
  </si>
  <si>
    <t>Flagstaff, AZ 120-27</t>
  </si>
  <si>
    <t>GAR-6372</t>
  </si>
  <si>
    <t>GAR-6392</t>
  </si>
  <si>
    <t>Wilkes Barre, PA 140-95</t>
  </si>
  <si>
    <t>GAR-6412</t>
  </si>
  <si>
    <t>GAR-6448</t>
  </si>
  <si>
    <t>Madison, WI 190-56</t>
  </si>
  <si>
    <t>GAR-6556</t>
  </si>
  <si>
    <t>GAR-6568</t>
  </si>
  <si>
    <t>GAR-6662</t>
  </si>
  <si>
    <t>GAR-6668</t>
  </si>
  <si>
    <t>GAR-6680</t>
  </si>
  <si>
    <t>Salina, KS 130-62</t>
  </si>
  <si>
    <t>GAR-121403</t>
  </si>
  <si>
    <t>GAR-121404</t>
  </si>
  <si>
    <t>Missoula, MT 230-91</t>
  </si>
  <si>
    <t>GAR-T19-002</t>
  </si>
  <si>
    <t>GAR-13-001</t>
  </si>
  <si>
    <t>GAR-13-002</t>
  </si>
  <si>
    <t>GAR-13-005</t>
  </si>
  <si>
    <t>GAR-13-006</t>
  </si>
  <si>
    <t>Chippewa Falls, WI 190-53</t>
  </si>
  <si>
    <t>GAR-13-010</t>
  </si>
  <si>
    <t>GAR-13-016</t>
  </si>
  <si>
    <t>GAR-13-018</t>
  </si>
  <si>
    <t>GAR-13-020</t>
  </si>
  <si>
    <t>GAR-13-023</t>
  </si>
  <si>
    <t>GAR-13-025</t>
  </si>
  <si>
    <t>GAR-13-028</t>
  </si>
  <si>
    <t>GAR-13-031</t>
  </si>
  <si>
    <t>GAR-13-034</t>
  </si>
  <si>
    <t>GAR-13-036</t>
  </si>
  <si>
    <t>GAR-13-037</t>
  </si>
  <si>
    <t>GAR-13-039</t>
  </si>
  <si>
    <t>GAR-13-042</t>
  </si>
  <si>
    <t>GAR-13-043</t>
  </si>
  <si>
    <t>GAR-13-044</t>
  </si>
  <si>
    <t>GAR-13-047</t>
  </si>
  <si>
    <t>GAR-13-052</t>
  </si>
  <si>
    <t>GAR-13-054</t>
  </si>
  <si>
    <t>GAR-13-056</t>
  </si>
  <si>
    <t>GAR-13-057</t>
  </si>
  <si>
    <t>GAR-13-058</t>
  </si>
  <si>
    <t>Bloomington, IL 190-24</t>
  </si>
  <si>
    <t>GAR-13-077</t>
  </si>
  <si>
    <t>Roanoke, VA 140-24</t>
  </si>
  <si>
    <t>GAR-13-080</t>
  </si>
  <si>
    <t>Milwaukee, WI 190-57</t>
  </si>
  <si>
    <t>GAR-13-081</t>
  </si>
  <si>
    <t>GAR-13-082</t>
  </si>
  <si>
    <t>Hampton-Chespeake, VA 140-31</t>
  </si>
  <si>
    <t>GAR-15-002</t>
  </si>
  <si>
    <t>GAR-15-005</t>
  </si>
  <si>
    <t>GAR-15-007</t>
  </si>
  <si>
    <t>GAR-15-008</t>
  </si>
  <si>
    <t>GAR-15-011</t>
  </si>
  <si>
    <t>GAR-15-016</t>
  </si>
  <si>
    <t>GAR-15-019</t>
  </si>
  <si>
    <t>GAR-15-021</t>
  </si>
  <si>
    <t>GAR-15-022</t>
  </si>
  <si>
    <t>GAR-15-023</t>
  </si>
  <si>
    <t>GAR-15-024</t>
  </si>
  <si>
    <t>GAR-15-031</t>
  </si>
  <si>
    <t>GAR-15-034</t>
  </si>
  <si>
    <t>GAR-15-036</t>
  </si>
  <si>
    <t>GAR-15-037</t>
  </si>
  <si>
    <t>GAR-15-038</t>
  </si>
  <si>
    <t>GAR-15-040</t>
  </si>
  <si>
    <t>GAR-15-041</t>
  </si>
  <si>
    <t>GAR-15-042</t>
  </si>
  <si>
    <t>GAR-15-043</t>
  </si>
  <si>
    <t>GAR-15-045</t>
  </si>
  <si>
    <t>GAR-15-049</t>
  </si>
  <si>
    <t>GAR-15-050</t>
  </si>
  <si>
    <t>GAR-15-055</t>
  </si>
  <si>
    <t>GAR-15-056</t>
  </si>
  <si>
    <t>GAR-15-057</t>
  </si>
  <si>
    <t>GAR-15-059</t>
  </si>
  <si>
    <t>GAR-15-060</t>
  </si>
  <si>
    <t>GAR-15-061</t>
  </si>
  <si>
    <t>GAR-15-063</t>
  </si>
  <si>
    <t>GAR-15-065</t>
  </si>
  <si>
    <t>GAR-15-067</t>
  </si>
  <si>
    <t>GAR-15-068</t>
  </si>
  <si>
    <t>GAR-15-069</t>
  </si>
  <si>
    <t>GAR-15-074</t>
  </si>
  <si>
    <t>GAR-15-079</t>
  </si>
  <si>
    <t>GAR-15-080</t>
  </si>
  <si>
    <t>GAR-15-081</t>
  </si>
  <si>
    <t>Dayton, OH 190-65</t>
  </si>
  <si>
    <t>GAR-15-084</t>
  </si>
  <si>
    <t>GAR-15-090</t>
  </si>
  <si>
    <t>GAR-16-003</t>
  </si>
  <si>
    <t>GAR-16-004</t>
  </si>
  <si>
    <t>GAR-16-006</t>
  </si>
  <si>
    <t>GAR-16-009</t>
  </si>
  <si>
    <t>GAR-16-012</t>
  </si>
  <si>
    <t>GAR-16-013</t>
  </si>
  <si>
    <t>GAR-16-014</t>
  </si>
  <si>
    <t>GAR-16-017</t>
  </si>
  <si>
    <t>GAR-16-019</t>
  </si>
  <si>
    <t>GAR-16-020</t>
  </si>
  <si>
    <t>GAR-16-024</t>
  </si>
  <si>
    <t>Dover, DE 140-92</t>
  </si>
  <si>
    <t>GAR-16-028</t>
  </si>
  <si>
    <t>GAR-16-029</t>
  </si>
  <si>
    <t>GAR-16-030</t>
  </si>
  <si>
    <t>Boise, ID 230-39</t>
  </si>
  <si>
    <t>GAR-16-041</t>
  </si>
  <si>
    <t>GAR-16-042</t>
  </si>
  <si>
    <t>GAR-16-045</t>
  </si>
  <si>
    <t>GAR-16-047</t>
  </si>
  <si>
    <t>GAR-16-048</t>
  </si>
  <si>
    <t>GAR-16-049</t>
  </si>
  <si>
    <t>GAR-16-053</t>
  </si>
  <si>
    <t>GAR-16-056</t>
  </si>
  <si>
    <t>GAR-16-058</t>
  </si>
  <si>
    <t>Shreveport, LA 260-03</t>
  </si>
  <si>
    <t>GAR-16-061</t>
  </si>
  <si>
    <t>GAR-16-062</t>
  </si>
  <si>
    <t>GAR-16-065</t>
  </si>
  <si>
    <t>GAR-16-069</t>
  </si>
  <si>
    <t>GAR-16-070</t>
  </si>
  <si>
    <t>GAR-16-071</t>
  </si>
  <si>
    <t>GAR-16-072</t>
  </si>
  <si>
    <t>GAR-16-073</t>
  </si>
  <si>
    <t>GAR-16-075</t>
  </si>
  <si>
    <t>GAR-16-077</t>
  </si>
  <si>
    <t>GAR-16-078</t>
  </si>
  <si>
    <t>Salt Lake City, UT 230-37</t>
  </si>
  <si>
    <t>GAR-16-083</t>
  </si>
  <si>
    <t>GAR-16-084</t>
  </si>
  <si>
    <t>GAR-16-086</t>
  </si>
  <si>
    <t>GAR-16-089</t>
  </si>
  <si>
    <t>GAR-16-092</t>
  </si>
  <si>
    <t>GAR-16-093</t>
  </si>
  <si>
    <t>GAR-16-094</t>
  </si>
  <si>
    <t>GAR-16-102</t>
  </si>
  <si>
    <t>Jackson, MS 260-23</t>
  </si>
  <si>
    <t>GAR-16-107</t>
  </si>
  <si>
    <t>GAR-16-108</t>
  </si>
  <si>
    <t>GAR-17-031</t>
  </si>
  <si>
    <t>GAR-17-032</t>
  </si>
  <si>
    <t>GAR-17-033</t>
  </si>
  <si>
    <t>GAR-17-038</t>
  </si>
  <si>
    <t>GAR-17-044</t>
  </si>
  <si>
    <t>GAR-17-045</t>
  </si>
  <si>
    <t>GAR-17-046</t>
  </si>
  <si>
    <t>GAR-17-048</t>
  </si>
  <si>
    <t>GAR-17-051</t>
  </si>
  <si>
    <t>GAR-17-054</t>
  </si>
  <si>
    <t>GAR-17-055</t>
  </si>
  <si>
    <t>GAR-17-056</t>
  </si>
  <si>
    <t>GAR-17-057</t>
  </si>
  <si>
    <t>GAR-17-068</t>
  </si>
  <si>
    <t>GAR-17-071</t>
  </si>
  <si>
    <t>GAR-17-073</t>
  </si>
  <si>
    <t>GAR-17-078</t>
  </si>
  <si>
    <t>GAR-17-079</t>
  </si>
  <si>
    <t>GAR-17-082</t>
  </si>
  <si>
    <t>GAR-17-083</t>
  </si>
  <si>
    <t>GAR-17-084</t>
  </si>
  <si>
    <t>Myrtle Beach, SC 250-97</t>
  </si>
  <si>
    <t>GAR-17-092</t>
  </si>
  <si>
    <t>GAR-17-097</t>
  </si>
  <si>
    <t>GAR-17-098</t>
  </si>
  <si>
    <t>GAR-17-101</t>
  </si>
  <si>
    <t>GAR-17-105</t>
  </si>
  <si>
    <t>GAR-17-106</t>
  </si>
  <si>
    <t>GAR-17-107</t>
  </si>
  <si>
    <t>GAR-17-108</t>
  </si>
  <si>
    <t>Charleston, SC 250-92</t>
  </si>
  <si>
    <t>GAR-17-111</t>
  </si>
  <si>
    <t>GAR-17-116</t>
  </si>
  <si>
    <t>GAR-17-121</t>
  </si>
  <si>
    <t>GAR-17-122</t>
  </si>
  <si>
    <t>GAR-17-135</t>
  </si>
  <si>
    <t>GAR-17-137</t>
  </si>
  <si>
    <t>GAR-17-138</t>
  </si>
  <si>
    <t>GAR-17-139</t>
  </si>
  <si>
    <t>GAR-17-142</t>
  </si>
  <si>
    <t>GAR-17-143</t>
  </si>
  <si>
    <t>GAR-18-001</t>
  </si>
  <si>
    <t>GAR-18-005</t>
  </si>
  <si>
    <t>GAR-18-006</t>
  </si>
  <si>
    <t>GAR-18-008</t>
  </si>
  <si>
    <t>GAR-18-009</t>
  </si>
  <si>
    <t>GAR-18-010</t>
  </si>
  <si>
    <t>GAR-18-012</t>
  </si>
  <si>
    <t>GAR-18-013</t>
  </si>
  <si>
    <t>GAR-18-014</t>
  </si>
  <si>
    <t>GAR-18-015</t>
  </si>
  <si>
    <t>GAR-18-017</t>
  </si>
  <si>
    <t>GAR-18-018</t>
  </si>
  <si>
    <t>GAR-18-021</t>
  </si>
  <si>
    <t>GAR-18-023</t>
  </si>
  <si>
    <t>GAR-18-025</t>
  </si>
  <si>
    <t>GAR-18-026</t>
  </si>
  <si>
    <t>GAR-18-028</t>
  </si>
  <si>
    <t>GAR-18-033</t>
  </si>
  <si>
    <t>GAR-18-038</t>
  </si>
  <si>
    <t>GAR-18-041</t>
  </si>
  <si>
    <t>GAR-18-042</t>
  </si>
  <si>
    <t>GAR-18-043</t>
  </si>
  <si>
    <t>GAR-18-045</t>
  </si>
  <si>
    <t>GAR-18-046</t>
  </si>
  <si>
    <t>GAR-18-048</t>
  </si>
  <si>
    <t>GAR-18-050</t>
  </si>
  <si>
    <t>GAR-18-052</t>
  </si>
  <si>
    <t>GAR-18-053</t>
  </si>
  <si>
    <t>GAR-18-054</t>
  </si>
  <si>
    <t>GAR-18-057</t>
  </si>
  <si>
    <t>GAR-18-065</t>
  </si>
  <si>
    <t>GAR-18-067</t>
  </si>
  <si>
    <t>GAR-18-070</t>
  </si>
  <si>
    <t>GAR-18-071</t>
  </si>
  <si>
    <t>GAR-18-073</t>
  </si>
  <si>
    <t>GAR-18-074</t>
  </si>
  <si>
    <t>GAR-18-075</t>
  </si>
  <si>
    <t>Duluth, MN 190-58</t>
  </si>
  <si>
    <t>GAR-18-083</t>
  </si>
  <si>
    <t>GAR-18-084</t>
  </si>
  <si>
    <t>GAR-18-085</t>
  </si>
  <si>
    <t>GAR-18-086</t>
  </si>
  <si>
    <t>GAR-18-087</t>
  </si>
  <si>
    <t>GAR-18-088</t>
  </si>
  <si>
    <t>GAR-18-089</t>
  </si>
  <si>
    <t>GAR-18-090</t>
  </si>
  <si>
    <t>GAR-18-091</t>
  </si>
  <si>
    <t>Lewiston, ID 230-80</t>
  </si>
  <si>
    <t>GAR-18-092</t>
  </si>
  <si>
    <t>GAR-18-093</t>
  </si>
  <si>
    <t>GAR-18-097</t>
  </si>
  <si>
    <t>GAR-18-102</t>
  </si>
  <si>
    <t>GAR-18-105</t>
  </si>
  <si>
    <t>GAR-18-108</t>
  </si>
  <si>
    <t>GAR-18-110</t>
  </si>
  <si>
    <t>GAR-18-111</t>
  </si>
  <si>
    <t>GAR-18-113</t>
  </si>
  <si>
    <t>GAR-18-114</t>
  </si>
  <si>
    <t>GAR-18-115</t>
  </si>
  <si>
    <t>GAR-18-116</t>
  </si>
  <si>
    <t>GAR-18-117</t>
  </si>
  <si>
    <t>GAR-18-119</t>
  </si>
  <si>
    <t>GAR-18-120</t>
  </si>
  <si>
    <t>GAR-18-127</t>
  </si>
  <si>
    <t>GAR-18-129</t>
  </si>
  <si>
    <t>GAR-18-130</t>
  </si>
  <si>
    <t>GAR-18-131</t>
  </si>
  <si>
    <t>GAR-18-134</t>
  </si>
  <si>
    <t>GAR-18-136</t>
  </si>
  <si>
    <t>GAR-18-138</t>
  </si>
  <si>
    <t>GAR-18-146</t>
  </si>
  <si>
    <t>GAR-18-150</t>
  </si>
  <si>
    <t>GAR-18-151</t>
  </si>
  <si>
    <t>GAR-18-152</t>
  </si>
  <si>
    <t>GAR-18-154</t>
  </si>
  <si>
    <t>GAR-18-155</t>
  </si>
  <si>
    <t>GAR-18-157</t>
  </si>
  <si>
    <t>GAR-18-158</t>
  </si>
  <si>
    <t>GAR-18-162</t>
  </si>
  <si>
    <t>GAR-18-163</t>
  </si>
  <si>
    <t>GAR-18-164</t>
  </si>
  <si>
    <t>GAR-18-166</t>
  </si>
  <si>
    <t>GAR-18-170</t>
  </si>
  <si>
    <t>GAR-18-172</t>
  </si>
  <si>
    <t>GAR-18-173</t>
  </si>
  <si>
    <t>GAR-18-177</t>
  </si>
  <si>
    <t>GAR-18-180</t>
  </si>
  <si>
    <t>GAR-18-182</t>
  </si>
  <si>
    <t>GAR-18-183</t>
  </si>
  <si>
    <t>Sparks, NV 120-61</t>
  </si>
  <si>
    <t>GAR-18-186</t>
  </si>
  <si>
    <t>GAR-18-189</t>
  </si>
  <si>
    <t>GAR-18-190</t>
  </si>
  <si>
    <t>GAR-18-192</t>
  </si>
  <si>
    <t>GAR-18-193</t>
  </si>
  <si>
    <t>GAR-18-196</t>
  </si>
  <si>
    <t>GAR-18-198</t>
  </si>
  <si>
    <t>GAR-18-200</t>
  </si>
  <si>
    <t>GAR-19-007</t>
  </si>
  <si>
    <t>GAR-19-009</t>
  </si>
  <si>
    <t>GAR-19-010</t>
  </si>
  <si>
    <t>GAR-19-016</t>
  </si>
  <si>
    <t>GAR-19-020</t>
  </si>
  <si>
    <t>GAR-19-021</t>
  </si>
  <si>
    <t>GAR-19-022</t>
  </si>
  <si>
    <t>GAR-19-023</t>
  </si>
  <si>
    <t>GAR-19-025</t>
  </si>
  <si>
    <t>GAR-19-028</t>
  </si>
  <si>
    <t>GAR-19-029</t>
  </si>
  <si>
    <t>GAR-19-030</t>
  </si>
  <si>
    <t>GAR-19-031</t>
  </si>
  <si>
    <t>GAR-19-042</t>
  </si>
  <si>
    <t>GAR-19-051</t>
  </si>
  <si>
    <t>GAR-19-053</t>
  </si>
  <si>
    <t>GAR-19-056</t>
  </si>
  <si>
    <t>GAR-19-113</t>
  </si>
  <si>
    <t>GAR-19-121</t>
  </si>
  <si>
    <t>GAR-19-122</t>
  </si>
  <si>
    <t>GAR-19-123</t>
  </si>
  <si>
    <t>GAR-19-125</t>
  </si>
  <si>
    <t>GAR-19-134</t>
  </si>
  <si>
    <t>GAR-19-136</t>
  </si>
  <si>
    <t>GAR-20-001U</t>
  </si>
  <si>
    <t>GAR-20-002U</t>
  </si>
  <si>
    <t>GAR-20-004U</t>
  </si>
  <si>
    <t>GAR-20-005U</t>
  </si>
  <si>
    <t>GAR-20-006U</t>
  </si>
  <si>
    <t>GAR-20-007U</t>
  </si>
  <si>
    <t>GAR-20-008U</t>
  </si>
  <si>
    <t>GAR-20-009U</t>
  </si>
  <si>
    <t>GAR-20-011U</t>
  </si>
  <si>
    <t>GAR-20-013U</t>
  </si>
  <si>
    <t>GAR-20-014U</t>
  </si>
  <si>
    <t>GAR-20-015U</t>
  </si>
  <si>
    <t>GAR-20-017U</t>
  </si>
  <si>
    <t>GAR-20-018U</t>
  </si>
  <si>
    <t>GAR-20-022U</t>
  </si>
  <si>
    <t>GAR-20-023U</t>
  </si>
  <si>
    <t>GAR-20-024U</t>
  </si>
  <si>
    <t>GAR-20-025U</t>
  </si>
  <si>
    <t>GAR-20-027U</t>
  </si>
  <si>
    <t>GAR-20-028U</t>
  </si>
  <si>
    <t>GAR-20-029U</t>
  </si>
  <si>
    <t>GAR-20-030U</t>
  </si>
  <si>
    <t>GAR-20-034U</t>
  </si>
  <si>
    <t>GAR-20-038U</t>
  </si>
  <si>
    <t>GAR-20-039U</t>
  </si>
  <si>
    <t>GAR-20-042U</t>
  </si>
  <si>
    <t>GAR-20-043U</t>
  </si>
  <si>
    <t>GAR-20-052U</t>
  </si>
  <si>
    <t>GAR-20-058U</t>
  </si>
  <si>
    <t>GAR-20-059U</t>
  </si>
  <si>
    <t>GAR-20-060U</t>
  </si>
  <si>
    <t>GAR-20-067U</t>
  </si>
  <si>
    <t>GAR-20-068U</t>
  </si>
  <si>
    <t>GAR-20-070U</t>
  </si>
  <si>
    <t>GAR-20-071U</t>
  </si>
  <si>
    <t>GAR-20-072U</t>
  </si>
  <si>
    <t>GAR-20-075U</t>
  </si>
  <si>
    <t>GAR-20-077U</t>
  </si>
  <si>
    <t>GAR-20-092U</t>
  </si>
  <si>
    <t>GAR-20-093U</t>
  </si>
  <si>
    <t>GAR-20-094U</t>
  </si>
  <si>
    <t>GAR-20-095U</t>
  </si>
  <si>
    <t>GAR-20-096U</t>
  </si>
  <si>
    <t>GAR-20-103U</t>
  </si>
  <si>
    <t>GAR-20-106U</t>
  </si>
  <si>
    <t>GAR-20-107U</t>
  </si>
  <si>
    <t>GAR-20-108U</t>
  </si>
  <si>
    <t>GAR-20-120U</t>
  </si>
  <si>
    <t>GAR-20-121U</t>
  </si>
  <si>
    <t>GAR-20-122U</t>
  </si>
  <si>
    <t>GAR-20-123U</t>
  </si>
  <si>
    <t>GAR-20-124U</t>
  </si>
  <si>
    <t>GAR-20-125U</t>
  </si>
  <si>
    <t>GAR-20-126U</t>
  </si>
  <si>
    <t>GAR-20-127U</t>
  </si>
  <si>
    <t>GAR-20-128U</t>
  </si>
  <si>
    <t>GAR-20-131U</t>
  </si>
  <si>
    <t>GAR-20-138U</t>
  </si>
  <si>
    <t>Bend, OR 230-60</t>
  </si>
  <si>
    <t>GAR-20-145U</t>
  </si>
  <si>
    <t>GAR-20-146U</t>
  </si>
  <si>
    <t>Grand Junction, CO 230-34</t>
  </si>
  <si>
    <t>GAR-20-147U</t>
  </si>
  <si>
    <t>GAR-20-152U</t>
  </si>
  <si>
    <t>GAR-20-153U</t>
  </si>
  <si>
    <t>GAR-20-158U</t>
  </si>
  <si>
    <t>GAR-20-164U</t>
  </si>
  <si>
    <t>GAR-20-165U</t>
  </si>
  <si>
    <t>GAR-20-166U</t>
  </si>
  <si>
    <t>GAR-20-167U</t>
  </si>
  <si>
    <t>GAR-20-168U</t>
  </si>
  <si>
    <t>GAR-21-016U</t>
  </si>
  <si>
    <t>GAR-21-017U</t>
  </si>
  <si>
    <t>GAR-21-018U</t>
  </si>
  <si>
    <t>GAR-21-019U</t>
  </si>
  <si>
    <t>GAR-21-020U</t>
  </si>
  <si>
    <t>GAR-21-024U</t>
  </si>
  <si>
    <t>GAR-21-025U</t>
  </si>
  <si>
    <t>GAR-21-029U</t>
  </si>
  <si>
    <t>GAR-21-032U</t>
  </si>
  <si>
    <t>GAR-21-037U</t>
  </si>
  <si>
    <t>GAR-21-038U</t>
  </si>
  <si>
    <t>GAR-21-041U</t>
  </si>
  <si>
    <t>GAR-21-043U</t>
  </si>
  <si>
    <t>GAR-21-044U</t>
  </si>
  <si>
    <t>GAR-21-051U</t>
  </si>
  <si>
    <t>GAR-21-052U</t>
  </si>
  <si>
    <t>GAR-21-053U</t>
  </si>
  <si>
    <t>GAR-21-054U</t>
  </si>
  <si>
    <t>GAR-21-055U</t>
  </si>
  <si>
    <t>GAR-21-057U</t>
  </si>
  <si>
    <t>GAR-21-059U</t>
  </si>
  <si>
    <t>GAR-21-061U</t>
  </si>
  <si>
    <t>GAR-21-062U</t>
  </si>
  <si>
    <t>GAR-21-063U</t>
  </si>
  <si>
    <t>GAR-21-064U</t>
  </si>
  <si>
    <t>GAR-21-066U</t>
  </si>
  <si>
    <t>GAR-21-070U</t>
  </si>
  <si>
    <t>GAR-21-071U</t>
  </si>
  <si>
    <t>GAR-21-075U</t>
  </si>
  <si>
    <t>GAR-21-076U</t>
  </si>
  <si>
    <t>Red Bluff, CA 120-15</t>
  </si>
  <si>
    <t>GAR-21-079U</t>
  </si>
  <si>
    <t>GAR-21-080U</t>
  </si>
  <si>
    <t>GAR-21-086U</t>
  </si>
  <si>
    <t>GAR-21-089U</t>
  </si>
  <si>
    <t>GAR-21-090U</t>
  </si>
  <si>
    <t>GAR-21-094U</t>
  </si>
  <si>
    <t>GAR-21-095U</t>
  </si>
  <si>
    <t>GAR-21-096U</t>
  </si>
  <si>
    <t>GAR-21-097U</t>
  </si>
  <si>
    <t>GAR-21-099U</t>
  </si>
  <si>
    <t>GAR-21-100U</t>
  </si>
  <si>
    <t>GAR-21-101U</t>
  </si>
  <si>
    <t>GAR-21-102U</t>
  </si>
  <si>
    <t>GAR-21-103U</t>
  </si>
  <si>
    <t>GAR-21-104U</t>
  </si>
  <si>
    <t>GAR-21-107U</t>
  </si>
  <si>
    <t>GAR-21-110U</t>
  </si>
  <si>
    <t>GAR-21-111U</t>
  </si>
  <si>
    <t>GAR-21-113U</t>
  </si>
  <si>
    <t>GAR-21-114U</t>
  </si>
  <si>
    <t>GAR-21-115U</t>
  </si>
  <si>
    <t>GAR-21-116U</t>
  </si>
  <si>
    <t>GAR-21-117U</t>
  </si>
  <si>
    <t>GAR-21-119U</t>
  </si>
  <si>
    <t>GAR-21-120U</t>
  </si>
  <si>
    <t>GAR-22-003U</t>
  </si>
  <si>
    <t>GAR-22-004U</t>
  </si>
  <si>
    <t>GAR-22-005U</t>
  </si>
  <si>
    <t>GAR-22-008U</t>
  </si>
  <si>
    <t>GAR-22-011U</t>
  </si>
  <si>
    <t>GAR-22-013U</t>
  </si>
  <si>
    <t>GAR-22-015U</t>
  </si>
  <si>
    <t>GAR-22-016U</t>
  </si>
  <si>
    <t>GAR-22-017U</t>
  </si>
  <si>
    <t>GAR-22-018U</t>
  </si>
  <si>
    <t>GAR-22-021U</t>
  </si>
  <si>
    <t>GAR-22-022U</t>
  </si>
  <si>
    <t>GAR-22-023U</t>
  </si>
  <si>
    <t>GAR-22-024U</t>
  </si>
  <si>
    <t>GAR-22-025U</t>
  </si>
  <si>
    <t>GAR-22-026U</t>
  </si>
  <si>
    <t>GAR-22-028U</t>
  </si>
  <si>
    <t>GAR-22-029U</t>
  </si>
  <si>
    <t>GAR-22-030U</t>
  </si>
  <si>
    <t>GAR-22-033U</t>
  </si>
  <si>
    <t>GAR-22-034U</t>
  </si>
  <si>
    <t>GAR-22-037U</t>
  </si>
  <si>
    <t>GAR-23-001U</t>
  </si>
  <si>
    <t>GAR-23-005U</t>
  </si>
  <si>
    <t>GAR-23-006U</t>
  </si>
  <si>
    <t>GAR-23-007U</t>
  </si>
  <si>
    <t>GAR-23-008U</t>
  </si>
  <si>
    <t>GAR-23-009U</t>
  </si>
  <si>
    <t>GAR-23-010U</t>
  </si>
  <si>
    <t>GAR-23-011U</t>
  </si>
  <si>
    <t>GAR-23-013U</t>
  </si>
  <si>
    <t>GAR-23-014U</t>
  </si>
  <si>
    <t>GAR-23-016U</t>
  </si>
  <si>
    <t>GAR-23-017U</t>
  </si>
  <si>
    <t>GAR-23-019U</t>
  </si>
  <si>
    <t>GAR-23-020U</t>
  </si>
  <si>
    <t>GAR-23-022U</t>
  </si>
  <si>
    <t>GAR-23-023U</t>
  </si>
  <si>
    <t>GAR-23-024U</t>
  </si>
  <si>
    <t>GAR-23-025U</t>
  </si>
  <si>
    <t>GAR-23-026U</t>
  </si>
  <si>
    <t>GAR-23-027U</t>
  </si>
  <si>
    <t>GAR-23-028U</t>
  </si>
  <si>
    <t>GAR-23-035U</t>
  </si>
  <si>
    <t>GAR-23-036U</t>
  </si>
  <si>
    <t>GAR-23-037U</t>
  </si>
  <si>
    <t>GAR-23-038U</t>
  </si>
  <si>
    <t>GAR-23-041U</t>
  </si>
  <si>
    <t>GAR-23-042U</t>
  </si>
  <si>
    <t>GAR-23-043U</t>
  </si>
  <si>
    <t>GAR-23-046U</t>
  </si>
  <si>
    <t>GAR-23-047U</t>
  </si>
  <si>
    <t>GAR-23-049U</t>
  </si>
  <si>
    <t>GAR-23-050U</t>
  </si>
  <si>
    <t>GAR-23-051U</t>
  </si>
  <si>
    <t>GAR-23-053U</t>
  </si>
  <si>
    <t>GAR-23-054U</t>
  </si>
  <si>
    <t>GAR-23-056U</t>
  </si>
  <si>
    <t>GAR-23-058U</t>
  </si>
  <si>
    <t>GAR-23-059U</t>
  </si>
  <si>
    <t>GAR-23-062U</t>
  </si>
  <si>
    <t>GAR-23-063U</t>
  </si>
  <si>
    <t>GAR-23-064U</t>
  </si>
  <si>
    <t>GAR-23-065U</t>
  </si>
  <si>
    <t>GAR-23-066U</t>
  </si>
  <si>
    <t>GAR-23-067U</t>
  </si>
  <si>
    <t>GAR-24-007U</t>
  </si>
  <si>
    <t>GAR-24-012U</t>
  </si>
  <si>
    <t>GAR-24-013U</t>
  </si>
  <si>
    <t>GAR-25-001U</t>
  </si>
  <si>
    <t>GAR-25-002U</t>
  </si>
  <si>
    <t>GAR-25-003U</t>
  </si>
  <si>
    <t>GAR-25-004U</t>
  </si>
  <si>
    <t>GAR-25-006U</t>
  </si>
  <si>
    <t>GAR-25-016U</t>
  </si>
  <si>
    <t>GAR-25-017U</t>
  </si>
  <si>
    <t>GAR-25-018U</t>
  </si>
  <si>
    <t>GAR-25-019U</t>
  </si>
  <si>
    <t>GAR-25-024U</t>
  </si>
  <si>
    <t>GAR-25-029U</t>
  </si>
  <si>
    <t>GAR-25-030U</t>
  </si>
  <si>
    <t>GAR-25-032U</t>
  </si>
  <si>
    <t>GAR-25-036U</t>
  </si>
  <si>
    <t>GAR-25-038U</t>
  </si>
  <si>
    <t>GAR-25-039U</t>
  </si>
  <si>
    <t>GAR-25-041U</t>
  </si>
  <si>
    <t>GAR-26-001U</t>
  </si>
  <si>
    <t>GAR-26-002U</t>
  </si>
  <si>
    <t>GAR-26-003U</t>
  </si>
  <si>
    <t>GAR-26-004U</t>
  </si>
  <si>
    <t>GAR-26-005U</t>
  </si>
  <si>
    <t>GAR-26-006U</t>
  </si>
  <si>
    <t>GAR-26-007U</t>
  </si>
  <si>
    <t>GAR-26-008U</t>
  </si>
  <si>
    <t>GAR-26-009U</t>
  </si>
  <si>
    <t>GAR-26-010U</t>
  </si>
  <si>
    <t>GAR-26-011U</t>
  </si>
  <si>
    <t>GAR-26-012U</t>
  </si>
  <si>
    <t>GAR-26-013U</t>
  </si>
  <si>
    <t>GAR-26-014U</t>
  </si>
  <si>
    <t>GAR-26-016U</t>
  </si>
  <si>
    <t>GAR-26-017U</t>
  </si>
  <si>
    <t>GAR-26-018U</t>
  </si>
  <si>
    <t>GAR-26-019U</t>
  </si>
  <si>
    <t>GAR-26-020U</t>
  </si>
  <si>
    <t>GAR-26-021U</t>
  </si>
  <si>
    <t>GAR-26-022U</t>
  </si>
  <si>
    <t>GAR-26-023U</t>
  </si>
  <si>
    <t>GAR-26-024U</t>
  </si>
  <si>
    <t>GAR-26-025U</t>
  </si>
  <si>
    <t>GAR-26-026U</t>
  </si>
  <si>
    <t>GAR-26-027U</t>
  </si>
  <si>
    <t>GAR-26-028U</t>
  </si>
  <si>
    <t>GAR-26-029U</t>
  </si>
  <si>
    <t>GAR-26-030U</t>
  </si>
  <si>
    <t>GAR-26-031U</t>
  </si>
  <si>
    <t>GAR-26-032U</t>
  </si>
  <si>
    <t>GAR-26-033U</t>
  </si>
  <si>
    <t>GAR-26-034U</t>
  </si>
  <si>
    <t>GAR-26-035U</t>
  </si>
  <si>
    <t>GAR-26-037U</t>
  </si>
  <si>
    <t>GAR-26-038U</t>
  </si>
  <si>
    <t>GAR-26-039U</t>
  </si>
  <si>
    <t>GAR-26-040U</t>
  </si>
  <si>
    <t>GAR-26-056U</t>
  </si>
  <si>
    <t>GAR-194</t>
  </si>
  <si>
    <t>GAR-195</t>
  </si>
  <si>
    <t>GAR-219</t>
  </si>
  <si>
    <t>GAR-283</t>
  </si>
  <si>
    <t>GAR-286</t>
  </si>
  <si>
    <t>GAR-292</t>
  </si>
  <si>
    <t>GAR-336</t>
  </si>
  <si>
    <t>GAR-338</t>
  </si>
  <si>
    <t>GAR-341</t>
  </si>
  <si>
    <t>GAR-342</t>
  </si>
  <si>
    <t>GAR-352</t>
  </si>
  <si>
    <t>GAR-353</t>
  </si>
  <si>
    <t>GAR-356</t>
  </si>
  <si>
    <t>GAR-357B</t>
  </si>
  <si>
    <t>GAR-733B</t>
  </si>
  <si>
    <t>GAR-741A</t>
  </si>
  <si>
    <t>GAR-3552</t>
  </si>
  <si>
    <t>GAR-4020</t>
  </si>
  <si>
    <t>GAR-4354</t>
  </si>
  <si>
    <t>GAR-4356</t>
  </si>
  <si>
    <t>GAR-4378</t>
  </si>
  <si>
    <t>GAR-4386</t>
  </si>
  <si>
    <t>GAR-4432</t>
  </si>
  <si>
    <t>GAR-4440</t>
  </si>
  <si>
    <t>GAR-4444</t>
  </si>
  <si>
    <t>GAR-4456</t>
  </si>
  <si>
    <t>GAR-4458</t>
  </si>
  <si>
    <t>GAR-4462</t>
  </si>
  <si>
    <t>GAR-4470</t>
  </si>
  <si>
    <t>GAR-4494</t>
  </si>
  <si>
    <t>GAR-4624</t>
  </si>
  <si>
    <t>GAR-4628</t>
  </si>
  <si>
    <t>GAR-4636</t>
  </si>
  <si>
    <t>GAR-4648</t>
  </si>
  <si>
    <t>GAR-4650</t>
  </si>
  <si>
    <t>GAR-4654</t>
  </si>
  <si>
    <t>GAR-4726</t>
  </si>
  <si>
    <t>GAR-4750</t>
  </si>
  <si>
    <t>GAR-4758</t>
  </si>
  <si>
    <t>GAR-4972</t>
  </si>
  <si>
    <t>GAR-5014</t>
  </si>
  <si>
    <t>GAR-5032</t>
  </si>
  <si>
    <t>GAR-5088</t>
  </si>
  <si>
    <t>GAR-5218</t>
  </si>
  <si>
    <t>GAR-5234</t>
  </si>
  <si>
    <t>GAR-5244</t>
  </si>
  <si>
    <t>GAR-5246</t>
  </si>
  <si>
    <t>GAR-5306</t>
  </si>
  <si>
    <t>GAR-5312</t>
  </si>
  <si>
    <t>GAR-5314</t>
  </si>
  <si>
    <t>GAR-5326</t>
  </si>
  <si>
    <t>GAR-5332</t>
  </si>
  <si>
    <t>GAR-5342</t>
  </si>
  <si>
    <t>GAR-5350</t>
  </si>
  <si>
    <t>GAR-5352</t>
  </si>
  <si>
    <t>GAR-5356</t>
  </si>
  <si>
    <t>GAR-5376</t>
  </si>
  <si>
    <t>GAR-5388</t>
  </si>
  <si>
    <t>GAR-5392</t>
  </si>
  <si>
    <t>GAR-5396</t>
  </si>
  <si>
    <t>GAR-5420</t>
  </si>
  <si>
    <t>GAR-5430</t>
  </si>
  <si>
    <t>GAR-5432</t>
  </si>
  <si>
    <t>GAR-5438</t>
  </si>
  <si>
    <t>GAR-5450</t>
  </si>
  <si>
    <t>GAR-5460</t>
  </si>
  <si>
    <t>GAR-5474</t>
  </si>
  <si>
    <t>GAR-5476</t>
  </si>
  <si>
    <t>GAR-5480</t>
  </si>
  <si>
    <t>GAR-5486</t>
  </si>
  <si>
    <t>GAR-5494</t>
  </si>
  <si>
    <t>GAR-5500</t>
  </si>
  <si>
    <t>GAR-5528</t>
  </si>
  <si>
    <t>GAR-5544</t>
  </si>
  <si>
    <t>GAR-5570</t>
  </si>
  <si>
    <t>GAR-5572</t>
  </si>
  <si>
    <t>GAR-5582</t>
  </si>
  <si>
    <t>GAR-5588</t>
  </si>
  <si>
    <t>GAR-5594</t>
  </si>
  <si>
    <t>GAR-5596</t>
  </si>
  <si>
    <t>GAR-5632</t>
  </si>
  <si>
    <t>GAR-5658</t>
  </si>
  <si>
    <t>GAR-5662</t>
  </si>
  <si>
    <t>GAR-5678</t>
  </si>
  <si>
    <t>GAR-5698</t>
  </si>
  <si>
    <t>GAR-5706</t>
  </si>
  <si>
    <t>GAR-5712</t>
  </si>
  <si>
    <t>GAR-5714</t>
  </si>
  <si>
    <t>GAR-5720</t>
  </si>
  <si>
    <t>GAR-5738</t>
  </si>
  <si>
    <t>GAR-5748</t>
  </si>
  <si>
    <t>GAR-5752</t>
  </si>
  <si>
    <t>GAR-5786</t>
  </si>
  <si>
    <t>GAR-5788</t>
  </si>
  <si>
    <t>GAR-5790</t>
  </si>
  <si>
    <t>GAR-5794</t>
  </si>
  <si>
    <t>GAR-5800</t>
  </si>
  <si>
    <t>GAR-5804</t>
  </si>
  <si>
    <t>GAR-5812</t>
  </si>
  <si>
    <t>Santa Maria, CA 120-23</t>
  </si>
  <si>
    <t>GAR-5818</t>
  </si>
  <si>
    <t>GAR-5832</t>
  </si>
  <si>
    <t>GAR-5852</t>
  </si>
  <si>
    <t>GAR-5880</t>
  </si>
  <si>
    <t>GAR-5888</t>
  </si>
  <si>
    <t>GAR-5892</t>
  </si>
  <si>
    <t>GAR-5958</t>
  </si>
  <si>
    <t>GAR-5962</t>
  </si>
  <si>
    <t>GAR-5968</t>
  </si>
  <si>
    <t>GAR-5970</t>
  </si>
  <si>
    <t>GAR-5972</t>
  </si>
  <si>
    <t>GAR-5978</t>
  </si>
  <si>
    <t>GAR-5982</t>
  </si>
  <si>
    <t>GAR-5984</t>
  </si>
  <si>
    <t>GAR-5990</t>
  </si>
  <si>
    <t>GAR-5992</t>
  </si>
  <si>
    <t>GAR-6008</t>
  </si>
  <si>
    <t>GAR-6014</t>
  </si>
  <si>
    <t>GAR-6020</t>
  </si>
  <si>
    <t>GAR-6046</t>
  </si>
  <si>
    <t>GAR-6078</t>
  </si>
  <si>
    <t>GAR-6082</t>
  </si>
  <si>
    <t>GAR-6086</t>
  </si>
  <si>
    <t>GAR-6090</t>
  </si>
  <si>
    <t>GAR-6100</t>
  </si>
  <si>
    <t>GAR-6102</t>
  </si>
  <si>
    <t>GAR-6106</t>
  </si>
  <si>
    <t>GAR-6108</t>
  </si>
  <si>
    <t>GAR-6110</t>
  </si>
  <si>
    <t>GAR-6114</t>
  </si>
  <si>
    <t>GAR-6116</t>
  </si>
  <si>
    <t>GAR-6118</t>
  </si>
  <si>
    <t>GAR-6120</t>
  </si>
  <si>
    <t>GAR-6124</t>
  </si>
  <si>
    <t>GAR-6126</t>
  </si>
  <si>
    <t>GAR-6128</t>
  </si>
  <si>
    <t>GAR-6134</t>
  </si>
  <si>
    <t>GAR-6136</t>
  </si>
  <si>
    <t>GAR-6138</t>
  </si>
  <si>
    <t>GAR-6140</t>
  </si>
  <si>
    <t>GAR-6142</t>
  </si>
  <si>
    <t>GAR-6144</t>
  </si>
  <si>
    <t>GAR-6146</t>
  </si>
  <si>
    <t>GAR-6148</t>
  </si>
  <si>
    <t>GAR-6150</t>
  </si>
  <si>
    <t>GAR-6154</t>
  </si>
  <si>
    <t>GAR-6156</t>
  </si>
  <si>
    <t>GAR-6158</t>
  </si>
  <si>
    <t>GAR-6164</t>
  </si>
  <si>
    <t>GAR-6166</t>
  </si>
  <si>
    <t>GAR-6170</t>
  </si>
  <si>
    <t>GAR-6174</t>
  </si>
  <si>
    <t>GAR-6176</t>
  </si>
  <si>
    <t>GAR-6180</t>
  </si>
  <si>
    <t>GAR-6188</t>
  </si>
  <si>
    <t>GAR-6190</t>
  </si>
  <si>
    <t>GAR-6232</t>
  </si>
  <si>
    <t>GAR-6234</t>
  </si>
  <si>
    <t>GAR-6246</t>
  </si>
  <si>
    <t>GAR-6270</t>
  </si>
  <si>
    <t>GAR-6282</t>
  </si>
  <si>
    <t>GAR-6284</t>
  </si>
  <si>
    <t>GAR-6286</t>
  </si>
  <si>
    <t>GAR-6288</t>
  </si>
  <si>
    <t>GAR-6290</t>
  </si>
  <si>
    <t>GAR-6292</t>
  </si>
  <si>
    <t>GAR-6296</t>
  </si>
  <si>
    <t>GAR-6300</t>
  </si>
  <si>
    <t>GAR-6304</t>
  </si>
  <si>
    <t>GAR-6312</t>
  </si>
  <si>
    <t>GAR-6314</t>
  </si>
  <si>
    <t>GAR-6318</t>
  </si>
  <si>
    <t>GAR-6320</t>
  </si>
  <si>
    <t>GAR-6324</t>
  </si>
  <si>
    <t>GAR-6326</t>
  </si>
  <si>
    <t>GAR-6328</t>
  </si>
  <si>
    <t>GAR-6330</t>
  </si>
  <si>
    <t>GAR-6332</t>
  </si>
  <si>
    <t>GAR-6334</t>
  </si>
  <si>
    <t>GAR-6338</t>
  </si>
  <si>
    <t>GAR-6340</t>
  </si>
  <si>
    <t>GAR-6344</t>
  </si>
  <si>
    <t>GAR-6346</t>
  </si>
  <si>
    <t>GAR-6352</t>
  </si>
  <si>
    <t>GAR-6354</t>
  </si>
  <si>
    <t>GAR-6356</t>
  </si>
  <si>
    <t>GAR-6360</t>
  </si>
  <si>
    <t>GAR-6362</t>
  </si>
  <si>
    <t>GAR-6364</t>
  </si>
  <si>
    <t>GAR-6366</t>
  </si>
  <si>
    <t>GAR-6368</t>
  </si>
  <si>
    <t>GAR-6370</t>
  </si>
  <si>
    <t>GAR-6374</t>
  </si>
  <si>
    <t>GAR-6376</t>
  </si>
  <si>
    <t>GAR-6378</t>
  </si>
  <si>
    <t>GAR-6380</t>
  </si>
  <si>
    <t>GAR-6382</t>
  </si>
  <si>
    <t>GAR-6384</t>
  </si>
  <si>
    <t>GAR-6386</t>
  </si>
  <si>
    <t>GAR-6388</t>
  </si>
  <si>
    <t>GAR-6390</t>
  </si>
  <si>
    <t>GAR-6414</t>
  </si>
  <si>
    <t>GAR-6426</t>
  </si>
  <si>
    <t>GAR-6428</t>
  </si>
  <si>
    <t>GAR-6430</t>
  </si>
  <si>
    <t>GAR-6432</t>
  </si>
  <si>
    <t>GAR-6434</t>
  </si>
  <si>
    <t>GAR-6438</t>
  </si>
  <si>
    <t>GAR-6446</t>
  </si>
  <si>
    <t>GAR-6452</t>
  </si>
  <si>
    <t>GAR-6454</t>
  </si>
  <si>
    <t>GAR-6456</t>
  </si>
  <si>
    <t>GAR-6462</t>
  </si>
  <si>
    <t>GAR-6466</t>
  </si>
  <si>
    <t>GAR-6468</t>
  </si>
  <si>
    <t>GAR-6470</t>
  </si>
  <si>
    <t>GAR-6482</t>
  </si>
  <si>
    <t>GAR-6484</t>
  </si>
  <si>
    <t>GAR-6486</t>
  </si>
  <si>
    <t>GAR-6488</t>
  </si>
  <si>
    <t>GAR-6490</t>
  </si>
  <si>
    <t>GAR-6494</t>
  </si>
  <si>
    <t>GAR-6496</t>
  </si>
  <si>
    <t>GAR-6498</t>
  </si>
  <si>
    <t>GAR-6500</t>
  </si>
  <si>
    <t>GAR-6502</t>
  </si>
  <si>
    <t>GAR-6504</t>
  </si>
  <si>
    <t>GAR-6506</t>
  </si>
  <si>
    <t>GAR-6508</t>
  </si>
  <si>
    <t>GAR-6514</t>
  </si>
  <si>
    <t>GAR-6516</t>
  </si>
  <si>
    <t>GAR-6528</t>
  </si>
  <si>
    <t>GAR-6532</t>
  </si>
  <si>
    <t>GAR-6534</t>
  </si>
  <si>
    <t>GAR-6536</t>
  </si>
  <si>
    <t>GAR-6538</t>
  </si>
  <si>
    <t>GAR-6540</t>
  </si>
  <si>
    <t>GAR-6558</t>
  </si>
  <si>
    <t>GAR-6572</t>
  </si>
  <si>
    <t>GAR-6592</t>
  </si>
  <si>
    <t>GAR-6610</t>
  </si>
  <si>
    <t>GAR-6612</t>
  </si>
  <si>
    <t>GAR-6664</t>
  </si>
  <si>
    <t>GAR-6676</t>
  </si>
  <si>
    <t>GAR-6700</t>
  </si>
  <si>
    <t>GAR-6708</t>
  </si>
  <si>
    <t>GAR-6824</t>
  </si>
  <si>
    <t>GAR-111401</t>
  </si>
  <si>
    <t>GAR-111409</t>
  </si>
  <si>
    <t>GAR-111413</t>
  </si>
  <si>
    <t>GAR-114102</t>
  </si>
  <si>
    <t>GAR-121401</t>
  </si>
  <si>
    <t>GAR-121402</t>
  </si>
  <si>
    <t>GAR-121406</t>
  </si>
  <si>
    <t>GAR-121407</t>
  </si>
  <si>
    <t>GAR-121408</t>
  </si>
  <si>
    <t>GAR-121412</t>
  </si>
  <si>
    <t>GAR-121413</t>
  </si>
  <si>
    <t>GAR-121601</t>
  </si>
  <si>
    <t>GAR-121603</t>
  </si>
  <si>
    <t>GAR-121605</t>
  </si>
  <si>
    <t>GAR-121608</t>
  </si>
  <si>
    <t>GAR-121609</t>
  </si>
  <si>
    <t>GAR-121618</t>
  </si>
  <si>
    <t>GAR-121620</t>
  </si>
  <si>
    <t>GAR-994201</t>
  </si>
  <si>
    <t>GAR-T13-001</t>
  </si>
  <si>
    <t>GAR-T17-001</t>
  </si>
  <si>
    <t>GAR-T19-001</t>
  </si>
  <si>
    <t>GARDA REGION</t>
  </si>
  <si>
    <t>GARDA SUBREGION</t>
  </si>
  <si>
    <t>ST</t>
  </si>
  <si>
    <t>1657-0001989</t>
  </si>
  <si>
    <t>1657-0001952</t>
  </si>
  <si>
    <t>1657-0001985</t>
  </si>
  <si>
    <t>1657-0001934</t>
  </si>
  <si>
    <t>1657-0001936</t>
  </si>
  <si>
    <t>1657-0001968</t>
  </si>
  <si>
    <t>1657-0001920</t>
  </si>
  <si>
    <t>1657-0001971</t>
  </si>
  <si>
    <t>1657-0001986</t>
  </si>
  <si>
    <t>LTS</t>
  </si>
  <si>
    <t>RLTS</t>
  </si>
  <si>
    <t>1657-0001964</t>
  </si>
  <si>
    <t>1657-0000537</t>
  </si>
  <si>
    <t>1657-0001926</t>
  </si>
  <si>
    <t>1657-0001933</t>
  </si>
  <si>
    <t>1657-0001924</t>
  </si>
  <si>
    <t>1657-0001974</t>
  </si>
  <si>
    <t>EV</t>
  </si>
  <si>
    <t>1657-0001420</t>
  </si>
  <si>
    <t>1657-0001011</t>
  </si>
  <si>
    <t>1657-0001976</t>
  </si>
  <si>
    <t>1657-0001789</t>
  </si>
  <si>
    <t>1657-0001988</t>
  </si>
  <si>
    <t>MLTS</t>
  </si>
  <si>
    <t>1657-0001984</t>
  </si>
  <si>
    <t>1657-0001939</t>
  </si>
  <si>
    <t>1657-0001982</t>
  </si>
  <si>
    <t>IN SERVICE</t>
  </si>
  <si>
    <t>1657-0001928</t>
  </si>
  <si>
    <t>1657-0001956</t>
  </si>
  <si>
    <t>1657-0001915</t>
  </si>
  <si>
    <t>1657-0001945</t>
  </si>
  <si>
    <t>1657-0001983</t>
  </si>
  <si>
    <t>1657-0001969</t>
  </si>
  <si>
    <t>1657-0001946</t>
  </si>
  <si>
    <t>1657-0001947</t>
  </si>
  <si>
    <t>1657-0001948</t>
  </si>
  <si>
    <t>1657-0001916</t>
  </si>
  <si>
    <t>1657-0001914</t>
  </si>
  <si>
    <t>1657-0001980</t>
  </si>
  <si>
    <t>1657-0001949</t>
  </si>
  <si>
    <t>1657-0001950</t>
  </si>
  <si>
    <t>1657-0001921</t>
  </si>
  <si>
    <t>1657-0001970</t>
  </si>
  <si>
    <t>1657-0001955</t>
  </si>
  <si>
    <t>1657-0001941</t>
  </si>
  <si>
    <t>1657-0001978</t>
  </si>
  <si>
    <t>1657-0001961</t>
  </si>
  <si>
    <t>1657-0001912</t>
  </si>
  <si>
    <t>1657-0001930</t>
  </si>
  <si>
    <t>1657-0001911</t>
  </si>
  <si>
    <t>1657-0001910</t>
  </si>
  <si>
    <t>1657-0001929</t>
  </si>
  <si>
    <t>1657-0001960</t>
  </si>
  <si>
    <t>1657-0001981</t>
  </si>
  <si>
    <t>1657-0001951</t>
  </si>
  <si>
    <t>1657-0001913</t>
  </si>
  <si>
    <t>1657-0001977</t>
  </si>
  <si>
    <t>1657-0001922</t>
  </si>
  <si>
    <t>1657-0001953</t>
  </si>
  <si>
    <t>3/9/2026 10:29:00 AM</t>
  </si>
  <si>
    <t>3/17/2026 12:00:00 AM</t>
  </si>
  <si>
    <t>3/9/2026 9:32:00 AM</t>
  </si>
  <si>
    <t>3/9/2026 4:35:00 AM</t>
  </si>
  <si>
    <t>3/9/2026 4:08:00 AM</t>
  </si>
  <si>
    <t>COLUMBIA FLEET SERVICE INC</t>
  </si>
  <si>
    <t>CCPP</t>
  </si>
  <si>
    <t>3/9/2026 9:27:00 AM</t>
  </si>
  <si>
    <t>3/9/2026 5:00:00 AM</t>
  </si>
  <si>
    <t>3/16/2026 12:00:00 AM</t>
  </si>
  <si>
    <t>3/19/2026 12:00:00 AM</t>
  </si>
  <si>
    <t>3/18/2026 12:00:00 AM</t>
  </si>
  <si>
    <t>3/26/2026 12:00:00 AM</t>
  </si>
  <si>
    <t>3/30/2026 12:00:00 AM</t>
  </si>
  <si>
    <t>LES SCHWAB TIRE CENTERS OF CA INC</t>
  </si>
  <si>
    <t>3/25/2026 12:00:00 AM</t>
  </si>
  <si>
    <t>Wiper Blade Assembly</t>
  </si>
  <si>
    <t>3/9/2026 1:00:00 PM</t>
  </si>
  <si>
    <t>Front Brakes &amp; Drums</t>
  </si>
  <si>
    <t>3/9/2026 1:46:00 PM</t>
  </si>
  <si>
    <t>NATIONAL FLEET SERVICE LLC</t>
  </si>
  <si>
    <t>4/1/2026 12:00:00 AM</t>
  </si>
  <si>
    <t>Radiator</t>
  </si>
  <si>
    <t>3/9/2026 1:15:00 PM</t>
  </si>
  <si>
    <t>adgxsPQHBrE2GveddK0sNVQ</t>
  </si>
  <si>
    <t>3/9/2026 8:08:00 AM</t>
  </si>
  <si>
    <t>3/9/2026 11:07:00 AM</t>
  </si>
  <si>
    <t>3/9/2026 11:13:00 AM</t>
  </si>
  <si>
    <t>2NPNHM6X4HM319029</t>
  </si>
  <si>
    <t>3/9/2026 2:03:00 PM</t>
  </si>
  <si>
    <t>3/9/2026 12:21:00 PM</t>
  </si>
  <si>
    <t>3/9/2026 12:39:00 PM</t>
  </si>
  <si>
    <t>3/9/2026 7:39:19 PM</t>
  </si>
  <si>
    <t>3/9/2026 7:38:40 PM</t>
  </si>
  <si>
    <t>WILL DISPATCH SANDY CREEK</t>
  </si>
  <si>
    <t>3/9/2026 5:03:00 AM</t>
  </si>
  <si>
    <t>3/9/2026 12:03:17 PM</t>
  </si>
  <si>
    <t>3/9/2026 12:02:58 PM</t>
  </si>
  <si>
    <t>3/9/2026 4:31:00 AM</t>
  </si>
  <si>
    <t>3/9/2026 11:31:51 AM</t>
  </si>
  <si>
    <t>3/9/2026 11:31:25 AM</t>
  </si>
  <si>
    <t>3/9/2026 11:08:00 AM</t>
  </si>
  <si>
    <t>3/9/2026 4:26:00 AM</t>
  </si>
  <si>
    <t>3/9/2026 11:26:17 AM</t>
  </si>
  <si>
    <t>3/9/2026 11:25:41 AM</t>
  </si>
  <si>
    <t>3/9/2026 4:19:00 AM</t>
  </si>
  <si>
    <t>3/9/2026 11:20:04 AM</t>
  </si>
  <si>
    <t>3/9/2026 11:19:33 AM</t>
  </si>
  <si>
    <t>3/9/2026 5:01:00 PM</t>
  </si>
  <si>
    <t>3/9/2026 2:24:00 PM</t>
  </si>
  <si>
    <t>3/10/2026 11:40:46 PM</t>
  </si>
  <si>
    <t>3/10/2026 11:40:11 PM</t>
  </si>
  <si>
    <t>3/9/2026 1:02:00 PM</t>
  </si>
  <si>
    <t>3/9/2026 8:02:18 PM</t>
  </si>
  <si>
    <t>3/9/2026 8:01:55 PM</t>
  </si>
  <si>
    <t>3/9/2026 11:53:07 AM</t>
  </si>
  <si>
    <t>3/9/2026 11:35:10 AM</t>
  </si>
  <si>
    <t>3/9/2026 12:56:00 PM</t>
  </si>
  <si>
    <t>3/9/2026 7:57:25 PM</t>
  </si>
  <si>
    <t>3/9/2026 7:56:17 PM</t>
  </si>
  <si>
    <t>PAUL YORK AUTOMOTIVE</t>
  </si>
  <si>
    <t>3/9/2026 7:08:00 AM</t>
  </si>
  <si>
    <t>3/9/2026 2:08:36 PM</t>
  </si>
  <si>
    <t>3/9/2026 2:08:13 PM</t>
  </si>
  <si>
    <t>3/9/2026 10:50:00 AM</t>
  </si>
  <si>
    <t>3/9/2026 5:51:54 PM</t>
  </si>
  <si>
    <t>3/9/2026 5:50:47 PM</t>
  </si>
  <si>
    <t>VRO 1657-0001955 has been Accepted
Note:</t>
  </si>
  <si>
    <t>3/9/2026 10:47:00 AM</t>
  </si>
  <si>
    <t>3/9/2026 5:48:34 PM</t>
  </si>
  <si>
    <t>3/9/2026 5:47:13 PM</t>
  </si>
  <si>
    <t>VRO 1657-0001953 has been Accepted
Note:</t>
  </si>
  <si>
    <t>3/9/2026 8:15:00 AM</t>
  </si>
  <si>
    <t>3/9/2026 3:15:33 PM</t>
  </si>
  <si>
    <t>3/9/2026 3:15:14 PM</t>
  </si>
  <si>
    <t>3/9/2026 9:16:00 AM</t>
  </si>
  <si>
    <t>3/9/2026 4:23:36 PM</t>
  </si>
  <si>
    <t>3/9/2026 4:18:30 PM</t>
  </si>
  <si>
    <t>3/9/2026 10:06:00 AM</t>
  </si>
  <si>
    <t>3/9/2026 5:08:29 PM</t>
  </si>
  <si>
    <t>3/9/2026 5:06:17 PM</t>
  </si>
  <si>
    <t>3/9/2026 7:41:00 AM</t>
  </si>
  <si>
    <t>3/9/2026 2:42:04 PM</t>
  </si>
  <si>
    <t>3/9/2026 2:41:32 PM</t>
  </si>
  <si>
    <t>will dispatch elite mobile</t>
  </si>
  <si>
    <t>3/9/2026 4:32:23 PM</t>
  </si>
  <si>
    <t>3/9/2026 4:31:38 PM</t>
  </si>
  <si>
    <t>3/9/2026 11:10:56 AM</t>
  </si>
  <si>
    <t>3/9/2026 11:08:22 AM</t>
  </si>
  <si>
    <t>1FTRS4XM3KKB13840</t>
  </si>
  <si>
    <t>3/9/2026 12:37:00 PM</t>
  </si>
  <si>
    <t>3/9/2026 7:37:27 PM</t>
  </si>
  <si>
    <t>3/9/2026 7:37:07 PM</t>
  </si>
  <si>
    <t>3/9/2026 5:06:51 PM</t>
  </si>
  <si>
    <t>3/9/2026 5:06:14 PM</t>
  </si>
  <si>
    <t>3/9/2026 10:24:00 AM</t>
  </si>
  <si>
    <t>3/9/2026 5:26:01 PM</t>
  </si>
  <si>
    <t>3/9/2026 5:24:04 PM</t>
  </si>
  <si>
    <t>1FTYR14U77PA43764</t>
  </si>
  <si>
    <t>GAR-8869</t>
  </si>
  <si>
    <t>1657-0001940</t>
  </si>
  <si>
    <t>3/9/2026 4:29:32 PM</t>
  </si>
  <si>
    <t>3/9/2026 4:26:54 PM</t>
  </si>
  <si>
    <t>1FTRS4X83PKA91400</t>
  </si>
  <si>
    <t>3/9/2026 11:06:00 AM</t>
  </si>
  <si>
    <t>3/9/2026 6:07:42 PM</t>
  </si>
  <si>
    <t>3/9/2026 6:06:34 PM</t>
  </si>
  <si>
    <t>VRO 1657-0001960 has been Accepted
Note:</t>
  </si>
  <si>
    <t>Branch advised no remote- Which remote is missing do we have an extra on site? Remote on site will work on getting it programmed.
battery issue- Rear battery should be tested. CIT issue with unit started within this past week.
Speed output sensor- part at branch- Penn is expected to replace today 3/9</t>
  </si>
  <si>
    <t>3/9/2026 5:47:00 AM</t>
  </si>
  <si>
    <t>3/9/2026 12:48:37 PM</t>
  </si>
  <si>
    <t>3/9/2026 12:47:28 PM</t>
  </si>
  <si>
    <t>2NPNHM6X5FM285468</t>
  </si>
  <si>
    <t>3/9/2026 10:54:00 AM</t>
  </si>
  <si>
    <t>3/9/2026 5:54:47 PM</t>
  </si>
  <si>
    <t>3/9/2026 5:54:21 PM</t>
  </si>
  <si>
    <t>3/9/2026 10:10:00 AM</t>
  </si>
  <si>
    <t>3/9/2026 5:21:19 PM</t>
  </si>
  <si>
    <t>3/9/2026 5:13:32 PM</t>
  </si>
  <si>
    <t>3FRWF65N65V177539</t>
  </si>
  <si>
    <t>3/9/2026 8:28:34 PM</t>
  </si>
  <si>
    <t>3/9/2026 8:15:40 PM</t>
  </si>
  <si>
    <t>3/9/2026 10:27:00 AM</t>
  </si>
  <si>
    <t>3/9/2026 5:28:50 PM</t>
  </si>
  <si>
    <t>3/9/2026 5:27:08 PM</t>
  </si>
  <si>
    <t>3/9/2026 10:14:00 AM</t>
  </si>
  <si>
    <t>3/9/2026 5:19:40 PM</t>
  </si>
  <si>
    <t>3/9/2026 5:13:34 PM</t>
  </si>
  <si>
    <t>Branch advised  rear door needs to be properly fixed along- Information needed. What is the issue with the door ? New harness is at branch and needs the back latch replaced with the fob key programmed which is also at the branch.
 the window replaced in the passenger door. Have a spare door/window here at branch. 
Front driver side control arm bushings should be addressed</t>
  </si>
  <si>
    <t>3/9/2026 12:00:16 PM</t>
  </si>
  <si>
    <t>3/9/2026 11:59:49 AM</t>
  </si>
  <si>
    <t>1FDWE35L07DB27748</t>
  </si>
  <si>
    <t>3/9/2026 5:21:00 AM</t>
  </si>
  <si>
    <t>3/9/2026 12:22:17 PM</t>
  </si>
  <si>
    <t>3/9/2026 12:21:28 PM</t>
  </si>
  <si>
    <t>3/9/2026 5:30:58 PM</t>
  </si>
  <si>
    <t>3/9/2026 5:30:03 PM</t>
  </si>
  <si>
    <t>Branch advised 20-162 is at American Fleet for new engine/transmission that was approved just before the Amerit change. Expected back this week
American Fleet- POC- Brian - 585-235-0380</t>
  </si>
  <si>
    <t>1FVABPCT53HK49756</t>
  </si>
  <si>
    <t>3/9/2026 4:28:00 AM</t>
  </si>
  <si>
    <t>3/9/2026 11:28:08 AM</t>
  </si>
  <si>
    <t>3/9/2026 11:27:38 AM</t>
  </si>
  <si>
    <t>2NPNHM6X1GM318970</t>
  </si>
  <si>
    <t>3/9/2026 4:33:00 AM</t>
  </si>
  <si>
    <t>3/9/2026 11:33:36 AM</t>
  </si>
  <si>
    <t>3/9/2026 11:33:10 AM</t>
  </si>
  <si>
    <t>2NPNHM6X6JM464241</t>
  </si>
  <si>
    <t>3/9/2026 8:46:46 PM</t>
  </si>
  <si>
    <t>3/9/2026 8:46:14 PM</t>
  </si>
  <si>
    <t>1657-0001997</t>
  </si>
  <si>
    <t>3/9/2026 9:53:00 PM</t>
  </si>
  <si>
    <t>3/10/2026 4:53:54 AM</t>
  </si>
  <si>
    <t>3/10/2026 4:53:13 AM</t>
  </si>
  <si>
    <t>3/9/2026 4:53:00 PM</t>
  </si>
  <si>
    <t>3/9/2026 11:53:04 PM</t>
  </si>
  <si>
    <t>3/9/2026 11:52:53 PM</t>
  </si>
  <si>
    <t>01657A0000379546</t>
  </si>
  <si>
    <t>3/9/2026 8:55:00 AM</t>
  </si>
  <si>
    <t>3/9/2026 4:07:30 PM</t>
  </si>
  <si>
    <t>3/9/2026 3:55:07 PM</t>
  </si>
  <si>
    <t>01657A0000380017</t>
  </si>
  <si>
    <t>1657-0001975</t>
  </si>
  <si>
    <t>3/9/2026 8:00:22 PM</t>
  </si>
  <si>
    <t>3/9/2026 7:59:55 PM</t>
  </si>
  <si>
    <t>01657A0000380102</t>
  </si>
  <si>
    <t>3/9/2026 9:06:45 PM</t>
  </si>
  <si>
    <t>3/9/2026 9:02:47 PM</t>
  </si>
  <si>
    <t>GARDA - FOLCROFT, PA 14097</t>
  </si>
  <si>
    <t>3FRNF6HP2DV799997</t>
  </si>
  <si>
    <t>3/9/2026 7:07:00 AM</t>
  </si>
  <si>
    <t>3/9/2026 2:08:19 PM</t>
  </si>
  <si>
    <t>3/9/2026 2:07:33 PM</t>
  </si>
  <si>
    <t>VRO 1657-0001928 has been Accepted
Note:</t>
  </si>
  <si>
    <t>01657A0000380970</t>
  </si>
  <si>
    <t>01657A0000380450</t>
  </si>
  <si>
    <t>01657A0000380167</t>
  </si>
  <si>
    <t>3FRWF65NX5V177513</t>
  </si>
  <si>
    <t>3/9/2026 4:48:00 PM</t>
  </si>
  <si>
    <t>3/9/2026 11:48:33 PM</t>
  </si>
  <si>
    <t>3/9/2026 11:47:37 PM</t>
  </si>
  <si>
    <t>VRO 1657-0001988 has been Accepted
Note:</t>
  </si>
  <si>
    <t>01657A0000379766</t>
  </si>
  <si>
    <t>3/9/2026 10:38:00 AM</t>
  </si>
  <si>
    <t>3/9/2026 5:39:09 PM</t>
  </si>
  <si>
    <t>3/9/2026 5:38:37 PM</t>
  </si>
  <si>
    <t>GARDA - COLUMBIA CAYCE CAYCE, SC 25093</t>
  </si>
  <si>
    <t>01657A0000379955</t>
  </si>
  <si>
    <t>2NPNHM6X6JM461887</t>
  </si>
  <si>
    <t>3/9/2026 12:11:00 PM</t>
  </si>
  <si>
    <t>3/9/2026 7:14:52 PM</t>
  </si>
  <si>
    <t>3/9/2026 7:11:06 PM</t>
  </si>
  <si>
    <t>01657A0000381006</t>
  </si>
  <si>
    <t>2NPNHM6XXJM319140</t>
  </si>
  <si>
    <t>3/9/2026 4:04:00 PM</t>
  </si>
  <si>
    <t>3/9/2026 11:29:24 PM</t>
  </si>
  <si>
    <t>3/9/2026 11:03:44 PM</t>
  </si>
  <si>
    <t>01657A0000380202</t>
  </si>
  <si>
    <t>01657A0000380859</t>
  </si>
  <si>
    <t>01657A0000380214</t>
  </si>
  <si>
    <t>01657A0000379826</t>
  </si>
  <si>
    <t>1657-0001963</t>
  </si>
  <si>
    <t>3/9/2026 6:08:56 PM</t>
  </si>
  <si>
    <t>3/9/2026 6:08:29 PM</t>
  </si>
  <si>
    <t>01657A0000380566</t>
  </si>
  <si>
    <t>01657A0000380786</t>
  </si>
  <si>
    <t>01657A0000380215</t>
  </si>
  <si>
    <t>01657A0000380703</t>
  </si>
  <si>
    <t>01657A0000379407</t>
  </si>
  <si>
    <t>1FDWE35L77DA80346</t>
  </si>
  <si>
    <t>1657-0001932</t>
  </si>
  <si>
    <t>3/9/2026 7:46:00 AM</t>
  </si>
  <si>
    <t>3/9/2026 2:49:42 PM</t>
  </si>
  <si>
    <t>3/9/2026 2:46:36 PM</t>
  </si>
  <si>
    <t>01657A0000380199</t>
  </si>
  <si>
    <t>1657-0001995</t>
  </si>
  <si>
    <t>3/9/2026 7:06:00 PM</t>
  </si>
  <si>
    <t>3/10/2026 2:06:55 AM</t>
  </si>
  <si>
    <t>3/10/2026 2:06:13 AM</t>
  </si>
  <si>
    <t>01657A0000380194</t>
  </si>
  <si>
    <t>1657-0001993</t>
  </si>
  <si>
    <t>3/9/2026 6:49:00 PM</t>
  </si>
  <si>
    <t>3/10/2026 1:49:26 AM</t>
  </si>
  <si>
    <t>3/10/2026 1:48:44 AM</t>
  </si>
  <si>
    <t>01657A0000381278</t>
  </si>
  <si>
    <t>01657A0000380047</t>
  </si>
  <si>
    <t>1657-0001973</t>
  </si>
  <si>
    <t>3/9/2026 12:55:00 PM</t>
  </si>
  <si>
    <t>3/9/2026 7:55:52 PM</t>
  </si>
  <si>
    <t>3/9/2026 9:55:25 PM</t>
  </si>
  <si>
    <t>01657A0000380552</t>
  </si>
  <si>
    <t>3/9/2026 2:20:00 PM</t>
  </si>
  <si>
    <t>3/10/2026 2:41:51 PM</t>
  </si>
  <si>
    <t>3/10/2026 2:40:16 PM</t>
  </si>
  <si>
    <t>01657A0000380216</t>
  </si>
  <si>
    <t>01657A0000380888</t>
  </si>
  <si>
    <t>01657A0000380208</t>
  </si>
  <si>
    <t>1657-0001994</t>
  </si>
  <si>
    <t>3/10/2026 3:09:00 AM</t>
  </si>
  <si>
    <t>3/10/2026 4:08:15 AM</t>
  </si>
  <si>
    <t>01657A0000381169</t>
  </si>
  <si>
    <t>3/9/2026 6:59:00 AM</t>
  </si>
  <si>
    <t>3/9/2026 2:00:22 PM</t>
  </si>
  <si>
    <t>3/9/2026 1:58:40 PM</t>
  </si>
  <si>
    <t>01657A0000380217</t>
  </si>
  <si>
    <t>01657A0000379104</t>
  </si>
  <si>
    <t>1657-0001917</t>
  </si>
  <si>
    <t>3/9/2026 4:50:00 AM</t>
  </si>
  <si>
    <t>3/9/2026 11:50:53 AM</t>
  </si>
  <si>
    <t>3/9/2026 11:50:02 AM</t>
  </si>
  <si>
    <t>REF</t>
  </si>
  <si>
    <t>01657A0000380602</t>
  </si>
  <si>
    <t>01657A0000380213</t>
  </si>
  <si>
    <t>GARDA - ORLANDO, FL 26010</t>
  </si>
  <si>
    <t>01657A0000380051</t>
  </si>
  <si>
    <t>1FTRS4X85LKA29135</t>
  </si>
  <si>
    <t>3/9/2026 1:22:00 PM</t>
  </si>
  <si>
    <t>3/9/2026 8:22:10 PM</t>
  </si>
  <si>
    <t>3/9/2026 8:21:44 PM</t>
  </si>
  <si>
    <t>01657A0000380206</t>
  </si>
  <si>
    <t>01657A0000380780</t>
  </si>
  <si>
    <t>01657A0000380174</t>
  </si>
  <si>
    <t>1657-0001990</t>
  </si>
  <si>
    <t>3/10/2026 12:01:16 AM</t>
  </si>
  <si>
    <t>3/10/2026 12:01:05 AM</t>
  </si>
  <si>
    <t>01657A0000380176</t>
  </si>
  <si>
    <t>1FVABPCT23HL06169</t>
  </si>
  <si>
    <t>1657-0001991</t>
  </si>
  <si>
    <t>3/9/2026 5:07:00 PM</t>
  </si>
  <si>
    <t>3/10/2026 12:07:33 AM</t>
  </si>
  <si>
    <t>3/10/2026 12:07:04 AM</t>
  </si>
  <si>
    <t>Brittany Williams</t>
  </si>
  <si>
    <t>Hollie Francis</t>
  </si>
  <si>
    <t>James Hopkins</t>
  </si>
  <si>
    <t>Ralph Mann</t>
  </si>
  <si>
    <t>1657-0002168</t>
  </si>
  <si>
    <t>3/11/2026 3:40:00 PM</t>
  </si>
  <si>
    <t>1657-0002218</t>
  </si>
  <si>
    <t>3/12/2026 7:04:39 AM</t>
  </si>
  <si>
    <t>avvF23G212kqz1_MJUJB5dg</t>
  </si>
  <si>
    <t>1657-0002307</t>
  </si>
  <si>
    <t>3/13/2026 9:27:30 AM</t>
  </si>
  <si>
    <t>1061357340</t>
  </si>
  <si>
    <t>3FRNF6HP1DV000016</t>
  </si>
  <si>
    <t>1657-0002053</t>
  </si>
  <si>
    <t>3/10/2026 2:31:00 PM</t>
  </si>
  <si>
    <t>1657-0002079</t>
  </si>
  <si>
    <t>3/11/2026 4:29:19 AM</t>
  </si>
  <si>
    <t>1058834787</t>
  </si>
  <si>
    <t>1657-0002569</t>
  </si>
  <si>
    <t>3/16/2026 3:17:31 AM</t>
  </si>
  <si>
    <t>1062711019</t>
  </si>
  <si>
    <t>1657-0002344</t>
  </si>
  <si>
    <t>3/13/2026 2:53:07 PM</t>
  </si>
  <si>
    <t>1061610151</t>
  </si>
  <si>
    <t>1657-0002009</t>
  </si>
  <si>
    <t>3/10/2026 5:12:47 AM</t>
  </si>
  <si>
    <t>aWVUI-CPgEE-cGrQ5dh9YHw</t>
  </si>
  <si>
    <t>1657-0002063</t>
  </si>
  <si>
    <t>3/10/2026 3:11:32 PM</t>
  </si>
  <si>
    <t>1058295017</t>
  </si>
  <si>
    <t>1FDWE35LX7DA35384</t>
  </si>
  <si>
    <t>1657-0002163</t>
  </si>
  <si>
    <t>3/11/2026 1:36:50 PM</t>
  </si>
  <si>
    <t>1657-0002210</t>
  </si>
  <si>
    <t>3/12/2026 6:21:25 AM</t>
  </si>
  <si>
    <t>aOMqTUXL7J0mgTlq8KKhjTg</t>
  </si>
  <si>
    <t>1657-0002375</t>
  </si>
  <si>
    <t>3/14/2026 12:21:41 AM</t>
  </si>
  <si>
    <t>1061873101</t>
  </si>
  <si>
    <t>1657-0002286</t>
  </si>
  <si>
    <t>3/13/2026 7:39:52 AM</t>
  </si>
  <si>
    <t>1061282030</t>
  </si>
  <si>
    <t>1FDWE3FL9ADA04598</t>
  </si>
  <si>
    <t>GAR-6204</t>
  </si>
  <si>
    <t>1657-0002012</t>
  </si>
  <si>
    <t>3/10/2026 5:48:57 AM</t>
  </si>
  <si>
    <t>aYqX-Sx4DTkKPwOQrIwyCzA</t>
  </si>
  <si>
    <t>2NPNHM6X4FM285462</t>
  </si>
  <si>
    <t>GAR-15-032</t>
  </si>
  <si>
    <t>1657-0002162</t>
  </si>
  <si>
    <t>3/11/2026 1:55:00 PM</t>
  </si>
  <si>
    <t>1657-0002146</t>
  </si>
  <si>
    <t>3/11/2026 10:30:56 AM</t>
  </si>
  <si>
    <t>a3nnDjwm22U6xdjJCta6PBg</t>
  </si>
  <si>
    <t>1657-0002177</t>
  </si>
  <si>
    <t>3/11/2026 11:53:49 PM</t>
  </si>
  <si>
    <t>1059705801</t>
  </si>
  <si>
    <t>1657-0002516</t>
  </si>
  <si>
    <t>3/15/2026 11:15:00 AM</t>
  </si>
  <si>
    <t>2NPNHM6X8FM285836</t>
  </si>
  <si>
    <t>1657-0002318</t>
  </si>
  <si>
    <t>3/13/2026 11:56:00 AM</t>
  </si>
  <si>
    <t>1657-0002338</t>
  </si>
  <si>
    <t>3/13/2026 1:40:37 PM</t>
  </si>
  <si>
    <t>1061547063</t>
  </si>
  <si>
    <t>1657-0002138</t>
  </si>
  <si>
    <t>3/11/2026 10:31:00 AM</t>
  </si>
  <si>
    <t>1657-0002070</t>
  </si>
  <si>
    <t>3/10/2026 5:40:00 PM</t>
  </si>
  <si>
    <t>1657-0002024</t>
  </si>
  <si>
    <t>3/10/2026 8:14:00 AM</t>
  </si>
  <si>
    <t>1FTRS4X80PKA91371</t>
  </si>
  <si>
    <t>1657-0002064</t>
  </si>
  <si>
    <t>3/10/2026 3:18:24 PM</t>
  </si>
  <si>
    <t>a5BEz2WoRdUyOOpwlGWOShw</t>
  </si>
  <si>
    <t>1657-0002001</t>
  </si>
  <si>
    <t>3/10/2026 4:38:42 AM</t>
  </si>
  <si>
    <t>1057719109</t>
  </si>
  <si>
    <t>1657-0002128</t>
  </si>
  <si>
    <t>3/11/2026 9:43:00 AM</t>
  </si>
  <si>
    <t>1FDWE3FL3ADA94590</t>
  </si>
  <si>
    <t>GARDA LTS</t>
  </si>
  <si>
    <t>1657-0002121</t>
  </si>
  <si>
    <t>3/11/2026 9:23:00 AM</t>
  </si>
  <si>
    <t>1657-0002120</t>
  </si>
  <si>
    <t>3/11/2026 9:18:00 AM</t>
  </si>
  <si>
    <t>1657-0002377</t>
  </si>
  <si>
    <t>3/14/2026 6:19:51 AM</t>
  </si>
  <si>
    <t>1062035964</t>
  </si>
  <si>
    <t>3HAMMAAM6BL399320</t>
  </si>
  <si>
    <t>1657-0002089</t>
  </si>
  <si>
    <t>3/11/2026 5:12:56 AM</t>
  </si>
  <si>
    <t>ah9Q0fUDtn0-fPwh_aG0ypQ</t>
  </si>
  <si>
    <t>3/15/2026 12:00:00 AM</t>
  </si>
  <si>
    <t>1657-0002144</t>
  </si>
  <si>
    <t>3/11/2026 10:55:00 AM</t>
  </si>
  <si>
    <t>1657-0002197</t>
  </si>
  <si>
    <t>3/12/2026 5:21:50 AM</t>
  </si>
  <si>
    <t>aeHxecwxRC0mUu-ElIQsdBQ</t>
  </si>
  <si>
    <t>GARDA - CITY OF IND CA 12004</t>
  </si>
  <si>
    <t>1FDWE3FLXADA94506</t>
  </si>
  <si>
    <t>1657-0002389</t>
  </si>
  <si>
    <t>3/14/2026 2:55:00 PM</t>
  </si>
  <si>
    <t>3FRNF6HP6DV000027</t>
  </si>
  <si>
    <t>2NPNHM6X1GM319004</t>
  </si>
  <si>
    <t>1657-0002007</t>
  </si>
  <si>
    <t>3/10/2026 5:11:09 AM</t>
  </si>
  <si>
    <t>a65gwOkMKYEC3WGBG0gz-rQ</t>
  </si>
  <si>
    <t>1FTRS4X82MKA97328</t>
  </si>
  <si>
    <t>1657-0002119</t>
  </si>
  <si>
    <t>3/11/2026 9:10:00 AM</t>
  </si>
  <si>
    <t>1657-0002242</t>
  </si>
  <si>
    <t>3/12/2026 1:39:00 PM</t>
  </si>
  <si>
    <t>1657-0002336</t>
  </si>
  <si>
    <t>3/13/2026 1:26:28 PM</t>
  </si>
  <si>
    <t>1061534870</t>
  </si>
  <si>
    <t>1657-0002347</t>
  </si>
  <si>
    <t>3/13/2026 3:16:02 PM</t>
  </si>
  <si>
    <t>1061629610</t>
  </si>
  <si>
    <t>1657-0002080</t>
  </si>
  <si>
    <t>3/11/2026 4:07:03 AM</t>
  </si>
  <si>
    <t>aRMeaosnK3Ei7lMCsqmdXYw</t>
  </si>
  <si>
    <t>1657-0002568</t>
  </si>
  <si>
    <t>3/15/2026 12:56:00 PM</t>
  </si>
  <si>
    <t>1FDWE35L57DB42150</t>
  </si>
  <si>
    <t>1657-0002140</t>
  </si>
  <si>
    <t>3/11/2026 10:40:00 AM</t>
  </si>
  <si>
    <t>1FTRS4X85LKA53032</t>
  </si>
  <si>
    <t>1657-0002175</t>
  </si>
  <si>
    <t>3/11/2026 7:12:00 PM</t>
  </si>
  <si>
    <t>1657-0002323</t>
  </si>
  <si>
    <t>3/13/2026 12:10:00 PM</t>
  </si>
  <si>
    <t>1657-0002160</t>
  </si>
  <si>
    <t>3/11/2026 1:38:00 PM</t>
  </si>
  <si>
    <t>1657-0002139</t>
  </si>
  <si>
    <t>3/11/2026 10:38:00 AM</t>
  </si>
  <si>
    <t>1657-0002322</t>
  </si>
  <si>
    <t>3/13/2026 12:09:00 PM</t>
  </si>
  <si>
    <t>1657-0002394</t>
  </si>
  <si>
    <t>3/14/2026 5:47:00 PM</t>
  </si>
  <si>
    <t>3/10/2026 4:23:00 AM</t>
  </si>
  <si>
    <t>1657-0002551</t>
  </si>
  <si>
    <t>3/15/2026 12:24:00 PM</t>
  </si>
  <si>
    <t>3/15/2026 7:24:47 PM</t>
  </si>
  <si>
    <t>3/15/2026 7:24:18 PM</t>
  </si>
  <si>
    <t>VRO 1657-0002551 has been Accepted
Note:</t>
  </si>
  <si>
    <t>1657-0002541</t>
  </si>
  <si>
    <t>3/15/2026 12:02:00 PM</t>
  </si>
  <si>
    <t>3/15/2026 7:02:19 PM</t>
  </si>
  <si>
    <t>3/15/2026 7:01:48 PM</t>
  </si>
  <si>
    <t>ELITE MOBILE MECHANIC LLC</t>
  </si>
  <si>
    <t>VRO 1657-0002541 has been Accepted
Note:</t>
  </si>
  <si>
    <t>1FTRS4X82MKA08289</t>
  </si>
  <si>
    <t>1657-0002531</t>
  </si>
  <si>
    <t>3/15/2026 11:35:00 AM</t>
  </si>
  <si>
    <t>3/15/2026 6:35:20 PM</t>
  </si>
  <si>
    <t>3/15/2026 6:34:59 PM</t>
  </si>
  <si>
    <t>VRO 1657-0002531 has been Accepted
Note:</t>
  </si>
  <si>
    <t>2NPNHM6X1JM461859</t>
  </si>
  <si>
    <t>1657-0002540</t>
  </si>
  <si>
    <t>3/15/2026 11:59:00 AM</t>
  </si>
  <si>
    <t>3/15/2026 7:00:06 PM</t>
  </si>
  <si>
    <t>3/15/2026 6:58:50 PM</t>
  </si>
  <si>
    <t>VRO 1657-0002540 has been Accepted
Note:</t>
  </si>
  <si>
    <t>1FTRS4X8XMKA25616</t>
  </si>
  <si>
    <t>1657-0002245</t>
  </si>
  <si>
    <t>3/12/2026 1:57:00 PM</t>
  </si>
  <si>
    <t>3/12/2026 8:57:23 PM</t>
  </si>
  <si>
    <t>3/12/2026 8:57:03 PM</t>
  </si>
  <si>
    <t>1657-0002272</t>
  </si>
  <si>
    <t>3/13/2026 6:08:00 AM</t>
  </si>
  <si>
    <t>3/13/2026 2:09:25 PM</t>
  </si>
  <si>
    <t>3/13/2026 1:58:11 PM</t>
  </si>
  <si>
    <t>1657-0002474</t>
  </si>
  <si>
    <t>3/15/2026 10:00:00 AM</t>
  </si>
  <si>
    <t>3/15/2026 5:00:29 PM</t>
  </si>
  <si>
    <t>3/15/2026 4:59:58 PM</t>
  </si>
  <si>
    <t>VRO 1657-0002474 has been Accepted
Note:</t>
  </si>
  <si>
    <t>1657-0002255</t>
  </si>
  <si>
    <t>3/12/2026 4:28:00 PM</t>
  </si>
  <si>
    <t>3/12/2026 11:29:17 PM</t>
  </si>
  <si>
    <t>3/12/2026 11:28:03 PM</t>
  </si>
  <si>
    <t>1657-0002435</t>
  </si>
  <si>
    <t>3/15/2026 5:28:00 AM</t>
  </si>
  <si>
    <t>3/15/2026 12:28:06 PM</t>
  </si>
  <si>
    <t>3/15/2026 12:27:40 PM</t>
  </si>
  <si>
    <t>1657-0002464</t>
  </si>
  <si>
    <t>3/15/2026 8:47:00 AM</t>
  </si>
  <si>
    <t>3/15/2026 3:54:56 PM</t>
  </si>
  <si>
    <t>3/15/2026 3:47:32 PM</t>
  </si>
  <si>
    <t>VRO 1657-0002464 has been Accepted
Note:</t>
  </si>
  <si>
    <t>1657-0002400</t>
  </si>
  <si>
    <t>3/15/2026 4:05:00 AM</t>
  </si>
  <si>
    <t>3/15/2026 11:05:01 AM</t>
  </si>
  <si>
    <t>3/15/2026 11:04:39 AM</t>
  </si>
  <si>
    <t>GARDA - VENDED - BILLINGS, MT 23090</t>
  </si>
  <si>
    <t>1FVABPCT13HK49754</t>
  </si>
  <si>
    <t>1657-0002458</t>
  </si>
  <si>
    <t>3/15/2026 8:39:00 AM</t>
  </si>
  <si>
    <t>3/15/2026 3:39:32 PM</t>
  </si>
  <si>
    <t>3/15/2026 3:39:05 PM</t>
  </si>
  <si>
    <t>VRO 1657-0002458 has been Accepted
Note:</t>
  </si>
  <si>
    <t>1657-0002456</t>
  </si>
  <si>
    <t>3/15/2026 6:07:00 AM</t>
  </si>
  <si>
    <t>3/15/2026 1:07:35 PM</t>
  </si>
  <si>
    <t>3/15/2026 1:07:09 PM</t>
  </si>
  <si>
    <t>WILL DISPATCH ALLIED DIESEL</t>
  </si>
  <si>
    <t>GARDA - EVANSVILLE, IN 19052</t>
  </si>
  <si>
    <t>1657-0002562</t>
  </si>
  <si>
    <t>3/15/2026 12:47:00 PM</t>
  </si>
  <si>
    <t>3/15/2026 7:47:22 PM</t>
  </si>
  <si>
    <t>3/15/2026 7:46:59 PM</t>
  </si>
  <si>
    <t>VRO 1657-0002562 has been Accepted
Note:</t>
  </si>
  <si>
    <t>1657-0002409</t>
  </si>
  <si>
    <t>3/15/2026 4:27:00 AM</t>
  </si>
  <si>
    <t>3/15/2026 11:27:39 AM</t>
  </si>
  <si>
    <t>3/15/2026 11:26:42 AM</t>
  </si>
  <si>
    <t>VRO 1657-0002409 has been Accepted
Note:</t>
  </si>
  <si>
    <t>1657-0002495</t>
  </si>
  <si>
    <t>3/15/2026 10:49:00 AM</t>
  </si>
  <si>
    <t>3/15/2026 5:49:17 PM</t>
  </si>
  <si>
    <t>3/15/2026 5:48:48 PM</t>
  </si>
  <si>
    <t>VRO 1657-0002495 has been Accepted
Note:</t>
  </si>
  <si>
    <t>1657-0002134</t>
  </si>
  <si>
    <t>3/11/2026 10:22:00 AM</t>
  </si>
  <si>
    <t>3/11/2026 5:24:19 PM</t>
  </si>
  <si>
    <t>3/11/2026 5:21:58 PM</t>
  </si>
  <si>
    <t>1657-0002042</t>
  </si>
  <si>
    <t>3/10/2026 11:40:00 AM</t>
  </si>
  <si>
    <t>3/10/2026 6:40:39 PM</t>
  </si>
  <si>
    <t>3/10/2026 6:40:17 PM</t>
  </si>
  <si>
    <t>VRO 1657-0002042 has been Accepted
Note:</t>
  </si>
  <si>
    <t>2C4JRGAG6ER179625</t>
  </si>
  <si>
    <t>GAR-14-006</t>
  </si>
  <si>
    <t>1657-0002528</t>
  </si>
  <si>
    <t>3/15/2026 11:32:00 AM</t>
  </si>
  <si>
    <t>3/15/2026 6:32:12 PM</t>
  </si>
  <si>
    <t>3/15/2026 6:31:50 PM</t>
  </si>
  <si>
    <t>VRO 1657-0002528 has been Accepted
Note:</t>
  </si>
  <si>
    <t>1657-0002401</t>
  </si>
  <si>
    <t>3/15/2026 4:06:00 AM</t>
  </si>
  <si>
    <t>3/15/2026 11:06:32 AM</t>
  </si>
  <si>
    <t>3/15/2026 11:06:09 AM</t>
  </si>
  <si>
    <t>1657-0002521</t>
  </si>
  <si>
    <t>3/15/2026 11:22:00 AM</t>
  </si>
  <si>
    <t>3/15/2026 6:22:35 PM</t>
  </si>
  <si>
    <t>3/15/2026 6:22:09 PM</t>
  </si>
  <si>
    <t>THOMAS FLEET SERVICE</t>
  </si>
  <si>
    <t>VRO 1657-0002521 has been Accepted
Note:</t>
  </si>
  <si>
    <t>1657-0002432</t>
  </si>
  <si>
    <t>3/15/2026 5:15:00 AM</t>
  </si>
  <si>
    <t>3/15/2026 12:15:05 PM</t>
  </si>
  <si>
    <t>3/15/2026 12:14:44 PM</t>
  </si>
  <si>
    <t>VRO 1657-0002432 has been Accepted
Note:</t>
  </si>
  <si>
    <t>1657-0002051</t>
  </si>
  <si>
    <t>3/10/2026 1:46:00 PM</t>
  </si>
  <si>
    <t>3/10/2026 8:48:08 PM</t>
  </si>
  <si>
    <t>3/10/2026 8:46:04 PM</t>
  </si>
  <si>
    <t>VRO 1657-0002051 has been Accepted
Note:</t>
  </si>
  <si>
    <t>1657-0002450</t>
  </si>
  <si>
    <t>3/15/2026 5:54:00 AM</t>
  </si>
  <si>
    <t>3/15/2026 12:54:47 PM</t>
  </si>
  <si>
    <t>3/15/2026 12:54:13 PM</t>
  </si>
  <si>
    <t>1657-0002480</t>
  </si>
  <si>
    <t>3/15/2026 10:07:00 AM</t>
  </si>
  <si>
    <t>3/15/2026 5:07:30 PM</t>
  </si>
  <si>
    <t>3/15/2026 5:07:08 PM</t>
  </si>
  <si>
    <t>VRO 1657-0002480 has been Accepted
Note:</t>
  </si>
  <si>
    <t>WILL DISPATCH BAIRDS MOBILE REPAIR</t>
  </si>
  <si>
    <t>1657-0002360</t>
  </si>
  <si>
    <t>3/13/2026 5:42:00 PM</t>
  </si>
  <si>
    <t>3/14/2026 12:42:40 AM</t>
  </si>
  <si>
    <t>3/14/2026 12:42:17 AM</t>
  </si>
  <si>
    <t>VRO 1657-0002360 has been Accepted
Note:</t>
  </si>
  <si>
    <t>1657-0002447</t>
  </si>
  <si>
    <t>3/15/2026 5:50:00 AM</t>
  </si>
  <si>
    <t>3/15/2026 12:50:03 PM</t>
  </si>
  <si>
    <t>3/15/2026 12:49:43 PM</t>
  </si>
  <si>
    <t>WILL DISPATCH MARKS 1 MOBILE</t>
  </si>
  <si>
    <t>1657-0002487</t>
  </si>
  <si>
    <t>3/15/2026 10:23:00 AM</t>
  </si>
  <si>
    <t>3/15/2026 5:25:18 PM</t>
  </si>
  <si>
    <t>3/15/2026 5:23:10 PM</t>
  </si>
  <si>
    <t>VRO 1657-0002487 has been Accepted
Note:</t>
  </si>
  <si>
    <t>1657-0002411</t>
  </si>
  <si>
    <t>3/15/2026 4:33:00 AM</t>
  </si>
  <si>
    <t>3/15/2026 11:33:30 AM</t>
  </si>
  <si>
    <t>3/15/2026 11:33:10 AM</t>
  </si>
  <si>
    <t>WILL DISPATCH PENN POWER</t>
  </si>
  <si>
    <t>1657-0002233</t>
  </si>
  <si>
    <t>3/12/2026 12:00:00 PM</t>
  </si>
  <si>
    <t>3/12/2026 7:00:14 PM</t>
  </si>
  <si>
    <t>3/12/2026 6:59:53 PM</t>
  </si>
  <si>
    <t>2NPNHM6X2HM319045</t>
  </si>
  <si>
    <t>1657-0002453</t>
  </si>
  <si>
    <t>3/15/2026 6:00:00 AM</t>
  </si>
  <si>
    <t>3/15/2026 1:01:01 PM</t>
  </si>
  <si>
    <t>3/15/2026 1:00:31 PM</t>
  </si>
  <si>
    <t>2NPNHM6X3GM319019</t>
  </si>
  <si>
    <t>1657-0002423</t>
  </si>
  <si>
    <t>3/15/2026 4:58:00 AM</t>
  </si>
  <si>
    <t>3/15/2026 11:58:59 AM</t>
  </si>
  <si>
    <t>3/15/2026 11:58:39 AM</t>
  </si>
  <si>
    <t>WILL DISPATCH PROTECH DIESEL</t>
  </si>
  <si>
    <t>1657-0002229</t>
  </si>
  <si>
    <t>3/12/2026 10:26:00 AM</t>
  </si>
  <si>
    <t>3/12/2026 5:28:46 PM</t>
  </si>
  <si>
    <t>3/12/2026 5:26:12 PM</t>
  </si>
  <si>
    <t>1657-0002473</t>
  </si>
  <si>
    <t>3/15/2026 9:59:00 AM</t>
  </si>
  <si>
    <t>3/15/2026 4:59:10 PM</t>
  </si>
  <si>
    <t>3/15/2026 4:58:48 PM</t>
  </si>
  <si>
    <t>VRO 1657-0002473 has been Accepted
Note:</t>
  </si>
  <si>
    <t>1FTRS4X88NKA52251</t>
  </si>
  <si>
    <t>1657-0002109</t>
  </si>
  <si>
    <t>3/11/2026 7:24:09 AM</t>
  </si>
  <si>
    <t>3/12/2026 2:23:50 AM</t>
  </si>
  <si>
    <t>3/12/2026 4:20:48 AM</t>
  </si>
  <si>
    <t>1657-0002491</t>
  </si>
  <si>
    <t>3/15/2026 10:33:00 AM</t>
  </si>
  <si>
    <t>3/15/2026 5:33:33 PM</t>
  </si>
  <si>
    <t>3/15/2026 5:32:51 PM</t>
  </si>
  <si>
    <t>VRO 1657-0002491 has been Accepted
Note:</t>
  </si>
  <si>
    <t>2NPNHM6X3JM472801</t>
  </si>
  <si>
    <t>1657-0002542</t>
  </si>
  <si>
    <t>3/15/2026 12:05:00 PM</t>
  </si>
  <si>
    <t>3/15/2026 7:05:07 PM</t>
  </si>
  <si>
    <t>3/15/2026 7:04:37 PM</t>
  </si>
  <si>
    <t>VRO 1657-0002542 has been Accepted
Note:</t>
  </si>
  <si>
    <t>5TETX22NX6Z224012</t>
  </si>
  <si>
    <t>GAR-510</t>
  </si>
  <si>
    <t>1657-0002483</t>
  </si>
  <si>
    <t>3/15/2026 10:17:00 AM</t>
  </si>
  <si>
    <t>3/15/2026 5:17:07 PM</t>
  </si>
  <si>
    <t>3/15/2026 5:16:39 PM</t>
  </si>
  <si>
    <t>VRO 1657-0002483 has been Accepted
Note:</t>
  </si>
  <si>
    <t>1657-0002022</t>
  </si>
  <si>
    <t>3/10/2026 7:20:00 AM</t>
  </si>
  <si>
    <t>3/10/2026 2:20:54 PM</t>
  </si>
  <si>
    <t>3/10/2026 2:19:59 PM</t>
  </si>
  <si>
    <t>VRO 1657-0002022 has been Accepted
Note:</t>
  </si>
  <si>
    <t>1657-0002501</t>
  </si>
  <si>
    <t>3/15/2026 10:57:00 AM</t>
  </si>
  <si>
    <t>3/15/2026 5:57:46 PM</t>
  </si>
  <si>
    <t>3/15/2026 5:57:26 PM</t>
  </si>
  <si>
    <t>VRO 1657-0002501 has been Accepted
Note:</t>
  </si>
  <si>
    <t>1657-0002355</t>
  </si>
  <si>
    <t>3/13/2026 4:22:00 PM</t>
  </si>
  <si>
    <t>3/13/2026 11:23:04 PM</t>
  </si>
  <si>
    <t>3/13/2026 11:22:18 PM</t>
  </si>
  <si>
    <t>1657-0002445</t>
  </si>
  <si>
    <t>3/15/2026 5:46:00 AM</t>
  </si>
  <si>
    <t>3/15/2026 12:46:50 PM</t>
  </si>
  <si>
    <t>3/15/2026 12:46:22 PM</t>
  </si>
  <si>
    <t>1657-0002358</t>
  </si>
  <si>
    <t>3/13/2026 5:12:00 PM</t>
  </si>
  <si>
    <t>3/14/2026 12:15:32 AM</t>
  </si>
  <si>
    <t>3/14/2026 12:11:38 AM</t>
  </si>
  <si>
    <t>VRO 1657-0002358 has been Accepted
Note:</t>
  </si>
  <si>
    <t>1657-0002449</t>
  </si>
  <si>
    <t>3/15/2026 5:53:00 AM</t>
  </si>
  <si>
    <t>3/15/2026 12:53:14 PM</t>
  </si>
  <si>
    <t>3/15/2026 12:52:51 PM</t>
  </si>
  <si>
    <t>1FDWE3FL2ADA94516</t>
  </si>
  <si>
    <t>1657-0002410</t>
  </si>
  <si>
    <t>3/15/2026 4:32:00 AM</t>
  </si>
  <si>
    <t>3/15/2026 11:32:08 AM</t>
  </si>
  <si>
    <t>3/15/2026 11:31:36 AM</t>
  </si>
  <si>
    <t>1657-0002484</t>
  </si>
  <si>
    <t>3/15/2026 10:18:00 AM</t>
  </si>
  <si>
    <t>3/15/2026 5:18:29 PM</t>
  </si>
  <si>
    <t>3/15/2026 5:18:07 PM</t>
  </si>
  <si>
    <t>VRO 1657-0002484 has been Accepted
Note:</t>
  </si>
  <si>
    <t>1657-0002403</t>
  </si>
  <si>
    <t>3/15/2026 4:09:00 AM</t>
  </si>
  <si>
    <t>3/15/2026 11:09:40 AM</t>
  </si>
  <si>
    <t>3/15/2026 11:08:55 AM</t>
  </si>
  <si>
    <t>1657-0002511</t>
  </si>
  <si>
    <t>3/15/2026 11:11:00 AM</t>
  </si>
  <si>
    <t>3/15/2026 6:11:28 PM</t>
  </si>
  <si>
    <t>3/15/2026 6:11:06 PM</t>
  </si>
  <si>
    <t>VRO 1657-0002511 has been Accepted
Note:</t>
  </si>
  <si>
    <t>2NPNHM6X4FM285459</t>
  </si>
  <si>
    <t>1657-0002407</t>
  </si>
  <si>
    <t>3/15/2026 4:24:00 AM</t>
  </si>
  <si>
    <t>3/15/2026 11:24:44 AM</t>
  </si>
  <si>
    <t>3/15/2026 11:24:15 AM</t>
  </si>
  <si>
    <t>VRO 1657-0002407 has been Accepted
Note:</t>
  </si>
  <si>
    <t>1657-0002257</t>
  </si>
  <si>
    <t>3/12/2026 4:31:00 PM</t>
  </si>
  <si>
    <t>3/12/2026 11:31:57 PM</t>
  </si>
  <si>
    <t>3/12/2026 11:31:30 PM</t>
  </si>
  <si>
    <t>1657-0002112</t>
  </si>
  <si>
    <t>3/11/2026 8:02:00 AM</t>
  </si>
  <si>
    <t>3/13/2026 7:14:50 PM</t>
  </si>
  <si>
    <t>3/13/2026 7:14:28 PM</t>
  </si>
  <si>
    <t>2NPNHM6X1FM285824</t>
  </si>
  <si>
    <t>1657-0002179</t>
  </si>
  <si>
    <t>3/12/2026 3:40:00 AM</t>
  </si>
  <si>
    <t>3/12/2026 10:40:19 AM</t>
  </si>
  <si>
    <t>3/12/2026 10:39:50 AM</t>
  </si>
  <si>
    <t>3FRWF65N95V177549</t>
  </si>
  <si>
    <t>1657-0002424</t>
  </si>
  <si>
    <t>3/15/2026 5:00:00 AM</t>
  </si>
  <si>
    <t>3/15/2026 12:00:28 PM</t>
  </si>
  <si>
    <t>3/15/2026 12:00:06 PM</t>
  </si>
  <si>
    <t>1657-0002296</t>
  </si>
  <si>
    <t>3/13/2026 9:11:00 AM</t>
  </si>
  <si>
    <t>3/13/2026 4:11:45 PM</t>
  </si>
  <si>
    <t>3/13/2026 4:11:00 PM</t>
  </si>
  <si>
    <t>1FTRS4X85MKA25622</t>
  </si>
  <si>
    <t>1657-0002412</t>
  </si>
  <si>
    <t>3/15/2026 4:34:00 AM</t>
  </si>
  <si>
    <t>3/15/2026 11:35:19 AM</t>
  </si>
  <si>
    <t>3/15/2026 11:34:32 AM</t>
  </si>
  <si>
    <t>1FTRS4X86NKA61580</t>
  </si>
  <si>
    <t>1657-0002240</t>
  </si>
  <si>
    <t>3/12/2026 1:07:00 PM</t>
  </si>
  <si>
    <t>3/12/2026 8:08:25 PM</t>
  </si>
  <si>
    <t>3/12/2026 8:06:39 PM</t>
  </si>
  <si>
    <t>VRO 1657-0002240 has been Accepted
Note:</t>
  </si>
  <si>
    <t>1657-0002448</t>
  </si>
  <si>
    <t>3/15/2026 5:51:00 AM</t>
  </si>
  <si>
    <t>3/15/2026 12:51:51 PM</t>
  </si>
  <si>
    <t>3/15/2026 12:51:30 PM</t>
  </si>
  <si>
    <t>1657-0002558</t>
  </si>
  <si>
    <t>3/15/2026 12:35:00 PM</t>
  </si>
  <si>
    <t>3/15/2026 7:35:48 PM</t>
  </si>
  <si>
    <t>3/15/2026 7:35:26 PM</t>
  </si>
  <si>
    <t>VRO 1657-0002558 has been Accepted
Note:</t>
  </si>
  <si>
    <t>SAND CREEK REPAIR &amp; FABRICATION LLC</t>
  </si>
  <si>
    <t>1657-0002548</t>
  </si>
  <si>
    <t>3/15/2026 12:16:00 PM</t>
  </si>
  <si>
    <t>3/15/2026 7:16:54 PM</t>
  </si>
  <si>
    <t>3/15/2026 7:16:33 PM</t>
  </si>
  <si>
    <t>VRO 1657-0002548 has been Accepted
Note:</t>
  </si>
  <si>
    <t>1657-0002428</t>
  </si>
  <si>
    <t>3/15/2026 5:06:00 AM</t>
  </si>
  <si>
    <t>3/15/2026 12:06:35 PM</t>
  </si>
  <si>
    <t>3/15/2026 12:06:13 PM</t>
  </si>
  <si>
    <t>GARDA - INDY, IN 19014</t>
  </si>
  <si>
    <t>3FRNF6HPXDV000015</t>
  </si>
  <si>
    <t>1657-0002496</t>
  </si>
  <si>
    <t>3/15/2026 10:51:00 AM</t>
  </si>
  <si>
    <t>3/15/2026 5:51:46 PM</t>
  </si>
  <si>
    <t>3/15/2026 5:51:12 PM</t>
  </si>
  <si>
    <t>VRO 1657-0002496 has been Accepted
Note:</t>
  </si>
  <si>
    <t>1FDWE35L87DB42160</t>
  </si>
  <si>
    <t>1657-0002465</t>
  </si>
  <si>
    <t>3/15/2026 8:56:00 AM</t>
  </si>
  <si>
    <t>3/15/2026 3:56:49 PM</t>
  </si>
  <si>
    <t>3/15/2026 3:56:22 PM</t>
  </si>
  <si>
    <t>1657-0002275</t>
  </si>
  <si>
    <t>3/13/2026 6:24:00 AM</t>
  </si>
  <si>
    <t>3/13/2026 1:25:44 PM</t>
  </si>
  <si>
    <t>3/13/2026 1:24:32 PM</t>
  </si>
  <si>
    <t>1FDWE35L96DB28458</t>
  </si>
  <si>
    <t>1657-0002395</t>
  </si>
  <si>
    <t>3/15/2026 3:59:00 AM</t>
  </si>
  <si>
    <t>3/15/2026 10:59:07 AM</t>
  </si>
  <si>
    <t>3/15/2026 10:58:42 AM</t>
  </si>
  <si>
    <t>VRO 1657-0002395 has been Accepted
Note:</t>
  </si>
  <si>
    <t>1657-0002304</t>
  </si>
  <si>
    <t>3/13/2026 9:50:00 AM</t>
  </si>
  <si>
    <t>3/13/2026 4:51:48 PM</t>
  </si>
  <si>
    <t>3/13/2026 4:50:18 PM</t>
  </si>
  <si>
    <t>VRO 1657-0002304 has been Accepted
Note:</t>
  </si>
  <si>
    <t>1657-0002470</t>
  </si>
  <si>
    <t>3/15/2026 9:52:00 AM</t>
  </si>
  <si>
    <t>3/15/2026 4:52:50 PM</t>
  </si>
  <si>
    <t>3/15/2026 4:52:24 PM</t>
  </si>
  <si>
    <t>1657-0002436</t>
  </si>
  <si>
    <t>3/15/2026 5:29:00 AM</t>
  </si>
  <si>
    <t>3/15/2026 12:29:06 PM</t>
  </si>
  <si>
    <t>3/15/2026 12:28:49 PM</t>
  </si>
  <si>
    <t>2NPNHM6X1JM461862</t>
  </si>
  <si>
    <t>1657-0002316</t>
  </si>
  <si>
    <t>3/13/2026 11:19:00 AM</t>
  </si>
  <si>
    <t>3/13/2026 6:23:25 PM</t>
  </si>
  <si>
    <t>3/13/2026 6:19:30 PM</t>
  </si>
  <si>
    <t>1657-0002549</t>
  </si>
  <si>
    <t>3/15/2026 12:18:00 PM</t>
  </si>
  <si>
    <t>3/15/2026 7:18:03 PM</t>
  </si>
  <si>
    <t>3/15/2026 7:17:41 PM</t>
  </si>
  <si>
    <t>VRO 1657-0002549 has been Accepted
Note:</t>
  </si>
  <si>
    <t>1657-0002426</t>
  </si>
  <si>
    <t>3/15/2026 5:03:00 AM</t>
  </si>
  <si>
    <t>3/15/2026 12:03:49 PM</t>
  </si>
  <si>
    <t>3/15/2026 12:03:26 PM</t>
  </si>
  <si>
    <t>1657-0002477</t>
  </si>
  <si>
    <t>3/15/2026 10:04:00 AM</t>
  </si>
  <si>
    <t>3/15/2026 5:04:04 PM</t>
  </si>
  <si>
    <t>3/15/2026 5:03:39 PM</t>
  </si>
  <si>
    <t>VRO 1657-0002477 has been Accepted
Note:</t>
  </si>
  <si>
    <t>1657-0002101</t>
  </si>
  <si>
    <t>3/11/2026 7:14:00 AM</t>
  </si>
  <si>
    <t>3/11/2026 2:15:00 PM</t>
  </si>
  <si>
    <t>3/11/2026 2:14:31 PM</t>
  </si>
  <si>
    <t>1657-0002237</t>
  </si>
  <si>
    <t>3/12/2026 12:45:00 PM</t>
  </si>
  <si>
    <t>3/12/2026 7:50:03 PM</t>
  </si>
  <si>
    <t>3/12/2026 7:44:37 PM</t>
  </si>
  <si>
    <t>VRO 1657-0002237 has been Accepted
Note:</t>
  </si>
  <si>
    <t>1657-0002463</t>
  </si>
  <si>
    <t>3/15/2026 8:46:00 AM</t>
  </si>
  <si>
    <t>3/15/2026 3:46:46 PM</t>
  </si>
  <si>
    <t>3/15/2026 3:46:03 PM</t>
  </si>
  <si>
    <t>VRO 1657-0002463 has been Accepted
Note:</t>
  </si>
  <si>
    <t>1657-0002250</t>
  </si>
  <si>
    <t>3/12/2026 2:42:00 PM</t>
  </si>
  <si>
    <t>3/12/2026 9:42:45 PM</t>
  </si>
  <si>
    <t>3/12/2026 11:41:55 PM</t>
  </si>
  <si>
    <t>1657-0002378</t>
  </si>
  <si>
    <t>3/14/2026 8:10:00 AM</t>
  </si>
  <si>
    <t>3/14/2026 3:10:46 PM</t>
  </si>
  <si>
    <t>3/14/2026 3:10:21 PM</t>
  </si>
  <si>
    <t>1657-0002417</t>
  </si>
  <si>
    <t>3/15/2026 4:46:00 AM</t>
  </si>
  <si>
    <t>3/15/2026 11:46:44 AM</t>
  </si>
  <si>
    <t>3/15/2026 11:46:16 AM</t>
  </si>
  <si>
    <t>1FTRS4X89NKA05536</t>
  </si>
  <si>
    <t>1657-0002443</t>
  </si>
  <si>
    <t>3/15/2026 5:41:00 AM</t>
  </si>
  <si>
    <t>3/15/2026 12:41:49 PM</t>
  </si>
  <si>
    <t>3/15/2026 12:41:15 PM</t>
  </si>
  <si>
    <t>VRO 1657-0002443 has been Accepted
Note:</t>
  </si>
  <si>
    <t>1657-0002546</t>
  </si>
  <si>
    <t>3/15/2026 12:09:00 PM</t>
  </si>
  <si>
    <t>3/15/2026 7:11:18 PM</t>
  </si>
  <si>
    <t>3/15/2026 7:09:29 PM</t>
  </si>
  <si>
    <t>VRO 1657-0002546 has been Accepted
Note:</t>
  </si>
  <si>
    <t>1657-0002317</t>
  </si>
  <si>
    <t>3/13/2026 11:25:00 AM</t>
  </si>
  <si>
    <t>3/13/2026 6:26:36 PM</t>
  </si>
  <si>
    <t>3/13/2026 6:25:27 PM</t>
  </si>
  <si>
    <t>1657-0002125</t>
  </si>
  <si>
    <t>3/11/2026 9:39:00 AM</t>
  </si>
  <si>
    <t>3/11/2026 4:39:06 PM</t>
  </si>
  <si>
    <t>3/11/2026 4:38:44 PM</t>
  </si>
  <si>
    <t>1657-0002469</t>
  </si>
  <si>
    <t>3/15/2026 9:51:00 AM</t>
  </si>
  <si>
    <t>3/15/2026 4:51:41 PM</t>
  </si>
  <si>
    <t>3/15/2026 4:51:21 PM</t>
  </si>
  <si>
    <t>VRO 1657-0002469 has been Accepted
Note:</t>
  </si>
  <si>
    <t>1FTNE24L07DB43704</t>
  </si>
  <si>
    <t>GAR-6778</t>
  </si>
  <si>
    <t>1657-0002509</t>
  </si>
  <si>
    <t>3/15/2026 11:07:00 AM</t>
  </si>
  <si>
    <t>3/15/2026 6:07:43 PM</t>
  </si>
  <si>
    <t>3/15/2026 6:07:22 PM</t>
  </si>
  <si>
    <t>VRO 1657-0002509 has been Accepted
Note:</t>
  </si>
  <si>
    <t>1657-0002427</t>
  </si>
  <si>
    <t>3/15/2026 5:05:00 AM</t>
  </si>
  <si>
    <t>3/15/2026 12:05:07 PM</t>
  </si>
  <si>
    <t>3/15/2026 12:04:45 PM</t>
  </si>
  <si>
    <t>1FTSE3EL8CDA02283</t>
  </si>
  <si>
    <t>1657-0002545</t>
  </si>
  <si>
    <t>3/15/2026 12:08:00 PM</t>
  </si>
  <si>
    <t>3/15/2026 7:08:50 PM</t>
  </si>
  <si>
    <t>3/15/2026 7:08:34 PM</t>
  </si>
  <si>
    <t>VRO 1657-0002545 has been Accepted
Note:</t>
  </si>
  <si>
    <t>1657-0002553</t>
  </si>
  <si>
    <t>3/15/2026 12:29:00 PM</t>
  </si>
  <si>
    <t>3/15/2026 7:29:45 PM</t>
  </si>
  <si>
    <t>3/15/2026 7:29:23 PM</t>
  </si>
  <si>
    <t>VRO 1657-0002553 has been Accepted
Note:</t>
  </si>
  <si>
    <t>1FTRS4X89NKA23289</t>
  </si>
  <si>
    <t>1657-0002422</t>
  </si>
  <si>
    <t>3/15/2026 4:57:00 AM</t>
  </si>
  <si>
    <t>3/15/2026 11:57:38 AM</t>
  </si>
  <si>
    <t>3/15/2026 11:57:18 AM</t>
  </si>
  <si>
    <t>1FTSE3EL1CDA59862</t>
  </si>
  <si>
    <t>1657-0002446</t>
  </si>
  <si>
    <t>3/15/2026 5:48:00 AM</t>
  </si>
  <si>
    <t>3/15/2026 12:48:27 PM</t>
  </si>
  <si>
    <t>3/15/2026 12:48:05 PM</t>
  </si>
  <si>
    <t>1657-0002129</t>
  </si>
  <si>
    <t>3/11/2026 9:44:00 AM</t>
  </si>
  <si>
    <t>3/11/2026 4:45:47 PM</t>
  </si>
  <si>
    <t>3/11/2026 4:44:38 PM</t>
  </si>
  <si>
    <t>VRO 1657-0002129 has been Accepted
Note:</t>
  </si>
  <si>
    <t>1657-0002519</t>
  </si>
  <si>
    <t>3/15/2026 11:20:00 AM</t>
  </si>
  <si>
    <t>3/15/2026 6:20:10 PM</t>
  </si>
  <si>
    <t>3/15/2026 6:19:47 PM</t>
  </si>
  <si>
    <t>VRO 1657-0002519 has been Accepted
Note:</t>
  </si>
  <si>
    <t>1657-0002455</t>
  </si>
  <si>
    <t>3/15/2026 6:05:00 AM</t>
  </si>
  <si>
    <t>3/15/2026 1:05:24 PM</t>
  </si>
  <si>
    <t>3/15/2026 1:04:53 PM</t>
  </si>
  <si>
    <t>1657-0002564</t>
  </si>
  <si>
    <t>3/15/2026 12:49:00 PM</t>
  </si>
  <si>
    <t>3/15/2026 7:49:37 PM</t>
  </si>
  <si>
    <t>3/15/2026 7:49:02 PM</t>
  </si>
  <si>
    <t>VRO 1657-0002564 has been Accepted
Note:</t>
  </si>
  <si>
    <t>1657-0002561</t>
  </si>
  <si>
    <t>3/15/2026 12:46:00 PM</t>
  </si>
  <si>
    <t>3/15/2026 7:46:27 PM</t>
  </si>
  <si>
    <t>3/15/2026 7:45:54 PM</t>
  </si>
  <si>
    <t>VRO 1657-0002561 has been Accepted
Note:</t>
  </si>
  <si>
    <t>1657-0002492</t>
  </si>
  <si>
    <t>3/15/2026 10:45:00 AM</t>
  </si>
  <si>
    <t>3/15/2026 5:45:02 PM</t>
  </si>
  <si>
    <t>3/15/2026 5:44:36 PM</t>
  </si>
  <si>
    <t>VRO 1657-0002492 has been Accepted
Note:</t>
  </si>
  <si>
    <t>1HTMSAAR55H169165</t>
  </si>
  <si>
    <t>GAR-6840</t>
  </si>
  <si>
    <t>1657-0002510</t>
  </si>
  <si>
    <t>3/15/2026 11:08:00 AM</t>
  </si>
  <si>
    <t>3/15/2026 6:09:38 PM</t>
  </si>
  <si>
    <t>3/15/2026 6:08:14 PM</t>
  </si>
  <si>
    <t>VRO 1657-0002510 has been Accepted
Note:</t>
  </si>
  <si>
    <t>3FRWF65N84V685154</t>
  </si>
  <si>
    <t>GAR-4870</t>
  </si>
  <si>
    <t>1657-0002543</t>
  </si>
  <si>
    <t>3/15/2026 12:06:00 PM</t>
  </si>
  <si>
    <t>3/15/2026 7:06:16 PM</t>
  </si>
  <si>
    <t>3/15/2026 7:05:53 PM</t>
  </si>
  <si>
    <t>VRO 1657-0002543 has been Accepted
Note:</t>
  </si>
  <si>
    <t>1657-0002425</t>
  </si>
  <si>
    <t>3/15/2026 5:02:00 AM</t>
  </si>
  <si>
    <t>3/15/2026 12:02:14 PM</t>
  </si>
  <si>
    <t>3/15/2026 12:01:50 PM</t>
  </si>
  <si>
    <t>1657-0002187</t>
  </si>
  <si>
    <t>3/12/2026 5:11:00 AM</t>
  </si>
  <si>
    <t>3/12/2026 12:11:35 PM</t>
  </si>
  <si>
    <t>3/12/2026 12:10:58 PM</t>
  </si>
  <si>
    <t>1657-0002415</t>
  </si>
  <si>
    <t>3/15/2026 4:43:00 AM</t>
  </si>
  <si>
    <t>3/15/2026 11:43:56 AM</t>
  </si>
  <si>
    <t>3/15/2026 11:43:37 AM</t>
  </si>
  <si>
    <t>1FDRS6PM3JKB35469</t>
  </si>
  <si>
    <t>1657-0002529</t>
  </si>
  <si>
    <t>3/15/2026 11:33:00 AM</t>
  </si>
  <si>
    <t>3/15/2026 6:33:23 PM</t>
  </si>
  <si>
    <t>3/15/2026 6:33:03 PM</t>
  </si>
  <si>
    <t>VRO 1657-0002529 has been Accepted
Note:</t>
  </si>
  <si>
    <t>1FTRS4X83LKA71657</t>
  </si>
  <si>
    <t>1657-0002105</t>
  </si>
  <si>
    <t>3/11/2026 7:47:00 AM</t>
  </si>
  <si>
    <t>3/11/2026 2:47:46 PM</t>
  </si>
  <si>
    <t>3/11/2026 2:47:12 PM</t>
  </si>
  <si>
    <t>1657-0002478</t>
  </si>
  <si>
    <t>3/15/2026 10:05:00 AM</t>
  </si>
  <si>
    <t>3/15/2026 5:05:10 PM</t>
  </si>
  <si>
    <t>3/15/2026 5:04:50 PM</t>
  </si>
  <si>
    <t>VRO 1657-0002478 has been Accepted
Note:</t>
  </si>
  <si>
    <t>3/12/2026 6:20:00 AM</t>
  </si>
  <si>
    <t>1657-0002416</t>
  </si>
  <si>
    <t>3/15/2026 4:45:00 AM</t>
  </si>
  <si>
    <t>3/15/2026 11:45:18 AM</t>
  </si>
  <si>
    <t>3/15/2026 11:44:57 AM</t>
  </si>
  <si>
    <t>1657-0002434</t>
  </si>
  <si>
    <t>3/15/2026 5:17:00 AM</t>
  </si>
  <si>
    <t>3/15/2026 12:17:48 PM</t>
  </si>
  <si>
    <t>3/15/2026 12:17:28 PM</t>
  </si>
  <si>
    <t>1657-0002402</t>
  </si>
  <si>
    <t>3/15/2026 4:07:00 AM</t>
  </si>
  <si>
    <t>3/15/2026 11:07:50 AM</t>
  </si>
  <si>
    <t>3/15/2026 11:07:23 AM</t>
  </si>
  <si>
    <t>1657-0002418</t>
  </si>
  <si>
    <t>3/15/2026 4:49:00 AM</t>
  </si>
  <si>
    <t>3/15/2026 11:50:08 AM</t>
  </si>
  <si>
    <t>3/15/2026 11:49:22 AM</t>
  </si>
  <si>
    <t>2NPNHM6XXJM464257</t>
  </si>
  <si>
    <t>1657-0002457</t>
  </si>
  <si>
    <t>3/15/2026 6:09:00 AM</t>
  </si>
  <si>
    <t>3/15/2026 1:09:19 PM</t>
  </si>
  <si>
    <t>3/15/2026 1:08:52 PM</t>
  </si>
  <si>
    <t>1657-0002552</t>
  </si>
  <si>
    <t>3/15/2026 12:25:00 PM</t>
  </si>
  <si>
    <t>3/15/2026 7:28:39 PM</t>
  </si>
  <si>
    <t>3/15/2026 7:25:27 PM</t>
  </si>
  <si>
    <t>VRO 1657-0002552 has been Accepted
Note:</t>
  </si>
  <si>
    <t>1657-0002256</t>
  </si>
  <si>
    <t>3/12/2026 4:30:00 PM</t>
  </si>
  <si>
    <t>3/12/2026 11:30:47 PM</t>
  </si>
  <si>
    <t>3/12/2026 11:30:22 PM</t>
  </si>
  <si>
    <t>3/13/2026 12:03:51 PM</t>
  </si>
  <si>
    <t>3/13/2026 11:41:30 AM</t>
  </si>
  <si>
    <t>ar64k2HCPwk6VONF</t>
  </si>
  <si>
    <t>1657-0002122</t>
  </si>
  <si>
    <t>3/11/2026 9:33:00 AM</t>
  </si>
  <si>
    <t>3/11/2026 4:35:09 PM</t>
  </si>
  <si>
    <t>3/11/2026 4:34:13 PM</t>
  </si>
  <si>
    <t>VRO 1657-0002122 has been Accepted
Note:</t>
  </si>
  <si>
    <t>1657-0002190</t>
  </si>
  <si>
    <t>3/12/2026 5:30:00 AM</t>
  </si>
  <si>
    <t>3/12/2026 12:30:29 PM</t>
  </si>
  <si>
    <t>3/12/2026 12:29:53 PM</t>
  </si>
  <si>
    <t>J&amp;J TRUCK EQUIPMENT</t>
  </si>
  <si>
    <t>1657-0002467</t>
  </si>
  <si>
    <t>3/15/2026 9:47:00 AM</t>
  </si>
  <si>
    <t>3/15/2026 4:47:28 PM</t>
  </si>
  <si>
    <t>3/15/2026 4:47:06 PM</t>
  </si>
  <si>
    <t>VRO 1657-0002467 has been Accepted
Note:</t>
  </si>
  <si>
    <t>1657-0002391</t>
  </si>
  <si>
    <t>3/14/2026 5:25:00 PM</t>
  </si>
  <si>
    <t>3/15/2026 12:26:10 AM</t>
  </si>
  <si>
    <t>3/15/2026 12:25:05 AM</t>
  </si>
  <si>
    <t>1657-0002324</t>
  </si>
  <si>
    <t>3/13/2026 12:14:00 PM</t>
  </si>
  <si>
    <t>3/13/2026 7:18:05 PM</t>
  </si>
  <si>
    <t>3/13/2026 7:14:29 PM</t>
  </si>
  <si>
    <t>1657-0002430</t>
  </si>
  <si>
    <t>3/15/2026 5:10:00 AM</t>
  </si>
  <si>
    <t>3/15/2026 12:10:56 PM</t>
  </si>
  <si>
    <t>3/15/2026 12:10:33 PM</t>
  </si>
  <si>
    <t>VRO 1657-0002430 has been Accepted
Note:</t>
  </si>
  <si>
    <t>1657-0002505</t>
  </si>
  <si>
    <t>3/15/2026 11:02:00 AM</t>
  </si>
  <si>
    <t>3/15/2026 6:02:32 PM</t>
  </si>
  <si>
    <t>3/15/2026 6:02:11 PM</t>
  </si>
  <si>
    <t>VRO 1657-0002505 has been Accepted
Note:</t>
  </si>
  <si>
    <t>1657-0002518</t>
  </si>
  <si>
    <t>3/15/2026 11:18:00 AM</t>
  </si>
  <si>
    <t>3/15/2026 6:18:47 PM</t>
  </si>
  <si>
    <t>3/15/2026 6:17:59 PM</t>
  </si>
  <si>
    <t>VRO 1657-0002518 has been Accepted
Note:</t>
  </si>
  <si>
    <t>1657-0002566</t>
  </si>
  <si>
    <t>3/15/2026 12:52:00 PM</t>
  </si>
  <si>
    <t>3/15/2026 7:53:29 PM</t>
  </si>
  <si>
    <t>3/15/2026 7:52:32 PM</t>
  </si>
  <si>
    <t>VRO 1657-0002566 has been Accepted
Note:</t>
  </si>
  <si>
    <t>3/21/2026 12:00:00 AM</t>
  </si>
  <si>
    <t>1657-0002482</t>
  </si>
  <si>
    <t>3/15/2026 10:09:00 AM</t>
  </si>
  <si>
    <t>3/15/2026 5:09:29 PM</t>
  </si>
  <si>
    <t>3/15/2026 5:09:07 PM</t>
  </si>
  <si>
    <t>VRO 1657-0002482 has been Accepted
Note:</t>
  </si>
  <si>
    <t>3FRWF65N25V177540</t>
  </si>
  <si>
    <t>GAR-5444</t>
  </si>
  <si>
    <t>1657-0002526</t>
  </si>
  <si>
    <t>3/15/2026 11:28:00 AM</t>
  </si>
  <si>
    <t>3/15/2026 6:28:43 PM</t>
  </si>
  <si>
    <t>3/15/2026 6:28:18 PM</t>
  </si>
  <si>
    <t>VRO 1657-0002526 has been Accepted
Note:</t>
  </si>
  <si>
    <t>2NPNHM6X0FM285460</t>
  </si>
  <si>
    <t>GAR-15-030</t>
  </si>
  <si>
    <t>1657-0002178</t>
  </si>
  <si>
    <t>3/12/2026 3:38:00 AM</t>
  </si>
  <si>
    <t>3/12/2026 10:38:10 AM</t>
  </si>
  <si>
    <t>3/12/2026 10:37:49 AM</t>
  </si>
  <si>
    <t>VRO 1657-0002178 has been Accepted
Note:</t>
  </si>
  <si>
    <t>1657-0002194</t>
  </si>
  <si>
    <t>3/12/2026 5:46:00 AM</t>
  </si>
  <si>
    <t>3/12/2026 12:46:30 PM</t>
  </si>
  <si>
    <t>3/12/2026 12:46:05 PM</t>
  </si>
  <si>
    <t>1FTRS4X80LKA29219</t>
  </si>
  <si>
    <t>1657-0002420</t>
  </si>
  <si>
    <t>3/15/2026 4:53:00 AM</t>
  </si>
  <si>
    <t>3/15/2026 11:53:12 AM</t>
  </si>
  <si>
    <t>3/15/2026 11:52:50 AM</t>
  </si>
  <si>
    <t>1657-0002494</t>
  </si>
  <si>
    <t>3/15/2026 10:47:00 AM</t>
  </si>
  <si>
    <t>3/15/2026 5:48:01 PM</t>
  </si>
  <si>
    <t>3/15/2026 5:46:42 PM</t>
  </si>
  <si>
    <t>VRO 1657-0002494 has been Accepted
Note:</t>
  </si>
  <si>
    <t>1657-0002563</t>
  </si>
  <si>
    <t>3/15/2026 12:48:00 PM</t>
  </si>
  <si>
    <t>3/15/2026 7:48:26 PM</t>
  </si>
  <si>
    <t>3/15/2026 7:48:00 PM</t>
  </si>
  <si>
    <t>VRO 1657-0002563 has been Accepted
Note:</t>
  </si>
  <si>
    <t>1657-0002266</t>
  </si>
  <si>
    <t>3/13/2026 5:02:00 AM</t>
  </si>
  <si>
    <t>3/13/2026 12:14:04 PM</t>
  </si>
  <si>
    <t>3/13/2026 12:02:24 PM</t>
  </si>
  <si>
    <t>WILL DISPATCH CLEVELAND DIESEL</t>
  </si>
  <si>
    <t>2NPNHM6X1HM319120</t>
  </si>
  <si>
    <t>1657-0002485</t>
  </si>
  <si>
    <t>3/15/2026 10:19:00 AM</t>
  </si>
  <si>
    <t>3/15/2026 5:20:03 PM</t>
  </si>
  <si>
    <t>3/15/2026 5:19:32 PM</t>
  </si>
  <si>
    <t>VRO 1657-0002485 has been Accepted
Note:</t>
  </si>
  <si>
    <t>1657-0002433</t>
  </si>
  <si>
    <t>3/15/2026 5:16:00 AM</t>
  </si>
  <si>
    <t>3/15/2026 12:16:17 PM</t>
  </si>
  <si>
    <t>3/15/2026 12:15:55 PM</t>
  </si>
  <si>
    <t>VRO 1657-0002433 has been Accepted
Note:</t>
  </si>
  <si>
    <t>1657-0002398</t>
  </si>
  <si>
    <t>3/15/2026 4:02:00 AM</t>
  </si>
  <si>
    <t>3/15/2026 11:02:35 AM</t>
  </si>
  <si>
    <t>3/15/2026 11:02:13 AM</t>
  </si>
  <si>
    <t>1657-0002497</t>
  </si>
  <si>
    <t>3/15/2026 10:52:00 AM</t>
  </si>
  <si>
    <t>3/15/2026 5:52:56 PM</t>
  </si>
  <si>
    <t>3/15/2026 5:52:31 PM</t>
  </si>
  <si>
    <t>VRO 1657-0002497 has been Accepted
Note:</t>
  </si>
  <si>
    <t>1657-0002110</t>
  </si>
  <si>
    <t>3/11/2026 7:57:00 AM</t>
  </si>
  <si>
    <t>3/11/2026 2:57:52 PM</t>
  </si>
  <si>
    <t>3/11/2026 2:57:31 PM</t>
  </si>
  <si>
    <t>WILL DISPTACH ELITE MOBILE</t>
  </si>
  <si>
    <t>1657-0002523</t>
  </si>
  <si>
    <t>3/15/2026 11:25:00 AM</t>
  </si>
  <si>
    <t>3/15/2026 6:25:02 PM</t>
  </si>
  <si>
    <t>3/15/2026 6:24:36 PM</t>
  </si>
  <si>
    <t>VRO 1657-0002523 has been Accepted
Note:</t>
  </si>
  <si>
    <t>1657-0002514</t>
  </si>
  <si>
    <t>3/15/2026 11:14:00 AM</t>
  </si>
  <si>
    <t>3/15/2026 6:14:32 PM</t>
  </si>
  <si>
    <t>3/15/2026 6:14:12 PM</t>
  </si>
  <si>
    <t>VRO 1657-0002514 has been Accepted
Note:</t>
  </si>
  <si>
    <t>1657-0002502</t>
  </si>
  <si>
    <t>3/15/2026 10:58:00 AM</t>
  </si>
  <si>
    <t>3/15/2026 5:58:43 PM</t>
  </si>
  <si>
    <t>3/15/2026 5:58:20 PM</t>
  </si>
  <si>
    <t>VRO 1657-0002502 has been Accepted
Note:</t>
  </si>
  <si>
    <t>WDYPD144255820410</t>
  </si>
  <si>
    <t>GAR-281</t>
  </si>
  <si>
    <t>1657-0002489</t>
  </si>
  <si>
    <t>3/15/2026 10:30:00 AM</t>
  </si>
  <si>
    <t>3/15/2026 5:30:17 PM</t>
  </si>
  <si>
    <t>3/15/2026 5:29:51 PM</t>
  </si>
  <si>
    <t>VRO 1657-0002489 has been Accepted
Note:</t>
  </si>
  <si>
    <t>1FTYR2CM3KKA92151</t>
  </si>
  <si>
    <t>1657-0002437</t>
  </si>
  <si>
    <t>3/15/2026 5:30:00 AM</t>
  </si>
  <si>
    <t>3/15/2026 12:30:22 PM</t>
  </si>
  <si>
    <t>3/15/2026 12:29:58 PM</t>
  </si>
  <si>
    <t>1657-0002522</t>
  </si>
  <si>
    <t>3/15/2026 11:23:00 AM</t>
  </si>
  <si>
    <t>3/15/2026 6:23:51 PM</t>
  </si>
  <si>
    <t>3/15/2026 6:23:26 PM</t>
  </si>
  <si>
    <t>VRO 1657-0002522 has been Accepted
Note:</t>
  </si>
  <si>
    <t>1657-0002306</t>
  </si>
  <si>
    <t>3/13/2026 9:54:00 AM</t>
  </si>
  <si>
    <t>3/13/2026 5:47:55 PM</t>
  </si>
  <si>
    <t>3/13/2026 4:53:50 PM</t>
  </si>
  <si>
    <t>VRO 1657-0002306 has been Accepted
Note:</t>
  </si>
  <si>
    <t>1657-0002440</t>
  </si>
  <si>
    <t>3/15/2026 5:33:00 AM</t>
  </si>
  <si>
    <t>3/15/2026 12:33:46 PM</t>
  </si>
  <si>
    <t>3/15/2026 12:33:23 PM</t>
  </si>
  <si>
    <t>VRO 1657-0002440 has been Accepted
Note:</t>
  </si>
  <si>
    <t>NATIONAL FLEET PROCUREMENT SERVICES, LLC</t>
  </si>
  <si>
    <t>2NPNH6X8JM461857</t>
  </si>
  <si>
    <t>1657-0002111</t>
  </si>
  <si>
    <t>3/11/2026 7:59:00 AM</t>
  </si>
  <si>
    <t>3/11/2026 2:59:28 PM</t>
  </si>
  <si>
    <t>3/11/2026 2:58:56 PM</t>
  </si>
  <si>
    <t>3FRWF65NX5V142597</t>
  </si>
  <si>
    <t>1657-0002099</t>
  </si>
  <si>
    <t>3/11/2026 7:11:00 AM</t>
  </si>
  <si>
    <t>3/11/2026 2:11:52 PM</t>
  </si>
  <si>
    <t>3/11/2026 2:11:34 PM</t>
  </si>
  <si>
    <t>1FTSE3EL6CDA23326</t>
  </si>
  <si>
    <t>GAR-121411</t>
  </si>
  <si>
    <t>1657-0002512</t>
  </si>
  <si>
    <t>3/15/2026 11:12:00 AM</t>
  </si>
  <si>
    <t>3/15/2026 6:12:29 PM</t>
  </si>
  <si>
    <t>3/15/2026 6:12:08 PM</t>
  </si>
  <si>
    <t>VRO 1657-0002512 has been Accepted
Note:</t>
  </si>
  <si>
    <t>1657-0002321</t>
  </si>
  <si>
    <t>3/13/2026 12:05:00 PM</t>
  </si>
  <si>
    <t>3/13/2026 7:06:02 PM</t>
  </si>
  <si>
    <t>3/13/2026 7:05:32 PM</t>
  </si>
  <si>
    <t>1657-0002567</t>
  </si>
  <si>
    <t>3/15/2026 12:55:00 PM</t>
  </si>
  <si>
    <t>3/15/2026 7:55:29 PM</t>
  </si>
  <si>
    <t>3/15/2026 7:55:07 PM</t>
  </si>
  <si>
    <t>VRO 1657-0002567 has been Accepted
Note:</t>
  </si>
  <si>
    <t>2C4JRGAG3ER179632</t>
  </si>
  <si>
    <t>GAR-14-004</t>
  </si>
  <si>
    <t>1657-0002460</t>
  </si>
  <si>
    <t>3/15/2026 8:41:00 AM</t>
  </si>
  <si>
    <t>3/15/2026 3:41:34 PM</t>
  </si>
  <si>
    <t>3/15/2026 3:41:11 PM</t>
  </si>
  <si>
    <t>VRO 1657-0002460 has been Accepted
Note:</t>
  </si>
  <si>
    <t>1657-0002298</t>
  </si>
  <si>
    <t>3/13/2026 9:16:00 AM</t>
  </si>
  <si>
    <t>3/13/2026 4:16:48 PM</t>
  </si>
  <si>
    <t>3/13/2026 4:16:05 PM</t>
  </si>
  <si>
    <t>1657-0002535</t>
  </si>
  <si>
    <t>3/15/2026 11:52:00 AM</t>
  </si>
  <si>
    <t>3/15/2026 6:52:54 PM</t>
  </si>
  <si>
    <t>3/15/2026 6:52:14 PM</t>
  </si>
  <si>
    <t>VRO 1657-0002535 has been Accepted
Note:</t>
  </si>
  <si>
    <t>1657-0002533</t>
  </si>
  <si>
    <t>3/15/2026 11:49:00 AM</t>
  </si>
  <si>
    <t>3/15/2026 6:49:27 PM</t>
  </si>
  <si>
    <t>3/15/2026 6:48:56 PM</t>
  </si>
  <si>
    <t>VRO 1657-0002533 has been Accepted
Note:</t>
  </si>
  <si>
    <t>1657-0002560</t>
  </si>
  <si>
    <t>3/15/2026 12:44:00 PM</t>
  </si>
  <si>
    <t>3/15/2026 7:44:39 PM</t>
  </si>
  <si>
    <t>3/15/2026 7:44:19 PM</t>
  </si>
  <si>
    <t>VRO 1657-0002560 has been Accepted
Note:</t>
  </si>
  <si>
    <t>2NPNHM6X3HM319037</t>
  </si>
  <si>
    <t>1657-0002461</t>
  </si>
  <si>
    <t>3/15/2026 8:42:00 AM</t>
  </si>
  <si>
    <t>3/15/2026 3:42:57 PM</t>
  </si>
  <si>
    <t>3/15/2026 3:42:23 PM</t>
  </si>
  <si>
    <t>VRO 1657-0002461 has been Accepted
Note:</t>
  </si>
  <si>
    <t>2NPNHM6X0JM472772</t>
  </si>
  <si>
    <t>1657-0002414</t>
  </si>
  <si>
    <t>3/15/2026 4:38:00 AM</t>
  </si>
  <si>
    <t>3/15/2026 11:38:06 AM</t>
  </si>
  <si>
    <t>3/15/2026 11:37:44 AM</t>
  </si>
  <si>
    <t>1657-0002472</t>
  </si>
  <si>
    <t>3/15/2026 9:56:00 AM</t>
  </si>
  <si>
    <t>3/15/2026 4:56:57 PM</t>
  </si>
  <si>
    <t>3/15/2026 4:56:24 PM</t>
  </si>
  <si>
    <t>1657-0002557</t>
  </si>
  <si>
    <t>3/15/2026 12:34:00 PM</t>
  </si>
  <si>
    <t>3/15/2026 7:34:43 PM</t>
  </si>
  <si>
    <t>3/15/2026 7:34:23 PM</t>
  </si>
  <si>
    <t>VRO 1657-0002557 has been Accepted
Note:</t>
  </si>
  <si>
    <t>1657-0002481</t>
  </si>
  <si>
    <t>3/15/2026 10:08:00 AM</t>
  </si>
  <si>
    <t>3/15/2026 5:08:29 PM</t>
  </si>
  <si>
    <t>3/15/2026 5:08:07 PM</t>
  </si>
  <si>
    <t>VRO 1657-0002481 has been Accepted
Note:</t>
  </si>
  <si>
    <t>1657-0002419</t>
  </si>
  <si>
    <t>3/15/2026 4:51:00 AM</t>
  </si>
  <si>
    <t>3/15/2026 11:51:45 AM</t>
  </si>
  <si>
    <t>3/15/2026 11:51:22 AM</t>
  </si>
  <si>
    <t>1657-0002383</t>
  </si>
  <si>
    <t>3/14/2026 1:08:00 PM</t>
  </si>
  <si>
    <t>3/14/2026 8:08:47 PM</t>
  </si>
  <si>
    <t>3/14/2026 8:07:50 PM</t>
  </si>
  <si>
    <t>VRO 1657-0002383 has been Accepted
Note:</t>
  </si>
  <si>
    <t>1657-0002452</t>
  </si>
  <si>
    <t>3/15/2026 5:59:00 AM</t>
  </si>
  <si>
    <t>3/15/2026 12:59:11 PM</t>
  </si>
  <si>
    <t>3/15/2026 12:58:51 PM</t>
  </si>
  <si>
    <t>3/10/2026 11:36:00 AM</t>
  </si>
  <si>
    <t>1FTRS4X84MKA97315</t>
  </si>
  <si>
    <t>1657-0002532</t>
  </si>
  <si>
    <t>3/15/2026 11:36:00 AM</t>
  </si>
  <si>
    <t>3/15/2026 6:36:36 PM</t>
  </si>
  <si>
    <t>3/15/2026 6:36:08 PM</t>
  </si>
  <si>
    <t>VRO 1657-0002532 has been Accepted
Note:</t>
  </si>
  <si>
    <t>1657-0002507</t>
  </si>
  <si>
    <t>3/15/2026 11:05:00 AM</t>
  </si>
  <si>
    <t>3/15/2026 6:05:27 PM</t>
  </si>
  <si>
    <t>3/15/2026 6:04:59 PM</t>
  </si>
  <si>
    <t>1657-0002506</t>
  </si>
  <si>
    <t>3/15/2026 11:03:00 AM</t>
  </si>
  <si>
    <t>3/15/2026 6:03:46 PM</t>
  </si>
  <si>
    <t>3/15/2026 6:03:17 PM</t>
  </si>
  <si>
    <t>VRO 1657-0002506 has been Accepted
Note:</t>
  </si>
  <si>
    <t>1657-0002413</t>
  </si>
  <si>
    <t>3/15/2026 4:36:00 AM</t>
  </si>
  <si>
    <t>3/15/2026 11:36:44 AM</t>
  </si>
  <si>
    <t>3/15/2026 11:36:21 AM</t>
  </si>
  <si>
    <t>2NPNHN6X0FM277858</t>
  </si>
  <si>
    <t>1657-0002396</t>
  </si>
  <si>
    <t>3/15/2026 4:00:00 AM</t>
  </si>
  <si>
    <t>3/15/2026 11:00:18 AM</t>
  </si>
  <si>
    <t>3/15/2026 10:59:47 AM</t>
  </si>
  <si>
    <t>VRO 1657-0002396 has been Accepted
Note:</t>
  </si>
  <si>
    <t>1657-0002534</t>
  </si>
  <si>
    <t>3/15/2026 11:51:00 AM</t>
  </si>
  <si>
    <t>3/15/2026 6:51:00 PM</t>
  </si>
  <si>
    <t>3/15/2026 6:50:39 PM</t>
  </si>
  <si>
    <t>VRO 1657-0002534 has been Accepted
Note:</t>
  </si>
  <si>
    <t>1657-0002504</t>
  </si>
  <si>
    <t>3/15/2026 11:01:00 AM</t>
  </si>
  <si>
    <t>3/15/2026 6:01:33 PM</t>
  </si>
  <si>
    <t>3/15/2026 6:01:06 PM</t>
  </si>
  <si>
    <t>VRO 1657-0002504 has been Accepted
Note:</t>
  </si>
  <si>
    <t>2FTZA54403BB08751</t>
  </si>
  <si>
    <t>GAR-109</t>
  </si>
  <si>
    <t>1657-0002536</t>
  </si>
  <si>
    <t>3/15/2026 11:54:00 AM</t>
  </si>
  <si>
    <t>3/15/2026 6:54:14 PM</t>
  </si>
  <si>
    <t>3/15/2026 6:53:46 PM</t>
  </si>
  <si>
    <t>VRO 1657-0002536 has been Accepted
Note:</t>
  </si>
  <si>
    <t>1657-0002213</t>
  </si>
  <si>
    <t>3/12/2026 7:22:00 AM</t>
  </si>
  <si>
    <t>3/12/2026 2:22:10 PM</t>
  </si>
  <si>
    <t>3/12/2026 2:21:49 PM</t>
  </si>
  <si>
    <t>1657-0002302</t>
  </si>
  <si>
    <t>3/13/2026 9:45:00 AM</t>
  </si>
  <si>
    <t>3/13/2026 5:53:24 PM</t>
  </si>
  <si>
    <t>3/13/2026 4:44:58 PM</t>
  </si>
  <si>
    <t>VRO 1657-0002302 has been Accepted
Note:</t>
  </si>
  <si>
    <t>1657-0002439</t>
  </si>
  <si>
    <t>3/15/2026 5:32:00 AM</t>
  </si>
  <si>
    <t>3/15/2026 12:32:40 PM</t>
  </si>
  <si>
    <t>3/15/2026 12:32:18 PM</t>
  </si>
  <si>
    <t>1657-0002555</t>
  </si>
  <si>
    <t>3/15/2026 12:32:00 PM</t>
  </si>
  <si>
    <t>3/15/2026 7:32:02 PM</t>
  </si>
  <si>
    <t>3/15/2026 7:31:35 PM</t>
  </si>
  <si>
    <t>VRO 1657-0002555 has been Accepted
Note:</t>
  </si>
  <si>
    <t>1657-0002230</t>
  </si>
  <si>
    <t>3/12/2026 11:15:00 AM</t>
  </si>
  <si>
    <t>3/12/2026 8:52:10 PM</t>
  </si>
  <si>
    <t>3/12/2026 6:15:17 PM</t>
  </si>
  <si>
    <t>WDYPD144055782398</t>
  </si>
  <si>
    <t>GAR-265B</t>
  </si>
  <si>
    <t>1657-0002490</t>
  </si>
  <si>
    <t>3/15/2026 10:31:00 AM</t>
  </si>
  <si>
    <t>3/15/2026 5:31:56 PM</t>
  </si>
  <si>
    <t>3/15/2026 5:31:27 PM</t>
  </si>
  <si>
    <t>VRO 1657-0002490 has been Accepted
Note:</t>
  </si>
  <si>
    <t>1657-0002289</t>
  </si>
  <si>
    <t>3/13/2026 8:04:00 AM</t>
  </si>
  <si>
    <t>3/13/2026 3:04:21 PM</t>
  </si>
  <si>
    <t>3/13/2026 3:03:43 PM</t>
  </si>
  <si>
    <t>1657-0002559</t>
  </si>
  <si>
    <t>3/15/2026 12:43:00 PM</t>
  </si>
  <si>
    <t>3/15/2026 7:43:40 PM</t>
  </si>
  <si>
    <t>3/15/2026 7:43:21 PM</t>
  </si>
  <si>
    <t>VRO 1657-0002559 has been Accepted
Note:</t>
  </si>
  <si>
    <t>1657-0002097</t>
  </si>
  <si>
    <t>3/11/2026 7:04:00 AM</t>
  </si>
  <si>
    <t>3/11/2026 2:04:12 PM</t>
  </si>
  <si>
    <t>3/11/2026 2:03:42 PM</t>
  </si>
  <si>
    <t>1657-0002320</t>
  </si>
  <si>
    <t>3/13/2026 12:02:00 PM</t>
  </si>
  <si>
    <t>3/13/2026 7:03:00 PM</t>
  </si>
  <si>
    <t>3/13/2026 7:02:25 PM</t>
  </si>
  <si>
    <t>1657-0002263</t>
  </si>
  <si>
    <t>3/13/2026 3:47:00 AM</t>
  </si>
  <si>
    <t>3/13/2026 10:48:31 AM</t>
  </si>
  <si>
    <t>3/13/2026 10:46:54 AM</t>
  </si>
  <si>
    <t>1657-0002471</t>
  </si>
  <si>
    <t>3/15/2026 9:54:00 AM</t>
  </si>
  <si>
    <t>3/15/2026 4:54:25 PM</t>
  </si>
  <si>
    <t>3/15/2026 4:53:52 PM</t>
  </si>
  <si>
    <t>1657-0002137</t>
  </si>
  <si>
    <t>3/11/2026 10:29:00 AM</t>
  </si>
  <si>
    <t>3/11/2026 5:30:12 PM</t>
  </si>
  <si>
    <t>3/11/2026 5:29:27 PM</t>
  </si>
  <si>
    <t>3/12/2026 2:56:37 PM</t>
  </si>
  <si>
    <t>3/12/2026 2:54:02 PM</t>
  </si>
  <si>
    <t>1657-0002043</t>
  </si>
  <si>
    <t>3/10/2026 11:49:00 AM</t>
  </si>
  <si>
    <t>3/10/2026 6:50:23 PM</t>
  </si>
  <si>
    <t>3/10/2026 6:49:54 PM</t>
  </si>
  <si>
    <t>VRO 1657-0002043 has been Accepted
Note:</t>
  </si>
  <si>
    <t>1657-0002239</t>
  </si>
  <si>
    <t>3/12/2026 12:54:00 PM</t>
  </si>
  <si>
    <t>3/12/2026 7:54:28 PM</t>
  </si>
  <si>
    <t>3/12/2026 7:53:54 PM</t>
  </si>
  <si>
    <t>VRO 1657-0002239 has been Accepted
Note:</t>
  </si>
  <si>
    <t>1657-0002429</t>
  </si>
  <si>
    <t>3/15/2026 5:09:00 AM</t>
  </si>
  <si>
    <t>3/15/2026 12:09:26 PM</t>
  </si>
  <si>
    <t>3/15/2026 12:09:04 PM</t>
  </si>
  <si>
    <t>2NPNHM6X4JM461855</t>
  </si>
  <si>
    <t>1657-0002118</t>
  </si>
  <si>
    <t>3/11/2026 4:10:54 PM</t>
  </si>
  <si>
    <t>3/11/2026 4:10:21 PM</t>
  </si>
  <si>
    <t>1657-0002438</t>
  </si>
  <si>
    <t>3/15/2026 5:31:00 AM</t>
  </si>
  <si>
    <t>3/15/2026 12:31:41 PM</t>
  </si>
  <si>
    <t>3/15/2026 12:31:20 PM</t>
  </si>
  <si>
    <t>1657-0002527</t>
  </si>
  <si>
    <t>3/15/2026 11:30:00 AM</t>
  </si>
  <si>
    <t>3/15/2026 6:30:17 PM</t>
  </si>
  <si>
    <t>3/15/2026 6:29:36 PM</t>
  </si>
  <si>
    <t>VRO 1657-0002527 has been Accepted
Note:</t>
  </si>
  <si>
    <t>1657-0002431</t>
  </si>
  <si>
    <t>3/15/2026 5:14:00 AM</t>
  </si>
  <si>
    <t>3/15/2026 12:14:03 PM</t>
  </si>
  <si>
    <t>3/15/2026 12:13:37 PM</t>
  </si>
  <si>
    <t>VRO 1657-0002431 has been Accepted
Note:</t>
  </si>
  <si>
    <t>1657-0002157</t>
  </si>
  <si>
    <t>3/11/2026 12:40:00 PM</t>
  </si>
  <si>
    <t>3/11/2026 7:59:33 PM</t>
  </si>
  <si>
    <t>3/11/2026 7:59:06 PM</t>
  </si>
  <si>
    <t>1FDWE3FL3CDA07676</t>
  </si>
  <si>
    <t>GAR-6576</t>
  </si>
  <si>
    <t>1657-0002468</t>
  </si>
  <si>
    <t>3/15/2026 9:50:00 AM</t>
  </si>
  <si>
    <t>3/15/2026 4:50:40 PM</t>
  </si>
  <si>
    <t>3/15/2026 4:50:08 PM</t>
  </si>
  <si>
    <t>VRO 1657-0002468 has been Accepted
Note:</t>
  </si>
  <si>
    <t>1657-0002498</t>
  </si>
  <si>
    <t>3/15/2026 10:54:00 AM</t>
  </si>
  <si>
    <t>3/15/2026 5:54:42 PM</t>
  </si>
  <si>
    <t>3/15/2026 5:54:05 PM</t>
  </si>
  <si>
    <t>VRO 1657-0002498 has been Accepted
Note:</t>
  </si>
  <si>
    <t>2NPNHM6X1JM464244</t>
  </si>
  <si>
    <t>1657-0002462</t>
  </si>
  <si>
    <t>3/15/2026 8:44:00 AM</t>
  </si>
  <si>
    <t>3/15/2026 3:44:30 PM</t>
  </si>
  <si>
    <t>3/15/2026 3:44:06 PM</t>
  </si>
  <si>
    <t>VRO 1657-0002462 has been Accepted
Note:</t>
  </si>
  <si>
    <t>1657-0002399</t>
  </si>
  <si>
    <t>3/15/2026 4:03:00 AM</t>
  </si>
  <si>
    <t>3/15/2026 11:03:44 AM</t>
  </si>
  <si>
    <t>3/15/2026 11:03:16 AM</t>
  </si>
  <si>
    <t>1657-0002508</t>
  </si>
  <si>
    <t>3/15/2026 11:06:00 AM</t>
  </si>
  <si>
    <t>3/15/2026 6:06:41 PM</t>
  </si>
  <si>
    <t>3/15/2026 6:06:10 PM</t>
  </si>
  <si>
    <t>1657-0002098</t>
  </si>
  <si>
    <t>3/11/2026 7:07:00 AM</t>
  </si>
  <si>
    <t>3/11/2026 2:08:19 PM</t>
  </si>
  <si>
    <t>3/11/2026 2:07:07 PM</t>
  </si>
  <si>
    <t>1657-0002486</t>
  </si>
  <si>
    <t>3/15/2026 10:21:00 AM</t>
  </si>
  <si>
    <t>3/15/2026 5:22:15 PM</t>
  </si>
  <si>
    <t>3/15/2026 5:21:27 PM</t>
  </si>
  <si>
    <t>VRO 1657-0002486 has been Accepted
Note:</t>
  </si>
  <si>
    <t>1657-0002126</t>
  </si>
  <si>
    <t>3/11/2026 9:40:00 AM</t>
  </si>
  <si>
    <t>3/11/2026 4:40:20 PM</t>
  </si>
  <si>
    <t>3/11/2026 4:39:52 PM</t>
  </si>
  <si>
    <t>1657-0002421</t>
  </si>
  <si>
    <t>3/15/2026 4:56:00 AM</t>
  </si>
  <si>
    <t>3/15/2026 11:56:13 AM</t>
  </si>
  <si>
    <t>3/15/2026 11:55:48 AM</t>
  </si>
  <si>
    <t>will dispatch protech diesel</t>
  </si>
  <si>
    <t>1657-0002547</t>
  </si>
  <si>
    <t>3/15/2026 12:15:00 PM</t>
  </si>
  <si>
    <t>3/15/2026 7:15:49 PM</t>
  </si>
  <si>
    <t>3/15/2026 7:15:25 PM</t>
  </si>
  <si>
    <t>VRO 1657-0002547 has been Accepted
Note:</t>
  </si>
  <si>
    <t>2NPNHM6X1FM300192</t>
  </si>
  <si>
    <t>1657-0002451</t>
  </si>
  <si>
    <t>3/15/2026 5:56:00 AM</t>
  </si>
  <si>
    <t>3/15/2026 12:56:37 PM</t>
  </si>
  <si>
    <t>3/15/2026 12:56:13 PM</t>
  </si>
  <si>
    <t>1657-0002503</t>
  </si>
  <si>
    <t>3/15/2026 11:00:00 AM</t>
  </si>
  <si>
    <t>3/15/2026 6:00:00 PM</t>
  </si>
  <si>
    <t>3/15/2026 5:59:38 PM</t>
  </si>
  <si>
    <t>VRO 1657-0002503 has been Accepted
Note:</t>
  </si>
  <si>
    <t>1657-0002493</t>
  </si>
  <si>
    <t>3/15/2026 10:46:00 AM</t>
  </si>
  <si>
    <t>3/15/2026 5:45:56 PM</t>
  </si>
  <si>
    <t>3/15/2026 5:45:36 PM</t>
  </si>
  <si>
    <t>VRO 1657-0002493 has been Accepted
Note:</t>
  </si>
  <si>
    <t>1657-0002520</t>
  </si>
  <si>
    <t>3/15/2026 11:21:00 AM</t>
  </si>
  <si>
    <t>3/15/2026 6:21:23 PM</t>
  </si>
  <si>
    <t>3/15/2026 6:20:56 PM</t>
  </si>
  <si>
    <t>VRO 1657-0002520 has been Accepted
Note:</t>
  </si>
  <si>
    <t>1657-0002404</t>
  </si>
  <si>
    <t>3/15/2026 4:14:00 AM</t>
  </si>
  <si>
    <t>3/15/2026 11:14:58 AM</t>
  </si>
  <si>
    <t>3/15/2026 11:14:22 AM</t>
  </si>
  <si>
    <t>1657-0002093</t>
  </si>
  <si>
    <t>3/11/2026 6:55:00 AM</t>
  </si>
  <si>
    <t>3/11/2026 1:55:58 PM</t>
  </si>
  <si>
    <t>3/11/2026 1:54:37 PM</t>
  </si>
  <si>
    <t>1657-0002131</t>
  </si>
  <si>
    <t>3/11/2026 9:49:00 AM</t>
  </si>
  <si>
    <t>3/11/2026 5:20:07 PM</t>
  </si>
  <si>
    <t>3/11/2026 4:49:41 PM</t>
  </si>
  <si>
    <t>VRO 1657-0002131 has been Accepted
Note:</t>
  </si>
  <si>
    <t>1657-0002565</t>
  </si>
  <si>
    <t>3/15/2026 12:51:00 PM</t>
  </si>
  <si>
    <t>3/15/2026 7:51:48 PM</t>
  </si>
  <si>
    <t>3/15/2026 7:51:04 PM</t>
  </si>
  <si>
    <t>VRO 1657-0002565 has been Accepted
Note:</t>
  </si>
  <si>
    <t>1657-0002488</t>
  </si>
  <si>
    <t>3/15/2026 10:26:00 AM</t>
  </si>
  <si>
    <t>3/15/2026 5:27:05 PM</t>
  </si>
  <si>
    <t>3/15/2026 5:26:05 PM</t>
  </si>
  <si>
    <t>VRO 1657-0002488 has been Accepted
Note:</t>
  </si>
  <si>
    <t>1657-0002454</t>
  </si>
  <si>
    <t>3/15/2026 6:04:00 AM</t>
  </si>
  <si>
    <t>3/15/2026 1:04:03 PM</t>
  </si>
  <si>
    <t>3/15/2026 1:03:36 PM</t>
  </si>
  <si>
    <t>1657-0002102</t>
  </si>
  <si>
    <t>3/11/2026 7:20:00 AM</t>
  </si>
  <si>
    <t>3/11/2026 2:20:35 PM</t>
  </si>
  <si>
    <t>3/11/2026 2:20:13 PM</t>
  </si>
  <si>
    <t>1657-0002499</t>
  </si>
  <si>
    <t>3/15/2026 10:55:00 AM</t>
  </si>
  <si>
    <t>3/15/2026 5:55:45 PM</t>
  </si>
  <si>
    <t>3/15/2026 5:55:25 PM</t>
  </si>
  <si>
    <t>VRO 1657-0002499 has been Accepted
Note:</t>
  </si>
  <si>
    <t>1657-0002023</t>
  </si>
  <si>
    <t>3/10/2026 7:47:00 AM</t>
  </si>
  <si>
    <t>3/10/2026 3:18:21 PM</t>
  </si>
  <si>
    <t>3/10/2026 2:47:11 PM</t>
  </si>
  <si>
    <t>UD 3/10: work complete as of 3/10 Waiting on invoice to close out VRO - RM
Vendor stated that there was a pack of printer paper behind the seat that was soaked in water and filled with mold, he also found that the AC was clogged and dripping water,
he cleaned and disinfected the area and the unit is good to go.</t>
  </si>
  <si>
    <t>3FRWF65N65V177511</t>
  </si>
  <si>
    <t>GAR-5240</t>
  </si>
  <si>
    <t>1657-0002459</t>
  </si>
  <si>
    <t>3/15/2026 8:40:00 AM</t>
  </si>
  <si>
    <t>3/15/2026 3:40:29 PM</t>
  </si>
  <si>
    <t>3/15/2026 3:40:10 PM</t>
  </si>
  <si>
    <t>VRO 1657-0002459 has been Accepted
Note:</t>
  </si>
  <si>
    <t>1657-0002442</t>
  </si>
  <si>
    <t>3/15/2026 5:39:00 AM</t>
  </si>
  <si>
    <t>3/15/2026 12:40:02 PM</t>
  </si>
  <si>
    <t>3/15/2026 12:39:31 PM</t>
  </si>
  <si>
    <t>VRO 1657-0002442 has been Accepted
Note:</t>
  </si>
  <si>
    <t>1657-0002332</t>
  </si>
  <si>
    <t>3/13/2026 1:11:00 PM</t>
  </si>
  <si>
    <t>3/13/2026 8:11:56 PM</t>
  </si>
  <si>
    <t>3/13/2026 8:10:45 PM</t>
  </si>
  <si>
    <t>1657-0002281</t>
  </si>
  <si>
    <t>3/13/2026 7:35:00 AM</t>
  </si>
  <si>
    <t>3/13/2026 2:34:59 PM</t>
  </si>
  <si>
    <t>3/13/2026 2:34:35 PM</t>
  </si>
  <si>
    <t>1657-0002038</t>
  </si>
  <si>
    <t>3/10/2026 11:18:00 AM</t>
  </si>
  <si>
    <t>3/10/2026 6:18:06 PM</t>
  </si>
  <si>
    <t>3/10/2026 6:17:49 PM</t>
  </si>
  <si>
    <t>1657-0002238</t>
  </si>
  <si>
    <t>3/12/2026 12:52:00 PM</t>
  </si>
  <si>
    <t>3/12/2026 7:52:46 PM</t>
  </si>
  <si>
    <t>3/12/2026 7:52:15 PM</t>
  </si>
  <si>
    <t>VRO 1657-0002238 has been Accepted
Note:</t>
  </si>
  <si>
    <t>1657-0002066</t>
  </si>
  <si>
    <t>3/10/2026 5:02:00 PM</t>
  </si>
  <si>
    <t>3/11/2026 1:34:21 AM</t>
  </si>
  <si>
    <t>3/11/2026 2:01:45 AM</t>
  </si>
  <si>
    <t>VRO 1657-0002066 has been Accepted
Note:</t>
  </si>
  <si>
    <t>1657-0002397</t>
  </si>
  <si>
    <t>3/15/2026 4:01:00 AM</t>
  </si>
  <si>
    <t>3/15/2026 11:01:25 AM</t>
  </si>
  <si>
    <t>3/15/2026 11:01:03 AM</t>
  </si>
  <si>
    <t>VRO 1657-0002397 has been Accepted
Note:</t>
  </si>
  <si>
    <t>1657-0002441</t>
  </si>
  <si>
    <t>3/15/2026 5:36:00 AM</t>
  </si>
  <si>
    <t>3/15/2026 12:36:32 PM</t>
  </si>
  <si>
    <t>3/15/2026 12:36:11 PM</t>
  </si>
  <si>
    <t>VRO 1657-0002441 has been Accepted
Note:</t>
  </si>
  <si>
    <t>1FTSE3EL4BDA78906</t>
  </si>
  <si>
    <t>GAR-111405</t>
  </si>
  <si>
    <t>1657-0002517</t>
  </si>
  <si>
    <t>3/15/2026 11:16:00 AM</t>
  </si>
  <si>
    <t>3/15/2026 6:17:04 PM</t>
  </si>
  <si>
    <t>3/15/2026 6:16:29 PM</t>
  </si>
  <si>
    <t>VRO 1657-0002517 has been Accepted
Note:</t>
  </si>
  <si>
    <t>1657-0002515</t>
  </si>
  <si>
    <t>3/15/2026 6:15:46 PM</t>
  </si>
  <si>
    <t>3/15/2026 6:15:18 PM</t>
  </si>
  <si>
    <t>VRO 1657-0002515 has been Accepted
Note:</t>
  </si>
  <si>
    <t>1657-0002246</t>
  </si>
  <si>
    <t>3/12/2026 1:59:00 PM</t>
  </si>
  <si>
    <t>3/12/2026 8:59:49 PM</t>
  </si>
  <si>
    <t>3/12/2026 8:59:00 PM</t>
  </si>
  <si>
    <t>VRO 1657-0002246 has been Accepted
Note:</t>
  </si>
  <si>
    <t>1657-0002524</t>
  </si>
  <si>
    <t>3/15/2026 11:26:00 AM</t>
  </si>
  <si>
    <t>3/15/2026 6:26:42 PM</t>
  </si>
  <si>
    <t>3/15/2026 6:25:40 PM</t>
  </si>
  <si>
    <t>VRO 1657-0002524 has been Accepted
Note:</t>
  </si>
  <si>
    <t>1657-0002539</t>
  </si>
  <si>
    <t>3/15/2026 11:57:00 AM</t>
  </si>
  <si>
    <t>3/15/2026 6:57:48 PM</t>
  </si>
  <si>
    <t>3/15/2026 6:57:18 PM</t>
  </si>
  <si>
    <t>VRO 1657-0002539 has been Accepted
Note:</t>
  </si>
  <si>
    <t>1657-0002444</t>
  </si>
  <si>
    <t>3/15/2026 5:45:00 AM</t>
  </si>
  <si>
    <t>3/15/2026 12:45:12 PM</t>
  </si>
  <si>
    <t>3/15/2026 12:44:51 PM</t>
  </si>
  <si>
    <t>1657-0002406</t>
  </si>
  <si>
    <t>3/15/2026 4:18:00 AM</t>
  </si>
  <si>
    <t>3/15/2026 11:20:16 AM</t>
  </si>
  <si>
    <t>3/15/2026 11:17:55 AM</t>
  </si>
  <si>
    <t>VRO 1657-0002406 has been Accepted
Note:</t>
  </si>
  <si>
    <t>1657-0002479</t>
  </si>
  <si>
    <t>3/15/2026 10:06:00 AM</t>
  </si>
  <si>
    <t>3/15/2026 5:06:25 PM</t>
  </si>
  <si>
    <t>3/15/2026 5:05:56 PM</t>
  </si>
  <si>
    <t>VRO 1657-0002479 has been Accepted
Note:</t>
  </si>
  <si>
    <t>1657-0002556</t>
  </si>
  <si>
    <t>3/15/2026 12:33:00 PM</t>
  </si>
  <si>
    <t>3/15/2026 7:33:35 PM</t>
  </si>
  <si>
    <t>3/15/2026 7:32:40 PM</t>
  </si>
  <si>
    <t>VRO 1657-0002556 has been Accepted
Note:</t>
  </si>
  <si>
    <t>1657-0002081</t>
  </si>
  <si>
    <t>3/11/2026 4:59:00 AM</t>
  </si>
  <si>
    <t>3/11/2026 12:01:36 PM</t>
  </si>
  <si>
    <t>3/11/2026 11:59:00 AM</t>
  </si>
  <si>
    <t>VRO 1657-0002081 has been Accepted
Note:</t>
  </si>
  <si>
    <t>1657-0002525</t>
  </si>
  <si>
    <t>3/15/2026 11:27:00 AM</t>
  </si>
  <si>
    <t>3/15/2026 6:27:37 PM</t>
  </si>
  <si>
    <t>3/15/2026 6:27:14 PM</t>
  </si>
  <si>
    <t>VRO 1657-0002525 has been Accepted
Note:</t>
  </si>
  <si>
    <t>1657-0002538</t>
  </si>
  <si>
    <t>3/15/2026 11:56:00 AM</t>
  </si>
  <si>
    <t>3/15/2026 6:56:14 PM</t>
  </si>
  <si>
    <t>3/15/2026 6:55:51 PM</t>
  </si>
  <si>
    <t>VRO 1657-0002538 has been Accepted
Note:</t>
  </si>
  <si>
    <t>1657-0002513</t>
  </si>
  <si>
    <t>3/15/2026 11:13:00 AM</t>
  </si>
  <si>
    <t>3/15/2026 6:13:30 PM</t>
  </si>
  <si>
    <t>3/15/2026 6:13:07 PM</t>
  </si>
  <si>
    <t>VRO 1657-0002513 has been Accepted
Note:</t>
  </si>
  <si>
    <t>1657-0002500</t>
  </si>
  <si>
    <t>3/15/2026 10:56:00 AM</t>
  </si>
  <si>
    <t>3/15/2026 5:56:49 PM</t>
  </si>
  <si>
    <t>3/15/2026 5:56:22 PM</t>
  </si>
  <si>
    <t>VRO 1657-0002500 has been Accepted
Note:</t>
  </si>
  <si>
    <t>1657-0002106</t>
  </si>
  <si>
    <t>3/11/2026 7:49:00 AM</t>
  </si>
  <si>
    <t>3/11/2026 2:56:52 PM</t>
  </si>
  <si>
    <t>3/11/2026 2:48:49 PM</t>
  </si>
  <si>
    <t>1657-0002408</t>
  </si>
  <si>
    <t>3/15/2026 4:25:00 AM</t>
  </si>
  <si>
    <t>3/15/2026 11:25:35 AM</t>
  </si>
  <si>
    <t>VRO 1657-0002408 has been Accepted
Note:</t>
  </si>
  <si>
    <t>3FRWF65N65V177637</t>
  </si>
  <si>
    <t>GAR-5566</t>
  </si>
  <si>
    <t>1657-0002123</t>
  </si>
  <si>
    <t>3/11/2026 9:36:00 AM</t>
  </si>
  <si>
    <t>3/11/2026 4:36:39 PM</t>
  </si>
  <si>
    <t>3/11/2026 4:35:57 PM</t>
  </si>
  <si>
    <t>VRO 1657-0002123 has been Accepted
Note:</t>
  </si>
  <si>
    <t>01657A0000372646</t>
  </si>
  <si>
    <t>2/25/2026 4:23:00 PM</t>
  </si>
  <si>
    <t>2/26/2026 12:45:08 AM</t>
  </si>
  <si>
    <t>2/26/2026 12:22:47 AM</t>
  </si>
  <si>
    <t>1657-0002382</t>
  </si>
  <si>
    <t>3/14/2026 12:59:00 PM</t>
  </si>
  <si>
    <t>3/14/2026 8:01:39 PM</t>
  </si>
  <si>
    <t>3/14/2026 7:59:18 PM</t>
  </si>
  <si>
    <t>3/28/2026 12:00:00 AM</t>
  </si>
  <si>
    <t>01657A0000378307</t>
  </si>
  <si>
    <t>3/7/2026 10:21:00 AM</t>
  </si>
  <si>
    <t>3/7/2026 6:22:25 PM</t>
  </si>
  <si>
    <t>3/7/2026 6:21:32 PM</t>
  </si>
  <si>
    <t>01657A0000381377</t>
  </si>
  <si>
    <t>1657-0002073</t>
  </si>
  <si>
    <t>3/10/2026 7:44:00 PM</t>
  </si>
  <si>
    <t>3/11/2026 2:44:41 AM</t>
  </si>
  <si>
    <t>3/11/2026 3:44:11 AM</t>
  </si>
  <si>
    <t>HP 03/13</t>
  </si>
  <si>
    <t>1657-0002025</t>
  </si>
  <si>
    <t>3/10/2026 8:20:00 AM</t>
  </si>
  <si>
    <t>3/17/2026 12:09:47 AM</t>
  </si>
  <si>
    <t>3/17/2026 12:08:57 AM</t>
  </si>
  <si>
    <t>3/23/2026 12:00:00 AM</t>
  </si>
  <si>
    <t>01657A0000373078</t>
  </si>
  <si>
    <t>3/2/2026 4:53:58 AM</t>
  </si>
  <si>
    <t>3/3/2026 3:54:36 PM</t>
  </si>
  <si>
    <t>3/3/2026 3:52:52 PM</t>
  </si>
  <si>
    <t>01657A0000383790</t>
  </si>
  <si>
    <t>1657-0002224</t>
  </si>
  <si>
    <t>3/12/2026 8:36:00 AM</t>
  </si>
  <si>
    <t>3/12/2026 3:37:55 PM</t>
  </si>
  <si>
    <t>3/12/2026 3:35:46 PM</t>
  </si>
  <si>
    <t>HP 03/16</t>
  </si>
  <si>
    <t>1657-0002200</t>
  </si>
  <si>
    <t>3/12/2026 6:14:00 AM</t>
  </si>
  <si>
    <t>3/12/2026 1:14:56 PM</t>
  </si>
  <si>
    <t>3/12/2026 1:14:29 PM</t>
  </si>
  <si>
    <t>01657A0000381083</t>
  </si>
  <si>
    <t>1657-0002045</t>
  </si>
  <si>
    <t>3/10/2026 11:55:00 AM</t>
  </si>
  <si>
    <t>3/10/2026 7:13:23 PM</t>
  </si>
  <si>
    <t>3/10/2026 6:55:27 PM</t>
  </si>
  <si>
    <t>01657A0000382553</t>
  </si>
  <si>
    <t>1657-0002165</t>
  </si>
  <si>
    <t>3/11/2026 2:55:00 PM</t>
  </si>
  <si>
    <t>3/11/2026 9:55:13 PM</t>
  </si>
  <si>
    <t>3/11/2026 9:54:36 PM</t>
  </si>
  <si>
    <t>1657-0002151</t>
  </si>
  <si>
    <t>3/11/2026 11:54:00 AM</t>
  </si>
  <si>
    <t>3/11/2026 6:55:13 PM</t>
  </si>
  <si>
    <t>3/11/2026 6:54:38 PM</t>
  </si>
  <si>
    <t>hp 03/12</t>
  </si>
  <si>
    <t>01657A0000385408</t>
  </si>
  <si>
    <t>1FDWE3FL9ADA94593</t>
  </si>
  <si>
    <t>1657-0002356</t>
  </si>
  <si>
    <t>3/13/2026 4:25:00 PM</t>
  </si>
  <si>
    <t>3/13/2026 11:25:15 PM</t>
  </si>
  <si>
    <t>3/14/2026 1:24:35 AM</t>
  </si>
  <si>
    <t>01657A0000385607</t>
  </si>
  <si>
    <t>2NPNHM6XXGM309118</t>
  </si>
  <si>
    <t>Exhaust Systems Diagnostics</t>
  </si>
  <si>
    <t>1657-0002387</t>
  </si>
  <si>
    <t>3/14/2026 2:34:00 PM</t>
  </si>
  <si>
    <t>3/14/2026 9:34:46 PM</t>
  </si>
  <si>
    <t>3/14/2026 9:34:18 PM</t>
  </si>
  <si>
    <t>VRO 1657-0002387 has been Accepted
Note:</t>
  </si>
  <si>
    <t>2NPNHM6X6GM318995</t>
  </si>
  <si>
    <t>1657-0002277</t>
  </si>
  <si>
    <t>3/13/2026 6:43:00 AM</t>
  </si>
  <si>
    <t>3/13/2026 1:43:33 PM</t>
  </si>
  <si>
    <t>3/13/2026 1:42:51 PM</t>
  </si>
  <si>
    <t>HOOK N HAUL LLC</t>
  </si>
  <si>
    <t>1657-0002369</t>
  </si>
  <si>
    <t>3/13/2026 8:00:00 PM</t>
  </si>
  <si>
    <t>3/14/2026 3:00:56 AM</t>
  </si>
  <si>
    <t>3/14/2026 5:00:28 AM</t>
  </si>
  <si>
    <t>VRO 1657-0002369 has been Accepted
Note:</t>
  </si>
  <si>
    <t>HP 03/17</t>
  </si>
  <si>
    <t>01657A0000384550</t>
  </si>
  <si>
    <t>2NPNHM6X5JM464263</t>
  </si>
  <si>
    <t>1657-0002274</t>
  </si>
  <si>
    <t>3/13/2026 6:16:00 AM</t>
  </si>
  <si>
    <t>3/13/2026 1:16:58 PM</t>
  </si>
  <si>
    <t>3/13/2026 1:16:28 PM</t>
  </si>
  <si>
    <t>VRO 1657-0002274 has been Accepted
Note:</t>
  </si>
  <si>
    <t>01657A0000383907</t>
  </si>
  <si>
    <t>01657A0000385406</t>
  </si>
  <si>
    <t>1657-0002353</t>
  </si>
  <si>
    <t>3/13/2026 4:07:00 PM</t>
  </si>
  <si>
    <t>3/13/2026 11:11:55 PM</t>
  </si>
  <si>
    <t>3/13/2026 11:07:00 PM</t>
  </si>
  <si>
    <t>VRO 1657-0002353 has been Accepted
Note:</t>
  </si>
  <si>
    <t>01657A0000385401</t>
  </si>
  <si>
    <t>1FDWE3FL5ADA97944</t>
  </si>
  <si>
    <t>1657-0002354</t>
  </si>
  <si>
    <t>3/13/2026 4:09:00 PM</t>
  </si>
  <si>
    <t>3/13/2026 11:10:05 PM</t>
  </si>
  <si>
    <t>3/14/2026 1:09:06 AM</t>
  </si>
  <si>
    <t>hp 03/16</t>
  </si>
  <si>
    <t>01657A0000381022</t>
  </si>
  <si>
    <t>1657-0002040</t>
  </si>
  <si>
    <t>3/10/2026 6:36:18 PM</t>
  </si>
  <si>
    <t>3/10/2026 6:35:47 PM</t>
  </si>
  <si>
    <t>VRO 1657-0002040 has been Accepted
Note:</t>
  </si>
  <si>
    <t>NEED PO</t>
  </si>
  <si>
    <t>1657-0002253</t>
  </si>
  <si>
    <t>3/12/2026 4:20:00 PM</t>
  </si>
  <si>
    <t>3/12/2026 11:20:45 PM</t>
  </si>
  <si>
    <t>3/12/2026 11:20:21 PM</t>
  </si>
  <si>
    <t>01657A0000382153</t>
  </si>
  <si>
    <t>1657-0002136</t>
  </si>
  <si>
    <t>3/11/2026 10:23:00 AM</t>
  </si>
  <si>
    <t>3/11/2026 5:39:04 PM</t>
  </si>
  <si>
    <t>3/11/2026 5:23:03 PM</t>
  </si>
  <si>
    <t>1657-0002371</t>
  </si>
  <si>
    <t>3/13/2026 8:24:00 PM</t>
  </si>
  <si>
    <t>3/14/2026 3:24:16 AM</t>
  </si>
  <si>
    <t>3/14/2026 5:23:47 AM</t>
  </si>
  <si>
    <t>VRO 1657-0002371 has been Accepted
Note:</t>
  </si>
  <si>
    <t>1657-0002368</t>
  </si>
  <si>
    <t>3/13/2026 7:59:00 PM</t>
  </si>
  <si>
    <t>3/14/2026 3:07:46 AM</t>
  </si>
  <si>
    <t>3/14/2026 5:06:42 AM</t>
  </si>
  <si>
    <t>VRO 1657-0002368 has been Accepted
Note:</t>
  </si>
  <si>
    <t>01657A0000384005</t>
  </si>
  <si>
    <t>2NPNHM6X6JM464238</t>
  </si>
  <si>
    <t>1657-0002234</t>
  </si>
  <si>
    <t>3/12/2026 7:00:48 PM</t>
  </si>
  <si>
    <t>3/12/2026 7:00:02 PM</t>
  </si>
  <si>
    <t>VRO 1657-0002234 has been Accepted
Note:</t>
  </si>
  <si>
    <t>01657A0000384208</t>
  </si>
  <si>
    <t>1FTRS4X85LKA71661</t>
  </si>
  <si>
    <t>1657-0002248</t>
  </si>
  <si>
    <t>3/12/2026 2:18:00 PM</t>
  </si>
  <si>
    <t>3/12/2026 9:18:37 PM</t>
  </si>
  <si>
    <t>3/12/2026 9:18:12 PM</t>
  </si>
  <si>
    <t>VRO 1657-0002248 has been Accepted
Note:</t>
  </si>
  <si>
    <t>01657A0000381899</t>
  </si>
  <si>
    <t>1657-0002115</t>
  </si>
  <si>
    <t>3/11/2026 8:46:00 AM</t>
  </si>
  <si>
    <t>3/11/2026 3:46:32 PM</t>
  </si>
  <si>
    <t>3/11/2026 3:45:59 PM</t>
  </si>
  <si>
    <t>VRO 1657-0002115 has been Accepted
Note:</t>
  </si>
  <si>
    <t>01657A0000385265</t>
  </si>
  <si>
    <t>1657-0002334</t>
  </si>
  <si>
    <t>3/13/2026 1:21:00 PM</t>
  </si>
  <si>
    <t>3/13/2026 8:21:54 PM</t>
  </si>
  <si>
    <t>3/13/2026 8:21:14 PM</t>
  </si>
  <si>
    <t>1657-0002049</t>
  </si>
  <si>
    <t>3/10/2026 1:30:00 PM</t>
  </si>
  <si>
    <t>3/10/2026 8:31:01 PM</t>
  </si>
  <si>
    <t>3/10/2026 8:30:33 PM</t>
  </si>
  <si>
    <t>01657A0000382639</t>
  </si>
  <si>
    <t>1657-0002305</t>
  </si>
  <si>
    <t>3/13/2026 9:51:00 AM</t>
  </si>
  <si>
    <t>3/13/2026 4:51:55 PM</t>
  </si>
  <si>
    <t>3/13/2026 4:51:22 PM</t>
  </si>
  <si>
    <t>01657A0000382099</t>
  </si>
  <si>
    <t>1657-0002133</t>
  </si>
  <si>
    <t>3/11/2026 10:19:00 AM</t>
  </si>
  <si>
    <t>3/11/2026 5:19:42 PM</t>
  </si>
  <si>
    <t>3/11/2026 5:19:18 PM</t>
  </si>
  <si>
    <t>VRO 1657-0002133 has been Accepted
Note:</t>
  </si>
  <si>
    <t>1657-0002364</t>
  </si>
  <si>
    <t>3/13/2026 7:28:00 PM</t>
  </si>
  <si>
    <t>3/14/2026 2:28:54 AM</t>
  </si>
  <si>
    <t>3/14/2026 4:28:12 AM</t>
  </si>
  <si>
    <t>01657A0000385179</t>
  </si>
  <si>
    <t>1FTRS4X87NKA52175</t>
  </si>
  <si>
    <t>1657-0002319</t>
  </si>
  <si>
    <t>3/13/2026 7:32:02 PM</t>
  </si>
  <si>
    <t>3/13/2026 7:02:18 PM</t>
  </si>
  <si>
    <t>VRO 1657-0002319 has been Accepted
Note:</t>
  </si>
  <si>
    <t>01657A0000381889</t>
  </si>
  <si>
    <t>1657-0002113</t>
  </si>
  <si>
    <t>3/11/2026 8:40:00 AM</t>
  </si>
  <si>
    <t>3/11/2026 3:40:13 PM</t>
  </si>
  <si>
    <t>3/11/2026 3:39:35 PM</t>
  </si>
  <si>
    <t>VRO 1657-0002113 has been Accepted
Note:</t>
  </si>
  <si>
    <t>01657A0000382398</t>
  </si>
  <si>
    <t>1657-0002159</t>
  </si>
  <si>
    <t>3/11/2026 12:49:00 PM</t>
  </si>
  <si>
    <t>3/11/2026 7:49:59 PM</t>
  </si>
  <si>
    <t>3/11/2026 7:49:04 PM</t>
  </si>
  <si>
    <t>01657A0000383205</t>
  </si>
  <si>
    <t>1FTRS4X83NKA31632</t>
  </si>
  <si>
    <t>1657-0002047</t>
  </si>
  <si>
    <t>3/10/2026 12:10:00 PM</t>
  </si>
  <si>
    <t>3/12/2026 11:29:54 AM</t>
  </si>
  <si>
    <t>3/12/2026 11:28:55 AM</t>
  </si>
  <si>
    <t>VRO 1657-0002047 has been Accepted
Note:</t>
  </si>
  <si>
    <t>01657A0000381903</t>
  </si>
  <si>
    <t>1657-0002117</t>
  </si>
  <si>
    <t>3/11/2026 8:52:00 AM</t>
  </si>
  <si>
    <t>3/11/2026 3:53:15 PM</t>
  </si>
  <si>
    <t>3/11/2026 3:52:02 PM</t>
  </si>
  <si>
    <t>01657A0000385606</t>
  </si>
  <si>
    <t>2NPNHM6X1GM309119</t>
  </si>
  <si>
    <t>1657-0002386</t>
  </si>
  <si>
    <t>3/14/2026 2:28:00 PM</t>
  </si>
  <si>
    <t>3/14/2026 9:28:28 PM</t>
  </si>
  <si>
    <t>3/14/2026 9:28:03 PM</t>
  </si>
  <si>
    <t>VRO 1657-0002386 has been Accepted
Note:</t>
  </si>
  <si>
    <t>01657A0000387022</t>
  </si>
  <si>
    <t>1657-0002381</t>
  </si>
  <si>
    <t>3/14/2026 12:20:00 PM</t>
  </si>
  <si>
    <t>3/14/2026 7:20:47 PM</t>
  </si>
  <si>
    <t>3/14/2026 7:20:28 PM</t>
  </si>
  <si>
    <t>VRO 1657-0002381 has been Accepted
Note:</t>
  </si>
  <si>
    <t>01657A0000382594</t>
  </si>
  <si>
    <t>1657-0002169</t>
  </si>
  <si>
    <t>3/11/2026 3:51:00 PM</t>
  </si>
  <si>
    <t>3/11/2026 10:51:42 PM</t>
  </si>
  <si>
    <t>3/11/2026 10:51:10 PM</t>
  </si>
  <si>
    <t>01657A0000383282</t>
  </si>
  <si>
    <t>2NPNHM6X5FM307114</t>
  </si>
  <si>
    <t>GAR-16-036</t>
  </si>
  <si>
    <t>1657-0002191</t>
  </si>
  <si>
    <t>3/12/2026 12:31:13 PM</t>
  </si>
  <si>
    <t>3/12/2026 12:30:14 PM</t>
  </si>
  <si>
    <t>VRO 1657-0002191 has been Accepted
Note:</t>
  </si>
  <si>
    <t>1657-0002313</t>
  </si>
  <si>
    <t>3/13/2026 10:58:00 AM</t>
  </si>
  <si>
    <t>3/13/2026 5:58:14 PM</t>
  </si>
  <si>
    <t>3/13/2026 5:57:55 PM</t>
  </si>
  <si>
    <t>VRO 1657-0002313 has been Accepted
Note:</t>
  </si>
  <si>
    <t>01657A0000385422</t>
  </si>
  <si>
    <t>1657-0002361</t>
  </si>
  <si>
    <t>3/13/2026 6:34:00 PM</t>
  </si>
  <si>
    <t>3/14/2026 1:34:34 AM</t>
  </si>
  <si>
    <t>3/14/2026 1:34:01 AM</t>
  </si>
  <si>
    <t>01657A0000387012</t>
  </si>
  <si>
    <t>1657-0002183</t>
  </si>
  <si>
    <t>3/12/2026 4:13:54 AM</t>
  </si>
  <si>
    <t>3/16/2026 5:51:19 PM</t>
  </si>
  <si>
    <t>3/16/2026 5:47:54 PM</t>
  </si>
  <si>
    <t>aN8SOUc9Ad0SYcCDz4kvnFQ</t>
  </si>
  <si>
    <t>1657-0002124</t>
  </si>
  <si>
    <t>3/11/2026 9:38:00 AM</t>
  </si>
  <si>
    <t>3/11/2026 4:39:32 PM</t>
  </si>
  <si>
    <t>3/11/2026 4:38:33 PM</t>
  </si>
  <si>
    <t>1657-0002345</t>
  </si>
  <si>
    <t>3/13/2026 3:05:00 PM</t>
  </si>
  <si>
    <t>3/13/2026 10:06:00 PM</t>
  </si>
  <si>
    <t>3/13/2026 10:05:18 PM</t>
  </si>
  <si>
    <t>1657-0002315</t>
  </si>
  <si>
    <t>3/13/2026 11:14:00 AM</t>
  </si>
  <si>
    <t>3/13/2026 6:14:37 PM</t>
  </si>
  <si>
    <t>3/13/2026 6:14:05 PM</t>
  </si>
  <si>
    <t>01657A0000384009</t>
  </si>
  <si>
    <t>1657-0002232</t>
  </si>
  <si>
    <t>3/12/2026 7:03:11 PM</t>
  </si>
  <si>
    <t>3/12/2026 6:59:52 PM</t>
  </si>
  <si>
    <t>1657-0002392</t>
  </si>
  <si>
    <t>3/14/2026 5:42:00 PM</t>
  </si>
  <si>
    <t>3/15/2026 12:44:10 AM</t>
  </si>
  <si>
    <t>3/15/2026 12:42:29 AM</t>
  </si>
  <si>
    <t>EP 3/16/26</t>
  </si>
  <si>
    <t>1657-0002039</t>
  </si>
  <si>
    <t>3/10/2026 11:23:00 AM</t>
  </si>
  <si>
    <t>3/10/2026 6:23:15 PM</t>
  </si>
  <si>
    <t>3/10/2026 6:22:53 PM</t>
  </si>
  <si>
    <t>1657-0002235</t>
  </si>
  <si>
    <t>3/12/2026 12:17:00 PM</t>
  </si>
  <si>
    <t>3/12/2026 7:18:34 PM</t>
  </si>
  <si>
    <t>3/12/2026 7:17:29 PM</t>
  </si>
  <si>
    <t>MMcCoy@vectorfleet.com</t>
  </si>
  <si>
    <t>1657-0002370</t>
  </si>
  <si>
    <t>3/13/2026 8:20:00 PM</t>
  </si>
  <si>
    <t>3/14/2026 3:20:01 AM</t>
  </si>
  <si>
    <t>3/14/2026 5:19:34 AM</t>
  </si>
  <si>
    <t>01657A0000386505</t>
  </si>
  <si>
    <t>1657-0002054</t>
  </si>
  <si>
    <t>3/10/2026 2:33:00 PM</t>
  </si>
  <si>
    <t>3/16/2026 2:59:33 PM</t>
  </si>
  <si>
    <t>3/16/2026 2:59:01 PM</t>
  </si>
  <si>
    <t>01657A0000381388</t>
  </si>
  <si>
    <t>01657A0000381678</t>
  </si>
  <si>
    <t>1657-0002095</t>
  </si>
  <si>
    <t>3/11/2026 6:57:00 AM</t>
  </si>
  <si>
    <t>3/11/2026 1:58:27 PM</t>
  </si>
  <si>
    <t>3/11/2026 1:57:18 PM</t>
  </si>
  <si>
    <t>01657A0000381573</t>
  </si>
  <si>
    <t>1FTNE24L37DA66570</t>
  </si>
  <si>
    <t>1657-0002091</t>
  </si>
  <si>
    <t>3/11/2026 6:08:00 AM</t>
  </si>
  <si>
    <t>3/11/2026 1:08:30 PM</t>
  </si>
  <si>
    <t>3/11/2026 1:07:34 PM</t>
  </si>
  <si>
    <t>VRO 1657-0002091 has been Accepted
Note:</t>
  </si>
  <si>
    <t>01657A0000383781</t>
  </si>
  <si>
    <t>3/24/2026 12:00:00 AM</t>
  </si>
  <si>
    <t>01657A0000386833</t>
  </si>
  <si>
    <t>01657A0000381968</t>
  </si>
  <si>
    <t>01657A0000381536</t>
  </si>
  <si>
    <t>1657-0002082</t>
  </si>
  <si>
    <t>3/11/2026 5:37:00 AM</t>
  </si>
  <si>
    <t>3/11/2026 12:41:39 PM</t>
  </si>
  <si>
    <t>3/11/2026 12:37:31 PM</t>
  </si>
  <si>
    <t>VRO 1657-0002082 has been Accepted
Note:</t>
  </si>
  <si>
    <t>1657-0002243</t>
  </si>
  <si>
    <t>3/12/2026 1:54:00 PM</t>
  </si>
  <si>
    <t>3/12/2026 8:54:23 PM</t>
  </si>
  <si>
    <t>3/12/2026 8:54:02 PM</t>
  </si>
  <si>
    <t>VRO 1657-0002243 has been Accepted
Note:</t>
  </si>
  <si>
    <t>01657A0000385608</t>
  </si>
  <si>
    <t>2NPNHM6X9GM309109</t>
  </si>
  <si>
    <t>1657-0002388</t>
  </si>
  <si>
    <t>3/14/2026 2:37:00 PM</t>
  </si>
  <si>
    <t>3/14/2026 9:38:03 PM</t>
  </si>
  <si>
    <t>3/14/2026 9:37:22 PM</t>
  </si>
  <si>
    <t>VRO 1657-0002388 has been Accepted
Note:</t>
  </si>
  <si>
    <t>01657A0000384134</t>
  </si>
  <si>
    <t>1657-0002034</t>
  </si>
  <si>
    <t>3/10/2026 10:33:00 AM</t>
  </si>
  <si>
    <t>3/10/2026 6:07:21 PM</t>
  </si>
  <si>
    <t>3/10/2026 5:33:08 PM</t>
  </si>
  <si>
    <t>01657A0000383317</t>
  </si>
  <si>
    <t>1657-0002199</t>
  </si>
  <si>
    <t>3/12/2026 6:11:00 AM</t>
  </si>
  <si>
    <t>3/12/2026 1:11:06 PM</t>
  </si>
  <si>
    <t>3/12/2026 1:10:40 PM</t>
  </si>
  <si>
    <t>VRO 1657-0002199 has been Accepted
Note:</t>
  </si>
  <si>
    <t>01657A0000382175</t>
  </si>
  <si>
    <t>1657-0002143</t>
  </si>
  <si>
    <t>3/11/2026 5:55:28 PM</t>
  </si>
  <si>
    <t>3/11/2026 5:54:53 PM</t>
  </si>
  <si>
    <t>01657A0000384201</t>
  </si>
  <si>
    <t>1657-0002247</t>
  </si>
  <si>
    <t>3/12/2026 2:12:00 PM</t>
  </si>
  <si>
    <t>3/12/2026 9:12:22 PM</t>
  </si>
  <si>
    <t>3/12/2026 9:11:54 PM</t>
  </si>
  <si>
    <t>VRO 1657-0002247 has been Accepted
Note:</t>
  </si>
  <si>
    <t>01657A0000382635</t>
  </si>
  <si>
    <t>1FTRS4X86PKA91925</t>
  </si>
  <si>
    <t>1657-0002176</t>
  </si>
  <si>
    <t>3/11/2026 7:26:00 PM</t>
  </si>
  <si>
    <t>3/12/2026 2:26:30 AM</t>
  </si>
  <si>
    <t>3/12/2026 2:26:03 AM</t>
  </si>
  <si>
    <t>VRO 1657-0002176 has been Accepted
Note:</t>
  </si>
  <si>
    <t>1657-0002379</t>
  </si>
  <si>
    <t>3/14/2026 8:27:00 AM</t>
  </si>
  <si>
    <t>3/14/2026 3:33:12 PM</t>
  </si>
  <si>
    <t>3/14/2026 3:27:22 PM</t>
  </si>
  <si>
    <t>01657A0000385402</t>
  </si>
  <si>
    <t>3FRWF65N14V659205</t>
  </si>
  <si>
    <t>1657-0002352</t>
  </si>
  <si>
    <t>3/13/2026 4:01:00 PM</t>
  </si>
  <si>
    <t>3/13/2026 11:01:47 PM</t>
  </si>
  <si>
    <t>3/13/2026 11:01:13 PM</t>
  </si>
  <si>
    <t>VRO 1657-0002352 has been Accepted
Note:</t>
  </si>
  <si>
    <t>01657A0000384986</t>
  </si>
  <si>
    <t>01657A0000382319</t>
  </si>
  <si>
    <t>1657-0002154</t>
  </si>
  <si>
    <t>3/11/2026 12:05:00 PM</t>
  </si>
  <si>
    <t>3/11/2026 7:06:26 PM</t>
  </si>
  <si>
    <t>3/11/2026 7:05:32 PM</t>
  </si>
  <si>
    <t>01657A0000385311</t>
  </si>
  <si>
    <t>1657-0002308</t>
  </si>
  <si>
    <t>3/13/2026 10:06:00 AM</t>
  </si>
  <si>
    <t>3/13/2026 9:00:53 PM</t>
  </si>
  <si>
    <t>3/13/2026 8:59:32 PM</t>
  </si>
  <si>
    <t>01657A0000358261</t>
  </si>
  <si>
    <t>Sensor - Brake Wear, Rear Brakes</t>
  </si>
  <si>
    <t>01657A0000381735</t>
  </si>
  <si>
    <t>01657A0000385193</t>
  </si>
  <si>
    <t>1657-0002310</t>
  </si>
  <si>
    <t>3/13/2026 10:16:00 AM</t>
  </si>
  <si>
    <t>3/13/2026 5:16:24 PM</t>
  </si>
  <si>
    <t>3/13/2026 5:15:59 PM</t>
  </si>
  <si>
    <t>01657A0000380716</t>
  </si>
  <si>
    <t>1657-0002026</t>
  </si>
  <si>
    <t>3/10/2026 8:43:00 AM</t>
  </si>
  <si>
    <t>3/10/2026 3:46:43 PM</t>
  </si>
  <si>
    <t>3/10/2026 3:43:25 PM</t>
  </si>
  <si>
    <t>01657A0000383352</t>
  </si>
  <si>
    <t>1657-0002201</t>
  </si>
  <si>
    <t>3/12/2026 1:23:36 PM</t>
  </si>
  <si>
    <t>3/12/2026 1:19:38 PM</t>
  </si>
  <si>
    <t>01657A0000380440</t>
  </si>
  <si>
    <t>1657-0002016</t>
  </si>
  <si>
    <t>3/10/2026 6:52:00 AM</t>
  </si>
  <si>
    <t>3/10/2026 1:53:44 PM</t>
  </si>
  <si>
    <t>3/10/2026 1:53:12 PM</t>
  </si>
  <si>
    <t>01657A0000380513</t>
  </si>
  <si>
    <t>1657-0002021</t>
  </si>
  <si>
    <t>3/10/2026 7:16:00 AM</t>
  </si>
  <si>
    <t>3/10/2026 2:16:54 PM</t>
  </si>
  <si>
    <t>3/10/2026 2:16:08 PM</t>
  </si>
  <si>
    <t>01657A0000382485</t>
  </si>
  <si>
    <t>1657-0002142</t>
  </si>
  <si>
    <t>3/11/2026 10:42:00 AM</t>
  </si>
  <si>
    <t>3/11/2026 5:43:20 PM</t>
  </si>
  <si>
    <t>3/11/2026 5:42:58 PM</t>
  </si>
  <si>
    <t>01657A0000382252</t>
  </si>
  <si>
    <t>1657-0002148</t>
  </si>
  <si>
    <t>3/11/2026 11:26:00 AM</t>
  </si>
  <si>
    <t>3/11/2026 6:27:41 PM</t>
  </si>
  <si>
    <t>3/11/2026 6:25:49 PM</t>
  </si>
  <si>
    <t>01657A0000383445</t>
  </si>
  <si>
    <t>1657-0002212</t>
  </si>
  <si>
    <t>3/12/2026 7:20:00 AM</t>
  </si>
  <si>
    <t>3/12/2026 2:20:35 PM</t>
  </si>
  <si>
    <t>3/12/2026 2:19:50 PM</t>
  </si>
  <si>
    <t>01657A0000382400</t>
  </si>
  <si>
    <t>1657-0002135</t>
  </si>
  <si>
    <t>3/11/2026 5:26:01 PM</t>
  </si>
  <si>
    <t>3/11/2026 5:22:58 PM</t>
  </si>
  <si>
    <t>WAITING FOR CARD TO BE RAN</t>
  </si>
  <si>
    <t>01657A0000381435</t>
  </si>
  <si>
    <t>1657-0002077</t>
  </si>
  <si>
    <t>3/11/2026 4:26:00 AM</t>
  </si>
  <si>
    <t>3/11/2026 11:26:44 AM</t>
  </si>
  <si>
    <t>3/11/2026 11:26:08 AM</t>
  </si>
  <si>
    <t>01657A0000384996</t>
  </si>
  <si>
    <t>1657-0002311</t>
  </si>
  <si>
    <t>3/13/2026 10:29:00 AM</t>
  </si>
  <si>
    <t>3/13/2026 5:29:48 PM</t>
  </si>
  <si>
    <t>3/13/2026 5:29:27 PM</t>
  </si>
  <si>
    <t>01657A0000382172</t>
  </si>
  <si>
    <t>1657-0002145</t>
  </si>
  <si>
    <t>3/11/2026 10:56:00 AM</t>
  </si>
  <si>
    <t>3/11/2026 5:56:44 PM</t>
  </si>
  <si>
    <t>3/11/2026 5:55:44 PM</t>
  </si>
  <si>
    <t>01657A0000380484</t>
  </si>
  <si>
    <t>1657-0002018</t>
  </si>
  <si>
    <t>3/10/2026 7:05:00 AM</t>
  </si>
  <si>
    <t>3/10/2026 2:07:18 PM</t>
  </si>
  <si>
    <t>3/10/2026 2:05:41 PM</t>
  </si>
  <si>
    <t>01657A0000383543</t>
  </si>
  <si>
    <t>1657-0002217</t>
  </si>
  <si>
    <t>3/12/2026 7:56:00 AM</t>
  </si>
  <si>
    <t>3/12/2026 2:56:55 PM</t>
  </si>
  <si>
    <t>3/12/2026 2:56:27 PM</t>
  </si>
  <si>
    <t>01657A0000381913</t>
  </si>
  <si>
    <t>1657-0002116</t>
  </si>
  <si>
    <t>3/11/2026 8:51:00 AM</t>
  </si>
  <si>
    <t>3/11/2026 3:52:42 PM</t>
  </si>
  <si>
    <t>3/11/2026 3:51:19 PM</t>
  </si>
  <si>
    <t>01657A0000383500</t>
  </si>
  <si>
    <t>1657-0002214</t>
  </si>
  <si>
    <t>3/12/2026 7:42:00 AM</t>
  </si>
  <si>
    <t>3/12/2026 2:43:00 PM</t>
  </si>
  <si>
    <t>01657A0000380776</t>
  </si>
  <si>
    <t>1FDWE3FL7ADA94608</t>
  </si>
  <si>
    <t>1657-0002027</t>
  </si>
  <si>
    <t>3/10/2026 9:04:00 AM</t>
  </si>
  <si>
    <t>3/10/2026 4:08:06 PM</t>
  </si>
  <si>
    <t>3/10/2026 4:05:52 PM</t>
  </si>
  <si>
    <t>01657A0000383385</t>
  </si>
  <si>
    <t>1657-0002206</t>
  </si>
  <si>
    <t>3/12/2026 6:43:00 AM</t>
  </si>
  <si>
    <t>3/12/2026 1:46:39 PM</t>
  </si>
  <si>
    <t>3/12/2026 1:45:17 PM</t>
  </si>
  <si>
    <t>01657A0000385030</t>
  </si>
  <si>
    <t>01657A0000380834</t>
  </si>
  <si>
    <t>1657-0002003</t>
  </si>
  <si>
    <t>3/10/2026 4:29:04 AM</t>
  </si>
  <si>
    <t>3/10/2026 4:49:56 PM</t>
  </si>
  <si>
    <t>3/10/2026 4:48:11 PM</t>
  </si>
  <si>
    <t>ahBASsRowx0yDR2KQxi6fBQ</t>
  </si>
  <si>
    <t>01657A0000386455</t>
  </si>
  <si>
    <t>1657-0002056</t>
  </si>
  <si>
    <t>3/10/2026 2:35:00 PM</t>
  </si>
  <si>
    <t>3/10/2026 9:37:20 PM</t>
  </si>
  <si>
    <t>3/10/2026 9:35:40 PM</t>
  </si>
  <si>
    <t>01657A0000382627</t>
  </si>
  <si>
    <t>1657-0002172</t>
  </si>
  <si>
    <t>3/11/2026 5:17:00 PM</t>
  </si>
  <si>
    <t>3/12/2026 12:18:59 AM</t>
  </si>
  <si>
    <t>3/12/2026 12:16:55 AM</t>
  </si>
  <si>
    <t>01657A0000382629</t>
  </si>
  <si>
    <t>1657-0002173</t>
  </si>
  <si>
    <t>3/11/2026 5:40:00 PM</t>
  </si>
  <si>
    <t>3/12/2026 12:41:23 AM</t>
  </si>
  <si>
    <t>3/12/2026 12:40:23 AM</t>
  </si>
  <si>
    <t>01657A0000381418</t>
  </si>
  <si>
    <t>1657-0002076</t>
  </si>
  <si>
    <t>3/11/2026 3:46:00 AM</t>
  </si>
  <si>
    <t>3/11/2026 10:47:36 AM</t>
  </si>
  <si>
    <t>3/11/2026 10:46:44 AM</t>
  </si>
  <si>
    <t>01657A0000382579</t>
  </si>
  <si>
    <t>1657-0002167</t>
  </si>
  <si>
    <t>3/11/2026 3:39:00 PM</t>
  </si>
  <si>
    <t>3/11/2026 10:39:11 PM</t>
  </si>
  <si>
    <t>3/11/2026 10:38:39 PM</t>
  </si>
  <si>
    <t>01657A0000382593</t>
  </si>
  <si>
    <t>1657-0002141</t>
  </si>
  <si>
    <t>3/11/2026 5:43:26 PM</t>
  </si>
  <si>
    <t>3/11/2026 5:42:24 PM</t>
  </si>
  <si>
    <t>01657A0000383749</t>
  </si>
  <si>
    <t>01657A0000381585</t>
  </si>
  <si>
    <t>1657-0002092</t>
  </si>
  <si>
    <t>3/11/2026 6:14:00 AM</t>
  </si>
  <si>
    <t>3/11/2026 1:14:41 PM</t>
  </si>
  <si>
    <t>3/11/2026 1:13:43 PM</t>
  </si>
  <si>
    <t>01657A0000381160</t>
  </si>
  <si>
    <t>1FDWE35L47DB42169</t>
  </si>
  <si>
    <t>1657-0002048</t>
  </si>
  <si>
    <t>3/10/2026 1:08:00 PM</t>
  </si>
  <si>
    <t>3/10/2026 8:08:32 PM</t>
  </si>
  <si>
    <t>3/10/2026 8:07:56 PM</t>
  </si>
  <si>
    <t>WAITING FOR FINAL INVOICE</t>
  </si>
  <si>
    <t>01657A0000382228</t>
  </si>
  <si>
    <t>1657-0002149</t>
  </si>
  <si>
    <t>3/11/2026 6:26:45 PM</t>
  </si>
  <si>
    <t>3/11/2026 6:26:01 PM</t>
  </si>
  <si>
    <t>01657A0000381226</t>
  </si>
  <si>
    <t>1657-0002036</t>
  </si>
  <si>
    <t>3/10/2026 11:00:00 AM</t>
  </si>
  <si>
    <t>3/10/2026 8:21:08 PM</t>
  </si>
  <si>
    <t>3/10/2026 5:59:58 PM</t>
  </si>
  <si>
    <t>01657A0000381385</t>
  </si>
  <si>
    <t>1657-0002074</t>
  </si>
  <si>
    <t>3/10/2026 10:05:00 PM</t>
  </si>
  <si>
    <t>3/11/2026 5:05:25 AM</t>
  </si>
  <si>
    <t>3/11/2026 5:05:07 AM</t>
  </si>
  <si>
    <t>01657A0000381607</t>
  </si>
  <si>
    <t>01657A0000384430</t>
  </si>
  <si>
    <t>01657A0000383796</t>
  </si>
  <si>
    <t>3FRWF65N95V177535</t>
  </si>
  <si>
    <t>1657-0002216</t>
  </si>
  <si>
    <t>3/12/2026 7:46:00 AM</t>
  </si>
  <si>
    <t>3/12/2026 2:47:03 PM</t>
  </si>
  <si>
    <t>3/12/2026 2:46:17 PM</t>
  </si>
  <si>
    <t>01657A0000385423</t>
  </si>
  <si>
    <t>1657-0002362</t>
  </si>
  <si>
    <t>3/13/2026 6:42:00 PM</t>
  </si>
  <si>
    <t>3/14/2026 1:42:15 AM</t>
  </si>
  <si>
    <t>3/14/2026 3:41:52 AM</t>
  </si>
  <si>
    <t>01657A0000386713</t>
  </si>
  <si>
    <t>01657A0000384681</t>
  </si>
  <si>
    <t>1657-0002236</t>
  </si>
  <si>
    <t>3/12/2026 12:19:00 PM</t>
  </si>
  <si>
    <t>3/12/2026 7:36:53 PM</t>
  </si>
  <si>
    <t>3/12/2026 7:18:50 PM</t>
  </si>
  <si>
    <t>1657-0002083</t>
  </si>
  <si>
    <t>3/11/2026 4:57:28 AM</t>
  </si>
  <si>
    <t>3/12/2026 10:38:37 AM</t>
  </si>
  <si>
    <t>3/12/2026 10:38:18 AM</t>
  </si>
  <si>
    <t>1058871070</t>
  </si>
  <si>
    <t>01657A0000383392</t>
  </si>
  <si>
    <t>1657-0002208</t>
  </si>
  <si>
    <t>3/12/2026 6:54:00 AM</t>
  </si>
  <si>
    <t>3/12/2026 1:55:08 PM</t>
  </si>
  <si>
    <t>3/12/2026 1:54:32 PM</t>
  </si>
  <si>
    <t>01657A0000382043</t>
  </si>
  <si>
    <t>2NPNHM6X9GM309112</t>
  </si>
  <si>
    <t>1657-0002130</t>
  </si>
  <si>
    <t>3/11/2026 9:47:00 AM</t>
  </si>
  <si>
    <t>3/11/2026 4:47:50 PM</t>
  </si>
  <si>
    <t>3/11/2026 4:47:25 PM</t>
  </si>
  <si>
    <t>01657A0000383265</t>
  </si>
  <si>
    <t>1657-0002188</t>
  </si>
  <si>
    <t>3/12/2026 5:19:00 AM</t>
  </si>
  <si>
    <t>3/12/2026 12:28:07 PM</t>
  </si>
  <si>
    <t>3/12/2026 12:19:44 PM</t>
  </si>
  <si>
    <t>01657A0000381371</t>
  </si>
  <si>
    <t>2NPNHM6XXJM319137</t>
  </si>
  <si>
    <t>1657-0002072</t>
  </si>
  <si>
    <t>3/10/2026 7:06:00 PM</t>
  </si>
  <si>
    <t>3/11/2026 2:06:19 AM</t>
  </si>
  <si>
    <t>3/11/2026 2:05:57 AM</t>
  </si>
  <si>
    <t>01657A0000382360</t>
  </si>
  <si>
    <t>1657-0002156</t>
  </si>
  <si>
    <t>3/11/2026 12:21:00 PM</t>
  </si>
  <si>
    <t>3/11/2026 7:22:02 PM</t>
  </si>
  <si>
    <t>3/11/2026 7:20:51 PM</t>
  </si>
  <si>
    <t>HP 03/11</t>
  </si>
  <si>
    <t>01657A0000381310</t>
  </si>
  <si>
    <t>1657-0002062</t>
  </si>
  <si>
    <t>3/10/2026 3:39:00 PM</t>
  </si>
  <si>
    <t>3/10/2026 10:39:08 PM</t>
  </si>
  <si>
    <t>3/10/2026 10:38:45 PM</t>
  </si>
  <si>
    <t>01657A0000385599</t>
  </si>
  <si>
    <t>1657-0002384</t>
  </si>
  <si>
    <t>3/14/2026 1:10:00 PM</t>
  </si>
  <si>
    <t>3/14/2026 8:10:24 PM</t>
  </si>
  <si>
    <t>3/14/2026 8:10:02 PM</t>
  </si>
  <si>
    <t>01657A0000386550</t>
  </si>
  <si>
    <t>1657-0002299</t>
  </si>
  <si>
    <t>3/13/2026 9:32:00 AM</t>
  </si>
  <si>
    <t>3/13/2026 4:32:37 PM</t>
  </si>
  <si>
    <t>3/13/2026 4:31:56 PM</t>
  </si>
  <si>
    <t>01657A0000384365</t>
  </si>
  <si>
    <t>1657-0002252</t>
  </si>
  <si>
    <t>3/12/2026 2:52:00 PM</t>
  </si>
  <si>
    <t>3/13/2026 2:11:35 AM</t>
  </si>
  <si>
    <t>3/13/2026 4:11:04 AM</t>
  </si>
  <si>
    <t>01657A0000385424</t>
  </si>
  <si>
    <t>01657A0000381294</t>
  </si>
  <si>
    <t>2NPNHM6X3FM285856</t>
  </si>
  <si>
    <t>1657-0002058</t>
  </si>
  <si>
    <t>3/10/2026 3:19:00 PM</t>
  </si>
  <si>
    <t>3/10/2026 10:19:29 PM</t>
  </si>
  <si>
    <t>3/10/2026 10:18:56 PM</t>
  </si>
  <si>
    <t>01657A0000385069</t>
  </si>
  <si>
    <t>1657-0002269</t>
  </si>
  <si>
    <t>3/13/2026 5:36:00 AM</t>
  </si>
  <si>
    <t>3/13/2026 12:36:34 PM</t>
  </si>
  <si>
    <t>3/13/2026 12:35:44 PM</t>
  </si>
  <si>
    <t>01657A0000385108</t>
  </si>
  <si>
    <t>Drive Shaft - Front Driving Axles</t>
  </si>
  <si>
    <t>01657A0000384515</t>
  </si>
  <si>
    <t>1657-0002267</t>
  </si>
  <si>
    <t>3/13/2026 5:11:00 AM</t>
  </si>
  <si>
    <t>3/13/2026 12:11:53 PM</t>
  </si>
  <si>
    <t>3/13/2026 12:10:41 PM</t>
  </si>
  <si>
    <t>01657A0000381056</t>
  </si>
  <si>
    <t>1657-0002044</t>
  </si>
  <si>
    <t>3/10/2026 11:50:00 AM</t>
  </si>
  <si>
    <t>3/10/2026 6:50:40 PM</t>
  </si>
  <si>
    <t>3/10/2026 6:49:53 PM</t>
  </si>
  <si>
    <t>01657A0000385058</t>
  </si>
  <si>
    <t>1657-0002314</t>
  </si>
  <si>
    <t>3/13/2026 11:06:00 AM</t>
  </si>
  <si>
    <t>3/13/2026 6:06:22 PM</t>
  </si>
  <si>
    <t>3/13/2026 6:05:52 PM</t>
  </si>
  <si>
    <t>01657A0000381994</t>
  </si>
  <si>
    <t>01657A0000385425</t>
  </si>
  <si>
    <t>01657A0000382323</t>
  </si>
  <si>
    <t>1657-0002155</t>
  </si>
  <si>
    <t>3/11/2026 12:07:00 PM</t>
  </si>
  <si>
    <t>3/11/2026 7:11:51 PM</t>
  </si>
  <si>
    <t>3/11/2026 7:07:48 PM</t>
  </si>
  <si>
    <t>1FDWE3FL4ADA97949</t>
  </si>
  <si>
    <t>1657-0002372</t>
  </si>
  <si>
    <t>3/13/2026 8:30:00 PM</t>
  </si>
  <si>
    <t>3/14/2026 3:30:40 AM</t>
  </si>
  <si>
    <t>3/14/2026 5:30:19 AM</t>
  </si>
  <si>
    <t>01657A0000384596</t>
  </si>
  <si>
    <t>2NPNHM6XXHM319133</t>
  </si>
  <si>
    <t>1657-0002020</t>
  </si>
  <si>
    <t>3/10/2026 7:08:00 AM</t>
  </si>
  <si>
    <t>3/10/2026 2:08:57 PM</t>
  </si>
  <si>
    <t>3/10/2026 2:08:23 PM</t>
  </si>
  <si>
    <t>01657A0000384715</t>
  </si>
  <si>
    <t>1657-0002288</t>
  </si>
  <si>
    <t>3/13/2026 3:04:11 PM</t>
  </si>
  <si>
    <t>3/13/2026 3:03:42 PM</t>
  </si>
  <si>
    <t>01657A0000384806</t>
  </si>
  <si>
    <t>1657-0002291</t>
  </si>
  <si>
    <t>3/13/2026 8:48:00 AM</t>
  </si>
  <si>
    <t>3/13/2026 3:49:08 PM</t>
  </si>
  <si>
    <t>3/13/2026 3:48:42 PM</t>
  </si>
  <si>
    <t>01657A0000385426</t>
  </si>
  <si>
    <t>01657A0000382173</t>
  </si>
  <si>
    <t>1657-0002090</t>
  </si>
  <si>
    <t>3/11/2026 5:57:00 AM</t>
  </si>
  <si>
    <t>3/11/2026 12:57:46 PM</t>
  </si>
  <si>
    <t>3/11/2026 12:57:19 PM</t>
  </si>
  <si>
    <t>01657A0000383191</t>
  </si>
  <si>
    <t>1657-0002181</t>
  </si>
  <si>
    <t>3/12/2026 4:18:00 AM</t>
  </si>
  <si>
    <t>3/12/2026 11:18:12 AM</t>
  </si>
  <si>
    <t>3/12/2026 11:17:39 AM</t>
  </si>
  <si>
    <t>GARDA - FRESNO, CA 12029</t>
  </si>
  <si>
    <t>01657A0000383350</t>
  </si>
  <si>
    <t>1FTRS4X86LKA29189</t>
  </si>
  <si>
    <t>1657-0002204</t>
  </si>
  <si>
    <t>3/12/2026 6:29:00 AM</t>
  </si>
  <si>
    <t>3/12/2026 1:29:19 PM</t>
  </si>
  <si>
    <t>3/12/2026 1:28:57 PM</t>
  </si>
  <si>
    <t>FLEET HQ 07663446</t>
  </si>
  <si>
    <t>01657A0000382630</t>
  </si>
  <si>
    <t>1657-0002174</t>
  </si>
  <si>
    <t>3/11/2026 6:05:00 PM</t>
  </si>
  <si>
    <t>3/12/2026 1:08:25 AM</t>
  </si>
  <si>
    <t>3/12/2026 1:04:40 AM</t>
  </si>
  <si>
    <t>01657A0000382269</t>
  </si>
  <si>
    <t>1657-0002037</t>
  </si>
  <si>
    <t>3/10/2026 11:12:00 AM</t>
  </si>
  <si>
    <t>3/10/2026 6:15:41 PM</t>
  </si>
  <si>
    <t>3/10/2026 6:12:03 PM</t>
  </si>
  <si>
    <t>01657A0000385171</t>
  </si>
  <si>
    <t>2NPNHM6X7JM461879</t>
  </si>
  <si>
    <t>1657-0002326</t>
  </si>
  <si>
    <t>3/13/2026 12:20:00 PM</t>
  </si>
  <si>
    <t>3/13/2026 7:20:20 PM</t>
  </si>
  <si>
    <t>3/13/2026 7:19:44 PM</t>
  </si>
  <si>
    <t>01657A0000380369</t>
  </si>
  <si>
    <t>1657-0002005</t>
  </si>
  <si>
    <t>3/10/2026 5:55:00 AM</t>
  </si>
  <si>
    <t>3/10/2026 12:55:47 PM</t>
  </si>
  <si>
    <t>3/10/2026 12:55:19 PM</t>
  </si>
  <si>
    <t>01657A0000385430</t>
  </si>
  <si>
    <t>1657-0002367</t>
  </si>
  <si>
    <t>3/13/2026 7:52:00 PM</t>
  </si>
  <si>
    <t>3/14/2026 2:52:57 AM</t>
  </si>
  <si>
    <t>3/14/2026 4:52:30 AM</t>
  </si>
  <si>
    <t>01657A0000382028</t>
  </si>
  <si>
    <t>2NPNHM6X5FM285454</t>
  </si>
  <si>
    <t>1657-0002127</t>
  </si>
  <si>
    <t>3/11/2026 9:42:00 AM</t>
  </si>
  <si>
    <t>3/11/2026 4:43:15 PM</t>
  </si>
  <si>
    <t>3/11/2026 4:42:32 PM</t>
  </si>
  <si>
    <t>01657A0000380412</t>
  </si>
  <si>
    <t>1FDWE35LX7DB42161</t>
  </si>
  <si>
    <t>1657-0002015</t>
  </si>
  <si>
    <t>3/10/2026 6:38:00 AM</t>
  </si>
  <si>
    <t>3/10/2026 1:38:21 PM</t>
  </si>
  <si>
    <t>3/10/2026 1:37:36 PM</t>
  </si>
  <si>
    <t>CJS TOWING &amp; RECOVERY</t>
  </si>
  <si>
    <t>PENDING</t>
  </si>
  <si>
    <t>01657A0000382154</t>
  </si>
  <si>
    <t>3/11/2026 5:32:40 PM</t>
  </si>
  <si>
    <t>3/11/2026 7:31:34 PM</t>
  </si>
  <si>
    <t>1657-0002180</t>
  </si>
  <si>
    <t>3/12/2026 4:10:00 AM</t>
  </si>
  <si>
    <t>3/12/2026 11:10:12 AM</t>
  </si>
  <si>
    <t>3/12/2026 11:09:38 AM</t>
  </si>
  <si>
    <t>01657A0000382086</t>
  </si>
  <si>
    <t>01657A0000380387</t>
  </si>
  <si>
    <t>1657-0002014</t>
  </si>
  <si>
    <t>3/10/2026 6:18:00 AM</t>
  </si>
  <si>
    <t>3/10/2026 1:21:26 PM</t>
  </si>
  <si>
    <t>3/10/2026 1:17:59 PM</t>
  </si>
  <si>
    <t>01657A0000384346</t>
  </si>
  <si>
    <t>1657-0002259</t>
  </si>
  <si>
    <t>3/12/2026 6:12:00 PM</t>
  </si>
  <si>
    <t>3/13/2026 1:14:20 AM</t>
  </si>
  <si>
    <t>3/13/2026 3:12:49 AM</t>
  </si>
  <si>
    <t>01657A0000380316</t>
  </si>
  <si>
    <t>1657-0002000</t>
  </si>
  <si>
    <t>3/10/2026 12:39:36 PM</t>
  </si>
  <si>
    <t>3/10/2026 12:39:14 PM</t>
  </si>
  <si>
    <t>01657A0000381303</t>
  </si>
  <si>
    <t>2NPNHM6X4GM318977</t>
  </si>
  <si>
    <t>1657-0002059</t>
  </si>
  <si>
    <t>3/10/2026 3:25:00 PM</t>
  </si>
  <si>
    <t>3/10/2026 10:26:08 PM</t>
  </si>
  <si>
    <t>3/10/2026 10:25:20 PM</t>
  </si>
  <si>
    <t>01657A0000383496</t>
  </si>
  <si>
    <t>1FTSE3ELXCDA02284</t>
  </si>
  <si>
    <t>1657-0002215</t>
  </si>
  <si>
    <t>3/12/2026 7:43:00 AM</t>
  </si>
  <si>
    <t>3/12/2026 2:43:43 PM</t>
  </si>
  <si>
    <t>3/12/2026 2:43:21 PM</t>
  </si>
  <si>
    <t>01657A0000383709</t>
  </si>
  <si>
    <t>1657-0002100</t>
  </si>
  <si>
    <t>3/11/2026 7:12:00 AM</t>
  </si>
  <si>
    <t>3/11/2026 2:17:16 PM</t>
  </si>
  <si>
    <t>01657A0000381455</t>
  </si>
  <si>
    <t>01657A0000385421</t>
  </si>
  <si>
    <t>2NPNHM6X9JM483172</t>
  </si>
  <si>
    <t>1657-0002335</t>
  </si>
  <si>
    <t>3/13/2026 1:51:00 PM</t>
  </si>
  <si>
    <t>3/13/2026 8:56:20 PM</t>
  </si>
  <si>
    <t>3/13/2026 8:51:15 PM</t>
  </si>
  <si>
    <t>01657A0000382217</t>
  </si>
  <si>
    <t>1657-0002147</t>
  </si>
  <si>
    <t>3/11/2026 11:05:00 AM</t>
  </si>
  <si>
    <t>3/11/2026 6:06:49 PM</t>
  </si>
  <si>
    <t>3/11/2026 6:05:12 PM</t>
  </si>
  <si>
    <t>1657-0002223</t>
  </si>
  <si>
    <t>3/12/2026 8:32:00 AM</t>
  </si>
  <si>
    <t>3/12/2026 3:38:37 PM</t>
  </si>
  <si>
    <t>3/12/2026 3:31:56 PM</t>
  </si>
  <si>
    <t>01657A0000380833</t>
  </si>
  <si>
    <t>GARDA-SA TX 13079</t>
  </si>
  <si>
    <t>GAR-IND-SA-001</t>
  </si>
  <si>
    <t>1657-0002030</t>
  </si>
  <si>
    <t>3/10/2026 9:52:00 AM</t>
  </si>
  <si>
    <t>3/10/2026 4:52:29 PM</t>
  </si>
  <si>
    <t>3/10/2026 4:52:03 PM</t>
  </si>
  <si>
    <t>01657A0000381264</t>
  </si>
  <si>
    <t>1657-0002057</t>
  </si>
  <si>
    <t>3/10/2026 2:45:00 PM</t>
  </si>
  <si>
    <t>3/10/2026 9:44:54 PM</t>
  </si>
  <si>
    <t>3/10/2026 9:44:34 PM</t>
  </si>
  <si>
    <t>01657A0000384358</t>
  </si>
  <si>
    <t>01657A0000381386</t>
  </si>
  <si>
    <t>1657-0002075</t>
  </si>
  <si>
    <t>3/10/2026 10:10:00 PM</t>
  </si>
  <si>
    <t>3/11/2026 5:11:01 AM</t>
  </si>
  <si>
    <t>3/11/2026 5:10:21 AM</t>
  </si>
  <si>
    <t>01657A0000384373</t>
  </si>
  <si>
    <t>1657-0002261</t>
  </si>
  <si>
    <t>3/12/2026 8:54:00 PM</t>
  </si>
  <si>
    <t>3/13/2026 3:57:56 AM</t>
  </si>
  <si>
    <t>3/13/2026 3:55:54 AM</t>
  </si>
  <si>
    <t>Unit had really bad exhaust leak and needed to be towed back to the branch.</t>
  </si>
  <si>
    <t>GARDA - MILWAUKEE, WI 19057</t>
  </si>
  <si>
    <t>01657A0000384670</t>
  </si>
  <si>
    <t>1FDWE3FL6ADA94597</t>
  </si>
  <si>
    <t>1657-0002283</t>
  </si>
  <si>
    <t>3/13/2026 7:42:00 AM</t>
  </si>
  <si>
    <t>3/13/2026 2:43:31 PM</t>
  </si>
  <si>
    <t>3/13/2026 2:42:03 PM</t>
  </si>
  <si>
    <t>01657A0000384216</t>
  </si>
  <si>
    <t>1657-0002033</t>
  </si>
  <si>
    <t>3/10/2026 10:27:00 AM</t>
  </si>
  <si>
    <t>3/10/2026 6:09:41 PM</t>
  </si>
  <si>
    <t>3/10/2026 5:26:37 PM</t>
  </si>
  <si>
    <t>01657A0000382478</t>
  </si>
  <si>
    <t>1657-0002161</t>
  </si>
  <si>
    <t>3/11/2026 1:48:00 PM</t>
  </si>
  <si>
    <t>3/11/2026 8:48:29 PM</t>
  </si>
  <si>
    <t>3/11/2026 8:48:06 PM</t>
  </si>
  <si>
    <t>01657A0000381552</t>
  </si>
  <si>
    <t>01657A0000385429</t>
  </si>
  <si>
    <t>1657-0002366</t>
  </si>
  <si>
    <t>3/13/2026 7:45:00 PM</t>
  </si>
  <si>
    <t>3/14/2026 2:45:45 AM</t>
  </si>
  <si>
    <t>3/14/2026 4:45:21 AM</t>
  </si>
  <si>
    <t>1657-0002290</t>
  </si>
  <si>
    <t>3/13/2026 8:10:00 AM</t>
  </si>
  <si>
    <t>3/13/2026 3:10:54 PM</t>
  </si>
  <si>
    <t>3/13/2026 3:10:28 PM</t>
  </si>
  <si>
    <t>01657A0000385428</t>
  </si>
  <si>
    <t>1657-0002365</t>
  </si>
  <si>
    <t>3/13/2026 7:37:00 PM</t>
  </si>
  <si>
    <t>3/14/2026 2:37:38 AM</t>
  </si>
  <si>
    <t>3/14/2026 4:37:11 AM</t>
  </si>
  <si>
    <t>01657A0000385427</t>
  </si>
  <si>
    <t>01657A0000382244</t>
  </si>
  <si>
    <t>1657-0002150</t>
  </si>
  <si>
    <t>3/11/2026 11:30:00 AM</t>
  </si>
  <si>
    <t>3/11/2026 6:31:16 PM</t>
  </si>
  <si>
    <t>3/11/2026 6:30:38 PM</t>
  </si>
  <si>
    <t>01657A0000380352</t>
  </si>
  <si>
    <t>1657-0002013</t>
  </si>
  <si>
    <t>3/10/2026 5:58:00 AM</t>
  </si>
  <si>
    <t>3/10/2026 12:59:41 PM</t>
  </si>
  <si>
    <t>3/10/2026 12:58:27 PM</t>
  </si>
  <si>
    <t>SHUTTLE</t>
  </si>
  <si>
    <t>GRAND TOTAL</t>
  </si>
  <si>
    <t>1657-0002616</t>
  </si>
  <si>
    <t>1657-0002609</t>
  </si>
  <si>
    <t>1657-0002615</t>
  </si>
  <si>
    <t>1657-0002574</t>
  </si>
  <si>
    <t>1657-0002581</t>
  </si>
  <si>
    <t>1657-0002666</t>
  </si>
  <si>
    <t>1657-0002659</t>
  </si>
  <si>
    <t>1657-0002619</t>
  </si>
  <si>
    <t>1657-0002579</t>
  </si>
  <si>
    <t>1657-0002603</t>
  </si>
  <si>
    <t>1657-0002614</t>
  </si>
  <si>
    <t>1657-0002645</t>
  </si>
  <si>
    <t>1657-0002625</t>
  </si>
  <si>
    <t>1657-0002575</t>
  </si>
  <si>
    <t>1657-0002637</t>
  </si>
  <si>
    <t>1657-0002578</t>
  </si>
  <si>
    <t>1657-0002605</t>
  </si>
  <si>
    <t>1657-0002649</t>
  </si>
  <si>
    <t>1657-0002607</t>
  </si>
  <si>
    <t>1657-0002577</t>
  </si>
  <si>
    <t>1657-0002610</t>
  </si>
  <si>
    <t>1657-0002648</t>
  </si>
  <si>
    <t>1657-0002606</t>
  </si>
  <si>
    <t>1657-0002612</t>
  </si>
  <si>
    <t>1657-0002573</t>
  </si>
  <si>
    <t>1657-0002665</t>
  </si>
  <si>
    <t>1657-0002652</t>
  </si>
  <si>
    <t>1657-0002631</t>
  </si>
  <si>
    <t>1657-0002633</t>
  </si>
  <si>
    <t>1657-0002646</t>
  </si>
  <si>
    <t>1657-0002590</t>
  </si>
  <si>
    <t>1657-0002586</t>
  </si>
  <si>
    <t>1657-0002634</t>
  </si>
  <si>
    <t>1657-0002608</t>
  </si>
  <si>
    <t>GAR-26-041U</t>
  </si>
  <si>
    <t>GAR-26-042U</t>
  </si>
  <si>
    <t>GAR-26-043U</t>
  </si>
  <si>
    <t>GAR-26-044U</t>
  </si>
  <si>
    <t>GAR-26-045U</t>
  </si>
  <si>
    <t>GAR-26-046U</t>
  </si>
  <si>
    <t>GAR-26-047U</t>
  </si>
  <si>
    <t>GAR-26-048U</t>
  </si>
  <si>
    <t>GAR-26-049U</t>
  </si>
  <si>
    <t>GAR-26-050U</t>
  </si>
  <si>
    <t>GAR-26-051U</t>
  </si>
  <si>
    <t>GAR-26-052U</t>
  </si>
  <si>
    <t>GAR-26-053U</t>
  </si>
  <si>
    <t>GAR-26-054U</t>
  </si>
  <si>
    <t>GAR-26-055U</t>
  </si>
  <si>
    <t>GAR-26-057U</t>
  </si>
  <si>
    <t>GAR-26-058U</t>
  </si>
  <si>
    <t>GAR-26-059U</t>
  </si>
  <si>
    <t>GAR-26-060U</t>
  </si>
  <si>
    <t>1657-0002630</t>
  </si>
  <si>
    <t>1657-0002644</t>
  </si>
  <si>
    <t>1657-0002580</t>
  </si>
  <si>
    <t>1657-0002655</t>
  </si>
  <si>
    <t>1657-0002604</t>
  </si>
  <si>
    <t>1657-0002576</t>
  </si>
  <si>
    <t>Dedicated</t>
  </si>
  <si>
    <t>1657-0002715</t>
  </si>
  <si>
    <t>1657-0002711</t>
  </si>
  <si>
    <t>1657-0002717</t>
  </si>
  <si>
    <t>1657-0002741</t>
  </si>
  <si>
    <t>1657-0002774</t>
  </si>
  <si>
    <t>1657-0002728</t>
  </si>
  <si>
    <t>1657-0002707</t>
  </si>
  <si>
    <t>1657-0002712</t>
  </si>
  <si>
    <t>1657-0002784</t>
  </si>
  <si>
    <t>1657-0002732</t>
  </si>
  <si>
    <t>1657-0002762</t>
  </si>
  <si>
    <t>1657-0002822</t>
  </si>
  <si>
    <t>1657-0002802</t>
  </si>
  <si>
    <t>1657-0002682</t>
  </si>
  <si>
    <t>1657-0002749</t>
  </si>
  <si>
    <t>1657-0002708</t>
  </si>
  <si>
    <t>1657-0002731</t>
  </si>
  <si>
    <t>1657-0002752</t>
  </si>
  <si>
    <t>1657-0002825</t>
  </si>
  <si>
    <t>1657-0002831</t>
  </si>
  <si>
    <t>1657-0002705</t>
  </si>
  <si>
    <t>1657-0002817</t>
  </si>
  <si>
    <t>1657-0002723</t>
  </si>
  <si>
    <t>1657-0002782</t>
  </si>
  <si>
    <t>1657-0002812</t>
  </si>
  <si>
    <t>1657-0002700</t>
  </si>
  <si>
    <t>1657-0002805</t>
  </si>
  <si>
    <t>1657-0002746</t>
  </si>
  <si>
    <t>1657-0002763</t>
  </si>
  <si>
    <t>1657-0002694</t>
  </si>
  <si>
    <t>1657-0002697</t>
  </si>
  <si>
    <t>1657-0002791</t>
  </si>
  <si>
    <t>1657-0002696</t>
  </si>
  <si>
    <t>1657-0002824</t>
  </si>
  <si>
    <t>1657-0002806</t>
  </si>
  <si>
    <t>1657-0002755</t>
  </si>
  <si>
    <t>1657-0002756</t>
  </si>
  <si>
    <t>1657-0002757</t>
  </si>
  <si>
    <t>1657-0002808</t>
  </si>
  <si>
    <t>1657-0002783</t>
  </si>
  <si>
    <t>1657-0002768</t>
  </si>
  <si>
    <t>1657-0002807</t>
  </si>
  <si>
    <t>1657-0002767</t>
  </si>
  <si>
    <t>1657-0002801</t>
  </si>
  <si>
    <t>1657-0002675</t>
  </si>
  <si>
    <t>1657-0002680</t>
  </si>
  <si>
    <t>1657-0002716</t>
  </si>
  <si>
    <t>1657-0002709</t>
  </si>
  <si>
    <t>1657-0002758</t>
  </si>
  <si>
    <t>1657-0002730</t>
  </si>
  <si>
    <t>1657-0002672</t>
  </si>
  <si>
    <t>1657-0002704</t>
  </si>
  <si>
    <t>1657-0002702</t>
  </si>
  <si>
    <t>1657-0002764</t>
  </si>
  <si>
    <t>1657-0002761</t>
  </si>
  <si>
    <t>1657-0002793</t>
  </si>
  <si>
    <t>1657-0002683</t>
  </si>
  <si>
    <t>1657-0002692</t>
  </si>
  <si>
    <t>1657-0002829</t>
  </si>
  <si>
    <t>1657-0002803</t>
  </si>
  <si>
    <t>1657-0002813</t>
  </si>
  <si>
    <t>1657-0002725</t>
  </si>
  <si>
    <t>1657-0002726</t>
  </si>
  <si>
    <t>1657-0002698</t>
  </si>
  <si>
    <t>1657-0002753</t>
  </si>
  <si>
    <t>1657-0002836</t>
  </si>
  <si>
    <t>1657-0002781</t>
  </si>
  <si>
    <t>1657-0002737</t>
  </si>
  <si>
    <t>1657-0002819</t>
  </si>
  <si>
    <t>1657-0002773</t>
  </si>
  <si>
    <t>1657-0002790</t>
  </si>
  <si>
    <t>1657-0002826</t>
  </si>
  <si>
    <t>1657-0002835</t>
  </si>
  <si>
    <t>1657-0002748</t>
  </si>
  <si>
    <t>1657-0002719</t>
  </si>
  <si>
    <t>1657-0002814</t>
  </si>
  <si>
    <t>1657-0002689</t>
  </si>
  <si>
    <t>1657-0002721</t>
  </si>
  <si>
    <t>1657-0002816</t>
  </si>
  <si>
    <t>1657-0002823</t>
  </si>
  <si>
    <t>1657-0002821</t>
  </si>
  <si>
    <t>au8X1MiSEfkejve_FqwMmZA</t>
  </si>
  <si>
    <t>3/17/2026 9:31:00 AM</t>
  </si>
  <si>
    <t>3/17/2026 10:21:00 AM</t>
  </si>
  <si>
    <t>3/17/2026 10:34:00 AM</t>
  </si>
  <si>
    <t>3/17/2026 1:18:55 PM</t>
  </si>
  <si>
    <t>ac9CkWjby1UKJOr7oRhPbFA</t>
  </si>
  <si>
    <t>3/17/2026 3:17:00 PM</t>
  </si>
  <si>
    <t>1FDWE3FL0ADA22214</t>
  </si>
  <si>
    <t>3/16/2026 4:09:00 PM</t>
  </si>
  <si>
    <t>3/17/2026 6:24:00 AM</t>
  </si>
  <si>
    <t>3/17/2026 9:52:33 AM</t>
  </si>
  <si>
    <t>aRmmWN-U550CmW1_Us_VSRQ</t>
  </si>
  <si>
    <t>3/16/2026 5:11:52 AM</t>
  </si>
  <si>
    <t>3/17/2026 5:56:38 AM</t>
  </si>
  <si>
    <t>1063928186</t>
  </si>
  <si>
    <t>3/17/2026 12:52:00 PM</t>
  </si>
  <si>
    <t>3/17/2026 9:17:00 AM</t>
  </si>
  <si>
    <t>3/17/2026 6:23:17 AM</t>
  </si>
  <si>
    <t>1063959227</t>
  </si>
  <si>
    <t>3/17/2026 2:12:00 PM</t>
  </si>
  <si>
    <t>3/17/2026 4:48:37 AM</t>
  </si>
  <si>
    <t>apnyzak4ASEqks7m4D__NQQ</t>
  </si>
  <si>
    <t>3/17/2026 6:04:49 PM</t>
  </si>
  <si>
    <t>1064534820</t>
  </si>
  <si>
    <t>3/16/2026 1:30:00 PM</t>
  </si>
  <si>
    <t>3/16/2026 6:43:14 PM</t>
  </si>
  <si>
    <t>aE7Ky1X7VpkiaGKvQvvwuwg</t>
  </si>
  <si>
    <t>GAR-5580</t>
  </si>
  <si>
    <t>3/17/2026 10:23:00 AM</t>
  </si>
  <si>
    <t>2NPNHM6X9FM300201</t>
  </si>
  <si>
    <t>3/16/2026 5:05:00 AM</t>
  </si>
  <si>
    <t>3/16/2026 12:05:13 PM</t>
  </si>
  <si>
    <t>3/16/2026 12:04:50 PM</t>
  </si>
  <si>
    <t>VRO 1657-0002578 has been Accepted
Note:</t>
  </si>
  <si>
    <t>3/16/2026 6:51:00 PM</t>
  </si>
  <si>
    <t>3/17/2026 3:46:51 PM</t>
  </si>
  <si>
    <t>3/17/2026 3:43:15 PM</t>
  </si>
  <si>
    <t>3/17/2026 10:20:00 AM</t>
  </si>
  <si>
    <t>3/17/2026 5:20:19 PM</t>
  </si>
  <si>
    <t>3/17/2026 5:19:56 PM</t>
  </si>
  <si>
    <t>VRO 1657-0002719 has been Accepted
Note:</t>
  </si>
  <si>
    <t>3/16/2026 9:28:00 AM</t>
  </si>
  <si>
    <t>3/16/2026 4:28:42 PM</t>
  </si>
  <si>
    <t>3/16/2026 4:28:21 PM</t>
  </si>
  <si>
    <t>3/16/2026 11:26:00 AM</t>
  </si>
  <si>
    <t>3/16/2026 6:27:53 PM</t>
  </si>
  <si>
    <t>3/16/2026 6:27:02 PM</t>
  </si>
  <si>
    <t>VRO 1657-0002614 has been Accepted
Note:</t>
  </si>
  <si>
    <t>3/16/2026 1:52:00 PM</t>
  </si>
  <si>
    <t>3/16/2026 8:52:35 PM</t>
  </si>
  <si>
    <t>3/16/2026 8:52:14 PM</t>
  </si>
  <si>
    <t>VRO 1657-0002649 has been Accepted
Note:</t>
  </si>
  <si>
    <t>1657-0002642</t>
  </si>
  <si>
    <t>3/16/2026 1:45:00 PM</t>
  </si>
  <si>
    <t>3/16/2026 8:46:04 PM</t>
  </si>
  <si>
    <t>3/16/2026 8:45:32 PM</t>
  </si>
  <si>
    <t>VRO 1657-0002642 has been Accepted
Note:</t>
  </si>
  <si>
    <t>3/16/2026 10:33:00 AM</t>
  </si>
  <si>
    <t>3/16/2026 5:35:10 PM</t>
  </si>
  <si>
    <t>3/16/2026 5:33:14 PM</t>
  </si>
  <si>
    <t>No vendor information</t>
  </si>
  <si>
    <t>3/16/2026 5:00:00 AM</t>
  </si>
  <si>
    <t>3/16/2026 12:00:54 PM</t>
  </si>
  <si>
    <t>3/16/2026 12:00:33 PM</t>
  </si>
  <si>
    <t>VRO 1657-0002575 has been Accepted
Note:</t>
  </si>
  <si>
    <t>3/16/2026 9:29:00 AM</t>
  </si>
  <si>
    <t>3/16/2026 4:29:36 PM</t>
  </si>
  <si>
    <t>3/16/2026 4:29:18 PM</t>
  </si>
  <si>
    <t>VRO 1657-0002605 has been Accepted
Note:</t>
  </si>
  <si>
    <t>3/17/2026 12:45:00 PM</t>
  </si>
  <si>
    <t>3/17/2026 7:48:50 PM</t>
  </si>
  <si>
    <t>3/17/2026 9:45:18 PM</t>
  </si>
  <si>
    <t>4/3/2026 12:00:00 AM</t>
  </si>
  <si>
    <t>VRO 1657-0002752 has been Accepted
Note:</t>
  </si>
  <si>
    <t>3/17/2026 9:56:00 AM</t>
  </si>
  <si>
    <t>3/17/2026 4:56:53 PM</t>
  </si>
  <si>
    <t>3/17/2026 4:56:29 PM</t>
  </si>
  <si>
    <t>3/17/2026 7:26:00 AM</t>
  </si>
  <si>
    <t>3/17/2026 2:26:48 PM</t>
  </si>
  <si>
    <t>3/17/2026 2:26:17 PM</t>
  </si>
  <si>
    <t>3/17/2026 10:33:00 AM</t>
  </si>
  <si>
    <t>3/17/2026 5:33:52 PM</t>
  </si>
  <si>
    <t>3/17/2026 5:33:30 PM</t>
  </si>
  <si>
    <t>VRO 1657-0002730 has been Accepted
Note:</t>
  </si>
  <si>
    <t>3/17/2026 8:08:00 AM</t>
  </si>
  <si>
    <t>3/17/2026 3:11:17 PM</t>
  </si>
  <si>
    <t>3/17/2026 3:08:20 PM</t>
  </si>
  <si>
    <t>VRO 1657-0002697 has been Accepted
Note:</t>
  </si>
  <si>
    <t>3/17/2026 5:10:00 PM</t>
  </si>
  <si>
    <t>3/18/2026 12:11:22 AM</t>
  </si>
  <si>
    <t>3/18/2026 2:09:39 AM</t>
  </si>
  <si>
    <t>VRO 1657-0002781 has been Accepted
Note:</t>
  </si>
  <si>
    <t>3/17/2026 2:27:00 PM</t>
  </si>
  <si>
    <t>3/17/2026 9:29:31 PM</t>
  </si>
  <si>
    <t>3/17/2026 9:28:26 PM</t>
  </si>
  <si>
    <t>3/16/2026 9:27:00 AM</t>
  </si>
  <si>
    <t>3/16/2026 4:27:45 PM</t>
  </si>
  <si>
    <t>3/16/2026 4:27:22 PM</t>
  </si>
  <si>
    <t>3/17/2026 6:16:00 PM</t>
  </si>
  <si>
    <t>3/18/2026 1:18:10 AM</t>
  </si>
  <si>
    <t>3/18/2026 3:16:35 AM</t>
  </si>
  <si>
    <t>4/4/2026 12:00:00 AM</t>
  </si>
  <si>
    <t>3/16/2026 1:47:00 PM</t>
  </si>
  <si>
    <t>3/16/2026 8:47:18 PM</t>
  </si>
  <si>
    <t>3/16/2026 8:46:44 PM</t>
  </si>
  <si>
    <t>VRO 1657-0002644 has been Accepted
Note:</t>
  </si>
  <si>
    <t>3/16/2026 1:15:00 PM</t>
  </si>
  <si>
    <t>3/16/2026 8:15:53 PM</t>
  </si>
  <si>
    <t>3/16/2026 8:15:24 PM</t>
  </si>
  <si>
    <t>VRO 1657-0002630 has been Accepted
Note:</t>
  </si>
  <si>
    <t>3/16/2026 1:48:00 PM</t>
  </si>
  <si>
    <t>3/16/2026 8:48:15 PM</t>
  </si>
  <si>
    <t>3/16/2026 8:47:50 PM</t>
  </si>
  <si>
    <t>VRO 1657-0002645 has been Accepted
Note:</t>
  </si>
  <si>
    <t>3/17/2026 7:53:29 PM</t>
  </si>
  <si>
    <t>3/17/2026 7:52:22 PM</t>
  </si>
  <si>
    <t>3/17/2026 9:27:00 AM</t>
  </si>
  <si>
    <t>3/17/2026 4:27:20 PM</t>
  </si>
  <si>
    <t>3/17/2026 4:26:43 PM</t>
  </si>
  <si>
    <t>3/16/2026 12:14:00 PM</t>
  </si>
  <si>
    <t>3/16/2026 7:16:03 PM</t>
  </si>
  <si>
    <t>3/16/2026 7:14:18 PM</t>
  </si>
  <si>
    <t>VRO 1657-0002619 has been Accepted
Note:</t>
  </si>
  <si>
    <t>3/17/2026 12:36:00 PM</t>
  </si>
  <si>
    <t>3/17/2026 7:40:10 PM</t>
  </si>
  <si>
    <t>3/17/2026 7:36:11 PM</t>
  </si>
  <si>
    <t>3/17/2026 8:44:00 AM</t>
  </si>
  <si>
    <t>3/17/2026 3:45:59 PM</t>
  </si>
  <si>
    <t>3/17/2026 3:44:08 PM</t>
  </si>
  <si>
    <t>3/17/2026 12:57:00 PM</t>
  </si>
  <si>
    <t>3/17/2026 7:57:37 PM</t>
  </si>
  <si>
    <t>3/17/2026 7:57:06 PM</t>
  </si>
  <si>
    <t>3/16/2026 1:18:00 PM</t>
  </si>
  <si>
    <t>3/16/2026 8:19:15 PM</t>
  </si>
  <si>
    <t>3/16/2026 8:17:46 PM</t>
  </si>
  <si>
    <t>VRO 1657-0002633 has been Accepted
Note:</t>
  </si>
  <si>
    <t>3/16/2026 1:20:00 PM</t>
  </si>
  <si>
    <t>3/16/2026 8:20:16 PM</t>
  </si>
  <si>
    <t>3/16/2026 8:19:52 PM</t>
  </si>
  <si>
    <t>VRO 1657-0002634 has been Accepted
Note:</t>
  </si>
  <si>
    <t>Left vendor VM on status RB 3-18</t>
  </si>
  <si>
    <t>Jets Mobile service has never been contacted about job?</t>
  </si>
  <si>
    <t>3/17/2026 4:03:00 PM</t>
  </si>
  <si>
    <t>3/17/2026 11:10:40 PM</t>
  </si>
  <si>
    <t>3/17/2026 11:07:40 PM</t>
  </si>
  <si>
    <t>3/16/2026 11:07:00 AM</t>
  </si>
  <si>
    <t>3/16/2026 6:18:49 PM</t>
  </si>
  <si>
    <t>3/16/2026 6:07:24 PM</t>
  </si>
  <si>
    <t>2NPNHM6X6GM318978</t>
  </si>
  <si>
    <t>3/17/2026 10:29:00 AM</t>
  </si>
  <si>
    <t>3/17/2026 5:29:25 PM</t>
  </si>
  <si>
    <t>3/17/2026 5:28:48 PM</t>
  </si>
  <si>
    <t>2NP8LJ0X6RM602584</t>
  </si>
  <si>
    <t>GAR-24-003U</t>
  </si>
  <si>
    <t>1657-0002693</t>
  </si>
  <si>
    <t>3/17/2026 7:36:00 AM</t>
  </si>
  <si>
    <t>3/17/2026 2:36:03 PM</t>
  </si>
  <si>
    <t>3/17/2026 2:35:38 PM</t>
  </si>
  <si>
    <t>VRO 1657-0002693 has been Accepted
Note:</t>
  </si>
  <si>
    <t>3/16/2026 5:06:00 AM</t>
  </si>
  <si>
    <t>3/16/2026 12:30:58 PM</t>
  </si>
  <si>
    <t>3/16/2026 12:09:02 PM</t>
  </si>
  <si>
    <t>VRO 1657-0002579 has been Accepted
Note:</t>
  </si>
  <si>
    <t>3/16/2026 9:30:00 AM</t>
  </si>
  <si>
    <t>3/16/2026 4:30:33 PM</t>
  </si>
  <si>
    <t>3/16/2026 4:30:13 PM</t>
  </si>
  <si>
    <t>VRO 1657-0002606 has been Accepted
Note:</t>
  </si>
  <si>
    <t>3/16/2026 5:02:00 AM</t>
  </si>
  <si>
    <t>3/16/2026 12:03:19 PM</t>
  </si>
  <si>
    <t>3/16/2026 12:02:24 PM</t>
  </si>
  <si>
    <t>3/17/2026 2:31:00 PM</t>
  </si>
  <si>
    <t>3/17/2026 9:35:03 PM</t>
  </si>
  <si>
    <t>3/17/2026 9:33:02 PM</t>
  </si>
  <si>
    <t>3/17/2026 10:24:00 AM</t>
  </si>
  <si>
    <t>3/17/2026 5:25:23 PM</t>
  </si>
  <si>
    <t>3/17/2026 5:24:32 PM</t>
  </si>
  <si>
    <t>VRO 1657-0002726 has been Accepted
Note:</t>
  </si>
  <si>
    <t>1FTRS4X84NKA05539</t>
  </si>
  <si>
    <t>3/17/2026 10:51:00 AM</t>
  </si>
  <si>
    <t>3/17/2026 6:02:12 PM</t>
  </si>
  <si>
    <t>3/17/2026 5:51:43 PM</t>
  </si>
  <si>
    <t>VRO 1657-0002737 has been Accepted
Note:</t>
  </si>
  <si>
    <t>3/16/2026 5:26:00 AM</t>
  </si>
  <si>
    <t>3/16/2026 12:26:48 PM</t>
  </si>
  <si>
    <t>3/16/2026 12:26:19 PM</t>
  </si>
  <si>
    <t>3/17/2026 10:22:00 AM</t>
  </si>
  <si>
    <t>3/17/2026 5:22:34 PM</t>
  </si>
  <si>
    <t>3/17/2026 5:22:09 PM</t>
  </si>
  <si>
    <t>VRO 1657-0002723 has been Accepted
Note:</t>
  </si>
  <si>
    <t>3/17/2026 1:04:00 PM</t>
  </si>
  <si>
    <t>3/17/2026 8:04:34 PM</t>
  </si>
  <si>
    <t>3/17/2026 8:03:56 PM</t>
  </si>
  <si>
    <t>VRO 1657-0002757 has been Accepted
Note:</t>
  </si>
  <si>
    <t>3/16/2026 10:17:00 AM</t>
  </si>
  <si>
    <t>3/16/2026 5:17:21 PM</t>
  </si>
  <si>
    <t>3/16/2026 5:16:46 PM</t>
  </si>
  <si>
    <t>3/16/2026 5:28:00 AM</t>
  </si>
  <si>
    <t>3/16/2026 12:28:49 PM</t>
  </si>
  <si>
    <t>3/16/2026 12:28:18 PM</t>
  </si>
  <si>
    <t>3/16/2026 1:49:00 PM</t>
  </si>
  <si>
    <t>3/16/2026 8:49:06 PM</t>
  </si>
  <si>
    <t>3/17/2026 5:23:59 PM</t>
  </si>
  <si>
    <t>3/17/2026 5:23:31 PM</t>
  </si>
  <si>
    <t>VRO 1657-0002725 has been Accepted
Note:</t>
  </si>
  <si>
    <t>3/17/2026 5:21:40 PM</t>
  </si>
  <si>
    <t>3/17/2026 5:21:11 PM</t>
  </si>
  <si>
    <t>VRO 1657-0002721 has been Accepted
Note:</t>
  </si>
  <si>
    <t>3/17/2026 7:59:00 AM</t>
  </si>
  <si>
    <t>3/17/2026 3:00:10 PM</t>
  </si>
  <si>
    <t>3/17/2026 2:59:43 PM</t>
  </si>
  <si>
    <t>1657-0002727</t>
  </si>
  <si>
    <t>3/17/2026 10:26:00 AM</t>
  </si>
  <si>
    <t>3/17/2026 5:26:24 PM</t>
  </si>
  <si>
    <t>3/17/2026 5:26:02 PM</t>
  </si>
  <si>
    <t>VRO 1657-0002727 has been Accepted
Note:</t>
  </si>
  <si>
    <t>3/16/2026 12:02:08 PM</t>
  </si>
  <si>
    <t>3/16/2026 12:01:45 PM</t>
  </si>
  <si>
    <t>VRO 1657-0002576 has been Accepted
Note:</t>
  </si>
  <si>
    <t>3/17/2026 5:34:48 PM</t>
  </si>
  <si>
    <t>3/17/2026 5:34:28 PM</t>
  </si>
  <si>
    <t>VRO 1657-0002732 has been Accepted
Note:</t>
  </si>
  <si>
    <t>3/17/2026 11:12:00 AM</t>
  </si>
  <si>
    <t>3/17/2026 6:12:39 PM</t>
  </si>
  <si>
    <t>3/17/2026 6:12:19 PM</t>
  </si>
  <si>
    <t>VRO 1657-0002741 has been Accepted
Note:</t>
  </si>
  <si>
    <t>Was tolf by vendor that this unit has been scrapped and is already being stripped for parts.
UNIT IS PERMANTLY OOS!</t>
  </si>
  <si>
    <t>3/17/2026 8:29:00 AM</t>
  </si>
  <si>
    <t>3/17/2026 3:49:08 PM</t>
  </si>
  <si>
    <t>3/17/2026 3:28:53 PM</t>
  </si>
  <si>
    <t>2NP1HM6X1JM319138</t>
  </si>
  <si>
    <t>3/17/2026 5:19:00 AM</t>
  </si>
  <si>
    <t>3/17/2026 12:25:06 PM</t>
  </si>
  <si>
    <t>3/17/2026 12:19:17 PM</t>
  </si>
  <si>
    <t>1657-0002582</t>
  </si>
  <si>
    <t>3/16/2026 5:33:00 AM</t>
  </si>
  <si>
    <t>3/16/2026 12:33:16 PM</t>
  </si>
  <si>
    <t>3/16/2026 12:32:44 PM</t>
  </si>
  <si>
    <t>VRO 1657-0002582 has been Accepted
Note:</t>
  </si>
  <si>
    <t>3/16/2026 1:51:00 PM</t>
  </si>
  <si>
    <t>3/16/2026 8:51:41 PM</t>
  </si>
  <si>
    <t>3/16/2026 8:51:23 PM</t>
  </si>
  <si>
    <t>VRO 1657-0002648 has been Accepted
Note:</t>
  </si>
  <si>
    <t>4/7/2026 12:00:00 AM</t>
  </si>
  <si>
    <t>3/17/2026 8:34:00 AM</t>
  </si>
  <si>
    <t>3/17/2026 3:49:05 PM</t>
  </si>
  <si>
    <t>3/17/2026 3:34:04 PM</t>
  </si>
  <si>
    <t>3/16/2026 1:16:00 PM</t>
  </si>
  <si>
    <t>3/16/2026 8:19:00 PM</t>
  </si>
  <si>
    <t>3/16/2026 8:16:33 PM</t>
  </si>
  <si>
    <t>3/16/2026 10:01:00 AM</t>
  </si>
  <si>
    <t>3/16/2026 5:02:00 PM</t>
  </si>
  <si>
    <t>3/16/2026 5:00:57 PM</t>
  </si>
  <si>
    <t>3/16/2026 12:43:00 PM</t>
  </si>
  <si>
    <t>3/16/2026 7:44:28 PM</t>
  </si>
  <si>
    <t>3/16/2026 7:43:51 PM</t>
  </si>
  <si>
    <t>DJ 3/17</t>
  </si>
  <si>
    <t>3/17/2026 1:33:00 PM</t>
  </si>
  <si>
    <t>3/17/2026 8:37:08 PM</t>
  </si>
  <si>
    <t>3/17/2026 10:33:34 PM</t>
  </si>
  <si>
    <t>3/17/2026 12:32:00 PM</t>
  </si>
  <si>
    <t>3/17/2026 7:32:13 PM</t>
  </si>
  <si>
    <t>3/17/2026 7:31:39 PM</t>
  </si>
  <si>
    <t>hp 03/17</t>
  </si>
  <si>
    <t>1657-0002663</t>
  </si>
  <si>
    <t>3/16/2026 5:43:00 PM</t>
  </si>
  <si>
    <t>3/17/2026 12:43:47 AM</t>
  </si>
  <si>
    <t>3/17/2026 12:43:23 AM</t>
  </si>
  <si>
    <t>3/16/2026 5:21:00 PM</t>
  </si>
  <si>
    <t>3/17/2026 12:22:31 AM</t>
  </si>
  <si>
    <t>3/17/2026 12:21:22 AM</t>
  </si>
  <si>
    <t>01657A0000388322</t>
  </si>
  <si>
    <t>3/17/2026 3:16:00 PM</t>
  </si>
  <si>
    <t>3/17/2026 10:23:52 PM</t>
  </si>
  <si>
    <t>3/17/2026 10:16:05 PM</t>
  </si>
  <si>
    <t>3/17/2026 6:11:00 AM</t>
  </si>
  <si>
    <t>3/17/2026 1:11:11 PM</t>
  </si>
  <si>
    <t>3/17/2026 1:10:44 PM</t>
  </si>
  <si>
    <t>VRO 1657-0002682 has been Accepted
Note:</t>
  </si>
  <si>
    <t>kw 3.17</t>
  </si>
  <si>
    <t>HP 03/18</t>
  </si>
  <si>
    <t>kw 3/18</t>
  </si>
  <si>
    <t>3/17/2026 4:15:00 PM</t>
  </si>
  <si>
    <t>3/17/2026 11:17:54 PM</t>
  </si>
  <si>
    <t>3/17/2026 11:15:40 PM</t>
  </si>
  <si>
    <t>01657A0000388079</t>
  </si>
  <si>
    <t>3/17/2026 12:22:00 PM</t>
  </si>
  <si>
    <t>3/17/2026 7:24:34 PM</t>
  </si>
  <si>
    <t>3/17/2026 7:24:05 PM</t>
  </si>
  <si>
    <t>VRO 1657-0002746 has been Accepted
Note:</t>
  </si>
  <si>
    <t>ep 3/17/26</t>
  </si>
  <si>
    <t>01657A0000387583</t>
  </si>
  <si>
    <t>3/17/2026 7:41:00 AM</t>
  </si>
  <si>
    <t>3/17/2026 2:42:21 PM</t>
  </si>
  <si>
    <t>3/17/2026 2:41:22 PM</t>
  </si>
  <si>
    <t>VRO 1657-0002694 has been Accepted
Note:</t>
  </si>
  <si>
    <t>3/18/2026 2:29:21 AM</t>
  </si>
  <si>
    <t>3/18/2026 4:28:51 AM</t>
  </si>
  <si>
    <t>DJ 3/18</t>
  </si>
  <si>
    <t>3/17/2026 7:45:00 PM</t>
  </si>
  <si>
    <t>3/18/2026 2:46:13 AM</t>
  </si>
  <si>
    <t>3/18/2026 4:45:29 AM</t>
  </si>
  <si>
    <t>01657A0000387189</t>
  </si>
  <si>
    <t>3/16/2026 11:31:00 AM</t>
  </si>
  <si>
    <t>3/17/2026 12:59:40 AM</t>
  </si>
  <si>
    <t>3/17/2026 12:59:22 AM</t>
  </si>
  <si>
    <t>3/17/2026 8:11:00 AM</t>
  </si>
  <si>
    <t>3/17/2026 3:13:16 PM</t>
  </si>
  <si>
    <t>3/17/2026 3:11:36 PM</t>
  </si>
  <si>
    <t>VRO 1657-0002698 has been Accepted
Note:</t>
  </si>
  <si>
    <t>ep 3/18/26</t>
  </si>
  <si>
    <t>01657A0000387757</t>
  </si>
  <si>
    <t>3/17/2026 9:01:00 AM</t>
  </si>
  <si>
    <t>3/17/2026 4:02:04 PM</t>
  </si>
  <si>
    <t>3/17/2026 4:01:10 PM</t>
  </si>
  <si>
    <t>3/17/2026 8:57:00 AM</t>
  </si>
  <si>
    <t>3/17/2026 3:57:28 PM</t>
  </si>
  <si>
    <t>3/17/2026 3:56:56 PM</t>
  </si>
  <si>
    <t>01657A0000386347</t>
  </si>
  <si>
    <t>3/16/2026 6:44:00 AM</t>
  </si>
  <si>
    <t>3/16/2026 1:44:36 PM</t>
  </si>
  <si>
    <t>3/16/2026 1:44:11 PM</t>
  </si>
  <si>
    <t>OMV SERVICES LLC</t>
  </si>
  <si>
    <t>VRO 1657-0002590 has been Accepted
Note:</t>
  </si>
  <si>
    <t>2NPNHM6X2FM277862</t>
  </si>
  <si>
    <t>3/17/2026 10:08:00 AM</t>
  </si>
  <si>
    <t>3/17/2026 5:15:42 PM</t>
  </si>
  <si>
    <t>3/17/2026 5:11:31 PM</t>
  </si>
  <si>
    <t>VRO 1657-0002717 has been Accepted
Note:</t>
  </si>
  <si>
    <t>EP 3/17/26</t>
  </si>
  <si>
    <t>Fuel Systems</t>
  </si>
  <si>
    <t>1657-0002701</t>
  </si>
  <si>
    <t>3/17/2026 8:25:00 AM</t>
  </si>
  <si>
    <t>3/17/2026 3:25:27 PM</t>
  </si>
  <si>
    <t>3/17/2026 3:24:53 PM</t>
  </si>
  <si>
    <t>VRO 1657-0002701 has been Accepted
Note:</t>
  </si>
  <si>
    <t>01657A0000386748</t>
  </si>
  <si>
    <t>3/16/2026 10:24:00 AM</t>
  </si>
  <si>
    <t>3/16/2026 5:46:19 PM</t>
  </si>
  <si>
    <t>3/16/2026 5:24:47 PM</t>
  </si>
  <si>
    <t>Security System - Cab Alarm Security System - Cab Alarm</t>
  </si>
  <si>
    <t>3/16/2026 4:48:20 AM</t>
  </si>
  <si>
    <t>3/16/2026 8:33:58 PM</t>
  </si>
  <si>
    <t>3/16/2026 8:32:27 PM</t>
  </si>
  <si>
    <t>aa5SOazVcyk2IThzsLh1y3A</t>
  </si>
  <si>
    <t>01657A0000387255</t>
  </si>
  <si>
    <t>No vendor information to follow up on RB 3-18</t>
  </si>
  <si>
    <t>3/17/2026 8:20:00 AM</t>
  </si>
  <si>
    <t>3/17/2026 3:20:20 PM</t>
  </si>
  <si>
    <t>3/17/2026 3:19:52 PM</t>
  </si>
  <si>
    <t>Service completed pending invoice.</t>
  </si>
  <si>
    <t>01657A0000387256</t>
  </si>
  <si>
    <t>01657A0000377480</t>
  </si>
  <si>
    <t>01657A0000388108</t>
  </si>
  <si>
    <t>2NPNHM6X9GM318960</t>
  </si>
  <si>
    <t>1657-0002750</t>
  </si>
  <si>
    <t>3/17/2026 12:39:00 PM</t>
  </si>
  <si>
    <t>3/17/2026 7:40:03 PM</t>
  </si>
  <si>
    <t>3/17/2026 7:39:30 PM</t>
  </si>
  <si>
    <t>01657A0000387586</t>
  </si>
  <si>
    <t>01657A0000387411</t>
  </si>
  <si>
    <t>3/16/2026 3:16:00 PM</t>
  </si>
  <si>
    <t>3/16/2026 10:21:01 PM</t>
  </si>
  <si>
    <t>3/16/2026 10:19:34 PM</t>
  </si>
  <si>
    <t>01657A0000387248</t>
  </si>
  <si>
    <t>Water Pump</t>
  </si>
  <si>
    <t>1657-0002668</t>
  </si>
  <si>
    <t>3/17/2026 3:57:00 AM</t>
  </si>
  <si>
    <t>3/17/2026 10:58:03 AM</t>
  </si>
  <si>
    <t>3/17/2026 10:57:31 AM</t>
  </si>
  <si>
    <t>01657A0000388052</t>
  </si>
  <si>
    <t>1657-0002744</t>
  </si>
  <si>
    <t>3/17/2026 12:09:00 PM</t>
  </si>
  <si>
    <t>3/17/2026 7:10:04 PM</t>
  </si>
  <si>
    <t>3/17/2026 7:09:21 PM</t>
  </si>
  <si>
    <t>01657A0000387802</t>
  </si>
  <si>
    <t>1FTRS4X87LKA67238</t>
  </si>
  <si>
    <t>1657-0002706</t>
  </si>
  <si>
    <t>3/17/2026 4:38:26 PM</t>
  </si>
  <si>
    <t>3/17/2026 3:44:18 PM</t>
  </si>
  <si>
    <t>01657A0000387032</t>
  </si>
  <si>
    <t>3FRNF6HP3DV000020</t>
  </si>
  <si>
    <t>1657-0002640</t>
  </si>
  <si>
    <t>3/16/2026 1:42:00 PM</t>
  </si>
  <si>
    <t>3/16/2026 8:43:05 PM</t>
  </si>
  <si>
    <t>3/16/2026 8:41:47 PM</t>
  </si>
  <si>
    <t>TUMINO S TOWING, INC</t>
  </si>
  <si>
    <t>01657A0000388069</t>
  </si>
  <si>
    <t>1657-0002713</t>
  </si>
  <si>
    <t>3/17/2026 9:32:00 AM</t>
  </si>
  <si>
    <t>3/17/2026 7:18:00 PM</t>
  </si>
  <si>
    <t>3/17/2026 7:17:26 PM</t>
  </si>
  <si>
    <t>01657A0000388938</t>
  </si>
  <si>
    <t>01657A0000388340</t>
  </si>
  <si>
    <t>01657A0000388655</t>
  </si>
  <si>
    <t>1FDXE4FNXTDD20087</t>
  </si>
  <si>
    <t>1657-0002685</t>
  </si>
  <si>
    <t>3/17/2026 6:55:00 AM</t>
  </si>
  <si>
    <t>3/17/2026 1:55:39 PM</t>
  </si>
  <si>
    <t>3/17/2026 1:54:57 PM</t>
  </si>
  <si>
    <t>01657A0000388369</t>
  </si>
  <si>
    <t>Governor - Air</t>
  </si>
  <si>
    <t>01657A0000387820</t>
  </si>
  <si>
    <t>3FRWF65N85V177610</t>
  </si>
  <si>
    <t>1657-0002714</t>
  </si>
  <si>
    <t>3/17/2026 9:48:00 AM</t>
  </si>
  <si>
    <t>3/17/2026 4:48:15 PM</t>
  </si>
  <si>
    <t>3/17/2026 4:47:55 PM</t>
  </si>
  <si>
    <t>SOUTHERN TIRE MART</t>
  </si>
  <si>
    <t>01657A0000387871</t>
  </si>
  <si>
    <t>Cab Or Front Door Mechanism</t>
  </si>
  <si>
    <t>1657-0002720</t>
  </si>
  <si>
    <t>3/17/2026 5:21:04 PM</t>
  </si>
  <si>
    <t>3/17/2026 5:20:34 PM</t>
  </si>
  <si>
    <t>01657A0000387230</t>
  </si>
  <si>
    <t>01657A0000388239</t>
  </si>
  <si>
    <t>1657-0002759</t>
  </si>
  <si>
    <t>3/17/2026 1:48:00 PM</t>
  </si>
  <si>
    <t>3/17/2026 8:49:57 PM</t>
  </si>
  <si>
    <t>3/17/2026 8:48:00 PM</t>
  </si>
  <si>
    <t>01657A0000387153</t>
  </si>
  <si>
    <t>1657-0002653</t>
  </si>
  <si>
    <t>3/16/2026 3:45:00 PM</t>
  </si>
  <si>
    <t>3/16/2026 10:45:29 PM</t>
  </si>
  <si>
    <t>3/16/2026 10:44:40 PM</t>
  </si>
  <si>
    <t>01657A0000387392</t>
  </si>
  <si>
    <t>01657A0000386496</t>
  </si>
  <si>
    <t>1657-0002592</t>
  </si>
  <si>
    <t>3/16/2026 7:52:00 AM</t>
  </si>
  <si>
    <t>3/16/2026 2:53:52 PM</t>
  </si>
  <si>
    <t>3/16/2026 2:52:26 PM</t>
  </si>
  <si>
    <t>JBarnett@ameritfleet.com</t>
  </si>
  <si>
    <t>01657A0000387171</t>
  </si>
  <si>
    <t>1657-0002656</t>
  </si>
  <si>
    <t>3/16/2026 4:45:00 PM</t>
  </si>
  <si>
    <t>3/16/2026 11:45:39 PM</t>
  </si>
  <si>
    <t>3/16/2026 11:45:03 PM</t>
  </si>
  <si>
    <t>01657A0000388024</t>
  </si>
  <si>
    <t>1FDWE3FL8ADA94567</t>
  </si>
  <si>
    <t>1657-0002742</t>
  </si>
  <si>
    <t>3/17/2026 11:50:00 AM</t>
  </si>
  <si>
    <t>3/17/2026 6:52:15 PM</t>
  </si>
  <si>
    <t>3/17/2026 6:50:27 PM</t>
  </si>
  <si>
    <t>ROY &amp; DOT'S TOWING</t>
  </si>
  <si>
    <t>1657-0002710</t>
  </si>
  <si>
    <t>3/17/2026 9:22:00 AM</t>
  </si>
  <si>
    <t>3/17/2026 4:33:57 PM</t>
  </si>
  <si>
    <t>3/17/2026 4:33:36 PM</t>
  </si>
  <si>
    <t>3/16/2026 11:42:00 AM</t>
  </si>
  <si>
    <t>3/17/2026 12:54:43 AM</t>
  </si>
  <si>
    <t>3/17/2026 12:54:15 AM</t>
  </si>
  <si>
    <t>01657A0000386900</t>
  </si>
  <si>
    <t>1FTRS4X89LKA29204</t>
  </si>
  <si>
    <t>1657-0002620</t>
  </si>
  <si>
    <t>3/16/2026 12:15:00 PM</t>
  </si>
  <si>
    <t>3/16/2026 7:15:31 PM</t>
  </si>
  <si>
    <t>3/16/2026 7:14:47 PM</t>
  </si>
  <si>
    <t>01657A0000388355</t>
  </si>
  <si>
    <t>1FTRS4X83LKA29117</t>
  </si>
  <si>
    <t>1657-0002780</t>
  </si>
  <si>
    <t>3/17/2026 5:06:00 PM</t>
  </si>
  <si>
    <t>3/18/2026 12:06:30 AM</t>
  </si>
  <si>
    <t>3/18/2026 12:05:55 AM</t>
  </si>
  <si>
    <t>Contacted vendor for final invoice. Will send when completed</t>
  </si>
  <si>
    <t>01657A0000388034</t>
  </si>
  <si>
    <t>1657-0002743</t>
  </si>
  <si>
    <t>3/17/2026 12:00:00 PM</t>
  </si>
  <si>
    <t>3/17/2026 7:01:30 PM</t>
  </si>
  <si>
    <t>3/17/2026 7:00:33 PM</t>
  </si>
  <si>
    <t>01657A0000387185</t>
  </si>
  <si>
    <t>1657-0002660</t>
  </si>
  <si>
    <t>3/16/2026 5:28:00 PM</t>
  </si>
  <si>
    <t>3/17/2026 12:29:57 AM</t>
  </si>
  <si>
    <t>3/17/2026 12:28:40 AM</t>
  </si>
  <si>
    <t>01657A0000387023</t>
  </si>
  <si>
    <t>1657-0002636</t>
  </si>
  <si>
    <t>3/16/2026 8:29:51 PM</t>
  </si>
  <si>
    <t>3/16/2026 8:29:35 PM</t>
  </si>
  <si>
    <t>1657-0002846</t>
  </si>
  <si>
    <t>1657-0002874</t>
  </si>
  <si>
    <t>1657-0002878</t>
  </si>
  <si>
    <t>1657-0002862</t>
  </si>
  <si>
    <t>1657-0002848</t>
  </si>
  <si>
    <t>1657-0002855</t>
  </si>
  <si>
    <t>1657-0002843</t>
  </si>
  <si>
    <t>1657-0002880</t>
  </si>
  <si>
    <t>1657-0002839</t>
  </si>
  <si>
    <t>1657-0002841</t>
  </si>
  <si>
    <t>1657-0002875</t>
  </si>
  <si>
    <t>1657-0002876</t>
  </si>
  <si>
    <t>1657-0002850</t>
  </si>
  <si>
    <t>1657-0002844</t>
  </si>
  <si>
    <t>1657-0002869</t>
  </si>
  <si>
    <t>1657-0002854</t>
  </si>
  <si>
    <t>1657-0002856</t>
  </si>
  <si>
    <t>1657-0002838</t>
  </si>
  <si>
    <t>1657-0002859</t>
  </si>
  <si>
    <t>1657-0002845</t>
  </si>
  <si>
    <t>1657-0002879</t>
  </si>
  <si>
    <t>1657-0002847</t>
  </si>
  <si>
    <t>1657-0002858</t>
  </si>
  <si>
    <t>3/18/2026 1:59:00 PM</t>
  </si>
  <si>
    <t>3/18/2026 3:47:00 PM</t>
  </si>
  <si>
    <t>3/18/2026 7:34:00 AM</t>
  </si>
  <si>
    <t>3/18/2026 10:54:00 AM</t>
  </si>
  <si>
    <t>3/18/2026 12:50:00 PM</t>
  </si>
  <si>
    <t>3/18/2026 7:39:00 AM</t>
  </si>
  <si>
    <t>3/18/2026 2:37:08 PM</t>
  </si>
  <si>
    <t>1065491034</t>
  </si>
  <si>
    <t>3/18/2026 9:49:00 AM</t>
  </si>
  <si>
    <t>3/18/2026 4:36:12 AM</t>
  </si>
  <si>
    <t>ag0mWiU_AD0-fCSAysmNJGA</t>
  </si>
  <si>
    <t>3/18/2026 12:54:00 PM</t>
  </si>
  <si>
    <t>3/18/2026 6:14:00 PM</t>
  </si>
  <si>
    <t>3/18/2026 2:26:00 PM</t>
  </si>
  <si>
    <t>3/18/2026 3:01:00 PM</t>
  </si>
  <si>
    <t>3/18/2026 1:00:00 PM</t>
  </si>
  <si>
    <t>3/22/2026 12:00:00 AM</t>
  </si>
  <si>
    <t>3/18/2026 7:45:00 AM</t>
  </si>
  <si>
    <t>3/18/2026 6:27:00 PM</t>
  </si>
  <si>
    <t>a_da-qbJT_kKsQj7zC2aggg</t>
  </si>
  <si>
    <t>4/17/2026 12:00:00 AM</t>
  </si>
  <si>
    <t>3/18/2026 6:36:00 AM</t>
  </si>
  <si>
    <t>3/18/2026 1:36:51 PM</t>
  </si>
  <si>
    <t>3/18/2026 1:36:10 PM</t>
  </si>
  <si>
    <t>3/18/2026 10:30:00 AM</t>
  </si>
  <si>
    <t>3/18/2026 5:31:05 PM</t>
  </si>
  <si>
    <t>3/18/2026 5:30:25 PM</t>
  </si>
  <si>
    <t>VRO 1657-0002826 has been Accepted
Note:</t>
  </si>
  <si>
    <t>3/18/2026 1:29:00 PM</t>
  </si>
  <si>
    <t>3/18/2026 8:29:37 PM</t>
  </si>
  <si>
    <t>3/18/2026 8:29:08 PM</t>
  </si>
  <si>
    <t>3/19/2026 1:44:36 AM</t>
  </si>
  <si>
    <t>3/19/2026 1:39:01 AM</t>
  </si>
  <si>
    <t>3/18/2026 10:18:00 AM</t>
  </si>
  <si>
    <t>3/18/2026 5:19:17 PM</t>
  </si>
  <si>
    <t>3/18/2026 5:18:08 PM</t>
  </si>
  <si>
    <t>VRO 1657-0002819 has been Accepted
Note:</t>
  </si>
  <si>
    <t>3/18/2026 10:23:00 AM</t>
  </si>
  <si>
    <t>3/18/2026 5:30:55 PM</t>
  </si>
  <si>
    <t>3/18/2026 5:22:55 PM</t>
  </si>
  <si>
    <t>3/18/2026 7:38:00 AM</t>
  </si>
  <si>
    <t>3/18/2026 2:38:13 PM</t>
  </si>
  <si>
    <t>3/18/2026 2:37:49 PM</t>
  </si>
  <si>
    <t>VRO 1657-0002806 has been Accepted
Note:</t>
  </si>
  <si>
    <t>2/16/2026 3:52:00 AM</t>
  </si>
  <si>
    <t>2/18/2026 2:03:24 PM</t>
  </si>
  <si>
    <t>2/18/2026 2:02:43 PM</t>
  </si>
  <si>
    <t>VRO 1657-0000213 has been Accepted
Note:</t>
  </si>
  <si>
    <t>a90DURxcDkk24n20lhHVYWA</t>
  </si>
  <si>
    <t>1FDWE3FL7ADA94592</t>
  </si>
  <si>
    <t>3/18/2026 3:09:00 PM</t>
  </si>
  <si>
    <t>3/18/2026 11:25:27 PM</t>
  </si>
  <si>
    <t>3/19/2026 1:22:55 AM</t>
  </si>
  <si>
    <t>3/18/2026 10:27:00 AM</t>
  </si>
  <si>
    <t>3/18/2026 5:27:11 PM</t>
  </si>
  <si>
    <t>3/18/2026 5:26:49 PM</t>
  </si>
  <si>
    <t>VRO 1657-0002824 has been Accepted
Note:</t>
  </si>
  <si>
    <t>1HTSCAAM1XH585435</t>
  </si>
  <si>
    <t>3/18/2026 10:22:00 AM</t>
  </si>
  <si>
    <t>3/18/2026 5:22:50 PM</t>
  </si>
  <si>
    <t>3/18/2026 5:22:23 PM</t>
  </si>
  <si>
    <t>VRO 1657-0002821 has been Accepted
Note:</t>
  </si>
  <si>
    <t>3/18/2026 11:35:02 PM</t>
  </si>
  <si>
    <t>3/18/2026 11:34:31 PM</t>
  </si>
  <si>
    <t>VRO 1657-0002683 has been Accepted
Note:</t>
  </si>
  <si>
    <t>4/24/2026 12:00:00 AM</t>
  </si>
  <si>
    <t>3/18/2026 6:37:00 PM</t>
  </si>
  <si>
    <t>3/19/2026 1:37:56 AM</t>
  </si>
  <si>
    <t>3/19/2026 1:36:59 AM</t>
  </si>
  <si>
    <t>4/11/2026 12:00:00 AM</t>
  </si>
  <si>
    <t>VRO 1657-0002876 has been Accepted
Note:</t>
  </si>
  <si>
    <t>3/18/2026 10:29:00 AM</t>
  </si>
  <si>
    <t>3/18/2026 5:29:01 PM</t>
  </si>
  <si>
    <t>3/18/2026 5:28:37 PM</t>
  </si>
  <si>
    <t>VRO 1657-0002825 has been Accepted
Note:</t>
  </si>
  <si>
    <t>3/18/2026 12:04:00 PM</t>
  </si>
  <si>
    <t>3/18/2026 7:04:14 PM</t>
  </si>
  <si>
    <t>3/18/2026 7:03:53 PM</t>
  </si>
  <si>
    <t>3/18/2026 6:08:00 AM</t>
  </si>
  <si>
    <t>3/18/2026 1:08:36 PM</t>
  </si>
  <si>
    <t>3/18/2026 1:08:07 PM</t>
  </si>
  <si>
    <t>VRO 1657-0002801 has been Accepted
Note:</t>
  </si>
  <si>
    <t>3/18/2026 5:17:00 PM</t>
  </si>
  <si>
    <t>3/19/2026 12:16:58 AM</t>
  </si>
  <si>
    <t>3/19/2026 2:16:35 AM</t>
  </si>
  <si>
    <t>3/18/2026 10:36:21 PM</t>
  </si>
  <si>
    <t>3/18/2026 10:35:47 PM</t>
  </si>
  <si>
    <t>1657-0000928</t>
  </si>
  <si>
    <t>1657-0003478</t>
  </si>
  <si>
    <t>3/18/2026 7:58:00 PM</t>
  </si>
  <si>
    <t>3/19/2026 2:58:06 AM</t>
  </si>
  <si>
    <t>3/19/2026 4:57:39 AM</t>
  </si>
  <si>
    <t>3/18/2026 12:37:00 PM</t>
  </si>
  <si>
    <t>3/18/2026 7:38:55 PM</t>
  </si>
  <si>
    <t>3/18/2026 7:38:06 PM</t>
  </si>
  <si>
    <t>3/18/2026 5:59:00 PM</t>
  </si>
  <si>
    <t>3/19/2026 12:59:19 AM</t>
  </si>
  <si>
    <t>3/19/2026 12:58:51 AM</t>
  </si>
  <si>
    <t>3/18/2026 7:51:00 PM</t>
  </si>
  <si>
    <t>3/19/2026 2:51:53 AM</t>
  </si>
  <si>
    <t>3/19/2026 4:51:08 AM</t>
  </si>
  <si>
    <t>3/18/2026 4:31:00 PM</t>
  </si>
  <si>
    <t>3/18/2026 11:31:57 PM</t>
  </si>
  <si>
    <t>3/18/2026 11:30:59 PM</t>
  </si>
  <si>
    <t>3/19/2026 12:11:45 AM</t>
  </si>
  <si>
    <t>3/19/2026 2:11:24 AM</t>
  </si>
  <si>
    <t>1FTRS4X86MKA25614</t>
  </si>
  <si>
    <t>3/18/2026 6:44:00 AM</t>
  </si>
  <si>
    <t>3/18/2026 1:49:35 PM</t>
  </si>
  <si>
    <t>3/18/2026 1:44:11 PM</t>
  </si>
  <si>
    <t>01657A0000389440</t>
  </si>
  <si>
    <t>3/18/2026 2:05:00 PM</t>
  </si>
  <si>
    <t>3/18/2026 9:08:43 PM</t>
  </si>
  <si>
    <t>3/18/2026 9:05:19 PM</t>
  </si>
  <si>
    <t>VRO 1657-0002848 has been Accepted
Note:</t>
  </si>
  <si>
    <t>01657A0000388492</t>
  </si>
  <si>
    <t>3/18/2026 5:19:00 AM</t>
  </si>
  <si>
    <t>3/18/2026 12:20:17 PM</t>
  </si>
  <si>
    <t>3/18/2026 1:19:23 PM</t>
  </si>
  <si>
    <t>VRO 1657-0002793 has been Accepted
Note: NA</t>
  </si>
  <si>
    <t>1657-0004278</t>
  </si>
  <si>
    <t>01657A0000389222</t>
  </si>
  <si>
    <t>3/18/2026 11:58:00 AM</t>
  </si>
  <si>
    <t>3/18/2026 7:02:49 PM</t>
  </si>
  <si>
    <t>3/18/2026 6:58:16 PM</t>
  </si>
  <si>
    <t>01657A0000389337</t>
  </si>
  <si>
    <t>3/18/2026 12:32:00 PM</t>
  </si>
  <si>
    <t>3/18/2026 7:41:43 PM</t>
  </si>
  <si>
    <t>3/18/2026 7:31:37 PM</t>
  </si>
  <si>
    <t>4/10/2026 12:00:00 AM</t>
  </si>
  <si>
    <t>VRO 1657-0002839 has been Accepted
Note:</t>
  </si>
  <si>
    <t>VRO 1657-0000819 has been Accepted
Note:</t>
  </si>
  <si>
    <t>hp 03/18</t>
  </si>
  <si>
    <t>01657A0000388478</t>
  </si>
  <si>
    <t>2NPNHM6X1GM318998</t>
  </si>
  <si>
    <t>3/18/2026 5:04:00 AM</t>
  </si>
  <si>
    <t>3/18/2026 12:05:25 PM</t>
  </si>
  <si>
    <t>3/18/2026 1:04:51 PM</t>
  </si>
  <si>
    <t>VRO 1657-0002791 has been Accepted
Note: NA</t>
  </si>
  <si>
    <t>01657A0000389496</t>
  </si>
  <si>
    <t>1FTRS4X86LKA29208</t>
  </si>
  <si>
    <t>3/18/2026 10:01:55 PM</t>
  </si>
  <si>
    <t>3/18/2026 10:01:20 PM</t>
  </si>
  <si>
    <t>VRO 1657-0002856 has been Accepted
Note:</t>
  </si>
  <si>
    <t>GARDA - OAKLAND, CA 12041</t>
  </si>
  <si>
    <t>01657A0000388974</t>
  </si>
  <si>
    <t>1FDWE3FL4ADA94601</t>
  </si>
  <si>
    <t>3/18/2026 9:44:00 AM</t>
  </si>
  <si>
    <t>3/18/2026 4:44:18 PM</t>
  </si>
  <si>
    <t>3/18/2026 4:43:41 PM</t>
  </si>
  <si>
    <t>VRO 1657-0002816 has been Accepted
Note:</t>
  </si>
  <si>
    <t>JShaeffer@ameritfleet.com</t>
  </si>
  <si>
    <t>VRO 1657-0002025 has been Accepted
Note:</t>
  </si>
  <si>
    <t>VRO 1657-0002663 has been Accepted
Note:</t>
  </si>
  <si>
    <t>01657A0000389207</t>
  </si>
  <si>
    <t>3/18/2026 11:36:00 AM</t>
  </si>
  <si>
    <t>3/18/2026 6:55:26 PM</t>
  </si>
  <si>
    <t>3/18/2026 6:35:53 PM</t>
  </si>
  <si>
    <t>VRO 1657-0002835 has been Accepted
Note:</t>
  </si>
  <si>
    <t>01657A0000376891</t>
  </si>
  <si>
    <t>1657-0000216</t>
  </si>
  <si>
    <t>2/16/2026 4:20:00 AM</t>
  </si>
  <si>
    <t>2/18/2026 2:02:17 PM</t>
  </si>
  <si>
    <t>2/18/2026 2:01:55 PM</t>
  </si>
  <si>
    <t>agcADU5neDkOh5pTFlb19-g</t>
  </si>
  <si>
    <t>01657A0000388763</t>
  </si>
  <si>
    <t>1657-0002809</t>
  </si>
  <si>
    <t>3/18/2026 7:50:00 AM</t>
  </si>
  <si>
    <t>3/18/2026 2:51:16 PM</t>
  </si>
  <si>
    <t>3/18/2026 2:51:00 PM</t>
  </si>
  <si>
    <t>01657A0000389103</t>
  </si>
  <si>
    <t>1FDWE3FL4ADA94615</t>
  </si>
  <si>
    <t>3/18/2026 10:26:00 AM</t>
  </si>
  <si>
    <t>3/18/2026 5:29:12 PM</t>
  </si>
  <si>
    <t>3/18/2026 5:26:20 PM</t>
  </si>
  <si>
    <t>1FTRS4X87PKA91576</t>
  </si>
  <si>
    <t>01657A0000366451</t>
  </si>
  <si>
    <t>2/19/2026 7:47:00 AM</t>
  </si>
  <si>
    <t>2/24/2026 3:16:01 PM</t>
  </si>
  <si>
    <t>2/24/2026 3:15:06 PM</t>
  </si>
  <si>
    <t>01657A0000388837</t>
  </si>
  <si>
    <t>3/18/2026 8:30:00 AM</t>
  </si>
  <si>
    <t>3/18/2026 3:31:38 PM</t>
  </si>
  <si>
    <t>3/18/2026 3:31:06 PM</t>
  </si>
  <si>
    <t>01657A0000388714</t>
  </si>
  <si>
    <t>1657-0002804</t>
  </si>
  <si>
    <t>3/18/2026 7:15:00 AM</t>
  </si>
  <si>
    <t>3/18/2026 2:24:57 PM</t>
  </si>
  <si>
    <t>3/18/2026 2:15:53 PM</t>
  </si>
  <si>
    <t>01657A0000388877</t>
  </si>
  <si>
    <t>3/18/2026 8:43:00 AM</t>
  </si>
  <si>
    <t>3/18/2026 3:49:49 PM</t>
  </si>
  <si>
    <t>3/18/2026 3:43:20 PM</t>
  </si>
  <si>
    <t>01657A0000389330</t>
  </si>
  <si>
    <t>1657-0002842</t>
  </si>
  <si>
    <t>3/18/2026 12:44:00 PM</t>
  </si>
  <si>
    <t>3/18/2026 7:56:48 PM</t>
  </si>
  <si>
    <t>3/18/2026 7:44:08 PM</t>
  </si>
  <si>
    <t>01657A0000389545</t>
  </si>
  <si>
    <t>3/18/2026 8:23:00 AM</t>
  </si>
  <si>
    <t>3/18/2026 11:11:53 PM</t>
  </si>
  <si>
    <t>3/18/2026 11:10:51 PM</t>
  </si>
  <si>
    <t>01657A0000389324</t>
  </si>
  <si>
    <t>3/18/2026 7:54:37 PM</t>
  </si>
  <si>
    <t>3/18/2026 4:29:48 PM</t>
  </si>
  <si>
    <t>01657A0000389036</t>
  </si>
  <si>
    <t>1657-0002800</t>
  </si>
  <si>
    <t>3/18/2026 6:02:00 AM</t>
  </si>
  <si>
    <t>3/18/2026 1:03:11 PM</t>
  </si>
  <si>
    <t>3/18/2026 1:02:32 PM</t>
  </si>
  <si>
    <t>01657A0000389259</t>
  </si>
  <si>
    <t>Vehicle diagnosed but couldnt be repaired. called Ford dealer to have done. new VRO to follow</t>
  </si>
  <si>
    <t>01657A0000389577</t>
  </si>
  <si>
    <t>01657A0000389107</t>
  </si>
  <si>
    <t>1FDWE35L97DB27733</t>
  </si>
  <si>
    <t>3/18/2026 10:59:00 AM</t>
  </si>
  <si>
    <t>3/18/2026 5:59:58 PM</t>
  </si>
  <si>
    <t>3/18/2026 5:59:08 PM</t>
  </si>
  <si>
    <t>ROB S AUTOMOTIVE AND COLLISION CENTER,</t>
  </si>
  <si>
    <t>01657A0000389490</t>
  </si>
  <si>
    <t>1657-0002857</t>
  </si>
  <si>
    <t>3/18/2026 3:03:00 PM</t>
  </si>
  <si>
    <t>3/18/2026 10:04:01 PM</t>
  </si>
  <si>
    <t>3/18/2026 10:03:01 PM</t>
  </si>
  <si>
    <t>01657A0000388516</t>
  </si>
  <si>
    <t>1657-0002796</t>
  </si>
  <si>
    <t>3/18/2026 5:41:00 AM</t>
  </si>
  <si>
    <t>3/18/2026 12:42:05 PM</t>
  </si>
  <si>
    <t>3/18/2026 12:41:23 PM</t>
  </si>
  <si>
    <t>01657A0000389566</t>
  </si>
  <si>
    <t>1657-0002867</t>
  </si>
  <si>
    <t>3/18/2026 5:11:00 PM</t>
  </si>
  <si>
    <t>3/19/2026 12:11:49 AM</t>
  </si>
  <si>
    <t>3/19/2026 12:10:45 AM</t>
  </si>
  <si>
    <t>01657A0000389568</t>
  </si>
  <si>
    <t>1657-0002868</t>
  </si>
  <si>
    <t>3/18/2026 5:16:00 PM</t>
  </si>
  <si>
    <t>3/19/2026 12:17:04 AM</t>
  </si>
  <si>
    <t>3/19/2026 12:16:14 AM</t>
  </si>
  <si>
    <t>No change in ETC</t>
  </si>
  <si>
    <t>hp 03/19</t>
  </si>
  <si>
    <t>VRO 1657-0001789 has been Accepted
Note:</t>
  </si>
  <si>
    <t>DJ 3/19</t>
  </si>
  <si>
    <t>HP 03/19</t>
  </si>
  <si>
    <t>EP 3/19/26</t>
  </si>
  <si>
    <t>01657A0000390316</t>
  </si>
  <si>
    <t>01657A0000390388</t>
  </si>
  <si>
    <t>01657A0000390458</t>
  </si>
  <si>
    <t>3/19/2026 3:10:38 PM</t>
  </si>
  <si>
    <t>3/19/2026 3:10:10 PM</t>
  </si>
  <si>
    <t>01657A0000390499</t>
  </si>
  <si>
    <t>3/19/2026 6:06:32 PM</t>
  </si>
  <si>
    <t>3/19/2026 5:54:14 PM</t>
  </si>
  <si>
    <t>3/19/2026 6:51:18 PM</t>
  </si>
  <si>
    <t>3/19/2026 6:44:08 PM</t>
  </si>
  <si>
    <t>3/19/2026 6:07:15 PM</t>
  </si>
  <si>
    <t>3/19/2026 8:04:58 PM</t>
  </si>
  <si>
    <t>VRO 1657-0002869 has been Accepted
Note:</t>
  </si>
  <si>
    <t>01657A0000390930</t>
  </si>
  <si>
    <t>pending Tax cor.</t>
  </si>
  <si>
    <t>VRO 1657-0002758 has been Accepted
Note:</t>
  </si>
  <si>
    <t>01657A0000390820</t>
  </si>
  <si>
    <t>01657A0000390798</t>
  </si>
  <si>
    <t>GARDA SHOPNAME</t>
  </si>
  <si>
    <t>UNIT #</t>
  </si>
  <si>
    <t>UNIT TYPE</t>
  </si>
  <si>
    <t>GAR-16-110</t>
  </si>
  <si>
    <t>GAR-16-113</t>
  </si>
  <si>
    <t>GAR-21-009U</t>
  </si>
  <si>
    <t>GAR-18-161</t>
  </si>
  <si>
    <t>GAR-21-004U</t>
  </si>
  <si>
    <t>GAR-96172</t>
  </si>
  <si>
    <t>GAR-3430</t>
  </si>
  <si>
    <t>GAR-8725</t>
  </si>
  <si>
    <t>TRACTOR</t>
  </si>
  <si>
    <t>GAR-5902</t>
  </si>
  <si>
    <t>GAR-8721</t>
  </si>
  <si>
    <t>GAR-4960</t>
  </si>
  <si>
    <t>GAR-4952</t>
  </si>
  <si>
    <t>GAR-114101</t>
  </si>
  <si>
    <t>GAR-8723</t>
  </si>
  <si>
    <t>GAR-22-050U</t>
  </si>
  <si>
    <t>GAR-738A</t>
  </si>
  <si>
    <t>GAR-24-005U</t>
  </si>
  <si>
    <t>GAR-22-049U</t>
  </si>
  <si>
    <t>GAR-21-001U</t>
  </si>
  <si>
    <t>GAR-4334</t>
  </si>
  <si>
    <t>GAR-4996</t>
  </si>
  <si>
    <t>GAR-21-010U</t>
  </si>
  <si>
    <t>GAR-6306</t>
  </si>
  <si>
    <t>GAR-4984</t>
  </si>
  <si>
    <t>GAR-24-002U</t>
  </si>
  <si>
    <t>GAR-497</t>
  </si>
  <si>
    <t>GAR-570</t>
  </si>
  <si>
    <t>GAR-582B</t>
  </si>
  <si>
    <t>GAR-4990</t>
  </si>
  <si>
    <t>GAR-21-003U</t>
  </si>
  <si>
    <t>GAR-172</t>
  </si>
  <si>
    <t>GAR-22-053U</t>
  </si>
  <si>
    <t>GAR-4254</t>
  </si>
  <si>
    <t>GAR-4998</t>
  </si>
  <si>
    <t>GAR-4962</t>
  </si>
  <si>
    <t>GAR-6628</t>
  </si>
  <si>
    <t>GAR-22-052U</t>
  </si>
  <si>
    <t>GAR-3056</t>
  </si>
  <si>
    <t>GAR-6704</t>
  </si>
  <si>
    <t>GAR-4330</t>
  </si>
  <si>
    <t>GAR-3740</t>
  </si>
  <si>
    <t>GAR-2996</t>
  </si>
  <si>
    <t>GAR-24-006U</t>
  </si>
  <si>
    <t>GAR-24-004U</t>
  </si>
  <si>
    <t>GAR-25-011U</t>
  </si>
  <si>
    <t>GAR-15-062</t>
  </si>
  <si>
    <t>GAR-15-035</t>
  </si>
  <si>
    <t>GAR-4954</t>
  </si>
  <si>
    <t>GAR-6706</t>
  </si>
  <si>
    <t>GAR-3730</t>
  </si>
  <si>
    <t>GAR-22-051U</t>
  </si>
  <si>
    <t>GAR-4096</t>
  </si>
  <si>
    <t>GAR-4270</t>
  </si>
  <si>
    <t>GAR-T6</t>
  </si>
  <si>
    <t>GAR-3050</t>
  </si>
  <si>
    <t>GAR-5900</t>
  </si>
  <si>
    <t>GAR-3518</t>
  </si>
  <si>
    <t>GAR-6626</t>
  </si>
  <si>
    <t>GAR-4114</t>
  </si>
  <si>
    <t>GAR-6892</t>
  </si>
  <si>
    <t>GAR-5126</t>
  </si>
  <si>
    <t>GAR-21-006U</t>
  </si>
  <si>
    <t>GAR-22-054U</t>
  </si>
  <si>
    <t>GAR-25-012U</t>
  </si>
  <si>
    <t>GAR-25-010U</t>
  </si>
  <si>
    <t>GAR-24-014U</t>
  </si>
  <si>
    <t>GAR-6868</t>
  </si>
  <si>
    <t>GAR-16-109</t>
  </si>
  <si>
    <t>GAR-18-147</t>
  </si>
  <si>
    <t>GAR-18-124</t>
  </si>
  <si>
    <t>GAR-21-008U</t>
  </si>
  <si>
    <t>GAR-16-008</t>
  </si>
  <si>
    <t>GAR-21-007U</t>
  </si>
  <si>
    <t>GAR-16-112</t>
  </si>
  <si>
    <t>GAR-20-086U</t>
  </si>
  <si>
    <t>GAR-18-125</t>
  </si>
  <si>
    <t>GAR-17-040</t>
  </si>
  <si>
    <t>GAR-16-111</t>
  </si>
  <si>
    <t>GAR-20-088U</t>
  </si>
  <si>
    <t>GAR-18-020</t>
  </si>
  <si>
    <t>GAR-20-087U</t>
  </si>
  <si>
    <t>GAR-17-034</t>
  </si>
  <si>
    <t>GAR-17-039</t>
  </si>
  <si>
    <t>GAR-16-103</t>
  </si>
  <si>
    <t>GAR-8943</t>
  </si>
  <si>
    <t>GARDA - NEEDHAM &amp; COIN, MA 14423</t>
  </si>
  <si>
    <t>3/19/2026 10:33:12 PM</t>
  </si>
  <si>
    <t>3/20/2026 12:28:39 AM</t>
  </si>
  <si>
    <t>kw 3/19</t>
  </si>
  <si>
    <t>VRO 1657-0002160 has been Accepted
Note:</t>
  </si>
  <si>
    <t>01657A0000391084</t>
  </si>
  <si>
    <t>01657A0000391103</t>
  </si>
  <si>
    <t>01657A0000391261</t>
  </si>
  <si>
    <t>1657-0003003</t>
  </si>
  <si>
    <t>3/20/2026 3:50:48 AM</t>
  </si>
  <si>
    <t>aCVrUSCh_-EC0NFwtCKWJxA</t>
  </si>
  <si>
    <t>1657-0002960</t>
  </si>
  <si>
    <t>3/19/2026 2:30:00 PM</t>
  </si>
  <si>
    <t>1657-0002913</t>
  </si>
  <si>
    <t>3/19/2026 7:32:00 AM</t>
  </si>
  <si>
    <t>1657-0002908</t>
  </si>
  <si>
    <t>3/19/2026 6:15:23 AM</t>
  </si>
  <si>
    <t>a8QHWKk4320CC2rekS7arTQ</t>
  </si>
  <si>
    <t>1657-0002966</t>
  </si>
  <si>
    <t>3/19/2026 2:50:06 PM</t>
  </si>
  <si>
    <t>alJzAXf0MyUGnIZS36zJpUA</t>
  </si>
  <si>
    <t>1657-0002906</t>
  </si>
  <si>
    <t>3/19/2026 6:19:03 AM</t>
  </si>
  <si>
    <t>1066217362</t>
  </si>
  <si>
    <t>1657-0002981</t>
  </si>
  <si>
    <t>3/19/2026 4:12:56 PM</t>
  </si>
  <si>
    <t>1066714849</t>
  </si>
  <si>
    <t>1657-0002985</t>
  </si>
  <si>
    <t>3/19/2026 5:53:15 PM</t>
  </si>
  <si>
    <t>1657-0002892</t>
  </si>
  <si>
    <t>3/19/2026 5:17:04 AM</t>
  </si>
  <si>
    <t>1066141163</t>
  </si>
  <si>
    <t>1657-0002943</t>
  </si>
  <si>
    <t>3/19/2026 11:55:15 AM</t>
  </si>
  <si>
    <t>1066477356</t>
  </si>
  <si>
    <t>1657-0002885</t>
  </si>
  <si>
    <t>3/19/2026 4:42:26 AM</t>
  </si>
  <si>
    <t>1066094920</t>
  </si>
  <si>
    <t>1657-0003001</t>
  </si>
  <si>
    <t>3/20/2026 3:41:21 AM</t>
  </si>
  <si>
    <t>aFv6Vz-NQXku2OpqVm_JLFQ</t>
  </si>
  <si>
    <t>1FTRS4X88MKA25629</t>
  </si>
  <si>
    <t>1657-0002916</t>
  </si>
  <si>
    <t>3/19/2026 7:43:00 AM</t>
  </si>
  <si>
    <t>1657-0002974</t>
  </si>
  <si>
    <t>3/19/2026 4:17:00 PM</t>
  </si>
  <si>
    <t>1657-0003002</t>
  </si>
  <si>
    <t>3/20/2026 3:44:49 AM</t>
  </si>
  <si>
    <t>aKPEs1J__mEW4h68KhQdyqQ</t>
  </si>
  <si>
    <t>1657-0002915</t>
  </si>
  <si>
    <t>3/19/2026 7:41:00 AM</t>
  </si>
  <si>
    <t>1657-0002942</t>
  </si>
  <si>
    <t>3/19/2026 11:46:59 AM</t>
  </si>
  <si>
    <t>1066470692</t>
  </si>
  <si>
    <t>1657-0002903</t>
  </si>
  <si>
    <t>3/19/2026 9:31:00 AM</t>
  </si>
  <si>
    <t>1657-0002883</t>
  </si>
  <si>
    <t>3/19/2026 4:21:13 AM</t>
  </si>
  <si>
    <t>1066065400</t>
  </si>
  <si>
    <t>1657-0002899</t>
  </si>
  <si>
    <t>3/19/2026 5:33:00 AM</t>
  </si>
  <si>
    <t>aq39vQb0kJk-KVh4_QxiqBg</t>
  </si>
  <si>
    <t>1657-0002910</t>
  </si>
  <si>
    <t>3/19/2026 7:22:00 AM</t>
  </si>
  <si>
    <t>1657-0002939</t>
  </si>
  <si>
    <t>3/19/2026 11:29:00 AM</t>
  </si>
  <si>
    <t>3/19/2026 6:30:01 PM</t>
  </si>
  <si>
    <t>3/19/2026 6:29:20 PM</t>
  </si>
  <si>
    <t>VRO 1657-0002939 has been Accepted
Note:</t>
  </si>
  <si>
    <t>1657-0002927</t>
  </si>
  <si>
    <t>3/19/2026 9:29:00 AM</t>
  </si>
  <si>
    <t>3/20/2026 1:06:23 AM</t>
  </si>
  <si>
    <t>3/20/2026 1:05:36 AM</t>
  </si>
  <si>
    <t>1657-0002979</t>
  </si>
  <si>
    <t>3/19/2026 4:30:00 PM</t>
  </si>
  <si>
    <t>3/19/2026 11:30:31 PM</t>
  </si>
  <si>
    <t>3/19/2026 11:29:59 PM</t>
  </si>
  <si>
    <t>VRO 1657-0002979 has been Accepted
Note:</t>
  </si>
  <si>
    <t>2NPNHM6X2JM464222</t>
  </si>
  <si>
    <t>1657-0002977</t>
  </si>
  <si>
    <t>3/19/2026 4:26:00 PM</t>
  </si>
  <si>
    <t>3/19/2026 11:26:39 PM</t>
  </si>
  <si>
    <t>3/19/2026 11:26:04 PM</t>
  </si>
  <si>
    <t>1657-0002991</t>
  </si>
  <si>
    <t>3/19/2026 6:43:00 PM</t>
  </si>
  <si>
    <t>3/20/2026 1:44:10 AM</t>
  </si>
  <si>
    <t>3/21/2026 1:43:12 AM</t>
  </si>
  <si>
    <t>VRO 1657-0002991 has been Accepted
Note:</t>
  </si>
  <si>
    <t>2NPNHM6X3HM319099</t>
  </si>
  <si>
    <t>1657-0002926</t>
  </si>
  <si>
    <t>3/19/2026 9:17:00 AM</t>
  </si>
  <si>
    <t>3/19/2026 4:25:33 PM</t>
  </si>
  <si>
    <t>3/19/2026 4:17:30 PM</t>
  </si>
  <si>
    <t>1657-0002989</t>
  </si>
  <si>
    <t>3/19/2026 6:17:00 PM</t>
  </si>
  <si>
    <t>3/20/2026 1:17:48 AM</t>
  </si>
  <si>
    <t>3/23/2026 1:16:58 AM</t>
  </si>
  <si>
    <t>1FDWE35L27DA38537</t>
  </si>
  <si>
    <t>1657-0002951</t>
  </si>
  <si>
    <t>3/19/2026 1:13:00 PM</t>
  </si>
  <si>
    <t>3/19/2026 8:33:38 PM</t>
  </si>
  <si>
    <t>3/19/2026 10:13:12 PM</t>
  </si>
  <si>
    <t>Part on back order until 03/23/2026</t>
  </si>
  <si>
    <t>3/20/2026 12:40:20 AM</t>
  </si>
  <si>
    <t>3/20/2026 12:40:05 AM</t>
  </si>
  <si>
    <t>1657-0002992</t>
  </si>
  <si>
    <t>3/19/2026 6:47:00 PM</t>
  </si>
  <si>
    <t>3/20/2026 1:48:38 AM</t>
  </si>
  <si>
    <t>3/22/2026 1:47:23 AM</t>
  </si>
  <si>
    <t>VRO 1657-0002992 has been Accepted
Note:</t>
  </si>
  <si>
    <t>1657-0001066</t>
  </si>
  <si>
    <t>2/26/2026 6:36:00 AM</t>
  </si>
  <si>
    <t>3/20/2026 5:16:29 AM</t>
  </si>
  <si>
    <t>3/20/2026 5:15:27 AM</t>
  </si>
  <si>
    <t>1657-0002987</t>
  </si>
  <si>
    <t>3/19/2026 6:13:00 PM</t>
  </si>
  <si>
    <t>3/20/2026 1:13:35 AM</t>
  </si>
  <si>
    <t>3/21/2026 1:12:58 AM</t>
  </si>
  <si>
    <t>VRO 1657-0002987 has been Accepted
Note:</t>
  </si>
  <si>
    <t>1657-0002935</t>
  </si>
  <si>
    <t>3/19/2026 11:13:00 AM</t>
  </si>
  <si>
    <t>3/19/2026 6:18:11 PM</t>
  </si>
  <si>
    <t>3/19/2026 6:12:53 PM</t>
  </si>
  <si>
    <t>2NPNHM6X1HM319070</t>
  </si>
  <si>
    <t>1657-0002975</t>
  </si>
  <si>
    <t>3/19/2026 4:21:00 PM</t>
  </si>
  <si>
    <t>3/19/2026 11:23:55 PM</t>
  </si>
  <si>
    <t>3/19/2026 11:21:19 PM</t>
  </si>
  <si>
    <t>VRO 1657-0002975 has been Accepted
Note:</t>
  </si>
  <si>
    <t>1657-0002925</t>
  </si>
  <si>
    <t>3/19/2026 9:15:00 AM</t>
  </si>
  <si>
    <t>3/19/2026 4:16:00 PM</t>
  </si>
  <si>
    <t>3/19/2026 4:15:25 PM</t>
  </si>
  <si>
    <t>VRO 1657-0002925 has been Accepted
Note:</t>
  </si>
  <si>
    <t>1FTSE3EL3CDA06788</t>
  </si>
  <si>
    <t>1657-0002978</t>
  </si>
  <si>
    <t>3/19/2026 4:28:00 PM</t>
  </si>
  <si>
    <t>3/19/2026 11:28:23 PM</t>
  </si>
  <si>
    <t>3/19/2026 11:27:56 PM</t>
  </si>
  <si>
    <t>1657-0002980</t>
  </si>
  <si>
    <t>3/19/2026 4:55:00 PM</t>
  </si>
  <si>
    <t>3/20/2026 12:00:28 AM</t>
  </si>
  <si>
    <t>3/19/2026 11:55:25 PM</t>
  </si>
  <si>
    <t>1657-0002984</t>
  </si>
  <si>
    <t>3/19/2026 5:27:00 PM</t>
  </si>
  <si>
    <t>3/20/2026 1:10:10 AM</t>
  </si>
  <si>
    <t>3/22/2026 12:26:43 AM</t>
  </si>
  <si>
    <t>VRO 1657-0002984 has been Accepted
Note:</t>
  </si>
  <si>
    <t>1657-0002936</t>
  </si>
  <si>
    <t>3/19/2026 11:16:00 AM</t>
  </si>
  <si>
    <t>3/19/2026 6:21:43 PM</t>
  </si>
  <si>
    <t>3/19/2026 6:18:15 PM</t>
  </si>
  <si>
    <t>1657-0002986</t>
  </si>
  <si>
    <t>3/20/2026 1:14:41 AM</t>
  </si>
  <si>
    <t>3/20/2026 1:12:52 AM</t>
  </si>
  <si>
    <t>1657-0002976</t>
  </si>
  <si>
    <t>3/19/2026 11:26:47 PM</t>
  </si>
  <si>
    <t>3/20/2026 1:25:59 AM</t>
  </si>
  <si>
    <t>1657-0002967</t>
  </si>
  <si>
    <t>3/19/2026 3:22:00 PM</t>
  </si>
  <si>
    <t>3/19/2026 10:23:03 PM</t>
  </si>
  <si>
    <t>3/19/2026 10:21:39 PM</t>
  </si>
  <si>
    <t>1657-0002962</t>
  </si>
  <si>
    <t>3/19/2026 2:37:00 PM</t>
  </si>
  <si>
    <t>3/19/2026 9:40:24 PM</t>
  </si>
  <si>
    <t>3/19/2026 9:38:59 PM</t>
  </si>
  <si>
    <t>COMPLETED 3/4</t>
  </si>
  <si>
    <t>1657-0002902</t>
  </si>
  <si>
    <t>3/19/2026 6:15:00 AM</t>
  </si>
  <si>
    <t>3/19/2026 1:16:18 PM</t>
  </si>
  <si>
    <t>3/19/2026 1:15:02 PM</t>
  </si>
  <si>
    <t>01657A0000390197</t>
  </si>
  <si>
    <t>1657-0002900</t>
  </si>
  <si>
    <t>3/19/2026 6:06:00 AM</t>
  </si>
  <si>
    <t>3/19/2026 1:06:22 PM</t>
  </si>
  <si>
    <t>3/19/2026 1:05:56 PM</t>
  </si>
  <si>
    <t>VRO 1657-0002900 has been Accepted
Note:</t>
  </si>
  <si>
    <t>01657A0000390901</t>
  </si>
  <si>
    <t>1657-0002938</t>
  </si>
  <si>
    <t>3/19/2026 11:26:00 AM</t>
  </si>
  <si>
    <t>3/19/2026 6:27:22 PM</t>
  </si>
  <si>
    <t>3/19/2026 6:26:36 PM</t>
  </si>
  <si>
    <t>01657A0000391314</t>
  </si>
  <si>
    <t>1657-0002999</t>
  </si>
  <si>
    <t>3/19/2026 11:21:00 PM</t>
  </si>
  <si>
    <t>3/20/2026 6:21:55 AM</t>
  </si>
  <si>
    <t>3/20/2026 6:21:10 AM</t>
  </si>
  <si>
    <t>01657A0000391298</t>
  </si>
  <si>
    <t>VRO 1657-0001217 has been Accepted
Note:</t>
  </si>
  <si>
    <t>01657A0000390210</t>
  </si>
  <si>
    <t>1657-0002901</t>
  </si>
  <si>
    <t>3/19/2026 6:11:00 AM</t>
  </si>
  <si>
    <t>3/19/2026 1:12:07 PM</t>
  </si>
  <si>
    <t>3/19/2026 1:11:33 PM</t>
  </si>
  <si>
    <t>VRO 1657-0002901 has been Accepted
Note:</t>
  </si>
  <si>
    <t>01657A0000391115</t>
  </si>
  <si>
    <t>1657-0002952</t>
  </si>
  <si>
    <t>3/19/2026 1:34:00 PM</t>
  </si>
  <si>
    <t>3/19/2026 8:34:53 PM</t>
  </si>
  <si>
    <t>3/19/2026 8:34:07 PM</t>
  </si>
  <si>
    <t>01657A0000390909</t>
  </si>
  <si>
    <t>1657-0002940</t>
  </si>
  <si>
    <t>3/19/2026 11:33:00 AM</t>
  </si>
  <si>
    <t>3/19/2026 6:33:02 PM</t>
  </si>
  <si>
    <t>3/19/2026 6:32:41 PM</t>
  </si>
  <si>
    <t>01657A0000391287</t>
  </si>
  <si>
    <t>Wheels, Rims &amp; Bearings Diagnostics</t>
  </si>
  <si>
    <t>1657-0002990</t>
  </si>
  <si>
    <t>3/19/2026 6:21:00 PM</t>
  </si>
  <si>
    <t>3/20/2026 1:22:57 AM</t>
  </si>
  <si>
    <t>3/20/2026 1:21:14 AM</t>
  </si>
  <si>
    <t>VRO 1657-0002990 has been Accepted
Note:</t>
  </si>
  <si>
    <t>01657A0000391056</t>
  </si>
  <si>
    <t>2NPNHM6X3HM319023</t>
  </si>
  <si>
    <t>1657-0002949</t>
  </si>
  <si>
    <t>3/19/2026 12:59:00 PM</t>
  </si>
  <si>
    <t>3/19/2026 7:59:56 PM</t>
  </si>
  <si>
    <t>3/19/2026 7:59:37 PM</t>
  </si>
  <si>
    <t>VRO 1657-0002949 has been Accepted
Note:</t>
  </si>
  <si>
    <t>3FDWF65891MA78278</t>
  </si>
  <si>
    <t>1657-0002954</t>
  </si>
  <si>
    <t>3/19/2026 1:49:00 PM</t>
  </si>
  <si>
    <t>3/19/2026 8:49:10 PM</t>
  </si>
  <si>
    <t>3/19/2026 8:48:42 PM</t>
  </si>
  <si>
    <t>VRO 1657-0002954 has been Accepted
Note:</t>
  </si>
  <si>
    <t>01657A0000391250</t>
  </si>
  <si>
    <t>1657-0002969</t>
  </si>
  <si>
    <t>3/19/2026 3:40:00 PM</t>
  </si>
  <si>
    <t>3/19/2026 10:40:19 PM</t>
  </si>
  <si>
    <t>3/19/2026 10:39:57 PM</t>
  </si>
  <si>
    <t>01657A0000391241</t>
  </si>
  <si>
    <t>1657-0002968</t>
  </si>
  <si>
    <t>3/19/2026 3:29:00 PM</t>
  </si>
  <si>
    <t>3/19/2026 10:29:57 PM</t>
  </si>
  <si>
    <t>3/19/2026 10:29:10 PM</t>
  </si>
  <si>
    <t>01657A0000391294</t>
  </si>
  <si>
    <t>ADEPT ROADSIDE ASSISTANCE</t>
  </si>
  <si>
    <t>01657A0000390190</t>
  </si>
  <si>
    <t>1657-0002894</t>
  </si>
  <si>
    <t>3/19/2026 5:59:00 AM</t>
  </si>
  <si>
    <t>3/19/2026 1:00:45 PM</t>
  </si>
  <si>
    <t>3/19/2026 12:58:39 PM</t>
  </si>
  <si>
    <t>VRO 1657-0002894 has been Accepted
Note:</t>
  </si>
  <si>
    <t>01657A0000390957</t>
  </si>
  <si>
    <t>1657-0002941</t>
  </si>
  <si>
    <t>3/19/2026 11:54:00 AM</t>
  </si>
  <si>
    <t>3/19/2026 6:56:25 PM</t>
  </si>
  <si>
    <t>3/19/2026 6:54:48 PM</t>
  </si>
  <si>
    <t>01657A0000391181</t>
  </si>
  <si>
    <t>1657-0002959</t>
  </si>
  <si>
    <t>3/19/2026 2:26:00 PM</t>
  </si>
  <si>
    <t>3/19/2026 9:26:17 PM</t>
  </si>
  <si>
    <t>3/19/2026 9:25:54 PM</t>
  </si>
  <si>
    <t>VRO 1657-0002959 has been Accepted
Note:</t>
  </si>
  <si>
    <t>01657A0000391021</t>
  </si>
  <si>
    <t>1657-0002948</t>
  </si>
  <si>
    <t>3/19/2026 12:44:00 PM</t>
  </si>
  <si>
    <t>3/19/2026 7:44:48 PM</t>
  </si>
  <si>
    <t>3/19/2026 7:44:28 PM</t>
  </si>
  <si>
    <t>VRO 1657-0002948 has been Accepted
Note:</t>
  </si>
  <si>
    <t>01657A0000390283</t>
  </si>
  <si>
    <t>1657-0002909</t>
  </si>
  <si>
    <t>3/19/2026 6:59:00 AM</t>
  </si>
  <si>
    <t>3/19/2026 2:00:08 PM</t>
  </si>
  <si>
    <t>3/19/2026 1:58:58 PM</t>
  </si>
  <si>
    <t>01657A0000391311</t>
  </si>
  <si>
    <t>1657-0002995</t>
  </si>
  <si>
    <t>3/19/2026 11:01:00 PM</t>
  </si>
  <si>
    <t>3/20/2026 6:02:47 AM</t>
  </si>
  <si>
    <t>3/20/2026 6:00:40 AM</t>
  </si>
  <si>
    <t>01657A0000391302</t>
  </si>
  <si>
    <t>01657A0000391276</t>
  </si>
  <si>
    <t>01657A0000391303</t>
  </si>
  <si>
    <t>01657A0000391305</t>
  </si>
  <si>
    <t>01657A0000390257</t>
  </si>
  <si>
    <t>1657-0002904</t>
  </si>
  <si>
    <t>3/19/2026 6:43:00 AM</t>
  </si>
  <si>
    <t>3/19/2026 1:44:20 PM</t>
  </si>
  <si>
    <t>3/19/2026 1:43:03 PM</t>
  </si>
  <si>
    <t>01657A0000390662</t>
  </si>
  <si>
    <t>1657-0002928</t>
  </si>
  <si>
    <t>3/19/2026 9:38:00 AM</t>
  </si>
  <si>
    <t>3/19/2026 4:39:25 PM</t>
  </si>
  <si>
    <t>3/19/2026 4:38:40 PM</t>
  </si>
  <si>
    <t>01657A0000390671</t>
  </si>
  <si>
    <t>1657-0002929</t>
  </si>
  <si>
    <t>3/19/2026 9:44:00 AM</t>
  </si>
  <si>
    <t>3/19/2026 4:45:00 PM</t>
  </si>
  <si>
    <t>3/19/2026 4:44:31 PM</t>
  </si>
  <si>
    <t>01657A0000391308</t>
  </si>
  <si>
    <t>01657A0000390161</t>
  </si>
  <si>
    <t>1657-0002889</t>
  </si>
  <si>
    <t>3/19/2026 5:39:00 AM</t>
  </si>
  <si>
    <t>3/19/2026 12:39:34 PM</t>
  </si>
  <si>
    <t>3/19/2026 12:38:54 PM</t>
  </si>
  <si>
    <t>01657A0000391307</t>
  </si>
  <si>
    <t>01657A0000391309</t>
  </si>
  <si>
    <t>1657-0002994</t>
  </si>
  <si>
    <t>3/19/2026 10:30:00 PM</t>
  </si>
  <si>
    <t>3/20/2026 5:32:05 AM</t>
  </si>
  <si>
    <t>3/20/2026 5:30:24 AM</t>
  </si>
  <si>
    <t>01657A0000391312</t>
  </si>
  <si>
    <t>1657-0002997</t>
  </si>
  <si>
    <t>3/19/2026 11:12:00 PM</t>
  </si>
  <si>
    <t>3/20/2026 6:12:48 AM</t>
  </si>
  <si>
    <t>3/20/2026 6:12:15 AM</t>
  </si>
  <si>
    <t>01657A0000391310</t>
  </si>
  <si>
    <t>01657A0000391301</t>
  </si>
  <si>
    <t>01657A0000390944</t>
  </si>
  <si>
    <t>1657-0002922</t>
  </si>
  <si>
    <t>3/19/2026 8:26:00 AM</t>
  </si>
  <si>
    <t>3/19/2026 3:29:54 PM</t>
  </si>
  <si>
    <t>3/19/2026 3:26:23 PM</t>
  </si>
  <si>
    <t>GARDA - MORGAN HILL, CA 12032</t>
  </si>
  <si>
    <t>01657A0000390097</t>
  </si>
  <si>
    <t>1FDWE3FLXBDB03190</t>
  </si>
  <si>
    <t>1657-0002881</t>
  </si>
  <si>
    <t>3/19/2026 4:31:00 AM</t>
  </si>
  <si>
    <t>3/19/2026 11:32:44 AM</t>
  </si>
  <si>
    <t>3/19/2026 11:30:56 AM</t>
  </si>
  <si>
    <t>01657A0000390609</t>
  </si>
  <si>
    <t>3FRWF65214V610205</t>
  </si>
  <si>
    <t>1657-0002924</t>
  </si>
  <si>
    <t>3/19/2026 4:15:23 PM</t>
  </si>
  <si>
    <t>3/19/2026 4:14:37 PM</t>
  </si>
  <si>
    <t>01657A0000390390</t>
  </si>
  <si>
    <t>1FTRS4X83LKA29098</t>
  </si>
  <si>
    <t>1657-0002917</t>
  </si>
  <si>
    <t>3/19/2026 7:47:00 AM</t>
  </si>
  <si>
    <t>3/19/2026 2:49:42 PM</t>
  </si>
  <si>
    <t>3/19/2026 2:47:22 PM</t>
  </si>
  <si>
    <t>01657A0000390835</t>
  </si>
  <si>
    <t>1657-0002934</t>
  </si>
  <si>
    <t>3/19/2026 10:53:00 AM</t>
  </si>
  <si>
    <t>3/19/2026 5:54:50 PM</t>
  </si>
  <si>
    <t>3/19/2026 7:53:14 PM</t>
  </si>
  <si>
    <t>01657A0000390124</t>
  </si>
  <si>
    <t>1657-0002888</t>
  </si>
  <si>
    <t>3/19/2026 5:06:00 AM</t>
  </si>
  <si>
    <t>3/19/2026 12:06:25 PM</t>
  </si>
  <si>
    <t>3/19/2026 12:05:48 PM</t>
  </si>
  <si>
    <t>01657A0000391282</t>
  </si>
  <si>
    <t>1FTRS4X82LKA29142</t>
  </si>
  <si>
    <t>1657-0002937</t>
  </si>
  <si>
    <t>3/19/2026 11:22:00 AM</t>
  </si>
  <si>
    <t>3/19/2026 6:22:47 PM</t>
  </si>
  <si>
    <t>3/19/2026 6:21:45 PM</t>
  </si>
  <si>
    <t>01657A0000390343</t>
  </si>
  <si>
    <t>2NPNHM6XXHM319097</t>
  </si>
  <si>
    <t>1657-0002911</t>
  </si>
  <si>
    <t>3/19/2026 7:27:00 AM</t>
  </si>
  <si>
    <t>3/19/2026 2:27:12 PM</t>
  </si>
  <si>
    <t>3/19/2026 2:26:41 PM</t>
  </si>
  <si>
    <t>01657A0000391293</t>
  </si>
  <si>
    <t>01657A0000391046</t>
  </si>
  <si>
    <t>1657-0002932</t>
  </si>
  <si>
    <t>3/19/2026 10:09:00 AM</t>
  </si>
  <si>
    <t>3/19/2026 7:54:56 PM</t>
  </si>
  <si>
    <t>3/19/2026 5:31:06 PM</t>
  </si>
  <si>
    <t>01657A0000391290</t>
  </si>
  <si>
    <t>01657A0000390354</t>
  </si>
  <si>
    <t>1FTYR14U87PA61464</t>
  </si>
  <si>
    <t>1657-0002914</t>
  </si>
  <si>
    <t>3/19/2026 2:32:50 PM</t>
  </si>
  <si>
    <t>3/19/2026 2:32:25 PM</t>
  </si>
  <si>
    <t>01657A0000391289</t>
  </si>
  <si>
    <t>01657A0000390960</t>
  </si>
  <si>
    <t>1657-0002944</t>
  </si>
  <si>
    <t>3/19/2026 11:59:00 AM</t>
  </si>
  <si>
    <t>3/19/2026 7:01:13 PM</t>
  </si>
  <si>
    <t>3/19/2026 6:59:07 PM</t>
  </si>
  <si>
    <t>MANY TIMES SENT THIS COMMENTS AND NOT RESPONSES. WHY 8 HOURS OF TOWINGS PLUS 8 HOURS OF SERVICE</t>
  </si>
  <si>
    <t>3/20/2026 3:53:53 PM</t>
  </si>
  <si>
    <t>3/20/2026 4:53:11 PM</t>
  </si>
  <si>
    <t>3/20/2026 4:02:50 PM</t>
  </si>
  <si>
    <t>3/20/2026 5:01:17 PM</t>
  </si>
  <si>
    <t>3/20/2026 4:05:26 PM</t>
  </si>
  <si>
    <t>3/20/2026 5:04:51 PM</t>
  </si>
  <si>
    <t>VRO 1657-0002070 has been Accepted
Note:</t>
  </si>
  <si>
    <t>3/20/2026 3:29:05 PM</t>
  </si>
  <si>
    <t>3/20/2026 3:27:03 PM</t>
  </si>
  <si>
    <t>VRO 1657-0002943 has been Accepted
Note:</t>
  </si>
  <si>
    <t>3/20/2026 4:20:38 PM</t>
  </si>
  <si>
    <t>3/20/2026 5:19:00 PM</t>
  </si>
  <si>
    <t>4/15/2026 12:00:00 AM</t>
  </si>
  <si>
    <t>VRO 1657-0002377 has been Accepted
Note:</t>
  </si>
  <si>
    <t>3/20/2026 2:08:24 PM</t>
  </si>
  <si>
    <t>3/20/2026 2:05:06 PM</t>
  </si>
  <si>
    <t>HP 03/20</t>
  </si>
  <si>
    <t>DJ 3/20</t>
  </si>
  <si>
    <t>3/20/2026 1:13:24 PM</t>
  </si>
  <si>
    <t>3/20/2026 1:09:54 PM</t>
  </si>
  <si>
    <t>VRO 1657-0001440 has been Accepted
Note:</t>
  </si>
  <si>
    <t>VRO 1657-0001689 has been Accepted
Note:</t>
  </si>
  <si>
    <t>hp 03/20</t>
  </si>
  <si>
    <t>VRO 1657-0002607 has been Accepted
Note:</t>
  </si>
  <si>
    <t>kw 3/20</t>
  </si>
  <si>
    <t>VRO 1657-0002143 has been Accepted
Note:</t>
  </si>
  <si>
    <t>01657A0000391849</t>
  </si>
  <si>
    <t>3/20/2026 5:36:12 PM</t>
  </si>
  <si>
    <t>3/20/2026 7:31:57 PM</t>
  </si>
  <si>
    <t>1657-0003114</t>
  </si>
  <si>
    <t>3/20/2026 3:41:00 PM</t>
  </si>
  <si>
    <t>1657-0003045</t>
  </si>
  <si>
    <t>3/20/2026 8:46:00 AM</t>
  </si>
  <si>
    <t>1657-0003018</t>
  </si>
  <si>
    <t>3/20/2026 5:29:18 AM</t>
  </si>
  <si>
    <t>1067271468</t>
  </si>
  <si>
    <t>1657-0003078</t>
  </si>
  <si>
    <t>3/20/2026 11:30:16 AM</t>
  </si>
  <si>
    <t>1067561854</t>
  </si>
  <si>
    <t>1657-0003113</t>
  </si>
  <si>
    <t>3/20/2026 3:37:00 PM</t>
  </si>
  <si>
    <t>1657-0003056</t>
  </si>
  <si>
    <t>3/20/2026 9:48:38 AM</t>
  </si>
  <si>
    <t>1067491650</t>
  </si>
  <si>
    <t>1657-0003009</t>
  </si>
  <si>
    <t>3/20/2026 4:24:54 AM</t>
  </si>
  <si>
    <t>aWsrLhd4o9kCBwwaXlFy6Eg</t>
  </si>
  <si>
    <t>1657-0003066</t>
  </si>
  <si>
    <t>3/20/2026 10:54:00 AM</t>
  </si>
  <si>
    <t>1657-0003065</t>
  </si>
  <si>
    <t>3/20/2026 10:48:00 AM</t>
  </si>
  <si>
    <t>1657-0003080</t>
  </si>
  <si>
    <t>3/20/2026 11:58:00 AM</t>
  </si>
  <si>
    <t>1657-0003055</t>
  </si>
  <si>
    <t>3/20/2026 9:47:00 AM</t>
  </si>
  <si>
    <t>2NPNHM6X2HM319059</t>
  </si>
  <si>
    <t>1657-0003015</t>
  </si>
  <si>
    <t>3/20/2026 5:20:12 AM</t>
  </si>
  <si>
    <t>1067260170</t>
  </si>
  <si>
    <t>1FTRS4X83NKA35552</t>
  </si>
  <si>
    <t>1657-0003016</t>
  </si>
  <si>
    <t>3/20/2026 5:21:34 AM</t>
  </si>
  <si>
    <t>1067261954</t>
  </si>
  <si>
    <t>1657-0003006</t>
  </si>
  <si>
    <t>3/20/2026 4:27:23 AM</t>
  </si>
  <si>
    <t>1067192816</t>
  </si>
  <si>
    <t>1657-0003108</t>
  </si>
  <si>
    <t>3/20/2026 3:09:00 PM</t>
  </si>
  <si>
    <t>1657-0003044</t>
  </si>
  <si>
    <t>3/20/2026 8:44:00 AM</t>
  </si>
  <si>
    <t>1657-0003122</t>
  </si>
  <si>
    <t>3/20/2026 4:08:00 PM</t>
  </si>
  <si>
    <t>1657-0003121</t>
  </si>
  <si>
    <t>3/20/2026 3:29:19 PM</t>
  </si>
  <si>
    <t>awqLx_kJhi0SlJjGzfDj7MQ</t>
  </si>
  <si>
    <t>1657-0003081</t>
  </si>
  <si>
    <t>3/20/2026 12:05:00 PM</t>
  </si>
  <si>
    <t>1657-0003076</t>
  </si>
  <si>
    <t>3/20/2026 11:50:00 AM</t>
  </si>
  <si>
    <t>1657-0003021</t>
  </si>
  <si>
    <t>3/20/2026 5:51:47 AM</t>
  </si>
  <si>
    <t>aHK-iEQCYQ0aI38irYFg-TQ</t>
  </si>
  <si>
    <t>1657-0003041</t>
  </si>
  <si>
    <t>3/20/2026 8:20:00 AM</t>
  </si>
  <si>
    <t>1657-0003067</t>
  </si>
  <si>
    <t>3/20/2026 10:29:47 AM</t>
  </si>
  <si>
    <t>1067519048</t>
  </si>
  <si>
    <t>1657-0003126</t>
  </si>
  <si>
    <t>3/20/2026 4:15:35 PM</t>
  </si>
  <si>
    <t>1067798708</t>
  </si>
  <si>
    <t>1657-0003020</t>
  </si>
  <si>
    <t>3/20/2026 5:50:16 AM</t>
  </si>
  <si>
    <t>azTIKxQmsMUy-zA01108u3Q</t>
  </si>
  <si>
    <t>1657-0003011</t>
  </si>
  <si>
    <t>3/20/2026 5:48:00 AM</t>
  </si>
  <si>
    <t>1657-0003088</t>
  </si>
  <si>
    <t>3/20/2026 12:27:00 PM</t>
  </si>
  <si>
    <t>1657-0003014</t>
  </si>
  <si>
    <t>3/20/2026 5:14:15 AM</t>
  </si>
  <si>
    <t>1657-0003029</t>
  </si>
  <si>
    <t>3/20/2026 6:09:04 AM</t>
  </si>
  <si>
    <t>1657-0003040</t>
  </si>
  <si>
    <t>3/20/2026 8:14:00 AM</t>
  </si>
  <si>
    <t>1657-0003119</t>
  </si>
  <si>
    <t>3/20/2026 3:14:16 PM</t>
  </si>
  <si>
    <t>aARkMBZ-OlUa1KMxnYEH5rw</t>
  </si>
  <si>
    <t>1657-0003111</t>
  </si>
  <si>
    <t>3/20/2026 3:28:00 PM</t>
  </si>
  <si>
    <t>2NPNHM6X8GM309117</t>
  </si>
  <si>
    <t>1657-0003036</t>
  </si>
  <si>
    <t>3/20/2026 7:54:00 AM</t>
  </si>
  <si>
    <t>3/20/2026 2:54:50 PM</t>
  </si>
  <si>
    <t>3/20/2026 2:54:17 PM</t>
  </si>
  <si>
    <t>VRO 1657-0003036 has been Accepted
Note:</t>
  </si>
  <si>
    <t>3/20/2026 7:26:04 PM</t>
  </si>
  <si>
    <t>3/20/2026 7:25:20 PM</t>
  </si>
  <si>
    <t>1657-0003047</t>
  </si>
  <si>
    <t>3/20/2026 8:47:00 AM</t>
  </si>
  <si>
    <t>3/20/2026 3:47:33 PM</t>
  </si>
  <si>
    <t>3/20/2026 3:47:03 PM</t>
  </si>
  <si>
    <t>VRO 1657-0003047 has been Accepted
Note:</t>
  </si>
  <si>
    <t>1657-0003087</t>
  </si>
  <si>
    <t>3/20/2026 12:24:00 PM</t>
  </si>
  <si>
    <t>3/20/2026 8:12:11 PM</t>
  </si>
  <si>
    <t>3/20/2026 9:23:43 PM</t>
  </si>
  <si>
    <t>1657-0003085</t>
  </si>
  <si>
    <t>3/20/2026 12:13:00 PM</t>
  </si>
  <si>
    <t>3/20/2026 7:13:54 PM</t>
  </si>
  <si>
    <t>3/20/2026 7:13:33 PM</t>
  </si>
  <si>
    <t>VRO 1657-0003085 has been Accepted
Note:</t>
  </si>
  <si>
    <t>1657-0003092</t>
  </si>
  <si>
    <t>3/20/2026 12:35:00 PM</t>
  </si>
  <si>
    <t>3/20/2026 7:35:49 PM</t>
  </si>
  <si>
    <t>3/20/2026 7:35:27 PM</t>
  </si>
  <si>
    <t>VRO 1657-0003092 has been Accepted
Note:</t>
  </si>
  <si>
    <t>1657-0003110</t>
  </si>
  <si>
    <t>3/20/2026 3:25:00 PM</t>
  </si>
  <si>
    <t>3/20/2026 10:26:14 PM</t>
  </si>
  <si>
    <t>3/21/2026 10:25:18 PM</t>
  </si>
  <si>
    <t>Unit is complete requested Vendor invoice 3-20 RB</t>
  </si>
  <si>
    <t>Per Branch Manager this iis Pre Amerit. Vendor has installed two defective engines working on third. No ETC at this time RB 3-20</t>
  </si>
  <si>
    <t>No Vendor Info RB 3-20</t>
  </si>
  <si>
    <t>1657-0003035</t>
  </si>
  <si>
    <t>3/20/2026 7:53:00 AM</t>
  </si>
  <si>
    <t>3/20/2026 2:53:26 PM</t>
  </si>
  <si>
    <t>3/20/2026 2:53:04 PM</t>
  </si>
  <si>
    <t>VRO 1657-0003035 has been Accepted
Note:</t>
  </si>
  <si>
    <t>1657-0003027</t>
  </si>
  <si>
    <t>3/20/2026 6:54:00 AM</t>
  </si>
  <si>
    <t>3/20/2026 1:54:28 PM</t>
  </si>
  <si>
    <t>3/20/2026 1:54:10 PM</t>
  </si>
  <si>
    <t>VRO 1657-0003027 has been Accepted
Note:</t>
  </si>
  <si>
    <t>1657-0003098</t>
  </si>
  <si>
    <t>3/20/2026 1:02:00 PM</t>
  </si>
  <si>
    <t>3/20/2026 8:02:31 PM</t>
  </si>
  <si>
    <t>3/20/2026 8:02:04 PM</t>
  </si>
  <si>
    <t>VRO 1657-0003098 has been Accepted
Note:</t>
  </si>
  <si>
    <t>1657-0003086</t>
  </si>
  <si>
    <t>3/20/2026 12:19:00 PM</t>
  </si>
  <si>
    <t>3/20/2026 7:19:34 PM</t>
  </si>
  <si>
    <t>3/20/2026 7:18:47 PM</t>
  </si>
  <si>
    <t>VRO 1657-0003086 has been Accepted
Note:</t>
  </si>
  <si>
    <t>1657-0003073</t>
  </si>
  <si>
    <t>3/20/2026 11:34:00 AM</t>
  </si>
  <si>
    <t>3/20/2026 6:35:03 PM</t>
  </si>
  <si>
    <t>3/20/2026 8:33:57 PM</t>
  </si>
  <si>
    <t>VRO 1657-0003073 has been Accepted
Note:</t>
  </si>
  <si>
    <t>1657-0003083</t>
  </si>
  <si>
    <t>3/20/2026 12:09:00 PM</t>
  </si>
  <si>
    <t>3/20/2026 7:10:03 PM</t>
  </si>
  <si>
    <t>3/20/2026 7:09:14 PM</t>
  </si>
  <si>
    <t>VRO 1657-0003083 has been Accepted
Note:</t>
  </si>
  <si>
    <t>1657-0003091</t>
  </si>
  <si>
    <t>3/20/2026 12:34:00 PM</t>
  </si>
  <si>
    <t>3/20/2026 7:34:42 PM</t>
  </si>
  <si>
    <t>3/20/2026 7:34:18 PM</t>
  </si>
  <si>
    <t>VRO 1657-0003091 has been Accepted
Note:</t>
  </si>
  <si>
    <t>1657-0003099</t>
  </si>
  <si>
    <t>3/20/2026 1:03:00 PM</t>
  </si>
  <si>
    <t>3/20/2026 8:03:26 PM</t>
  </si>
  <si>
    <t>3/20/2026 8:03:07 PM</t>
  </si>
  <si>
    <t>VRO 1657-0003099 has been Accepted
Note:</t>
  </si>
  <si>
    <t>1657-0003028</t>
  </si>
  <si>
    <t>3/20/2026 6:55:00 AM</t>
  </si>
  <si>
    <t>3/20/2026 1:55:35 PM</t>
  </si>
  <si>
    <t>3/20/2026 1:55:09 PM</t>
  </si>
  <si>
    <t>VRO 1657-0003028 has been Accepted
Note:</t>
  </si>
  <si>
    <t>No vendor information RB 3-20</t>
  </si>
  <si>
    <t>1657-0003022</t>
  </si>
  <si>
    <t>3/20/2026 6:24:00 AM</t>
  </si>
  <si>
    <t>3/20/2026 1:25:29 PM</t>
  </si>
  <si>
    <t>3/20/2026 1:24:54 PM</t>
  </si>
  <si>
    <t>1657-0003100</t>
  </si>
  <si>
    <t>3/20/2026 1:15:00 PM</t>
  </si>
  <si>
    <t>3/20/2026 8:15:26 PM</t>
  </si>
  <si>
    <t>3/20/2026 10:14:47 PM</t>
  </si>
  <si>
    <t>Unit at Premium Fleet Solutions Orlando Fl Phone not working sent email for return call RB 3-20</t>
  </si>
  <si>
    <t>1657-0003004</t>
  </si>
  <si>
    <t>3/20/2026 4:22:00 AM</t>
  </si>
  <si>
    <t>3/20/2026 11:23:06 AM</t>
  </si>
  <si>
    <t>3/20/2026 11:22:25 AM</t>
  </si>
  <si>
    <t>VRO 1657-0003004 has been Accepted
Note:</t>
  </si>
  <si>
    <t>1657-0003071</t>
  </si>
  <si>
    <t>3/20/2026 11:17:00 AM</t>
  </si>
  <si>
    <t>3/20/2026 6:27:34 PM</t>
  </si>
  <si>
    <t>3/20/2026 6:17:33 PM</t>
  </si>
  <si>
    <t>1657-0003094</t>
  </si>
  <si>
    <t>3/20/2026 12:37:00 PM</t>
  </si>
  <si>
    <t>3/20/2026 7:37:57 PM</t>
  </si>
  <si>
    <t>3/20/2026 7:37:35 PM</t>
  </si>
  <si>
    <t>VRO 1657-0003094 has been Accepted
Note:</t>
  </si>
  <si>
    <t>1657-0003070</t>
  </si>
  <si>
    <t>3/20/2026 11:05:00 AM</t>
  </si>
  <si>
    <t>3/20/2026 6:07:56 PM</t>
  </si>
  <si>
    <t>3/20/2026 6:04:49 PM</t>
  </si>
  <si>
    <t>CONCENTRIC, LLC</t>
  </si>
  <si>
    <t>1657-0003025</t>
  </si>
  <si>
    <t>3/20/2026 6:50:00 AM</t>
  </si>
  <si>
    <t>3/20/2026 1:50:50 PM</t>
  </si>
  <si>
    <t>3/20/2026 1:50:23 PM</t>
  </si>
  <si>
    <t>VRO 1657-0003025 has been Accepted
Note:</t>
  </si>
  <si>
    <t>1657-0003084</t>
  </si>
  <si>
    <t>3/20/2026 12:11:00 PM</t>
  </si>
  <si>
    <t>3/20/2026 7:11:38 PM</t>
  </si>
  <si>
    <t>3/20/2026 7:11:16 PM</t>
  </si>
  <si>
    <t>VRO 1657-0003084 has been Accepted
Note:</t>
  </si>
  <si>
    <t>1657-0003090</t>
  </si>
  <si>
    <t>3/20/2026 12:31:00 PM</t>
  </si>
  <si>
    <t>3/20/2026 7:31:51 PM</t>
  </si>
  <si>
    <t>3/20/2026 7:31:29 PM</t>
  </si>
  <si>
    <t>VRO 1657-0003090 has been Accepted
Note:</t>
  </si>
  <si>
    <t>1657-0003024</t>
  </si>
  <si>
    <t>3/20/2026 6:49:00 AM</t>
  </si>
  <si>
    <t>3/20/2026 1:55:48 PM</t>
  </si>
  <si>
    <t>3/20/2026 1:49:14 PM</t>
  </si>
  <si>
    <t>VRO 1657-0003024 has been Accepted
Note:</t>
  </si>
  <si>
    <t>1657-0003097</t>
  </si>
  <si>
    <t>3/20/2026 1:01:00 PM</t>
  </si>
  <si>
    <t>3/20/2026 8:01:08 PM</t>
  </si>
  <si>
    <t>3/20/2026 8:00:48 PM</t>
  </si>
  <si>
    <t>VRO 1657-0003097 has been Accepted
Note:</t>
  </si>
  <si>
    <t>1657-0003031</t>
  </si>
  <si>
    <t>3/20/2026 7:07:00 AM</t>
  </si>
  <si>
    <t>3/20/2026 2:07:43 PM</t>
  </si>
  <si>
    <t>3/20/2026 2:07:13 PM</t>
  </si>
  <si>
    <t>VRO 1657-0003031 has been Accepted
Note:</t>
  </si>
  <si>
    <t>1657-0003132</t>
  </si>
  <si>
    <t>3/20/2026 7:44:00 PM</t>
  </si>
  <si>
    <t>3/21/2026 2:44:48 AM</t>
  </si>
  <si>
    <t>3/21/2026 4:44:15 AM</t>
  </si>
  <si>
    <t>1657-0003133</t>
  </si>
  <si>
    <t>3/20/2026 7:55:00 PM</t>
  </si>
  <si>
    <t>3/21/2026 2:56:21 AM</t>
  </si>
  <si>
    <t>3/21/2026 4:55:24 AM</t>
  </si>
  <si>
    <t>BRUCKNER TRUCK SALES INC</t>
  </si>
  <si>
    <t>1657-0003115</t>
  </si>
  <si>
    <t>3/20/2026 3:42:00 PM</t>
  </si>
  <si>
    <t>3/20/2026 10:46:24 PM</t>
  </si>
  <si>
    <t>3/21/2026 12:42:06 AM</t>
  </si>
  <si>
    <t>Instrument and Gauge Diagnostics</t>
  </si>
  <si>
    <t>1657-0003128</t>
  </si>
  <si>
    <t>3/20/2026 4:59:00 PM</t>
  </si>
  <si>
    <t>3/20/2026 11:59:54 PM</t>
  </si>
  <si>
    <t>3/21/2026 1:59:10 AM</t>
  </si>
  <si>
    <t>3/20/2026 10:58:28 PM</t>
  </si>
  <si>
    <t>3/21/2026 12:57:21 AM</t>
  </si>
  <si>
    <t>1657-0003131</t>
  </si>
  <si>
    <t>3/20/2026 7:27:00 PM</t>
  </si>
  <si>
    <t>3/21/2026 2:28:04 AM</t>
  </si>
  <si>
    <t>3/21/2026 4:27:14 AM</t>
  </si>
  <si>
    <t>VRO 1657-0002986 has been Accepted
Note:</t>
  </si>
  <si>
    <t>Left message for Vendor to get ETC RB 3-20</t>
  </si>
  <si>
    <t>01657A0000392066</t>
  </si>
  <si>
    <t>1657-0003093</t>
  </si>
  <si>
    <t>3/20/2026 7:51:16 PM</t>
  </si>
  <si>
    <t>3/20/2026 7:37:18 PM</t>
  </si>
  <si>
    <t>01657A0000391748</t>
  </si>
  <si>
    <t>1657-0003050</t>
  </si>
  <si>
    <t>3/20/2026 9:20:00 AM</t>
  </si>
  <si>
    <t>3/20/2026 4:20:35 PM</t>
  </si>
  <si>
    <t>3/20/2026 6:19:53 PM</t>
  </si>
  <si>
    <t>VRO 1657-0003050 has been Accepted
Note:</t>
  </si>
  <si>
    <t>01657A0000391908</t>
  </si>
  <si>
    <t>1657-0003069</t>
  </si>
  <si>
    <t>3/20/2026 6:21:31 PM</t>
  </si>
  <si>
    <t>3/20/2026 6:04:35 PM</t>
  </si>
  <si>
    <t>Pomps tire St Louis</t>
  </si>
  <si>
    <t>VRO 1657-0001071 has been Accepted
Note:</t>
  </si>
  <si>
    <t>1657-0003079</t>
  </si>
  <si>
    <t>3/20/2026 6:59:47 PM</t>
  </si>
  <si>
    <t>3/20/2026 6:58:06 PM</t>
  </si>
  <si>
    <t>01657A0000392278</t>
  </si>
  <si>
    <t>1657-0003123</t>
  </si>
  <si>
    <t>3/20/2026 4:17:00 PM</t>
  </si>
  <si>
    <t>3/20/2026 11:23:04 PM</t>
  </si>
  <si>
    <t>3/20/2026 11:17:25 PM</t>
  </si>
  <si>
    <t>VRO 1657-0001011 has been Accepted
Note:</t>
  </si>
  <si>
    <t>01657A0000392002</t>
  </si>
  <si>
    <t>1657-0003082</t>
  </si>
  <si>
    <t>3/20/2026 7:07:00 PM</t>
  </si>
  <si>
    <t>3/20/2026 7:05:14 PM</t>
  </si>
  <si>
    <t>VRO 1657-0001905 has been Accepted
Note:</t>
  </si>
  <si>
    <t>01657A0000391983</t>
  </si>
  <si>
    <t>1FDWE3FL6ADA94583</t>
  </si>
  <si>
    <t>1657-0003077</t>
  </si>
  <si>
    <t>3/20/2026 6:58:27 PM</t>
  </si>
  <si>
    <t>3/20/2026 6:57:57 PM</t>
  </si>
  <si>
    <t>VRO 1657-0003077 has been Accepted
Note:</t>
  </si>
  <si>
    <t>01657A0000392132</t>
  </si>
  <si>
    <t>1657-0003104</t>
  </si>
  <si>
    <t>3/20/2026 1:30:00 PM</t>
  </si>
  <si>
    <t>3/20/2026 8:31:43 PM</t>
  </si>
  <si>
    <t>3/20/2026 8:30:25 PM</t>
  </si>
  <si>
    <t>01657A0000392285</t>
  </si>
  <si>
    <t>1657-0003124</t>
  </si>
  <si>
    <t>3/20/2026 4:54:00 PM</t>
  </si>
  <si>
    <t>3/20/2026 11:54:24 PM</t>
  </si>
  <si>
    <t>3/20/2026 11:54:04 PM</t>
  </si>
  <si>
    <t>1657-0003060</t>
  </si>
  <si>
    <t>3/20/2026 10:28:00 AM</t>
  </si>
  <si>
    <t>3/20/2026 5:28:23 PM</t>
  </si>
  <si>
    <t>3/20/2026 7:27:42 PM</t>
  </si>
  <si>
    <t>VRO 1657-0003060 has been Accepted
Note:</t>
  </si>
  <si>
    <t>VRO 1657-0002159 has been Accepted
Note:</t>
  </si>
  <si>
    <t>1657-0003057</t>
  </si>
  <si>
    <t>3/20/2026 10:06:00 AM</t>
  </si>
  <si>
    <t>3/20/2026 5:08:11 PM</t>
  </si>
  <si>
    <t>3/20/2026 7:06:04 PM</t>
  </si>
  <si>
    <t>VRO 1657-0003057 has been Accepted
Note:</t>
  </si>
  <si>
    <t>01657A0000392262</t>
  </si>
  <si>
    <t>1FTRS4X82MKA08292</t>
  </si>
  <si>
    <t>1657-0003116</t>
  </si>
  <si>
    <t>3/20/2026 3:51:00 PM</t>
  </si>
  <si>
    <t>3/20/2026 10:51:27 PM</t>
  </si>
  <si>
    <t>3/20/2026 10:50:51 PM</t>
  </si>
  <si>
    <t>VRO 1657-0003116 has been Accepted
Note:</t>
  </si>
  <si>
    <t>01657A0000392294</t>
  </si>
  <si>
    <t>1657-0003129</t>
  </si>
  <si>
    <t>3/20/2026 6:09:00 PM</t>
  </si>
  <si>
    <t>3/21/2026 1:09:49 AM</t>
  </si>
  <si>
    <t>3/21/2026 1:09:14 AM</t>
  </si>
  <si>
    <t>VRO 1657-0003129 has been Accepted
Note:</t>
  </si>
  <si>
    <t>STM has to order tires and will advise when they will be able to go to location. RB 3-20</t>
  </si>
  <si>
    <t>01657A0000391428</t>
  </si>
  <si>
    <t>1657-0003012</t>
  </si>
  <si>
    <t>3/20/2026 12:49:04 PM</t>
  </si>
  <si>
    <t>3/20/2026 12:47:36 PM</t>
  </si>
  <si>
    <t>01657A0000377645</t>
  </si>
  <si>
    <t>01657A0000392464</t>
  </si>
  <si>
    <t>VRO 1657-0001976 has been Accepted
Note:</t>
  </si>
  <si>
    <t>VRO 1657-0001420 has been Accepted
Note:</t>
  </si>
  <si>
    <t>Plate - Covering, Floor</t>
  </si>
  <si>
    <t>1657-0003034</t>
  </si>
  <si>
    <t>3/20/2026 2:54:23 PM</t>
  </si>
  <si>
    <t>3/20/2026 3:52:49 PM</t>
  </si>
  <si>
    <t>ALL STAR FLEET MAINTENANCE INC</t>
  </si>
  <si>
    <t>TLamoreaux@ameritfleet.com</t>
  </si>
  <si>
    <t>VRO 1657-0003034 has been Accepted
Note:</t>
  </si>
  <si>
    <t>01657A0000392494</t>
  </si>
  <si>
    <t>01657A0000392492</t>
  </si>
  <si>
    <t>01657A0000392491</t>
  </si>
  <si>
    <t>01657A0000391790</t>
  </si>
  <si>
    <t>1657-0003054</t>
  </si>
  <si>
    <t>3/20/2026 12:43:00 PM</t>
  </si>
  <si>
    <t>3/20/2026 4:53:23 PM</t>
  </si>
  <si>
    <t>3/20/2026 4:52:03 PM</t>
  </si>
  <si>
    <t>01657A0000392459</t>
  </si>
  <si>
    <t>01657A0000392487</t>
  </si>
  <si>
    <t>01657A0000392180</t>
  </si>
  <si>
    <t>01657A0000392496</t>
  </si>
  <si>
    <t>01657A0000392460</t>
  </si>
  <si>
    <t>01657A0000392483</t>
  </si>
  <si>
    <t>01657A0000392365</t>
  </si>
  <si>
    <t>01657A0000391627</t>
  </si>
  <si>
    <t>1657-0003039</t>
  </si>
  <si>
    <t>3/20/2026 8:10:00 AM</t>
  </si>
  <si>
    <t>3/20/2026 3:10:30 PM</t>
  </si>
  <si>
    <t>3/20/2026 3:09:50 PM</t>
  </si>
  <si>
    <t>01657A0000392302</t>
  </si>
  <si>
    <t>1657-0003105</t>
  </si>
  <si>
    <t>3/20/2026 1:53:00 PM</t>
  </si>
  <si>
    <t>3/20/2026 8:53:59 PM</t>
  </si>
  <si>
    <t>3/20/2026 8:53:27 PM</t>
  </si>
  <si>
    <t>01657A0000392450</t>
  </si>
  <si>
    <t>01657A0000392340</t>
  </si>
  <si>
    <t>01657A0000391837</t>
  </si>
  <si>
    <t>1657-0003061</t>
  </si>
  <si>
    <t>3/20/2026 10:33:00 AM</t>
  </si>
  <si>
    <t>3/20/2026 5:33:57 PM</t>
  </si>
  <si>
    <t>3/20/2026 5:33:23 PM</t>
  </si>
  <si>
    <t>01657A0000391778</t>
  </si>
  <si>
    <t>1657-0003053</t>
  </si>
  <si>
    <t>3/20/2026 12:40:00 PM</t>
  </si>
  <si>
    <t>3/20/2026 4:46:11 PM</t>
  </si>
  <si>
    <t>3/20/2026 4:42:52 PM</t>
  </si>
  <si>
    <t>01657A0000392484</t>
  </si>
  <si>
    <t>01657A0000392416</t>
  </si>
  <si>
    <t>01657A0000392354</t>
  </si>
  <si>
    <t>01657A0000392480</t>
  </si>
  <si>
    <t>01657A0000392503</t>
  </si>
  <si>
    <t>01657A0000392402</t>
  </si>
  <si>
    <t>01657A0000391675</t>
  </si>
  <si>
    <t>1657-0003043</t>
  </si>
  <si>
    <t>3/20/2026 8:30:00 AM</t>
  </si>
  <si>
    <t>3/20/2026 3:31:33 PM</t>
  </si>
  <si>
    <t>3/20/2026 3:30:24 PM</t>
  </si>
  <si>
    <t>01657A0000392328</t>
  </si>
  <si>
    <t>01657A0000391557</t>
  </si>
  <si>
    <t>1FTRS4X88LKA29193</t>
  </si>
  <si>
    <t>1657-0003032</t>
  </si>
  <si>
    <t>3/20/2026 7:32:00 AM</t>
  </si>
  <si>
    <t>3/20/2026 2:32:56 PM</t>
  </si>
  <si>
    <t>3/20/2026 2:32:21 PM</t>
  </si>
  <si>
    <t>01657A0000392411</t>
  </si>
  <si>
    <t>01657A0000392465</t>
  </si>
  <si>
    <t>01657A0000391651</t>
  </si>
  <si>
    <t>1657-0003042</t>
  </si>
  <si>
    <t>3/20/2026 8:24:00 AM</t>
  </si>
  <si>
    <t>3/20/2026 3:24:54 PM</t>
  </si>
  <si>
    <t>3/20/2026 3:24:30 PM</t>
  </si>
  <si>
    <t>01657A0000392482</t>
  </si>
  <si>
    <t>01657A0000391588</t>
  </si>
  <si>
    <t>1657-0003033</t>
  </si>
  <si>
    <t>3/20/2026 7:42:00 AM</t>
  </si>
  <si>
    <t>3/20/2026 2:50:45 PM</t>
  </si>
  <si>
    <t>3/20/2026 2:42:10 PM</t>
  </si>
  <si>
    <t>01657A0000392495</t>
  </si>
  <si>
    <t>Electronic/electrical Control, Monitor &amp; Display</t>
  </si>
  <si>
    <t>01657A0000392454</t>
  </si>
  <si>
    <t>01657A0000392359</t>
  </si>
  <si>
    <t>01657A0000392461</t>
  </si>
  <si>
    <t>01657A0000391502</t>
  </si>
  <si>
    <t>1657-0003030</t>
  </si>
  <si>
    <t>3/20/2026 7:03:00 AM</t>
  </si>
  <si>
    <t>3/20/2026 2:03:36 PM</t>
  </si>
  <si>
    <t>3/20/2026 2:03:16 PM</t>
  </si>
  <si>
    <t>01657A0000392060</t>
  </si>
  <si>
    <t>01657A0000391394</t>
  </si>
  <si>
    <t>1657-0003010</t>
  </si>
  <si>
    <t>3/20/2026 5:27:00 AM</t>
  </si>
  <si>
    <t>3/20/2026 12:28:16 PM</t>
  </si>
  <si>
    <t>3/20/2026 12:27:03 PM</t>
  </si>
  <si>
    <t>01657A0000392158</t>
  </si>
  <si>
    <t>1657-0003075</t>
  </si>
  <si>
    <t>3/20/2026 11:42:00 AM</t>
  </si>
  <si>
    <t>3/20/2026 8:42:00 PM</t>
  </si>
  <si>
    <t>3/20/2026 6:42:41 PM</t>
  </si>
  <si>
    <t>01657A0000392145</t>
  </si>
  <si>
    <t>1657-0003101</t>
  </si>
  <si>
    <t>3/20/2026 1:19:00 PM</t>
  </si>
  <si>
    <t>3/20/2026 8:19:27 PM</t>
  </si>
  <si>
    <t>3/20/2026 8:18:39 PM</t>
  </si>
  <si>
    <t>01657A0000392032</t>
  </si>
  <si>
    <t>1657-0003089</t>
  </si>
  <si>
    <t>3/20/2026 12:29:00 PM</t>
  </si>
  <si>
    <t>3/20/2026 7:30:20 PM</t>
  </si>
  <si>
    <t>3/20/2026 7:29:34 PM</t>
  </si>
  <si>
    <t>01657A0000392041</t>
  </si>
  <si>
    <t>01657A0000391895</t>
  </si>
  <si>
    <t>1657-0003068</t>
  </si>
  <si>
    <t>3/20/2026 11:04:00 AM</t>
  </si>
  <si>
    <t>3/20/2026 6:04:16 PM</t>
  </si>
  <si>
    <t>3/20/2026 6:03:38 PM</t>
  </si>
  <si>
    <t>01657A0000392065</t>
  </si>
  <si>
    <t>01657A0000392054</t>
  </si>
  <si>
    <t>01657A0000384210</t>
  </si>
  <si>
    <t>01657A0000392277</t>
  </si>
  <si>
    <t>1657-0003074</t>
  </si>
  <si>
    <t>3/20/2026 11:37:00 AM</t>
  </si>
  <si>
    <t>3/20/2026 6:37:28 PM</t>
  </si>
  <si>
    <t>3/20/2026 8:36:54 PM</t>
  </si>
  <si>
    <t>1657-0003137</t>
  </si>
  <si>
    <t>3/21/2026 7:28:00 AM</t>
  </si>
  <si>
    <t>3/21/2026 2:31:25 PM</t>
  </si>
  <si>
    <t>3/21/2026 2:28:32 PM</t>
  </si>
  <si>
    <t>1657-0003157</t>
  </si>
  <si>
    <t>3/21/2026 1:33:00 PM</t>
  </si>
  <si>
    <t>3/21/2026 8:33:25 PM</t>
  </si>
  <si>
    <t>3/21/2026 8:32:56 PM</t>
  </si>
  <si>
    <t>VRO 1657-0003157 has been Accepted
Note:</t>
  </si>
  <si>
    <t>3/22/2026 1:08:19 AM</t>
  </si>
  <si>
    <t>3/22/2026 2:59:09 AM</t>
  </si>
  <si>
    <t>3/22/2026 2:58:36 AM</t>
  </si>
  <si>
    <t>VRO 1657-0002168 has been Accepted
Note:</t>
  </si>
  <si>
    <t>3/22/2026 3:00:10 AM</t>
  </si>
  <si>
    <t>3/22/2026 2:58:40 AM</t>
  </si>
  <si>
    <t>4/25/2026 12:00:00 AM</t>
  </si>
  <si>
    <t>3/22/2026 3:03:37 AM</t>
  </si>
  <si>
    <t>3/22/2026 3:02:17 AM</t>
  </si>
  <si>
    <t>VRO 1657-0003003 has been Accepted
Note:</t>
  </si>
  <si>
    <t>3/22/2026 2:59:53 AM</t>
  </si>
  <si>
    <t>3/22/2026 2:58:38 AM</t>
  </si>
  <si>
    <t>VRO 1657-0002960 has been Accepted
Note:</t>
  </si>
  <si>
    <t>3/22/2026 3:11:06 AM</t>
  </si>
  <si>
    <t>3/22/2026 3:05:53 AM</t>
  </si>
  <si>
    <t>VRO 1657-0003114 has been Accepted
Note:</t>
  </si>
  <si>
    <t>3/22/2026 3:12:05 AM</t>
  </si>
  <si>
    <t>3/22/2026 3:05:56 AM</t>
  </si>
  <si>
    <t>VRO 1657-0003018 has been Accepted
Note:</t>
  </si>
  <si>
    <t>3/22/2026 3:11:44 AM</t>
  </si>
  <si>
    <t>3/22/2026 3:05:55 AM</t>
  </si>
  <si>
    <t>VRO 1657-0003113 has been Accepted
Note:</t>
  </si>
  <si>
    <t>3/22/2026 3:05:38 AM</t>
  </si>
  <si>
    <t>3/22/2026 3:02:22 AM</t>
  </si>
  <si>
    <t>VRO 1657-0002854 has been Accepted
Note:</t>
  </si>
  <si>
    <t>3/22/2026 1:13:54 AM</t>
  </si>
  <si>
    <t>3/22/2026 1:08:12 AM</t>
  </si>
  <si>
    <t>VRO 1657-0003078 has been Accepted
Note:</t>
  </si>
  <si>
    <t>3/22/2026 1:22:35 AM</t>
  </si>
  <si>
    <t>3/22/2026 1:08:17 AM</t>
  </si>
  <si>
    <t>3/22/2026 3:16:45 AM</t>
  </si>
  <si>
    <t>3/22/2026 3:06:13 AM</t>
  </si>
  <si>
    <t>3/22/2026 3:17:07 AM</t>
  </si>
  <si>
    <t>3/22/2026 3:06:16 AM</t>
  </si>
  <si>
    <t>VRO 1657-0002218 has been Accepted
Note:</t>
  </si>
  <si>
    <t>3/22/2026 3:13:37 AM</t>
  </si>
  <si>
    <t>3/22/2026 3:06:02 AM</t>
  </si>
  <si>
    <t>VRO 1657-0002344 has been Accepted
Note:</t>
  </si>
  <si>
    <t>3/22/2026 3:17:38 AM</t>
  </si>
  <si>
    <t>3/22/2026 3:06:20 AM</t>
  </si>
  <si>
    <t>VRO 1657-0002053 has been Accepted
Note:</t>
  </si>
  <si>
    <t>3/22/2026 3:18:16 AM</t>
  </si>
  <si>
    <t>3/22/2026 3:06:23 AM</t>
  </si>
  <si>
    <t>VRO 1657-0002689 has been Accepted
Note:</t>
  </si>
  <si>
    <t>3/22/2026 3:18:29 AM</t>
  </si>
  <si>
    <t>3/22/2026 3:06:25 AM</t>
  </si>
  <si>
    <t>VRO 1657-0002079 has been Accepted
Note:</t>
  </si>
  <si>
    <t>3/22/2026 3:19:20 AM</t>
  </si>
  <si>
    <t>3/22/2026 3:06:31 AM</t>
  </si>
  <si>
    <t>VRO 1657-0002569 has been Accepted
Note:</t>
  </si>
  <si>
    <t>1657-0003141</t>
  </si>
  <si>
    <t>3/21/2026 9:48:00 AM</t>
  </si>
  <si>
    <t>3/21/2026 4:48:36 PM</t>
  </si>
  <si>
    <t>3/21/2026 4:48:11 PM</t>
  </si>
  <si>
    <t>VRO 1657-0003141 has been Accepted
Note:</t>
  </si>
  <si>
    <t>3/22/2026 3:17:47 AM</t>
  </si>
  <si>
    <t>3/22/2026 3:06:21 AM</t>
  </si>
  <si>
    <t>VRO 1657-0002908 has been Accepted
Note:</t>
  </si>
  <si>
    <t>3/22/2026 3:20:55 AM</t>
  </si>
  <si>
    <t>3/22/2026 3:06:40 AM</t>
  </si>
  <si>
    <t>3/22/2026 3:19:08 AM</t>
  </si>
  <si>
    <t>3/22/2026 3:06:29 AM</t>
  </si>
  <si>
    <t>VRO 1657-0002966 has been Accepted
Note:</t>
  </si>
  <si>
    <t>3/22/2026 3:18:55 AM</t>
  </si>
  <si>
    <t>3/22/2026 3:06:27 AM</t>
  </si>
  <si>
    <t>VRO 1657-0002307 has been Accepted
Note:</t>
  </si>
  <si>
    <t>3/22/2026 3:14:39 AM</t>
  </si>
  <si>
    <t>3/22/2026 3:06:05 AM</t>
  </si>
  <si>
    <t>3/22/2026 3:19:36 AM</t>
  </si>
  <si>
    <t>3/22/2026 3:06:33 AM</t>
  </si>
  <si>
    <t>VRO 1657-0002783 has been Accepted
Note:</t>
  </si>
  <si>
    <t>3/22/2026 3:14:50 AM</t>
  </si>
  <si>
    <t>3/22/2026 3:06:06 AM</t>
  </si>
  <si>
    <t>VRO 1657-0002063 has been Accepted
Note:</t>
  </si>
  <si>
    <t>3/22/2026 3:14:23 AM</t>
  </si>
  <si>
    <t>3/22/2026 3:06:04 AM</t>
  </si>
  <si>
    <t>VRO 1657-0003009 has been Accepted
Note:</t>
  </si>
  <si>
    <t>1657-0003143</t>
  </si>
  <si>
    <t>3/21/2026 9:56:00 AM</t>
  </si>
  <si>
    <t>3/21/2026 4:56:03 PM</t>
  </si>
  <si>
    <t>3/21/2026 4:55:34 PM</t>
  </si>
  <si>
    <t>VRO 1657-0003143 has been Accepted
Note:</t>
  </si>
  <si>
    <t>3/22/2026 3:20:27 AM</t>
  </si>
  <si>
    <t>3/22/2026 3:06:36 AM</t>
  </si>
  <si>
    <t>VRO 1657-0002009 has been Accepted
Note:</t>
  </si>
  <si>
    <t>3/22/2026 1:14:09 AM</t>
  </si>
  <si>
    <t>3/22/2026 1:08:14 AM</t>
  </si>
  <si>
    <t>3/22/2026 3:27:23 AM</t>
  </si>
  <si>
    <t>3/22/2026 3:07:03 AM</t>
  </si>
  <si>
    <t>3/22/2026 3:17:15 AM</t>
  </si>
  <si>
    <t>3/22/2026 3:06:17 AM</t>
  </si>
  <si>
    <t>VRO 1657-0002012 has been Accepted
Note:</t>
  </si>
  <si>
    <t>3/22/2026 3:16:51 AM</t>
  </si>
  <si>
    <t>3/22/2026 3:06:14 AM</t>
  </si>
  <si>
    <t>VRO 1657-0002761 has been Accepted
Note:</t>
  </si>
  <si>
    <t>3/22/2026 3:19:28 AM</t>
  </si>
  <si>
    <t>3/22/2026 3:06:32 AM</t>
  </si>
  <si>
    <t>VRO 1657-0002162 has been Accepted
Note:</t>
  </si>
  <si>
    <t>3/22/2026 3:29:43 AM</t>
  </si>
  <si>
    <t>3/22/2026 3:07:18 AM</t>
  </si>
  <si>
    <t>3/22/2026 3:30:10 AM</t>
  </si>
  <si>
    <t>3/22/2026 3:07:20 AM</t>
  </si>
  <si>
    <t>VRO 1657-0002981 has been Accepted
Note:</t>
  </si>
  <si>
    <t>3/22/2026 3:30:22 AM</t>
  </si>
  <si>
    <t>3/22/2026 3:07:21 AM</t>
  </si>
  <si>
    <t>VRO 1657-0002516 has been Accepted
Note:</t>
  </si>
  <si>
    <t>1657-0003168</t>
  </si>
  <si>
    <t>3/21/2026 1:49:00 PM</t>
  </si>
  <si>
    <t>3/21/2026 8:49:50 PM</t>
  </si>
  <si>
    <t>3/21/2026 8:49:19 PM</t>
  </si>
  <si>
    <t>VRO 1657-0003168 has been Accepted
Note:</t>
  </si>
  <si>
    <t>3/22/2026 3:24:19 AM</t>
  </si>
  <si>
    <t>3/22/2026 3:06:57 AM</t>
  </si>
  <si>
    <t>VRO 1657-0002850 has been Accepted
Note:</t>
  </si>
  <si>
    <t>3/22/2026 5:07:19 PM</t>
  </si>
  <si>
    <t>3/22/2026 3:43:51 PM</t>
  </si>
  <si>
    <t>3/22/2026 5:07:11 PM</t>
  </si>
  <si>
    <t>3/22/2026 3:43:50 PM</t>
  </si>
  <si>
    <t>3/22/2026 3:17:53 AM</t>
  </si>
  <si>
    <t>VRO 1657-0002210 has been Accepted
Note:</t>
  </si>
  <si>
    <t>3/22/2026 3:19:02 AM</t>
  </si>
  <si>
    <t>3/22/2026 3:06:28 AM</t>
  </si>
  <si>
    <t>VRO 1657-0002286 has been Accepted
Note:</t>
  </si>
  <si>
    <t>3/22/2026 1:13:18 AM</t>
  </si>
  <si>
    <t>3/22/2026 1:08:10 AM</t>
  </si>
  <si>
    <t>VRO 1657-0003080 has been Accepted
Note:</t>
  </si>
  <si>
    <t>3/22/2026 5:21:48 PM</t>
  </si>
  <si>
    <t>3/22/2026 3:22:08 AM</t>
  </si>
  <si>
    <t>3/22/2026 3:06:45 AM</t>
  </si>
  <si>
    <t>3/22/2026 1:23:03 AM</t>
  </si>
  <si>
    <t>VRO 1657-0003055 has been Accepted
Note:</t>
  </si>
  <si>
    <t>1657-0003146</t>
  </si>
  <si>
    <t>3/21/2026 9:59:00 AM</t>
  </si>
  <si>
    <t>3/21/2026 5:00:13 PM</t>
  </si>
  <si>
    <t>3/21/2026 4:59:18 PM</t>
  </si>
  <si>
    <t>VRO 1657-0003146 has been Accepted
Note:</t>
  </si>
  <si>
    <t>3/22/2026 1:14:20 AM</t>
  </si>
  <si>
    <t>VRO 1657-0003065 has been Accepted
Note:</t>
  </si>
  <si>
    <t>1657-0003142</t>
  </si>
  <si>
    <t>3/21/2026 9:54:00 AM</t>
  </si>
  <si>
    <t>3/21/2026 4:54:28 PM</t>
  </si>
  <si>
    <t>3/21/2026 4:54:00 PM</t>
  </si>
  <si>
    <t>VRO 1657-0003142 has been Accepted
Note:</t>
  </si>
  <si>
    <t>3/22/2026 3:20:40 AM</t>
  </si>
  <si>
    <t>3/22/2026 3:06:38 AM</t>
  </si>
  <si>
    <t>VRO 1657-0002146 has been Accepted
Note:</t>
  </si>
  <si>
    <t>3/22/2026 3:26:57 AM</t>
  </si>
  <si>
    <t>3/22/2026 3:07:02 AM</t>
  </si>
  <si>
    <t>VRO 1657-0002637 has been Accepted
Note:</t>
  </si>
  <si>
    <t>3/22/2026 3:50:19 PM</t>
  </si>
  <si>
    <t>3/22/2026 3:43:11 PM</t>
  </si>
  <si>
    <t>VRO 1657-0003044 has been Accepted
Note:</t>
  </si>
  <si>
    <t>3/22/2026 3:28:44 AM</t>
  </si>
  <si>
    <t>3/22/2026 3:07:12 AM</t>
  </si>
  <si>
    <t>VRO 1657-0003016 has been Accepted
Note:</t>
  </si>
  <si>
    <t>3/22/2026 3:21:11 AM</t>
  </si>
  <si>
    <t>3/22/2026 3:06:42 AM</t>
  </si>
  <si>
    <t>VRO 1657-0002177 has been Accepted
Note:</t>
  </si>
  <si>
    <t>1657-0003138</t>
  </si>
  <si>
    <t>3/21/2026 9:44:00 AM</t>
  </si>
  <si>
    <t>3/21/2026 4:44:57 PM</t>
  </si>
  <si>
    <t>3/21/2026 4:44:25 PM</t>
  </si>
  <si>
    <t>VRO 1657-0003138 has been Accepted
Note:</t>
  </si>
  <si>
    <t>3/22/2026 3:21:36 AM</t>
  </si>
  <si>
    <t>3/22/2026 3:06:43 AM</t>
  </si>
  <si>
    <t>VRO 1657-0001969 has been Accepted
Note:</t>
  </si>
  <si>
    <t>1657-0003144</t>
  </si>
  <si>
    <t>3/21/2026 9:57:00 AM</t>
  </si>
  <si>
    <t>3/21/2026 4:57:46 PM</t>
  </si>
  <si>
    <t>3/21/2026 4:57:23 PM</t>
  </si>
  <si>
    <t>VRO 1657-0003144 has been Accepted
Note:</t>
  </si>
  <si>
    <t>3/22/2026 3:29:49 AM</t>
  </si>
  <si>
    <t>3/22/2026 3:07:19 AM</t>
  </si>
  <si>
    <t>3/22/2026 3:23:26 AM</t>
  </si>
  <si>
    <t>3/22/2026 3:06:50 AM</t>
  </si>
  <si>
    <t>VRO 1657-0001983 has been Accepted
Note:</t>
  </si>
  <si>
    <t>3/22/2026 5:31:42 PM</t>
  </si>
  <si>
    <t>3/22/2026 5:22:30 PM</t>
  </si>
  <si>
    <t>VRO 1657-0002120 has been Accepted
Note:</t>
  </si>
  <si>
    <t>1FTYR14U37PA61789</t>
  </si>
  <si>
    <t>GAR-8899</t>
  </si>
  <si>
    <t>1657-0003164</t>
  </si>
  <si>
    <t>3/21/2026 1:44:00 PM</t>
  </si>
  <si>
    <t>3/21/2026 8:44:53 PM</t>
  </si>
  <si>
    <t>3/21/2026 8:44:31 PM</t>
  </si>
  <si>
    <t>VRO 1657-0003164 has been Accepted
Note:</t>
  </si>
  <si>
    <t>3/22/2026 1:13:27 AM</t>
  </si>
  <si>
    <t>3/22/2026 1:08:11 AM</t>
  </si>
  <si>
    <t>3/22/2026 5:07:27 PM</t>
  </si>
  <si>
    <t>3/22/2026 5:03:08 PM</t>
  </si>
  <si>
    <t>3/22/2026 3:43:20 PM</t>
  </si>
  <si>
    <t>3/22/2026 5:29:27 PM</t>
  </si>
  <si>
    <t>3/22/2026 5:22:13 PM</t>
  </si>
  <si>
    <t>VRO 1657-0002318 has been Accepted
Note:</t>
  </si>
  <si>
    <t>3/22/2026 3:43:04 PM</t>
  </si>
  <si>
    <t>3/22/2026 5:24:16 PM</t>
  </si>
  <si>
    <t>3/22/2026 5:21:49 PM</t>
  </si>
  <si>
    <t>VRO 1657-0001981 has been Accepted
Note:</t>
  </si>
  <si>
    <t>3/22/2026 5:22:23 PM</t>
  </si>
  <si>
    <t>3/22/2026 5:25:50 PM</t>
  </si>
  <si>
    <t>3/22/2026 5:22:01 PM</t>
  </si>
  <si>
    <t>3/22/2026 3:26:23 AM</t>
  </si>
  <si>
    <t>3/22/2026 3:07:01 AM</t>
  </si>
  <si>
    <t>VRO 1657-0002338 has been Accepted
Note:</t>
  </si>
  <si>
    <t>3/22/2026 5:07:35 PM</t>
  </si>
  <si>
    <t>3/22/2026 3:43:54 PM</t>
  </si>
  <si>
    <t>VRO 1657-0002807 has been Accepted
Note:</t>
  </si>
  <si>
    <t>3/22/2026 5:31:33 PM</t>
  </si>
  <si>
    <t>3/22/2026 5:22:29 PM</t>
  </si>
  <si>
    <t>VRO 1657-0002121 has been Accepted
Note:</t>
  </si>
  <si>
    <t>3/22/2026 5:31:27 PM</t>
  </si>
  <si>
    <t>1FDWE35L96DA68648</t>
  </si>
  <si>
    <t>GAR-5614</t>
  </si>
  <si>
    <t>1657-0003163</t>
  </si>
  <si>
    <t>3/21/2026 1:43:00 PM</t>
  </si>
  <si>
    <t>3/21/2026 8:43:40 PM</t>
  </si>
  <si>
    <t>3/21/2026 8:43:15 PM</t>
  </si>
  <si>
    <t>VRO 1657-0003163 has been Accepted
Note:</t>
  </si>
  <si>
    <t>3/22/2026 5:05:43 PM</t>
  </si>
  <si>
    <t>3/22/2026 3:43:42 PM</t>
  </si>
  <si>
    <t>VRO 1657-0002892 has been Accepted
Note:</t>
  </si>
  <si>
    <t>3/22/2026 5:06:56 PM</t>
  </si>
  <si>
    <t>3/22/2026 3:43:48 PM</t>
  </si>
  <si>
    <t>VRO 1657-0002855 has been Accepted
Note:</t>
  </si>
  <si>
    <t>3FRWF65N25V177554</t>
  </si>
  <si>
    <t>GAR-5660</t>
  </si>
  <si>
    <t>1657-0003160</t>
  </si>
  <si>
    <t>3/21/2026 1:39:00 PM</t>
  </si>
  <si>
    <t>3/21/2026 8:39:57 PM</t>
  </si>
  <si>
    <t>3/21/2026 8:39:31 PM</t>
  </si>
  <si>
    <t>VRO 1657-0003160 has been Accepted
Note:</t>
  </si>
  <si>
    <t>3/22/2026 5:06:50 PM</t>
  </si>
  <si>
    <t>3/22/2026 3:43:47 PM</t>
  </si>
  <si>
    <t>VRO 1657-0002859 has been Accepted
Note:</t>
  </si>
  <si>
    <t>3/22/2026 3:49:05 PM</t>
  </si>
  <si>
    <t>VRO 1657-0003121 has been Accepted
Note:</t>
  </si>
  <si>
    <t>3/22/2026 5:30:34 PM</t>
  </si>
  <si>
    <t>3/22/2026 5:22:18 PM</t>
  </si>
  <si>
    <t>VRO 1657-0002197 has been Accepted
Note:</t>
  </si>
  <si>
    <t>3/22/2026 5:34:15 PM</t>
  </si>
  <si>
    <t>3/22/2026 5:33:10 PM</t>
  </si>
  <si>
    <t>VRO 1657-0002064 has been Accepted
Note:</t>
  </si>
  <si>
    <t>3/22/2026 5:31:13 PM</t>
  </si>
  <si>
    <t>3/22/2026 5:22:24 PM</t>
  </si>
  <si>
    <t>VRO 1657-0002144 has been Accepted
Note:</t>
  </si>
  <si>
    <t>3/22/2026 5:06:09 PM</t>
  </si>
  <si>
    <t>3/22/2026 3:43:43 PM</t>
  </si>
  <si>
    <t>VRO 1657-0002885 has been Accepted
Note:</t>
  </si>
  <si>
    <t>3/22/2026 5:04:43 PM</t>
  </si>
  <si>
    <t>3/22/2026 3:43:32 PM</t>
  </si>
  <si>
    <t>VRO 1657-0002916 has been Accepted
Note:</t>
  </si>
  <si>
    <t>3/22/2026 5:02:41 PM</t>
  </si>
  <si>
    <t>3/22/2026 3:43:19 PM</t>
  </si>
  <si>
    <t>1657-0003167</t>
  </si>
  <si>
    <t>3/21/2026 1:48:00 PM</t>
  </si>
  <si>
    <t>3/21/2026 8:48:01 PM</t>
  </si>
  <si>
    <t>3/21/2026 8:47:42 PM</t>
  </si>
  <si>
    <t>VRO 1657-0003167 has been Accepted
Note:</t>
  </si>
  <si>
    <t>3/22/2026 5:24:39 PM</t>
  </si>
  <si>
    <t>3/22/2026 5:21:57 PM</t>
  </si>
  <si>
    <t>VRO 1657-0002716 has been Accepted
Note:</t>
  </si>
  <si>
    <t>3/22/2026 5:03:24 PM</t>
  </si>
  <si>
    <t>3/22/2026 3:43:23 PM</t>
  </si>
  <si>
    <t>VRO 1657-0003001 has been Accepted
Note:</t>
  </si>
  <si>
    <t>1FTRU8XG1RKB58393</t>
  </si>
  <si>
    <t>1657-0003156</t>
  </si>
  <si>
    <t>3/21/2026 1:29:00 PM</t>
  </si>
  <si>
    <t>3/21/2026 8:31:53 PM</t>
  </si>
  <si>
    <t>3/21/2026 8:31:33 PM</t>
  </si>
  <si>
    <t>VRO 1657-0003156 has been Accepted
Note:</t>
  </si>
  <si>
    <t>2NPNHM6X6JM472789</t>
  </si>
  <si>
    <t>1657-0003165</t>
  </si>
  <si>
    <t>3/21/2026 1:45:00 PM</t>
  </si>
  <si>
    <t>3/21/2026 8:45:48 PM</t>
  </si>
  <si>
    <t>3/21/2026 8:45:29 PM</t>
  </si>
  <si>
    <t>VRO 1657-0003165 has been Accepted
Note:</t>
  </si>
  <si>
    <t>3/22/2026 5:24:00 PM</t>
  </si>
  <si>
    <t>VRO 1657-0002001 has been Accepted
Note:</t>
  </si>
  <si>
    <t>3/22/2026 3:43:37 PM</t>
  </si>
  <si>
    <t>3/22/2026 5:07:41 PM</t>
  </si>
  <si>
    <t>3/22/2026 3:43:55 PM</t>
  </si>
  <si>
    <t>VRO 1657-0002790 has been Accepted
Note:</t>
  </si>
  <si>
    <t>3/22/2026 5:33:44 PM</t>
  </si>
  <si>
    <t>3/22/2026 5:33:02 PM</t>
  </si>
  <si>
    <t>VRO 1657-0002089 has been Accepted
Note:</t>
  </si>
  <si>
    <t>3FRWF65284V590437</t>
  </si>
  <si>
    <t>GAR-4338</t>
  </si>
  <si>
    <t>1657-0003161</t>
  </si>
  <si>
    <t>3/21/2026 1:41:00 PM</t>
  </si>
  <si>
    <t>3/21/2026 8:40:56 PM</t>
  </si>
  <si>
    <t>3/21/2026 8:40:39 PM</t>
  </si>
  <si>
    <t>VRO 1657-0003161 has been Accepted
Note:</t>
  </si>
  <si>
    <t>3/22/2026 1:22:17 AM</t>
  </si>
  <si>
    <t>3/22/2026 3:42:00 PM</t>
  </si>
  <si>
    <t>3/22/2026 3:39:45 PM</t>
  </si>
  <si>
    <t>3/22/2026 3:50:27 PM</t>
  </si>
  <si>
    <t>3/22/2026 3:43:12 PM</t>
  </si>
  <si>
    <t>3/22/2026 1:12:52 AM</t>
  </si>
  <si>
    <t>3/22/2026 1:08:08 AM</t>
  </si>
  <si>
    <t>3/22/2026 3:43:24 PM</t>
  </si>
  <si>
    <t>3/22/2026 3:48:49 PM</t>
  </si>
  <si>
    <t>3/22/2026 3:42:44 PM</t>
  </si>
  <si>
    <t>VRO 1657-0003126 has been Accepted
Note:</t>
  </si>
  <si>
    <t>3/22/2026 5:30:27 PM</t>
  </si>
  <si>
    <t>3/22/2026 5:22:16 PM</t>
  </si>
  <si>
    <t>3/22/2026 3:51:07 PM</t>
  </si>
  <si>
    <t>3/22/2026 3:43:15 PM</t>
  </si>
  <si>
    <t>VRO 1657-0003021 has been Accepted
Note:</t>
  </si>
  <si>
    <t>1FTRS4X89MKA08290</t>
  </si>
  <si>
    <t>1657-0003159</t>
  </si>
  <si>
    <t>3/21/2026 1:36:00 PM</t>
  </si>
  <si>
    <t>3/21/2026 8:37:25 PM</t>
  </si>
  <si>
    <t>3/21/2026 8:36:11 PM</t>
  </si>
  <si>
    <t>VRO 1657-0003159 has been Accepted
Note:</t>
  </si>
  <si>
    <t>3/22/2026 5:23:52 PM</t>
  </si>
  <si>
    <t>VRO 1657-0002007 has been Accepted
Note:</t>
  </si>
  <si>
    <t>3/22/2026 5:04:26 PM</t>
  </si>
  <si>
    <t>3/22/2026 3:43:31 PM</t>
  </si>
  <si>
    <t>VRO 1657-0002942 has been Accepted
Note:</t>
  </si>
  <si>
    <t>1657-0003140</t>
  </si>
  <si>
    <t>3/21/2026 9:47:00 AM</t>
  </si>
  <si>
    <t>3/21/2026 4:47:09 PM</t>
  </si>
  <si>
    <t>3/21/2026 4:46:40 PM</t>
  </si>
  <si>
    <t>VRO 1657-0003140 has been Accepted
Note:</t>
  </si>
  <si>
    <t>3/22/2026 5:22:06 PM</t>
  </si>
  <si>
    <t>3/22/2026 5:32:03 PM</t>
  </si>
  <si>
    <t>VRO 1657-0002119 has been Accepted
Note:</t>
  </si>
  <si>
    <t>VRO 1657-0002242 has been Accepted
Note:</t>
  </si>
  <si>
    <t>3/22/2026 5:03:42 PM</t>
  </si>
  <si>
    <t>VRO 1657-0002974 has been Accepted
Note:</t>
  </si>
  <si>
    <t>3/22/2026 5:28:56 PM</t>
  </si>
  <si>
    <t>3/22/2026 5:22:11 PM</t>
  </si>
  <si>
    <t>VRO 1657-0002336 has been Accepted
Note:</t>
  </si>
  <si>
    <t>3/22/2026 5:03:16 PM</t>
  </si>
  <si>
    <t>VRO 1657-0003002 has been Accepted
Note:</t>
  </si>
  <si>
    <t>3/22/2026 5:27:54 PM</t>
  </si>
  <si>
    <t>VRO 1657-0002573 has been Accepted
Note:</t>
  </si>
  <si>
    <t>3/22/2026 3:49:54 PM</t>
  </si>
  <si>
    <t>3/22/2026 3:43:09 PM</t>
  </si>
  <si>
    <t>VRO 1657-0003108 has been Accepted
Note:</t>
  </si>
  <si>
    <t>1657-0003158</t>
  </si>
  <si>
    <t>3/21/2026 1:34:00 PM</t>
  </si>
  <si>
    <t>3/21/2026 8:34:51 PM</t>
  </si>
  <si>
    <t>3/21/2026 8:34:22 PM</t>
  </si>
  <si>
    <t>VRO 1657-0003158 has been Accepted
Note:</t>
  </si>
  <si>
    <t>3/22/2026 3:51:16 PM</t>
  </si>
  <si>
    <t>VRO 1657-0003020 has been Accepted
Note:</t>
  </si>
  <si>
    <t>3/22/2026 5:00:22 PM</t>
  </si>
  <si>
    <t>3/22/2026 3:43:16 PM</t>
  </si>
  <si>
    <t>VRO 1657-0003011 has been Accepted
Note:</t>
  </si>
  <si>
    <t>3/22/2026 5:28:49 PM</t>
  </si>
  <si>
    <t>3/22/2026 5:22:10 PM</t>
  </si>
  <si>
    <t>VRO 1657-0002347 has been Accepted
Note:</t>
  </si>
  <si>
    <t>3/22/2026 3:50:12 PM</t>
  </si>
  <si>
    <t>VRO 1657-0003088 has been Accepted
Note:</t>
  </si>
  <si>
    <t>3/22/2026 3:43:44 PM</t>
  </si>
  <si>
    <t>3/22/2026 5:07:03 PM</t>
  </si>
  <si>
    <t>VRO 1657-0002845 has been Accepted
Note:</t>
  </si>
  <si>
    <t>3/22/2026 5:28:12 PM</t>
  </si>
  <si>
    <t>3/22/2026 5:22:07 PM</t>
  </si>
  <si>
    <t>VRO 1657-0002568 has been Accepted
Note:</t>
  </si>
  <si>
    <t>3/22/2026 5:02:49 PM</t>
  </si>
  <si>
    <t>3/22/2026 5:34:02 PM</t>
  </si>
  <si>
    <t>3/22/2026 5:33:08 PM</t>
  </si>
  <si>
    <t>VRO 1657-0002080 has been Accepted
Note:</t>
  </si>
  <si>
    <t>3/22/2026 5:04:34 PM</t>
  </si>
  <si>
    <t>VRO 1657-0002903 has been Accepted
Note:</t>
  </si>
  <si>
    <t>3/22/2026 5:31:21 PM</t>
  </si>
  <si>
    <t>3/22/2026 5:22:25 PM</t>
  </si>
  <si>
    <t>VRO 1657-0002140 has been Accepted
Note:</t>
  </si>
  <si>
    <t>3/22/2026 5:25:29 PM</t>
  </si>
  <si>
    <t>3/22/2026 5:22:00 PM</t>
  </si>
  <si>
    <t>VRO 1657-0002672 has been Accepted
Note:</t>
  </si>
  <si>
    <t>3/22/2026 5:30:51 PM</t>
  </si>
  <si>
    <t>VRO 1657-0002175 has been Accepted
Note:</t>
  </si>
  <si>
    <t>3/22/2026 3:50:45 PM</t>
  </si>
  <si>
    <t>3/22/2026 3:43:13 PM</t>
  </si>
  <si>
    <t>VRO 1657-0003029 has been Accepted
Note:</t>
  </si>
  <si>
    <t>3/22/2026 3:50:33 PM</t>
  </si>
  <si>
    <t>VRO 1657-0003040 has been Accepted
Note:</t>
  </si>
  <si>
    <t>3/22/2026 3:49:25 PM</t>
  </si>
  <si>
    <t>3/22/2026 3:43:05 PM</t>
  </si>
  <si>
    <t>VRO 1657-0003111 has been Accepted
Note:</t>
  </si>
  <si>
    <t>3/22/2026 3:49:33 PM</t>
  </si>
  <si>
    <t>3/22/2026 3:43:08 PM</t>
  </si>
  <si>
    <t>VRO 1657-0003119 has been Accepted
Note:</t>
  </si>
  <si>
    <t>3/22/2026 5:06:37 PM</t>
  </si>
  <si>
    <t>VRO 1657-0002883 has been Accepted
Note:</t>
  </si>
  <si>
    <t>1657-0003147</t>
  </si>
  <si>
    <t>3/21/2026 9:58:34 AM</t>
  </si>
  <si>
    <t>3/22/2026 3:48:39 PM</t>
  </si>
  <si>
    <t>3/22/2026 3:42:43 PM</t>
  </si>
  <si>
    <t>VRO 1657-0003147 has been Accepted
Note:</t>
  </si>
  <si>
    <t>a5ANpUeXKPES33_JZ0Zq7Hg</t>
  </si>
  <si>
    <t>1657-0003166</t>
  </si>
  <si>
    <t>3/21/2026 1:46:00 PM</t>
  </si>
  <si>
    <t>3/21/2026 8:46:57 PM</t>
  </si>
  <si>
    <t>3/21/2026 8:46:32 PM</t>
  </si>
  <si>
    <t>VRO 1657-0003166 has been Accepted
Note:</t>
  </si>
  <si>
    <t>3/22/2026 5:29:18 PM</t>
  </si>
  <si>
    <t>VRO 1657-0002322 has been Accepted
Note:</t>
  </si>
  <si>
    <t>1657-0003162</t>
  </si>
  <si>
    <t>3/21/2026 1:42:00 PM</t>
  </si>
  <si>
    <t>3/21/2026 8:42:05 PM</t>
  </si>
  <si>
    <t>3/21/2026 8:41:38 PM</t>
  </si>
  <si>
    <t>VRO 1657-0003162 has been Accepted
Note:</t>
  </si>
  <si>
    <t>3/22/2026 5:29:04 PM</t>
  </si>
  <si>
    <t>3/22/2026 5:22:12 PM</t>
  </si>
  <si>
    <t>VRO 1657-0002323 has been Accepted
Note:</t>
  </si>
  <si>
    <t>3/22/2026 5:28:20 PM</t>
  </si>
  <si>
    <t>VRO 1657-0002394 has been Accepted
Note:</t>
  </si>
  <si>
    <t>3/22/2026 5:05:28 PM</t>
  </si>
  <si>
    <t>VRO 1657-0002899 has been Accepted
Note:</t>
  </si>
  <si>
    <t>3/22/2026 5:04:59 PM</t>
  </si>
  <si>
    <t>3/22/2026 3:43:34 PM</t>
  </si>
  <si>
    <t>3/22/2026 5:33:21 PM</t>
  </si>
  <si>
    <t>3/22/2026 5:33:00 PM</t>
  </si>
  <si>
    <t>VRO 1657-0002139 has been Accepted
Note:</t>
  </si>
  <si>
    <t>1657-0003135</t>
  </si>
  <si>
    <t>3/21/2026 5:26:00 AM</t>
  </si>
  <si>
    <t>3/21/2026 12:33:01 PM</t>
  </si>
  <si>
    <t>3/21/2026 12:26:12 PM</t>
  </si>
  <si>
    <t>Battery</t>
  </si>
  <si>
    <t>1657-0003170</t>
  </si>
  <si>
    <t>3/21/2026 3:24:00 PM</t>
  </si>
  <si>
    <t>3/21/2026 10:24:37 PM</t>
  </si>
  <si>
    <t>3/21/2026 10:24:14 PM</t>
  </si>
  <si>
    <t>01657A0000392500</t>
  </si>
  <si>
    <t>1657-0003169</t>
  </si>
  <si>
    <t>3/21/2026 3:17:00 PM</t>
  </si>
  <si>
    <t>3/21/2026 10:17:36 PM</t>
  </si>
  <si>
    <t>3/21/2026 10:17:15 PM</t>
  </si>
  <si>
    <t>01657A0000392463</t>
  </si>
  <si>
    <t>1657-0003154</t>
  </si>
  <si>
    <t>3/21/2026 12:19:00 PM</t>
  </si>
  <si>
    <t>3/21/2026 7:23:09 PM</t>
  </si>
  <si>
    <t>3/21/2026 7:20:41 PM</t>
  </si>
  <si>
    <t>01657A0000392587</t>
  </si>
  <si>
    <t>01657A0000392592</t>
  </si>
  <si>
    <t>01657A0000392623</t>
  </si>
  <si>
    <t>01657A0000392612</t>
  </si>
  <si>
    <t>01657A0000392608</t>
  </si>
  <si>
    <t>01657A0000392635</t>
  </si>
  <si>
    <t>01657A0000392604</t>
  </si>
  <si>
    <t>01657A0000392622</t>
  </si>
  <si>
    <t>01657A0000392606</t>
  </si>
  <si>
    <t>01657A0000392625</t>
  </si>
  <si>
    <t>01657A0000392611</t>
  </si>
  <si>
    <t>01657A0000392617</t>
  </si>
  <si>
    <t>Cargo Handling, Restraints, Lift Systems Diagnostics</t>
  </si>
  <si>
    <t>01657A0000392603</t>
  </si>
  <si>
    <t>01657A0000392630</t>
  </si>
  <si>
    <t>01657A0000392626</t>
  </si>
  <si>
    <t>01657A0000392627</t>
  </si>
  <si>
    <t>01657A0000392615</t>
  </si>
  <si>
    <t>01657A0000392632</t>
  </si>
  <si>
    <t>01657A0000392634</t>
  </si>
  <si>
    <t>01657A0000392628</t>
  </si>
  <si>
    <t>01657A0000392619</t>
  </si>
  <si>
    <t>01657A0000392633</t>
  </si>
  <si>
    <t>01657A0000392616</t>
  </si>
  <si>
    <t>01657A0000392614</t>
  </si>
  <si>
    <t>01657A0000392609</t>
  </si>
  <si>
    <t>01657A0000392624</t>
  </si>
  <si>
    <t>01657A0000392613</t>
  </si>
  <si>
    <t>01657A0000392618</t>
  </si>
  <si>
    <t>01657A0000392631</t>
  </si>
  <si>
    <t>01657A0000392602</t>
  </si>
  <si>
    <t>01657A0000392620</t>
  </si>
  <si>
    <t>01657A0000392607</t>
  </si>
  <si>
    <t>01657A0000392629</t>
  </si>
  <si>
    <t>01657A0000392621</t>
  </si>
  <si>
    <t>BACK DOOR DOES NOT LOCK. HORN ISSUES, SCREEN INOP, AND CHECK STEERING. UD 3/9: KEVIN HAS THESE UNITS SET UP WITH THOMAS SERVICES FRO PMS WE ARE GOING TO GROUP IN THE REPAIRS ON THESE UNITS. NEED TO CONFIRM 3/23 W/ THOMAS FLEET ON STATUS OF REPAIRS AND SCHEDULING.</t>
  </si>
  <si>
    <t>01657A0000392638</t>
  </si>
  <si>
    <t>01657A0000392644</t>
  </si>
  <si>
    <t>01657A0000392640</t>
  </si>
  <si>
    <t>01657A0000392642</t>
  </si>
  <si>
    <t>01657A0000392645</t>
  </si>
  <si>
    <t>01657A0000392646</t>
  </si>
  <si>
    <t>01657A0000392643</t>
  </si>
  <si>
    <t>GAR-9037</t>
  </si>
  <si>
    <t>GAR-8875</t>
  </si>
  <si>
    <t>1657-0003249</t>
  </si>
  <si>
    <t>3/23/2026 3:57:48 AM</t>
  </si>
  <si>
    <t>UNASSIGNED ROS</t>
  </si>
  <si>
    <t>1068896747</t>
  </si>
  <si>
    <t>1657-0003250</t>
  </si>
  <si>
    <t>3/23/2026 3:02:14 AM</t>
  </si>
  <si>
    <t>agpcu0OJvEEW7fhXO6q9o2g</t>
  </si>
  <si>
    <t>1FTRU8XG5RKB57747</t>
  </si>
  <si>
    <t>1657-0003244</t>
  </si>
  <si>
    <t>3/22/2026 1:52:00 PM</t>
  </si>
  <si>
    <t>2NP8LJ0XXRM602586</t>
  </si>
  <si>
    <t>1657-0003248</t>
  </si>
  <si>
    <t>3/23/2026 3:23:26 AM</t>
  </si>
  <si>
    <t>1068858212</t>
  </si>
  <si>
    <t>1657-0003183</t>
  </si>
  <si>
    <t>3/22/2026 7:00:00 AM</t>
  </si>
  <si>
    <t>3/22/2026 2:00:27 PM</t>
  </si>
  <si>
    <t>3/22/2026 2:00:10 PM</t>
  </si>
  <si>
    <t>VRO 1657-0003183 has been Accepted
Note:</t>
  </si>
  <si>
    <t>2NPNHM6X2JM483143</t>
  </si>
  <si>
    <t>1657-0003188</t>
  </si>
  <si>
    <t>3/22/2026 7:05:00 AM</t>
  </si>
  <si>
    <t>3/22/2026 2:05:34 PM</t>
  </si>
  <si>
    <t>3/22/2026 2:05:15 PM</t>
  </si>
  <si>
    <t>VRO 1657-0003188 has been Accepted
Note:</t>
  </si>
  <si>
    <t>1657-0003236</t>
  </si>
  <si>
    <t>3/22/2026 1:41:00 PM</t>
  </si>
  <si>
    <t>3/22/2026 8:41:31 PM</t>
  </si>
  <si>
    <t>3/22/2026 8:41:01 PM</t>
  </si>
  <si>
    <t>VRO 1657-0003236 has been Accepted
Note:</t>
  </si>
  <si>
    <t>1657-0003231</t>
  </si>
  <si>
    <t>3/22/2026 1:34:00 PM</t>
  </si>
  <si>
    <t>3/22/2026 8:34:29 PM</t>
  </si>
  <si>
    <t>3/22/2026 8:34:03 PM</t>
  </si>
  <si>
    <t>VRO 1657-0003231 has been Accepted
Note:</t>
  </si>
  <si>
    <t>1657-0003211</t>
  </si>
  <si>
    <t>3/22/2026 12:20:00 PM</t>
  </si>
  <si>
    <t>3/22/2026 7:20:26 PM</t>
  </si>
  <si>
    <t>3/22/2026 7:20:07 PM</t>
  </si>
  <si>
    <t>VRO 1657-0003211 has been Accepted
Note:</t>
  </si>
  <si>
    <t>1657-0003218</t>
  </si>
  <si>
    <t>3/22/2026 12:31:00 PM</t>
  </si>
  <si>
    <t>3/22/2026 7:31:33 PM</t>
  </si>
  <si>
    <t>3/22/2026 7:31:00 PM</t>
  </si>
  <si>
    <t>VRO 1657-0003218 has been Accepted
Note:</t>
  </si>
  <si>
    <t>1657-0003173</t>
  </si>
  <si>
    <t>3/22/2026 4:55:00 AM</t>
  </si>
  <si>
    <t>3/22/2026 11:55:23 AM</t>
  </si>
  <si>
    <t>3/22/2026 11:55:04 AM</t>
  </si>
  <si>
    <t>VRO 1657-0003173 has been Accepted
Note:</t>
  </si>
  <si>
    <t>1FTRU8XG1RKA28453</t>
  </si>
  <si>
    <t>1657-0003238</t>
  </si>
  <si>
    <t>3/22/2026 1:44:00 PM</t>
  </si>
  <si>
    <t>3/22/2026 8:44:07 PM</t>
  </si>
  <si>
    <t>3/22/2026 8:43:45 PM</t>
  </si>
  <si>
    <t>VRO 1657-0003238 has been Accepted
Note:</t>
  </si>
  <si>
    <t>1657-0003243</t>
  </si>
  <si>
    <t>3/22/2026 1:51:00 PM</t>
  </si>
  <si>
    <t>3/22/2026 8:50:56 PM</t>
  </si>
  <si>
    <t>3/22/2026 8:50:37 PM</t>
  </si>
  <si>
    <t>VRO 1657-0003243 has been Accepted
Note:</t>
  </si>
  <si>
    <t>1FDWE35L98DA75151</t>
  </si>
  <si>
    <t>1657-0003191</t>
  </si>
  <si>
    <t>3/22/2026 8:18:00 AM</t>
  </si>
  <si>
    <t>3/22/2026 3:18:07 PM</t>
  </si>
  <si>
    <t>3/22/2026 3:17:41 PM</t>
  </si>
  <si>
    <t>VRO 1657-0003191 has been Accepted
Note:</t>
  </si>
  <si>
    <t>3FAHP0HA5BR183027</t>
  </si>
  <si>
    <t>1657-0003213</t>
  </si>
  <si>
    <t>3/22/2026 12:22:00 PM</t>
  </si>
  <si>
    <t>3/22/2026 7:22:35 PM</t>
  </si>
  <si>
    <t>3/22/2026 7:22:03 PM</t>
  </si>
  <si>
    <t>VRO 1657-0003213 has been Accepted
Note:</t>
  </si>
  <si>
    <t>1657-0003215</t>
  </si>
  <si>
    <t>3/22/2026 12:25:00 PM</t>
  </si>
  <si>
    <t>3/22/2026 7:25:19 PM</t>
  </si>
  <si>
    <t>3/22/2026 7:24:46 PM</t>
  </si>
  <si>
    <t>VRO 1657-0003215 has been Accepted
Note:</t>
  </si>
  <si>
    <t>1657-0003185</t>
  </si>
  <si>
    <t>3/22/2026 7:02:00 AM</t>
  </si>
  <si>
    <t>3/22/2026 2:02:29 PM</t>
  </si>
  <si>
    <t>3/22/2026 2:02:07 PM</t>
  </si>
  <si>
    <t>VRO 1657-0003185 has been Accepted
Note:</t>
  </si>
  <si>
    <t>1657-0003235</t>
  </si>
  <si>
    <t>3/22/2026 1:40:00 PM</t>
  </si>
  <si>
    <t>3/22/2026 8:40:22 PM</t>
  </si>
  <si>
    <t>3/22/2026 8:40:00 PM</t>
  </si>
  <si>
    <t>VRO 1657-0003235 has been Accepted
Note:</t>
  </si>
  <si>
    <t>1657-0003225</t>
  </si>
  <si>
    <t>3/22/2026 12:41:00 PM</t>
  </si>
  <si>
    <t>3/22/2026 7:41:46 PM</t>
  </si>
  <si>
    <t>3/22/2026 7:41:23 PM</t>
  </si>
  <si>
    <t>VRO 1657-0003225 has been Accepted
Note:</t>
  </si>
  <si>
    <t>1FTRS4X82NKA61687</t>
  </si>
  <si>
    <t>1657-0003233</t>
  </si>
  <si>
    <t>3/22/2026 1:36:00 PM</t>
  </si>
  <si>
    <t>3/22/2026 8:36:50 PM</t>
  </si>
  <si>
    <t>3/22/2026 8:36:17 PM</t>
  </si>
  <si>
    <t>VRO 1657-0003233 has been Accepted
Note:</t>
  </si>
  <si>
    <t>1657-0003216</t>
  </si>
  <si>
    <t>3/22/2026 12:26:00 PM</t>
  </si>
  <si>
    <t>3/22/2026 7:27:15 PM</t>
  </si>
  <si>
    <t>3/22/2026 7:26:09 PM</t>
  </si>
  <si>
    <t>VRO 1657-0003216 has been Accepted
Note:</t>
  </si>
  <si>
    <t>1657-0003198</t>
  </si>
  <si>
    <t>3/22/2026 9:31:00 AM</t>
  </si>
  <si>
    <t>3/22/2026 4:34:22 PM</t>
  </si>
  <si>
    <t>3/22/2026 4:31:18 PM</t>
  </si>
  <si>
    <t>VRO 1657-0003198 has been Accepted
Note:</t>
  </si>
  <si>
    <t>2NPNHM6X6HM319081</t>
  </si>
  <si>
    <t>1657-0003221</t>
  </si>
  <si>
    <t>3/22/2026 12:35:00 PM</t>
  </si>
  <si>
    <t>3/22/2026 7:37:50 PM</t>
  </si>
  <si>
    <t>3/22/2026 7:37:26 PM</t>
  </si>
  <si>
    <t>VRO 1657-0003221 has been Accepted
Note:</t>
  </si>
  <si>
    <t>1657-0003241</t>
  </si>
  <si>
    <t>3/22/2026 1:48:00 PM</t>
  </si>
  <si>
    <t>3/22/2026 8:48:53 PM</t>
  </si>
  <si>
    <t>3/22/2026 8:48:32 PM</t>
  </si>
  <si>
    <t>VRO 1657-0003241 has been Accepted
Note:</t>
  </si>
  <si>
    <t>1657-0003172</t>
  </si>
  <si>
    <t>3/22/2026 4:53:00 AM</t>
  </si>
  <si>
    <t>3/22/2026 11:53:50 AM</t>
  </si>
  <si>
    <t>3/22/2026 11:53:15 AM</t>
  </si>
  <si>
    <t>VRO 1657-0003172 has been Accepted
Note:</t>
  </si>
  <si>
    <t>1657-0003190</t>
  </si>
  <si>
    <t>3/22/2026 8:12:00 AM</t>
  </si>
  <si>
    <t>3/22/2026 3:13:09 PM</t>
  </si>
  <si>
    <t>3/22/2026 3:12:04 PM</t>
  </si>
  <si>
    <t>VRO 1657-0003190 has been Accepted
Note:</t>
  </si>
  <si>
    <t>1657-0003232</t>
  </si>
  <si>
    <t>3/22/2026 1:35:00 PM</t>
  </si>
  <si>
    <t>3/22/2026 8:35:34 PM</t>
  </si>
  <si>
    <t>3/22/2026 8:35:14 PM</t>
  </si>
  <si>
    <t>VRO 1657-0003232 has been Accepted
Note:</t>
  </si>
  <si>
    <t>1657-0003194</t>
  </si>
  <si>
    <t>3/22/2026 9:06:00 AM</t>
  </si>
  <si>
    <t>3/22/2026 4:06:56 PM</t>
  </si>
  <si>
    <t>3/22/2026 4:06:31 PM</t>
  </si>
  <si>
    <t>VRO 1657-0003194 has been Accepted
Note:</t>
  </si>
  <si>
    <t>1657-0003202</t>
  </si>
  <si>
    <t>3/22/2026 11:19:00 AM</t>
  </si>
  <si>
    <t>3/22/2026 6:19:46 PM</t>
  </si>
  <si>
    <t>3/22/2026 6:19:24 PM</t>
  </si>
  <si>
    <t>VRO 1657-0003202 has been Accepted
Note:</t>
  </si>
  <si>
    <t>1657-0003219</t>
  </si>
  <si>
    <t>3/22/2026 12:33:00 PM</t>
  </si>
  <si>
    <t>3/22/2026 7:33:10 PM</t>
  </si>
  <si>
    <t>3/22/2026 7:32:40 PM</t>
  </si>
  <si>
    <t>VRO 1657-0003219 has been Accepted
Note:</t>
  </si>
  <si>
    <t>1657-0003196</t>
  </si>
  <si>
    <t>3/22/2026 9:16:00 AM</t>
  </si>
  <si>
    <t>3/22/2026 4:16:25 PM</t>
  </si>
  <si>
    <t>3/22/2026 4:15:53 PM</t>
  </si>
  <si>
    <t>VRO 1657-0003196 has been Accepted
Note:</t>
  </si>
  <si>
    <t>1657-0003224</t>
  </si>
  <si>
    <t>3/22/2026 12:40:00 PM</t>
  </si>
  <si>
    <t>3/22/2026 7:40:38 PM</t>
  </si>
  <si>
    <t>3/22/2026 7:40:16 PM</t>
  </si>
  <si>
    <t>VRO 1657-0003224 has been Accepted
Note:</t>
  </si>
  <si>
    <t>1657-0003203</t>
  </si>
  <si>
    <t>3/22/2026 11:20:00 AM</t>
  </si>
  <si>
    <t>3/22/2026 6:20:37 PM</t>
  </si>
  <si>
    <t>3/22/2026 6:20:20 PM</t>
  </si>
  <si>
    <t>VRO 1657-0003203 has been Accepted
Note:</t>
  </si>
  <si>
    <t>1657-0003227</t>
  </si>
  <si>
    <t>3/22/2026 12:44:00 PM</t>
  </si>
  <si>
    <t>3/22/2026 7:44:08 PM</t>
  </si>
  <si>
    <t>3/22/2026 7:43:43 PM</t>
  </si>
  <si>
    <t>VRO 1657-0003227 has been Accepted
Note:</t>
  </si>
  <si>
    <t>1657-0003192</t>
  </si>
  <si>
    <t>3/22/2026 8:19:00 AM</t>
  </si>
  <si>
    <t>3/22/2026 3:20:35 PM</t>
  </si>
  <si>
    <t>3/22/2026 3:20:02 PM</t>
  </si>
  <si>
    <t>VRO 1657-0003192 has been Accepted
Note:</t>
  </si>
  <si>
    <t>1657-0003176</t>
  </si>
  <si>
    <t>3/22/2026 5:01:00 AM</t>
  </si>
  <si>
    <t>3/22/2026 12:01:44 PM</t>
  </si>
  <si>
    <t>3/22/2026 12:01:22 PM</t>
  </si>
  <si>
    <t>VRO 1657-0003176 has been Accepted
Note:</t>
  </si>
  <si>
    <t>1657-0003229</t>
  </si>
  <si>
    <t>3/22/2026 1:32:00 PM</t>
  </si>
  <si>
    <t>3/22/2026 8:32:00 PM</t>
  </si>
  <si>
    <t>3/22/2026 8:31:38 PM</t>
  </si>
  <si>
    <t>VRO 1657-0003229 has been Accepted
Note:</t>
  </si>
  <si>
    <t>1657-0003186</t>
  </si>
  <si>
    <t>3/22/2026 7:03:00 AM</t>
  </si>
  <si>
    <t>3/22/2026 2:03:40 PM</t>
  </si>
  <si>
    <t>3/22/2026 2:03:19 PM</t>
  </si>
  <si>
    <t>VRO 1657-0003186 has been Accepted
Note:</t>
  </si>
  <si>
    <t>1GDT7H4J5RJ506419</t>
  </si>
  <si>
    <t>1657-0003223</t>
  </si>
  <si>
    <t>3/22/2026 12:39:00 PM</t>
  </si>
  <si>
    <t>3/22/2026 7:39:42 PM</t>
  </si>
  <si>
    <t>3/22/2026 7:39:23 PM</t>
  </si>
  <si>
    <t>VRO 1657-0003223 has been Accepted
Note:</t>
  </si>
  <si>
    <t>1657-0003179</t>
  </si>
  <si>
    <t>3/22/2026 5:05:00 AM</t>
  </si>
  <si>
    <t>3/22/2026 12:04:58 PM</t>
  </si>
  <si>
    <t>3/22/2026 12:04:38 PM</t>
  </si>
  <si>
    <t>VRO 1657-0003179 has been Accepted
Note:</t>
  </si>
  <si>
    <t>1657-0003206</t>
  </si>
  <si>
    <t>3/22/2026 12:07:00 PM</t>
  </si>
  <si>
    <t>3/22/2026 7:08:30 PM</t>
  </si>
  <si>
    <t>3/22/2026 7:07:32 PM</t>
  </si>
  <si>
    <t>VRO 1657-0003206 has been Accepted
Note:</t>
  </si>
  <si>
    <t>1657-0003197</t>
  </si>
  <si>
    <t>3/22/2026 9:25:00 AM</t>
  </si>
  <si>
    <t>3/22/2026 4:25:01 PM</t>
  </si>
  <si>
    <t>3/22/2026 4:24:39 PM</t>
  </si>
  <si>
    <t>VRO 1657-0003197 has been Accepted
Note:</t>
  </si>
  <si>
    <t>1657-0003212</t>
  </si>
  <si>
    <t>3/22/2026 12:21:00 PM</t>
  </si>
  <si>
    <t>3/22/2026 7:21:24 PM</t>
  </si>
  <si>
    <t>3/22/2026 7:21:08 PM</t>
  </si>
  <si>
    <t>VRO 1657-0003212 has been Accepted
Note:</t>
  </si>
  <si>
    <t>1657-0003207</t>
  </si>
  <si>
    <t>3/22/2026 12:11:00 PM</t>
  </si>
  <si>
    <t>3/22/2026 7:11:16 PM</t>
  </si>
  <si>
    <t>3/22/2026 7:10:52 PM</t>
  </si>
  <si>
    <t>VRO 1657-0003207 has been Accepted
Note:</t>
  </si>
  <si>
    <t>1657-0003222</t>
  </si>
  <si>
    <t>3/22/2026 12:38:00 PM</t>
  </si>
  <si>
    <t>3/22/2026 7:38:35 PM</t>
  </si>
  <si>
    <t>3/22/2026 7:38:18 PM</t>
  </si>
  <si>
    <t>VRO 1657-0003222 has been Accepted
Note:</t>
  </si>
  <si>
    <t>1657-0003205</t>
  </si>
  <si>
    <t>3/22/2026 12:03:00 PM</t>
  </si>
  <si>
    <t>3/22/2026 7:06:41 PM</t>
  </si>
  <si>
    <t>3/22/2026 7:06:21 PM</t>
  </si>
  <si>
    <t>VRO 1657-0003205 has been Accepted
Note:</t>
  </si>
  <si>
    <t>1657-0003195</t>
  </si>
  <si>
    <t>3/22/2026 9:08:00 AM</t>
  </si>
  <si>
    <t>3/22/2026 4:07:59 PM</t>
  </si>
  <si>
    <t>3/22/2026 4:07:39 PM</t>
  </si>
  <si>
    <t>VRO 1657-0003195 has been Accepted
Note:</t>
  </si>
  <si>
    <t>1657-0003178</t>
  </si>
  <si>
    <t>3/22/2026 5:03:00 AM</t>
  </si>
  <si>
    <t>3/22/2026 12:03:57 PM</t>
  </si>
  <si>
    <t>3/22/2026 12:03:35 PM</t>
  </si>
  <si>
    <t>VRO 1657-0003178 has been Accepted
Note:</t>
  </si>
  <si>
    <t>1657-0003200</t>
  </si>
  <si>
    <t>3/22/2026 9:46:00 AM</t>
  </si>
  <si>
    <t>3/22/2026 4:46:08 PM</t>
  </si>
  <si>
    <t>3/22/2026 4:45:47 PM</t>
  </si>
  <si>
    <t>VRO 1657-0003200 has been Accepted
Note:</t>
  </si>
  <si>
    <t>1657-0003209</t>
  </si>
  <si>
    <t>3/22/2026 12:14:00 PM</t>
  </si>
  <si>
    <t>3/22/2026 7:17:08 PM</t>
  </si>
  <si>
    <t>3/22/2026 7:14:30 PM</t>
  </si>
  <si>
    <t>VRO 1657-0003209 has been Accepted
Note:</t>
  </si>
  <si>
    <t>1FTRS4X86LKA29192</t>
  </si>
  <si>
    <t>1657-0003226</t>
  </si>
  <si>
    <t>3/22/2026 12:42:00 PM</t>
  </si>
  <si>
    <t>3/22/2026 7:42:51 PM</t>
  </si>
  <si>
    <t>3/22/2026 7:42:30 PM</t>
  </si>
  <si>
    <t>VRO 1657-0003226 has been Accepted
Note:</t>
  </si>
  <si>
    <t>1657-0003237</t>
  </si>
  <si>
    <t>3/22/2026 1:42:00 PM</t>
  </si>
  <si>
    <t>3/22/2026 8:42:48 PM</t>
  </si>
  <si>
    <t>3/22/2026 8:42:29 PM</t>
  </si>
  <si>
    <t>VRO 1657-0003237 has been Accepted
Note:</t>
  </si>
  <si>
    <t>1657-0003193</t>
  </si>
  <si>
    <t>3/22/2026 9:04:00 AM</t>
  </si>
  <si>
    <t>3/22/2026 4:05:14 PM</t>
  </si>
  <si>
    <t>3/22/2026 4:04:37 PM</t>
  </si>
  <si>
    <t>VRO 1657-0003193 has been Accepted
Note:</t>
  </si>
  <si>
    <t>Homer skelton ford (662) 890-6871</t>
  </si>
  <si>
    <t>1FTYR14U97PA61716</t>
  </si>
  <si>
    <t>1657-0003189</t>
  </si>
  <si>
    <t>3/22/2026 8:10:00 AM</t>
  </si>
  <si>
    <t>3/22/2026 3:11:16 PM</t>
  </si>
  <si>
    <t>3/22/2026 3:10:57 PM</t>
  </si>
  <si>
    <t>VRO 1657-0003189 has been Accepted
Note:</t>
  </si>
  <si>
    <t>1FTRS4XMXJKB28205</t>
  </si>
  <si>
    <t>1657-0003184</t>
  </si>
  <si>
    <t>3/22/2026 7:01:00 AM</t>
  </si>
  <si>
    <t>3/22/2026 2:01:34 PM</t>
  </si>
  <si>
    <t>3/22/2026 2:01:16 PM</t>
  </si>
  <si>
    <t>VRO 1657-0003184 has been Accepted
Note:</t>
  </si>
  <si>
    <t>1657-0003201</t>
  </si>
  <si>
    <t>3/22/2026 11:14:00 AM</t>
  </si>
  <si>
    <t>3/22/2026 6:14:53 PM</t>
  </si>
  <si>
    <t>3/22/2026 6:14:28 PM</t>
  </si>
  <si>
    <t>VRO 1657-0003201 has been Accepted
Note:</t>
  </si>
  <si>
    <t>1657-0003234</t>
  </si>
  <si>
    <t>3/22/2026 1:37:00 PM</t>
  </si>
  <si>
    <t>3/22/2026 8:37:49 PM</t>
  </si>
  <si>
    <t>3/22/2026 8:37:29 PM</t>
  </si>
  <si>
    <t>VRO 1657-0003234 has been Accepted
Note:</t>
  </si>
  <si>
    <t>Cambri truck center (908) 354-2100. Unit set up for service</t>
  </si>
  <si>
    <t>1657-0003182</t>
  </si>
  <si>
    <t>3/22/2026 6:59:00 AM</t>
  </si>
  <si>
    <t>3/22/2026 1:59:19 PM</t>
  </si>
  <si>
    <t>3/22/2026 1:59:00 PM</t>
  </si>
  <si>
    <t>VRO 1657-0003182 has been Accepted
Note:</t>
  </si>
  <si>
    <t>1657-0003175</t>
  </si>
  <si>
    <t>3/22/2026 5:00:00 AM</t>
  </si>
  <si>
    <t>3/22/2026 12:00:49 PM</t>
  </si>
  <si>
    <t>3/22/2026 12:00:30 PM</t>
  </si>
  <si>
    <t>VRO 1657-0003175 has been Accepted
Note:</t>
  </si>
  <si>
    <t>1657-0003174</t>
  </si>
  <si>
    <t>3/22/2026 4:56:00 AM</t>
  </si>
  <si>
    <t>3/22/2026 11:56:25 AM</t>
  </si>
  <si>
    <t>3/22/2026 11:56:05 AM</t>
  </si>
  <si>
    <t>VRO 1657-0003174 has been Accepted
Note:</t>
  </si>
  <si>
    <t>1657-0003228</t>
  </si>
  <si>
    <t>3/22/2026 12:45:00 PM</t>
  </si>
  <si>
    <t>3/22/2026 8:29:01 PM</t>
  </si>
  <si>
    <t>3/22/2026 7:45:04 PM</t>
  </si>
  <si>
    <t>VRO 1657-0003228 has been Accepted
Note:</t>
  </si>
  <si>
    <t>1FTRS4XM9KKA10244</t>
  </si>
  <si>
    <t>1657-0003181</t>
  </si>
  <si>
    <t>3/22/2026 6:56:00 AM</t>
  </si>
  <si>
    <t>3/22/2026 1:56:05 PM</t>
  </si>
  <si>
    <t>3/22/2026 1:55:39 PM</t>
  </si>
  <si>
    <t>VRO 1657-0003181 has been Accepted
Note:</t>
  </si>
  <si>
    <t>1FTRS4X84LKA29191</t>
  </si>
  <si>
    <t>1657-0003187</t>
  </si>
  <si>
    <t>3/22/2026 7:04:00 AM</t>
  </si>
  <si>
    <t>3/22/2026 2:04:39 PM</t>
  </si>
  <si>
    <t>3/22/2026 2:04:19 PM</t>
  </si>
  <si>
    <t>VRO 1657-0003187 has been Accepted
Note:</t>
  </si>
  <si>
    <t>1657-0003246</t>
  </si>
  <si>
    <t>3/22/2026 7:05:00 PM</t>
  </si>
  <si>
    <t>3/23/2026 2:05:50 AM</t>
  </si>
  <si>
    <t>3/23/2026 2:05:32 AM</t>
  </si>
  <si>
    <t>VRO 1657-0003246 has been Accepted
Note:</t>
  </si>
  <si>
    <t>1657-0003220</t>
  </si>
  <si>
    <t>3/22/2026 12:34:00 PM</t>
  </si>
  <si>
    <t>3/22/2026 7:34:24 PM</t>
  </si>
  <si>
    <t>3/22/2026 7:34:02 PM</t>
  </si>
  <si>
    <t>VRO 1657-0003220 has been Accepted
Note:</t>
  </si>
  <si>
    <t>1657-0003177</t>
  </si>
  <si>
    <t>3/22/2026 5:02:00 AM</t>
  </si>
  <si>
    <t>3/22/2026 12:02:40 PM</t>
  </si>
  <si>
    <t>3/22/2026 12:02:21 PM</t>
  </si>
  <si>
    <t>VRO 1657-0003177 has been Accepted
Note:</t>
  </si>
  <si>
    <t>1657-0003214</t>
  </si>
  <si>
    <t>3/22/2026 12:23:00 PM</t>
  </si>
  <si>
    <t>3/22/2026 7:23:50 PM</t>
  </si>
  <si>
    <t>3/22/2026 7:23:28 PM</t>
  </si>
  <si>
    <t>VRO 1657-0003214 has been Accepted
Note:</t>
  </si>
  <si>
    <t>1657-0003240</t>
  </si>
  <si>
    <t>3/22/2026 1:46:00 PM</t>
  </si>
  <si>
    <t>3/22/2026 8:46:27 PM</t>
  </si>
  <si>
    <t>3/22/2026 8:46:07 PM</t>
  </si>
  <si>
    <t>VRO 1657-0003240 has been Accepted
Note:</t>
  </si>
  <si>
    <t>1657-0003242</t>
  </si>
  <si>
    <t>3/22/2026 1:50:00 PM</t>
  </si>
  <si>
    <t>3/22/2026 8:49:57 PM</t>
  </si>
  <si>
    <t>3/22/2026 8:49:35 PM</t>
  </si>
  <si>
    <t>VRO 1657-0003242 has been Accepted
Note:</t>
  </si>
  <si>
    <t>1657-0003199</t>
  </si>
  <si>
    <t>3/22/2026 9:40:00 AM</t>
  </si>
  <si>
    <t>3/22/2026 4:40:20 PM</t>
  </si>
  <si>
    <t>3/22/2026 4:39:57 PM</t>
  </si>
  <si>
    <t>VRO 1657-0003199 has been Accepted
Note:</t>
  </si>
  <si>
    <t>1657-0003210</t>
  </si>
  <si>
    <t>3/22/2026 12:19:00 PM</t>
  </si>
  <si>
    <t>3/22/2026 7:19:03 PM</t>
  </si>
  <si>
    <t>3/22/2026 7:18:37 PM</t>
  </si>
  <si>
    <t>VRO 1657-0003210 has been Accepted
Note:</t>
  </si>
  <si>
    <t>1657-0003230</t>
  </si>
  <si>
    <t>3/22/2026 1:33:00 PM</t>
  </si>
  <si>
    <t>3/22/2026 8:33:15 PM</t>
  </si>
  <si>
    <t>3/22/2026 8:32:47 PM</t>
  </si>
  <si>
    <t>VRO 1657-0003230 has been Accepted
Note:</t>
  </si>
  <si>
    <t>1657-0003217</t>
  </si>
  <si>
    <t>3/22/2026 12:29:00 PM</t>
  </si>
  <si>
    <t>3/22/2026 7:29:31 PM</t>
  </si>
  <si>
    <t>3/22/2026 7:28:56 PM</t>
  </si>
  <si>
    <t>VRO 1657-0003217 has been Accepted
Note:</t>
  </si>
  <si>
    <t>1657-0003204</t>
  </si>
  <si>
    <t>3/22/2026 11:34:00 AM</t>
  </si>
  <si>
    <t>3/22/2026 7:00:14 PM</t>
  </si>
  <si>
    <t>3/22/2026 6:34:15 PM</t>
  </si>
  <si>
    <t>VRO 1657-0003204 has been Accepted
Note:</t>
  </si>
  <si>
    <t>1HTJSSKK8CH151864</t>
  </si>
  <si>
    <t>GAR-6644</t>
  </si>
  <si>
    <t>1657-0003208</t>
  </si>
  <si>
    <t>3/22/2026 12:12:00 PM</t>
  </si>
  <si>
    <t>3/22/2026 7:13:22 PM</t>
  </si>
  <si>
    <t>3/22/2026 7:12:19 PM</t>
  </si>
  <si>
    <t>VRO 1657-0003208 has been Accepted
Note:</t>
  </si>
  <si>
    <t>1657-0003239</t>
  </si>
  <si>
    <t>3/22/2026 1:45:00 PM</t>
  </si>
  <si>
    <t>3/22/2026 8:45:06 PM</t>
  </si>
  <si>
    <t>3/22/2026 8:44:45 PM</t>
  </si>
  <si>
    <t>VRO 1657-0003239 has been Accepted
Note:</t>
  </si>
  <si>
    <t>DJ 3/23</t>
  </si>
  <si>
    <t>HP 03/23</t>
  </si>
  <si>
    <t>VRO 1657-0003132 has been Accepted
Note:</t>
  </si>
  <si>
    <t>ANNUAL INSPECTION</t>
  </si>
  <si>
    <t>VRO 1657-0003115 has been Accepted
Note:</t>
  </si>
  <si>
    <t>hp 03/23</t>
  </si>
  <si>
    <t>VRO 1657-0002847 has been Accepted
Note:</t>
  </si>
  <si>
    <t>kw 3/23</t>
  </si>
  <si>
    <t>01657A0000392636</t>
  </si>
  <si>
    <t>1657-0003245</t>
  </si>
  <si>
    <t>3/22/2026 4:28:00 PM</t>
  </si>
  <si>
    <t>3/22/2026 11:28:38 PM</t>
  </si>
  <si>
    <t>3/22/2026 11:28:12 PM</t>
  </si>
  <si>
    <t>VRO 1657-0003128 has been Accepted
Note:</t>
  </si>
  <si>
    <t>01657A0000393599</t>
  </si>
  <si>
    <t>01657A0000393456</t>
  </si>
  <si>
    <t>01657A0000366407</t>
  </si>
  <si>
    <t>2NPNHM6XXJM472780</t>
  </si>
  <si>
    <t>1657-0000896</t>
  </si>
  <si>
    <t>2/24/2026 12:55:00 PM</t>
  </si>
  <si>
    <t>2/25/2026 1:50:32 AM</t>
  </si>
  <si>
    <t>2/25/2026 1:44:10 AM</t>
  </si>
  <si>
    <t>01657A0000393587</t>
  </si>
  <si>
    <t>pending final invoice.</t>
  </si>
  <si>
    <t>3/23/2026 10:32:39 PM</t>
  </si>
  <si>
    <t>3/23/2026 8:18:11 PM</t>
  </si>
  <si>
    <t>VRO 1657-0003250 has been Accepted
Note:</t>
  </si>
  <si>
    <t>VRO 1657-0001209 has been Accepted
Note:</t>
  </si>
  <si>
    <t>01657A0000394213</t>
  </si>
  <si>
    <t>VRO 1657-0001216 has been Accepted
Note:</t>
  </si>
  <si>
    <t>VRO 1657-0001712 has been Accepted
Note:</t>
  </si>
  <si>
    <t>Case - Automatic Transmission</t>
  </si>
  <si>
    <t>01657A0000393936</t>
  </si>
  <si>
    <t>01657A0000394057</t>
  </si>
  <si>
    <t>01657A0000393753</t>
  </si>
  <si>
    <t>01657A0000393734</t>
  </si>
  <si>
    <t>VRO 1657-0002846 has been Submitted for Review</t>
  </si>
  <si>
    <t>01657A0000393851</t>
  </si>
  <si>
    <t>1657-0003271</t>
  </si>
  <si>
    <t>3/23/2026 5:07:53 AM</t>
  </si>
  <si>
    <t>ahD9PN4xsCEq91NRL6XJ7pA</t>
  </si>
  <si>
    <t>2NPNHM6XXJM483181</t>
  </si>
  <si>
    <t>1657-0003267</t>
  </si>
  <si>
    <t>3/23/2026 5:49:35 AM</t>
  </si>
  <si>
    <t>1069031081</t>
  </si>
  <si>
    <t>1657-0003256</t>
  </si>
  <si>
    <t>3/23/2026 4:45:47 AM</t>
  </si>
  <si>
    <t>1068956348</t>
  </si>
  <si>
    <t>1657-0003291</t>
  </si>
  <si>
    <t>3/23/2026 8:09:20 AM</t>
  </si>
  <si>
    <t>azresI8I2O0mmORRG5a1QSA</t>
  </si>
  <si>
    <t>1657-0003257</t>
  </si>
  <si>
    <t>3/23/2026 4:53:17 AM</t>
  </si>
  <si>
    <t>1068964881</t>
  </si>
  <si>
    <t>1657-0003283</t>
  </si>
  <si>
    <t>3/23/2026 6:23:48 AM</t>
  </si>
  <si>
    <t>1069067899</t>
  </si>
  <si>
    <t>1657-0003321</t>
  </si>
  <si>
    <t>3/23/2026 2:09:39 PM</t>
  </si>
  <si>
    <t>1069426370</t>
  </si>
  <si>
    <t>1657-0003331</t>
  </si>
  <si>
    <t>3/23/2026 3:14:30 PM</t>
  </si>
  <si>
    <t>ad-u32z4k80u74Vm_U6AHyQ</t>
  </si>
  <si>
    <t>1657-0003260</t>
  </si>
  <si>
    <t>3/23/2026 4:55:59 AM</t>
  </si>
  <si>
    <t>armPm-NfwIkSEmwt6MiiDzw</t>
  </si>
  <si>
    <t>1657-0003288</t>
  </si>
  <si>
    <t>3/23/2026 7:44:09 AM</t>
  </si>
  <si>
    <t>1069137760</t>
  </si>
  <si>
    <t>1657-0003287</t>
  </si>
  <si>
    <t>3/23/2026 7:04:18 AM</t>
  </si>
  <si>
    <t>1069105104</t>
  </si>
  <si>
    <t>1657-0003284</t>
  </si>
  <si>
    <t>3/23/2026 6:24:01 AM</t>
  </si>
  <si>
    <t>1069068070</t>
  </si>
  <si>
    <t>1657-0003320</t>
  </si>
  <si>
    <t>3/23/2026 2:00:56 PM</t>
  </si>
  <si>
    <t>1069417971</t>
  </si>
  <si>
    <t>1657-0003274</t>
  </si>
  <si>
    <t>3/23/2026 5:45:26 AM</t>
  </si>
  <si>
    <t>auRj2elspLUWRfl8YkMTsZg</t>
  </si>
  <si>
    <t>1657-0003285</t>
  </si>
  <si>
    <t>3/23/2026 6:35:11 AM</t>
  </si>
  <si>
    <t>auKgtFtBO-ka2v0XxaQw4gA</t>
  </si>
  <si>
    <t>1657-0003318</t>
  </si>
  <si>
    <t>3/23/2026 2:52:00 PM</t>
  </si>
  <si>
    <t>1657-0003328</t>
  </si>
  <si>
    <t>3/23/2026 2:59:49 PM</t>
  </si>
  <si>
    <t>1069474304</t>
  </si>
  <si>
    <t>1657-0003265</t>
  </si>
  <si>
    <t>3/23/2026 5:32:13 AM</t>
  </si>
  <si>
    <t>1069011880</t>
  </si>
  <si>
    <t>1657-0003255</t>
  </si>
  <si>
    <t>3/23/2026 4:42:58 AM</t>
  </si>
  <si>
    <t>1068952926</t>
  </si>
  <si>
    <t>1657-0003329</t>
  </si>
  <si>
    <t>3/23/2026 3:02:27 PM</t>
  </si>
  <si>
    <t>1069476943</t>
  </si>
  <si>
    <t>1657-0003258</t>
  </si>
  <si>
    <t>3/23/2026 4:43:59 AM</t>
  </si>
  <si>
    <t>arsA6ad8uvEKUfVVTCMH83w</t>
  </si>
  <si>
    <t>1657-0003270</t>
  </si>
  <si>
    <t>3/23/2026 5:06:28 AM</t>
  </si>
  <si>
    <t>aoYJQwF6cA0mOmuRlMuMtYQ</t>
  </si>
  <si>
    <t>1657-0003306</t>
  </si>
  <si>
    <t>3/23/2026 12:11:18 PM</t>
  </si>
  <si>
    <t>1069319983</t>
  </si>
  <si>
    <t>1657-0003330</t>
  </si>
  <si>
    <t>3/23/2026 3:47:22 PM</t>
  </si>
  <si>
    <t>1069517834</t>
  </si>
  <si>
    <t>1FTRS4X88PKA64810</t>
  </si>
  <si>
    <t>1657-0003275</t>
  </si>
  <si>
    <t>3/23/2026 5:53:38 AM</t>
  </si>
  <si>
    <t>aM1ib4XMmpkq3M8huWtfaxQ</t>
  </si>
  <si>
    <t>1657-0003273</t>
  </si>
  <si>
    <t>3/23/2026 5:43:05 AM</t>
  </si>
  <si>
    <t>aAhKeJpGLSk2lruKFA5OV8g</t>
  </si>
  <si>
    <t>1657-0003316</t>
  </si>
  <si>
    <t>3/23/2026 2:44:00 PM</t>
  </si>
  <si>
    <t>1657-0003317</t>
  </si>
  <si>
    <t>3/23/2026 2:48:00 PM</t>
  </si>
  <si>
    <t>1FTRS4X84NKA52246</t>
  </si>
  <si>
    <t>1657-0003280</t>
  </si>
  <si>
    <t>3/23/2026 6:22:20 AM</t>
  </si>
  <si>
    <t>1069066411</t>
  </si>
  <si>
    <t>1657-0003263</t>
  </si>
  <si>
    <t>3/23/2026 5:12:42 AM</t>
  </si>
  <si>
    <t>1068988165</t>
  </si>
  <si>
    <t>1657-0003264</t>
  </si>
  <si>
    <t>3/23/2026 5:24:53 AM</t>
  </si>
  <si>
    <t>1069003058</t>
  </si>
  <si>
    <t>1657-0003266</t>
  </si>
  <si>
    <t>3/23/2026 5:41:01 AM</t>
  </si>
  <si>
    <t>1069021792</t>
  </si>
  <si>
    <t>1657-0003272</t>
  </si>
  <si>
    <t>3/23/2026 5:14:29 AM</t>
  </si>
  <si>
    <t>aBfQqqWVLC0uO2nMQtoZ4EA</t>
  </si>
  <si>
    <t>1657-0003303</t>
  </si>
  <si>
    <t>3/23/2026 12:50:00 PM</t>
  </si>
  <si>
    <t>1657-0003319</t>
  </si>
  <si>
    <t>3/23/2026 2:55:00 PM</t>
  </si>
  <si>
    <t>3/23/2026 10:31:43 PM</t>
  </si>
  <si>
    <t>3/23/2026 9:55:18 PM</t>
  </si>
  <si>
    <t>VRO 1657-0003319 has been Accepted
Note:</t>
  </si>
  <si>
    <t>1657-0003333</t>
  </si>
  <si>
    <t>3/23/2026 4:14:00 PM</t>
  </si>
  <si>
    <t>3/23/2026 11:15:07 PM</t>
  </si>
  <si>
    <t>3/23/2026 11:14:42 PM</t>
  </si>
  <si>
    <t>1657-0003297</t>
  </si>
  <si>
    <t>3/23/2026 10:42:00 AM</t>
  </si>
  <si>
    <t>3/23/2026 5:46:30 PM</t>
  </si>
  <si>
    <t>3/23/2026 5:42:40 PM</t>
  </si>
  <si>
    <t>3/29/2026 12:00:00 AM</t>
  </si>
  <si>
    <t>1657-0003325</t>
  </si>
  <si>
    <t>3/23/2026 3:40:00 PM</t>
  </si>
  <si>
    <t>3/23/2026 10:43:07 PM</t>
  </si>
  <si>
    <t>3/23/2026 10:42:32 PM</t>
  </si>
  <si>
    <t>VRO 1657-0003325 has been Accepted
Note:</t>
  </si>
  <si>
    <t>1657-0003322</t>
  </si>
  <si>
    <t>3/23/2026 3:10:00 PM</t>
  </si>
  <si>
    <t>3/23/2026 10:21:58 PM</t>
  </si>
  <si>
    <t>3/24/2026 12:09:44 AM</t>
  </si>
  <si>
    <t>1657-0003295</t>
  </si>
  <si>
    <t>3/23/2026 9:55:00 AM</t>
  </si>
  <si>
    <t>3/23/2026 4:56:30 PM</t>
  </si>
  <si>
    <t>3/23/2026 4:55:23 PM</t>
  </si>
  <si>
    <t>VRO 1657-0003295 has been Accepted
Note:</t>
  </si>
  <si>
    <t>2NPNHM6X9HM319060</t>
  </si>
  <si>
    <t>1657-0003337</t>
  </si>
  <si>
    <t>3/23/2026 4:58:00 PM</t>
  </si>
  <si>
    <t>3/23/2026 11:58:57 PM</t>
  </si>
  <si>
    <t>3/24/2026 11:58:01 PM</t>
  </si>
  <si>
    <t>VRO 1657-0003337 has been Accepted
Note:</t>
  </si>
  <si>
    <t>1657-0003327</t>
  </si>
  <si>
    <t>3/23/2026 3:52:00 PM</t>
  </si>
  <si>
    <t>3/23/2026 10:57:15 PM</t>
  </si>
  <si>
    <t>3/23/2026 10:51:34 PM</t>
  </si>
  <si>
    <t>1657-0003304</t>
  </si>
  <si>
    <t>3/23/2026 12:51:00 PM</t>
  </si>
  <si>
    <t>3/23/2026 7:51:46 PM</t>
  </si>
  <si>
    <t>3/25/2026 7:51:12 PM</t>
  </si>
  <si>
    <t>1657-0003309</t>
  </si>
  <si>
    <t>3/23/2026 1:23:00 PM</t>
  </si>
  <si>
    <t>3/23/2026 10:33:04 PM</t>
  </si>
  <si>
    <t>3/23/2026 9:39:42 PM</t>
  </si>
  <si>
    <t>VRO 1657-0003309 has been Accepted
Note:</t>
  </si>
  <si>
    <t>1657-0003300</t>
  </si>
  <si>
    <t>3/23/2026 12:08:00 PM</t>
  </si>
  <si>
    <t>3/23/2026 10:33:36 PM</t>
  </si>
  <si>
    <t>3/23/2026 7:09:14 PM</t>
  </si>
  <si>
    <t>VRO 1657-0003300 has been Accepted
Note:</t>
  </si>
  <si>
    <t>1657-0003340</t>
  </si>
  <si>
    <t>3/23/2026 5:10:00 PM</t>
  </si>
  <si>
    <t>3/24/2026 12:10:54 AM</t>
  </si>
  <si>
    <t>3/25/2026 12:10:19 AM</t>
  </si>
  <si>
    <t>VRO 1657-0003340 has been Accepted
Note:</t>
  </si>
  <si>
    <t>1657-0003301</t>
  </si>
  <si>
    <t>3/23/2026 12:21:00 PM</t>
  </si>
  <si>
    <t>3/23/2026 10:33:26 PM</t>
  </si>
  <si>
    <t>3/23/2026 7:21:12 PM</t>
  </si>
  <si>
    <t>1657-0003281</t>
  </si>
  <si>
    <t>3/23/2026 6:59:00 AM</t>
  </si>
  <si>
    <t>3/23/2026 2:01:04 PM</t>
  </si>
  <si>
    <t>3/23/2026 1:59:38 PM</t>
  </si>
  <si>
    <t>1657-0003282</t>
  </si>
  <si>
    <t>3/23/2026 11:53:23 PM</t>
  </si>
  <si>
    <t>3/24/2026 11:19:19 PM</t>
  </si>
  <si>
    <t>VRO 1657-0003282 has been Accepted
Note:</t>
  </si>
  <si>
    <t>1069066438</t>
  </si>
  <si>
    <t>1FTRS4X89LKA29221</t>
  </si>
  <si>
    <t>1657-0003308</t>
  </si>
  <si>
    <t>3/23/2026 1:12:00 PM</t>
  </si>
  <si>
    <t>3/23/2026 8:12:50 PM</t>
  </si>
  <si>
    <t>3/25/2026 8:11:55 PM</t>
  </si>
  <si>
    <t>VRO 1657-0003308 has been Accepted
Note:</t>
  </si>
  <si>
    <t>1657-0003336</t>
  </si>
  <si>
    <t>3/23/2026 4:56:00 PM</t>
  </si>
  <si>
    <t>3/23/2026 11:56:10 PM</t>
  </si>
  <si>
    <t>3/24/2026 1:55:50 AM</t>
  </si>
  <si>
    <t>1657-0003349</t>
  </si>
  <si>
    <t>3/23/2026 9:15:00 PM</t>
  </si>
  <si>
    <t>3/24/2026 4:16:11 AM</t>
  </si>
  <si>
    <t>3/24/2026 4:15:28 AM</t>
  </si>
  <si>
    <t>HP 03/24</t>
  </si>
  <si>
    <t>1657-0003335</t>
  </si>
  <si>
    <t>3/23/2026 4:52:00 PM</t>
  </si>
  <si>
    <t>3/23/2026 11:52:20 PM</t>
  </si>
  <si>
    <t>3/24/2026 1:51:53 AM</t>
  </si>
  <si>
    <t>1657-0003326</t>
  </si>
  <si>
    <t>3/23/2026 3:49:00 PM</t>
  </si>
  <si>
    <t>3/23/2026 10:51:33 PM</t>
  </si>
  <si>
    <t>3/23/2026 10:50:21 PM</t>
  </si>
  <si>
    <t>01657A0000394399</t>
  </si>
  <si>
    <t>1657-0003334</t>
  </si>
  <si>
    <t>3/23/2026 4:19:00 PM</t>
  </si>
  <si>
    <t>3/23/2026 11:26:31 PM</t>
  </si>
  <si>
    <t>3/23/2026 11:18:49 PM</t>
  </si>
  <si>
    <t>VRO 1657-0003334 has been Accepted
Note:</t>
  </si>
  <si>
    <t>01657A0000394802</t>
  </si>
  <si>
    <t>01657A0000393833</t>
  </si>
  <si>
    <t>1657-0003290</t>
  </si>
  <si>
    <t>3/23/2026 8:50:00 AM</t>
  </si>
  <si>
    <t>3/23/2026 3:51:11 PM</t>
  </si>
  <si>
    <t>3/23/2026 3:50:37 PM</t>
  </si>
  <si>
    <t>01657A0000393386</t>
  </si>
  <si>
    <t>1657-0003252</t>
  </si>
  <si>
    <t>3/23/2026 4:40:00 AM</t>
  </si>
  <si>
    <t>3/23/2026 11:52:09 AM</t>
  </si>
  <si>
    <t>3/23/2026 11:39:52 AM</t>
  </si>
  <si>
    <t>1657-0003298</t>
  </si>
  <si>
    <t>3/23/2026 11:23:00 AM</t>
  </si>
  <si>
    <t>3/23/2026 6:25:40 PM</t>
  </si>
  <si>
    <t>3/23/2026 8:23:43 PM</t>
  </si>
  <si>
    <t>DJ 3/24</t>
  </si>
  <si>
    <t>1657-0003343</t>
  </si>
  <si>
    <t>3/23/2026 7:11:00 PM</t>
  </si>
  <si>
    <t>3/24/2026 2:11:07 AM</t>
  </si>
  <si>
    <t>3/24/2026 4:10:47 AM</t>
  </si>
  <si>
    <t>1657-0003346</t>
  </si>
  <si>
    <t>3/23/2026 8:53:00 PM</t>
  </si>
  <si>
    <t>3/24/2026 3:53:42 AM</t>
  </si>
  <si>
    <t>3/24/2026 3:53:10 AM</t>
  </si>
  <si>
    <t>kw 3/24</t>
  </si>
  <si>
    <t>GARDA - CRANSTON, RI 14422</t>
  </si>
  <si>
    <t>01657A0000393919</t>
  </si>
  <si>
    <t>1FTYR2CM7JKA95763</t>
  </si>
  <si>
    <t>1657-0003294</t>
  </si>
  <si>
    <t>3/23/2026 9:49:00 AM</t>
  </si>
  <si>
    <t>3/23/2026 4:49:24 PM</t>
  </si>
  <si>
    <t>3/23/2026 4:48:58 PM</t>
  </si>
  <si>
    <t>1657-0003324</t>
  </si>
  <si>
    <t>3/23/2026 3:39:00 PM</t>
  </si>
  <si>
    <t>3/23/2026 10:39:39 PM</t>
  </si>
  <si>
    <t>3/24/2026 12:39:08 AM</t>
  </si>
  <si>
    <t>1657-0003350</t>
  </si>
  <si>
    <t>3/23/2026 9:26:00 PM</t>
  </si>
  <si>
    <t>3/24/2026 4:26:55 AM</t>
  </si>
  <si>
    <t>3/24/2026 4:26:24 AM</t>
  </si>
  <si>
    <t>01657A0000394395</t>
  </si>
  <si>
    <t>2NPNHM6X8HM319096</t>
  </si>
  <si>
    <t>1657-0003332</t>
  </si>
  <si>
    <t>3/23/2026 4:11:00 PM</t>
  </si>
  <si>
    <t>3/23/2026 11:11:35 PM</t>
  </si>
  <si>
    <t>3/23/2026 11:11:13 PM</t>
  </si>
  <si>
    <t>VRO 1657-0003332 has been Accepted
Note:</t>
  </si>
  <si>
    <t>1657-0003323</t>
  </si>
  <si>
    <t>3/23/2026 3:17:00 PM</t>
  </si>
  <si>
    <t>3/23/2026 10:18:25 PM</t>
  </si>
  <si>
    <t>3/23/2026 10:17:12 PM</t>
  </si>
  <si>
    <t>VRO 1657-0003323 has been Accepted
Note:</t>
  </si>
  <si>
    <t>VRO 1657-0002581 has been Accepted
Note:</t>
  </si>
  <si>
    <t>1657-0003347</t>
  </si>
  <si>
    <t>3/23/2026 8:59:00 PM</t>
  </si>
  <si>
    <t>3/24/2026 3:59:33 AM</t>
  </si>
  <si>
    <t>3/24/2026 3:59:04 AM</t>
  </si>
  <si>
    <t>hp 03/24</t>
  </si>
  <si>
    <t>01657A0000394326</t>
  </si>
  <si>
    <t>3FRWF65214V598881</t>
  </si>
  <si>
    <t>1657-0003315</t>
  </si>
  <si>
    <t>3/23/2026 2:07:00 PM</t>
  </si>
  <si>
    <t>3/23/2026 9:07:56 PM</t>
  </si>
  <si>
    <t>3/23/2026 9:07:30 PM</t>
  </si>
  <si>
    <t>VRO 1657-0003315 has been Accepted
Note:</t>
  </si>
  <si>
    <t>01657A0000394434</t>
  </si>
  <si>
    <t>1657-0003357</t>
  </si>
  <si>
    <t>3/24/2026 3:43:00 AM</t>
  </si>
  <si>
    <t>3/24/2026 10:44:33 AM</t>
  </si>
  <si>
    <t>3/24/2026 11:42:48 AM</t>
  </si>
  <si>
    <t>BRITTANY IS TAKING OVER</t>
  </si>
  <si>
    <t>01657A0000394092</t>
  </si>
  <si>
    <t>1FTRS4X86PKA63851</t>
  </si>
  <si>
    <t>1657-0003299</t>
  </si>
  <si>
    <t>3/23/2026 11:35:00 AM</t>
  </si>
  <si>
    <t>3/23/2026 6:35:38 PM</t>
  </si>
  <si>
    <t>3/23/2026 6:35:20 PM</t>
  </si>
  <si>
    <t>01657A0000394302</t>
  </si>
  <si>
    <t>1657-0003312</t>
  </si>
  <si>
    <t>3/23/2026 1:50:00 PM</t>
  </si>
  <si>
    <t>3/23/2026 8:50:11 PM</t>
  </si>
  <si>
    <t>3/23/2026 8:49:40 PM</t>
  </si>
  <si>
    <t>VRO 1657-0003312 has been Accepted
Note:</t>
  </si>
  <si>
    <t>1657-0003351</t>
  </si>
  <si>
    <t>3/23/2026 9:33:00 PM</t>
  </si>
  <si>
    <t>3/24/2026 4:33:33 AM</t>
  </si>
  <si>
    <t>3/24/2026 4:33:08 AM</t>
  </si>
  <si>
    <t>01657A0000394422</t>
  </si>
  <si>
    <t>01657A0000394421</t>
  </si>
  <si>
    <t>1657-0003352</t>
  </si>
  <si>
    <t>3/23/2026 9:39:00 PM</t>
  </si>
  <si>
    <t>3/24/2026 4:40:03 AM</t>
  </si>
  <si>
    <t>3/24/2026 4:39:33 AM</t>
  </si>
  <si>
    <t>01657A0000394233</t>
  </si>
  <si>
    <t>1657-0003307</t>
  </si>
  <si>
    <t>3/23/2026 12:59:00 PM</t>
  </si>
  <si>
    <t>3/23/2026 7:59:57 PM</t>
  </si>
  <si>
    <t>3/23/2026 7:59:09 PM</t>
  </si>
  <si>
    <t>01657A0000394418</t>
  </si>
  <si>
    <t>1657-0003344</t>
  </si>
  <si>
    <t>3/23/2026 8:21:00 PM</t>
  </si>
  <si>
    <t>3/24/2026 3:22:31 AM</t>
  </si>
  <si>
    <t>3/24/2026 3:21:29 AM</t>
  </si>
  <si>
    <t>01657A0000394420</t>
  </si>
  <si>
    <t>1657-0003348</t>
  </si>
  <si>
    <t>3/23/2026 9:03:00 PM</t>
  </si>
  <si>
    <t>3/24/2026 4:03:28 AM</t>
  </si>
  <si>
    <t>3/24/2026 4:03:01 AM</t>
  </si>
  <si>
    <t>01657A0000394424</t>
  </si>
  <si>
    <t>1657-0003354</t>
  </si>
  <si>
    <t>3/23/2026 10:19:00 PM</t>
  </si>
  <si>
    <t>3/24/2026 5:19:17 AM</t>
  </si>
  <si>
    <t>3/24/2026 5:18:40 AM</t>
  </si>
  <si>
    <t>01657A0000394427</t>
  </si>
  <si>
    <t>1657-0003356</t>
  </si>
  <si>
    <t>3/23/2026 10:56:00 PM</t>
  </si>
  <si>
    <t>3/24/2026 5:57:48 AM</t>
  </si>
  <si>
    <t>3/24/2026 5:56:52 AM</t>
  </si>
  <si>
    <t>01657A0000394425</t>
  </si>
  <si>
    <t>01657A0000394419</t>
  </si>
  <si>
    <t>1657-0003345</t>
  </si>
  <si>
    <t>3/23/2026 8:42:00 PM</t>
  </si>
  <si>
    <t>3/24/2026 3:44:46 AM</t>
  </si>
  <si>
    <t>3/24/2026 3:42:09 AM</t>
  </si>
  <si>
    <t>01657A0000394426</t>
  </si>
  <si>
    <t>1657-0003355</t>
  </si>
  <si>
    <t>3/23/2026 10:46:00 PM</t>
  </si>
  <si>
    <t>3/24/2026 5:46:22 AM</t>
  </si>
  <si>
    <t>3/24/2026 5:45:48 AM</t>
  </si>
  <si>
    <t>01657A0000394423</t>
  </si>
  <si>
    <t>1657-0003353</t>
  </si>
  <si>
    <t>3/23/2026 10:06:00 PM</t>
  </si>
  <si>
    <t>3/24/2026 5:07:26 AM</t>
  </si>
  <si>
    <t>3/24/2026 5:06:25 AM</t>
  </si>
  <si>
    <t>01657A0000393964</t>
  </si>
  <si>
    <t>1657-0003296</t>
  </si>
  <si>
    <t>3/23/2026 10:24:00 AM</t>
  </si>
  <si>
    <t>3/23/2026 5:26:17 PM</t>
  </si>
  <si>
    <t>3/23/2026 5:24:54 PM</t>
  </si>
  <si>
    <t>01657A0000394379</t>
  </si>
  <si>
    <t>1657-0003302</t>
  </si>
  <si>
    <t>3/23/2026 12:39:00 PM</t>
  </si>
  <si>
    <t>3/23/2026 8:34:20 PM</t>
  </si>
  <si>
    <t>3/23/2026 8:33:58 PM</t>
  </si>
  <si>
    <t>01657A0000393560</t>
  </si>
  <si>
    <t>1FTBR2C80TKA07938</t>
  </si>
  <si>
    <t>1657-0003279</t>
  </si>
  <si>
    <t>3/23/2026 6:47:00 AM</t>
  </si>
  <si>
    <t>3/23/2026 1:47:39 PM</t>
  </si>
  <si>
    <t>3/23/2026 1:47:11 PM</t>
  </si>
  <si>
    <t>01657A0000394400</t>
  </si>
  <si>
    <t>01657A0000394439</t>
  </si>
  <si>
    <t>01657A0000393446</t>
  </si>
  <si>
    <t>1657-0003262</t>
  </si>
  <si>
    <t>3/23/2026 5:41:00 AM</t>
  </si>
  <si>
    <t>3/23/2026 12:40:58 PM</t>
  </si>
  <si>
    <t>3/23/2026 12:40:36 PM</t>
  </si>
  <si>
    <t>JEngle@ameritfleet.com</t>
  </si>
  <si>
    <t>1657-0003277</t>
  </si>
  <si>
    <t>3/23/2026 6:14:00 AM</t>
  </si>
  <si>
    <t>3/23/2026 1:17:27 PM</t>
  </si>
  <si>
    <t>3/23/2026 1:14:20 PM</t>
  </si>
  <si>
    <t>01657A0000394403</t>
  </si>
  <si>
    <t>1657-0003338</t>
  </si>
  <si>
    <t>3/23/2026 5:03:00 PM</t>
  </si>
  <si>
    <t>3/24/2026 12:03:31 AM</t>
  </si>
  <si>
    <t>3/24/2026 2:03:08 AM</t>
  </si>
  <si>
    <t>01657A0000393546</t>
  </si>
  <si>
    <t>1657-0003278</t>
  </si>
  <si>
    <t>3/23/2026 6:35:00 AM</t>
  </si>
  <si>
    <t>3/23/2026 1:36:09 PM</t>
  </si>
  <si>
    <t>3/23/2026 1:35:21 PM</t>
  </si>
  <si>
    <t>01657A0000393893</t>
  </si>
  <si>
    <t>1657-0003292</t>
  </si>
  <si>
    <t>3/23/2026 9:28:00 AM</t>
  </si>
  <si>
    <t>3/23/2026 4:29:02 PM</t>
  </si>
  <si>
    <t>3/23/2026 4:28:07 PM</t>
  </si>
  <si>
    <t>01657A0000394727</t>
  </si>
  <si>
    <t>VRO 1657-0000432 has been Accepted
Note:</t>
  </si>
  <si>
    <t>VRO 1657-0001777 has been Accepted
Note:</t>
  </si>
  <si>
    <t>VRO 1657-0002073 has been Accepted
Note:</t>
  </si>
  <si>
    <t>01657A0000395025</t>
  </si>
  <si>
    <t>01657A0000395190</t>
  </si>
  <si>
    <t>BRANCH</t>
  </si>
  <si>
    <t>LTS - Max Routes</t>
  </si>
  <si>
    <t>LTS - OOS Units</t>
  </si>
  <si>
    <t>LTS - LTS Issue Units</t>
  </si>
  <si>
    <t>LTS - O/S to Max Routes</t>
  </si>
  <si>
    <t>LTS - Avail %</t>
  </si>
  <si>
    <t>LTS - Useful %</t>
  </si>
  <si>
    <t>ST - Max Routes</t>
  </si>
  <si>
    <t>ST - OOS Units</t>
  </si>
  <si>
    <t>ST - O/S to Max Routes</t>
  </si>
  <si>
    <t>ST - Avail %</t>
  </si>
  <si>
    <t>ST - Useful %</t>
  </si>
  <si>
    <t>SHUTTLE - Max Routes</t>
  </si>
  <si>
    <t>SHUTTLE - OOS Units</t>
  </si>
  <si>
    <t>SHUTTLE - O/S to Max Routes</t>
  </si>
  <si>
    <t>SHUTTLE - Avail %</t>
  </si>
  <si>
    <t>SHUTTLE - Useful %</t>
  </si>
  <si>
    <t>TOTAL - Max Routes</t>
  </si>
  <si>
    <t>TOTAL - OOS Units</t>
  </si>
  <si>
    <t>TOTAL - O/S to Max Routes</t>
  </si>
  <si>
    <t>TOTAL - Avail %</t>
  </si>
  <si>
    <t>TOTAL - Useful %</t>
  </si>
  <si>
    <t>GAR-8705</t>
  </si>
  <si>
    <t>UN</t>
  </si>
  <si>
    <t>GAR-8735T</t>
  </si>
  <si>
    <t>TRAILER</t>
  </si>
  <si>
    <t>GAR-19-129</t>
  </si>
  <si>
    <t>GAR-9041</t>
  </si>
  <si>
    <t>GAR-8933</t>
  </si>
  <si>
    <t>GAR-02-061</t>
  </si>
  <si>
    <t>GAR-19-107</t>
  </si>
  <si>
    <t>GAR-8937</t>
  </si>
  <si>
    <t>GAR-19-114</t>
  </si>
  <si>
    <t>GAR-8837</t>
  </si>
  <si>
    <t>GAR-8583</t>
  </si>
  <si>
    <t>GAR-14-002</t>
  </si>
  <si>
    <t>GAR-14-003</t>
  </si>
  <si>
    <t>GAR-8615</t>
  </si>
  <si>
    <t>GAR-6552</t>
  </si>
  <si>
    <t>GAR-111</t>
  </si>
  <si>
    <t>GAR-8823</t>
  </si>
  <si>
    <t>GAR-279</t>
  </si>
  <si>
    <t>GAR-8621</t>
  </si>
  <si>
    <t>GAR-04-001</t>
  </si>
  <si>
    <t>GAR-576</t>
  </si>
  <si>
    <t>GAR-8457</t>
  </si>
  <si>
    <t>GAR-575</t>
  </si>
  <si>
    <t>GAR-19-127</t>
  </si>
  <si>
    <t>GAR-5700</t>
  </si>
  <si>
    <t>GAR-8951</t>
  </si>
  <si>
    <t>GAR-9043</t>
  </si>
  <si>
    <t>GAR-125</t>
  </si>
  <si>
    <t>GAR-365</t>
  </si>
  <si>
    <t>GAR-8835</t>
  </si>
  <si>
    <t>GAR-19-128</t>
  </si>
  <si>
    <t>GAR-129002</t>
  </si>
  <si>
    <t>GAR-129001</t>
  </si>
  <si>
    <t>GAR-8923</t>
  </si>
  <si>
    <t>GAR-9045</t>
  </si>
  <si>
    <t>GAR-111418</t>
  </si>
  <si>
    <t>GAR-8941</t>
  </si>
  <si>
    <t>GAR-8947</t>
  </si>
  <si>
    <t>GAR-8349</t>
  </si>
  <si>
    <t>GAR-8491</t>
  </si>
  <si>
    <t>GAR-8329</t>
  </si>
  <si>
    <t>GAR-8935</t>
  </si>
  <si>
    <t>GAR-9051</t>
  </si>
  <si>
    <t>GAR-T16-001</t>
  </si>
  <si>
    <t>GAR-T16-002</t>
  </si>
  <si>
    <t>GAR-T18-001</t>
  </si>
  <si>
    <t>GAR-8939</t>
  </si>
  <si>
    <t>GAR-141</t>
  </si>
  <si>
    <t>GAR-14-001</t>
  </si>
  <si>
    <t>GAR-8927</t>
  </si>
  <si>
    <t>GAR-8485</t>
  </si>
  <si>
    <t>GAR-8867</t>
  </si>
  <si>
    <t>GAR-8197</t>
  </si>
  <si>
    <t>GAR-7717</t>
  </si>
  <si>
    <t>GAR-7727T</t>
  </si>
  <si>
    <t>GAR-5654T</t>
  </si>
  <si>
    <t>GAR-8747</t>
  </si>
  <si>
    <t>GAR-7713</t>
  </si>
  <si>
    <t>GAR-8483</t>
  </si>
  <si>
    <t>GAR-8885</t>
  </si>
  <si>
    <t>GAR-7473</t>
  </si>
  <si>
    <t>GAR-14-009</t>
  </si>
  <si>
    <t>GAR-9049</t>
  </si>
  <si>
    <t>GAR-7697</t>
  </si>
  <si>
    <t>GAR-8961</t>
  </si>
  <si>
    <t>GAR-9011</t>
  </si>
  <si>
    <t>GAR-8873</t>
  </si>
  <si>
    <t>GAR-8959</t>
  </si>
  <si>
    <t>GAR-9015</t>
  </si>
  <si>
    <t>1657-0003403</t>
  </si>
  <si>
    <t>3/24/2026 5:52:15 AM</t>
  </si>
  <si>
    <t>1070135094</t>
  </si>
  <si>
    <t>1657-0003419</t>
  </si>
  <si>
    <t>3/24/2026 6:25:23 AM</t>
  </si>
  <si>
    <t>ajRoQGF3S_kGAJmtYTY-brw</t>
  </si>
  <si>
    <t>1657-0003485</t>
  </si>
  <si>
    <t>3/24/2026 6:05:33 PM</t>
  </si>
  <si>
    <t>1070756960</t>
  </si>
  <si>
    <t>1657-0003397</t>
  </si>
  <si>
    <t>3/24/2026 5:22:07 AM</t>
  </si>
  <si>
    <t>1070097065</t>
  </si>
  <si>
    <t>1657-0003398</t>
  </si>
  <si>
    <t>3/24/2026 5:29:25 AM</t>
  </si>
  <si>
    <t>1070106613</t>
  </si>
  <si>
    <t>1657-0003406</t>
  </si>
  <si>
    <t>3/24/2026 5:49:22 AM</t>
  </si>
  <si>
    <t>aJZg2XFTGw02LYQuwDLKyKA</t>
  </si>
  <si>
    <t>1657-0003402</t>
  </si>
  <si>
    <t>3/24/2026 5:44:32 AM</t>
  </si>
  <si>
    <t>1070125750</t>
  </si>
  <si>
    <t>1657-0003401</t>
  </si>
  <si>
    <t>3/24/2026 5:42:24 AM</t>
  </si>
  <si>
    <t>1070123119</t>
  </si>
  <si>
    <t>1657-0003471</t>
  </si>
  <si>
    <t>3/24/2026 1:48:18 PM</t>
  </si>
  <si>
    <t>1070533323</t>
  </si>
  <si>
    <t>1657-0003477</t>
  </si>
  <si>
    <t>3/24/2026 3:40:58 PM</t>
  </si>
  <si>
    <t>1070645243</t>
  </si>
  <si>
    <t>1657-0003405</t>
  </si>
  <si>
    <t>3/24/2026 5:45:56 AM</t>
  </si>
  <si>
    <t>a_8EBO00lrUauoADp4o-Ehg</t>
  </si>
  <si>
    <t>Halogen Capsule - Low Beam, Headlamp</t>
  </si>
  <si>
    <t>1657-0003481</t>
  </si>
  <si>
    <t>3/24/2026 4:35:27 PM</t>
  </si>
  <si>
    <t>1070692880</t>
  </si>
  <si>
    <t>1657-0003488</t>
  </si>
  <si>
    <t>3/25/2026 3:32:56 AM</t>
  </si>
  <si>
    <t>1071092810</t>
  </si>
  <si>
    <t>1657-0003360</t>
  </si>
  <si>
    <t>3/24/2026 4:17:20 AM</t>
  </si>
  <si>
    <t>a5NBo9kgmWkyhv7hJ10u3Uw</t>
  </si>
  <si>
    <t>1657-0003404</t>
  </si>
  <si>
    <t>3/24/2026 5:04:29 AM</t>
  </si>
  <si>
    <t>aVYeJRX9rt0yLpODOEf6pnA</t>
  </si>
  <si>
    <t>1657-0003487</t>
  </si>
  <si>
    <t>3/25/2026 3:09:05 AM</t>
  </si>
  <si>
    <t>1071061435</t>
  </si>
  <si>
    <t>1657-0003396</t>
  </si>
  <si>
    <t>3/24/2026 5:08:28 AM</t>
  </si>
  <si>
    <t>1070078507</t>
  </si>
  <si>
    <t>1657-0003483</t>
  </si>
  <si>
    <t>3/24/2026 5:44:00 PM</t>
  </si>
  <si>
    <t>1657-0003392</t>
  </si>
  <si>
    <t>3/24/2026 5:34:00 AM</t>
  </si>
  <si>
    <t>1657-0003486</t>
  </si>
  <si>
    <t>3/24/2026 11:53:28 PM</t>
  </si>
  <si>
    <t>1070907091</t>
  </si>
  <si>
    <t>1657-0003399</t>
  </si>
  <si>
    <t>3/24/2026 5:32:49 AM</t>
  </si>
  <si>
    <t>1070111149</t>
  </si>
  <si>
    <t>1657-0003423</t>
  </si>
  <si>
    <t>3/24/2026 7:41:39 AM</t>
  </si>
  <si>
    <t>1070247647</t>
  </si>
  <si>
    <t>1657-0003418</t>
  </si>
  <si>
    <t>3/24/2026 6:42:42 AM</t>
  </si>
  <si>
    <t>1070192310</t>
  </si>
  <si>
    <t>1657-0003400</t>
  </si>
  <si>
    <t>3/24/2026 5:40:49 AM</t>
  </si>
  <si>
    <t>1070121265</t>
  </si>
  <si>
    <t>1657-0003490</t>
  </si>
  <si>
    <t>3/25/2026 3:38:30 AM</t>
  </si>
  <si>
    <t>aWy_bRBazc0Cm4hTADmHEZQ</t>
  </si>
  <si>
    <t>1657-0003422</t>
  </si>
  <si>
    <t>3/24/2026 7:02:58 AM</t>
  </si>
  <si>
    <t>1070212182</t>
  </si>
  <si>
    <t>1657-0003468</t>
  </si>
  <si>
    <t>3/24/2026 1:39:00 PM</t>
  </si>
  <si>
    <t>3/24/2026 8:40:34 PM</t>
  </si>
  <si>
    <t>3/24/2026 10:39:31 PM</t>
  </si>
  <si>
    <t>VRO 1657-0003468 has been Accepted
Note:</t>
  </si>
  <si>
    <t>Estimate Declined: UPDATED ESTIMATE, ADDITIONAL REPAIRS IDENTIFIED</t>
  </si>
  <si>
    <t>3/23/2026 6:22:00 AM</t>
  </si>
  <si>
    <t>3/25/2026 12:05:37 AM</t>
  </si>
  <si>
    <t>3/25/2026 12:03:20 AM</t>
  </si>
  <si>
    <t>VRO 1657-0003320 has been Accepted
Note:</t>
  </si>
  <si>
    <t>1657-0003472</t>
  </si>
  <si>
    <t>3/24/2026 2:53:00 PM</t>
  </si>
  <si>
    <t>3/24/2026 9:55:24 PM</t>
  </si>
  <si>
    <t>3/24/2026 11:53:27 PM</t>
  </si>
  <si>
    <t>1657-0003461</t>
  </si>
  <si>
    <t>3/24/2026 10:43:00 AM</t>
  </si>
  <si>
    <t>3/24/2026 5:45:24 PM</t>
  </si>
  <si>
    <t>3/24/2026 5:44:23 PM</t>
  </si>
  <si>
    <t>VRO 1657-0003461 has been Accepted
Note:</t>
  </si>
  <si>
    <t>1657-0003444</t>
  </si>
  <si>
    <t>3/24/2026 9:44:00 AM</t>
  </si>
  <si>
    <t>3/24/2026 4:45:07 PM</t>
  </si>
  <si>
    <t>3/26/2026 4:44:31 PM</t>
  </si>
  <si>
    <t>VRO 1657-0003444 has been Accepted
Note:</t>
  </si>
  <si>
    <t>Driver Risk Management Camera System</t>
  </si>
  <si>
    <t>PEAK INDUSTRIAL INC</t>
  </si>
  <si>
    <t>1657-0003466</t>
  </si>
  <si>
    <t>3/24/2026 12:58:00 PM</t>
  </si>
  <si>
    <t>3/24/2026 7:59:02 PM</t>
  </si>
  <si>
    <t>3/24/2026 7:58:11 PM</t>
  </si>
  <si>
    <t>01657A0000395556</t>
  </si>
  <si>
    <t>01657A0000395799</t>
  </si>
  <si>
    <t>01657A0000395519</t>
  </si>
  <si>
    <t>01657A0000395531</t>
  </si>
  <si>
    <t>3/24/2026 4:14:00 PM</t>
  </si>
  <si>
    <t>3/24/2026 11:14:23 PM</t>
  </si>
  <si>
    <t>3/24/2026 11:14:02 PM</t>
  </si>
  <si>
    <t>1657-0003465</t>
  </si>
  <si>
    <t>3/24/2026 12:19:00 PM</t>
  </si>
  <si>
    <t>3/24/2026 7:20:35 PM</t>
  </si>
  <si>
    <t>3/24/2026 7:19:58 PM</t>
  </si>
  <si>
    <t>VRO 1657-0003465 has been Accepted
Note:</t>
  </si>
  <si>
    <t>01657A0000395534</t>
  </si>
  <si>
    <t>VRO 1657-0001383 has been Accepted
Note:</t>
  </si>
  <si>
    <t>LEGAL HOLD</t>
  </si>
  <si>
    <t>01657A0000395521</t>
  </si>
  <si>
    <t>VRO 1657-0001352 has been Accepted
Note:</t>
  </si>
  <si>
    <t>VRO 1657-0001238 has been Accepted
Note:</t>
  </si>
  <si>
    <t>kw 3/25</t>
  </si>
  <si>
    <t>VRO 1657-0002782 has been Accepted
Note:</t>
  </si>
  <si>
    <t>hp 03/25</t>
  </si>
  <si>
    <t>1657-0003476</t>
  </si>
  <si>
    <t>3/24/2026 3:46:00 PM</t>
  </si>
  <si>
    <t>3/24/2026 10:47:04 PM</t>
  </si>
  <si>
    <t>3/24/2026 10:46:40 PM</t>
  </si>
  <si>
    <t>VRO 1657-0003476 has been Accepted
Note:</t>
  </si>
  <si>
    <t>HP 03/29</t>
  </si>
  <si>
    <t>01657A0000395507</t>
  </si>
  <si>
    <t>1657-0003474</t>
  </si>
  <si>
    <t>3/24/2026 3:26:00 PM</t>
  </si>
  <si>
    <t>3/24/2026 10:27:58 PM</t>
  </si>
  <si>
    <t>3/24/2026 10:26:45 PM</t>
  </si>
  <si>
    <t>VRO 1657-0003474 has been Accepted
Note:</t>
  </si>
  <si>
    <t>1657-0003464</t>
  </si>
  <si>
    <t>3/24/2026 11:20:00 AM</t>
  </si>
  <si>
    <t>3/24/2026 6:21:06 PM</t>
  </si>
  <si>
    <t>3/24/2026 6:20:06 PM</t>
  </si>
  <si>
    <t>VRO 1657-0003464 has been Accepted
Note:</t>
  </si>
  <si>
    <t>VRO 1657-0002711 has been Accepted
Note:</t>
  </si>
  <si>
    <t>VRO 1657-0002705 has been Accepted
Note:</t>
  </si>
  <si>
    <t>VRO 1657-0002586 has been Accepted
Note:</t>
  </si>
  <si>
    <t>EP 3/25/26</t>
  </si>
  <si>
    <t>01657A0000395148</t>
  </si>
  <si>
    <t>2NPNHM6XXFM285840</t>
  </si>
  <si>
    <t>1657-0003463</t>
  </si>
  <si>
    <t>3/24/2026 11:08:00 AM</t>
  </si>
  <si>
    <t>3/24/2026 6:09:10 PM</t>
  </si>
  <si>
    <t>3/24/2026 6:08:36 PM</t>
  </si>
  <si>
    <t>VRO 1657-0003463 has been Accepted
Note:</t>
  </si>
  <si>
    <t>01657A0000395545</t>
  </si>
  <si>
    <t>2NPNHM6X4FM285834</t>
  </si>
  <si>
    <t>1657-0003460</t>
  </si>
  <si>
    <t>3/24/2026 10:16:00 AM</t>
  </si>
  <si>
    <t>3/24/2026 5:17:09 PM</t>
  </si>
  <si>
    <t>3/24/2026 5:16:39 PM</t>
  </si>
  <si>
    <t>VRO 1657-0001626 has been Accepted
Note:</t>
  </si>
  <si>
    <t>01657A0000395544</t>
  </si>
  <si>
    <t>01657A0000395637</t>
  </si>
  <si>
    <t>01657A0000395548</t>
  </si>
  <si>
    <t>VRO 1657-0001776 has been Accepted
Note:</t>
  </si>
  <si>
    <t>01657A0000395543</t>
  </si>
  <si>
    <t>VRO 1657-0002194 has been Accepted
Note:</t>
  </si>
  <si>
    <t>Windshield Washer Assembly</t>
  </si>
  <si>
    <t>01657A0000395550</t>
  </si>
  <si>
    <t>1657-0003482</t>
  </si>
  <si>
    <t>3/24/2026 5:17:00 PM</t>
  </si>
  <si>
    <t>3/25/2026 12:21:55 AM</t>
  </si>
  <si>
    <t>3/25/2026 12:16:35 AM</t>
  </si>
  <si>
    <t>HP 03/25</t>
  </si>
  <si>
    <t>01657A0000395431</t>
  </si>
  <si>
    <t>1657-0003470</t>
  </si>
  <si>
    <t>3/24/2026 1:57:00 PM</t>
  </si>
  <si>
    <t>3/24/2026 8:57:02 PM</t>
  </si>
  <si>
    <t>3/24/2026 8:56:38 PM</t>
  </si>
  <si>
    <t>01657A0000394840</t>
  </si>
  <si>
    <t>1657-0003425</t>
  </si>
  <si>
    <t>3/24/2026 8:29:00 AM</t>
  </si>
  <si>
    <t>3/24/2026 3:29:52 PM</t>
  </si>
  <si>
    <t>3/24/2026 3:29:17 PM</t>
  </si>
  <si>
    <t>01657A0000395707</t>
  </si>
  <si>
    <t>01657A0000395738</t>
  </si>
  <si>
    <t>01657A0000394699</t>
  </si>
  <si>
    <t>Cranking System</t>
  </si>
  <si>
    <t>1657-0003420</t>
  </si>
  <si>
    <t>3/24/2026 7:05:00 AM</t>
  </si>
  <si>
    <t>3/24/2026 2:06:02 PM</t>
  </si>
  <si>
    <t>3/24/2026 2:05:24 PM</t>
  </si>
  <si>
    <t>01657A0000395474</t>
  </si>
  <si>
    <t>01657A0000395473</t>
  </si>
  <si>
    <t>01657A0000395459</t>
  </si>
  <si>
    <t>01657A0000395723</t>
  </si>
  <si>
    <t>01657A0000395466</t>
  </si>
  <si>
    <t>01657A0000395456</t>
  </si>
  <si>
    <t>01657A0000395289</t>
  </si>
  <si>
    <t>01657A0000395488</t>
  </si>
  <si>
    <t>01657A0000395658</t>
  </si>
  <si>
    <t>01657A0000395307</t>
  </si>
  <si>
    <t>01657A0000395522</t>
  </si>
  <si>
    <t>VRO 1657-0003350 has been Submitted for Review</t>
  </si>
  <si>
    <t>01657A0000395552</t>
  </si>
  <si>
    <t>01657A0000394725</t>
  </si>
  <si>
    <t>2NPNHM6X1FM277870</t>
  </si>
  <si>
    <t>1657-0003421</t>
  </si>
  <si>
    <t>3/24/2026 7:25:00 AM</t>
  </si>
  <si>
    <t>3/24/2026 2:25:19 PM</t>
  </si>
  <si>
    <t>3/24/2026 2:24:43 PM</t>
  </si>
  <si>
    <t>2NPNHM6X2GM318993</t>
  </si>
  <si>
    <t>1657-0003462</t>
  </si>
  <si>
    <t>3/24/2026 11:03:00 AM</t>
  </si>
  <si>
    <t>3/24/2026 6:09:48 PM</t>
  </si>
  <si>
    <t>3/24/2026 6:02:40 PM</t>
  </si>
  <si>
    <t>01657A0000395560</t>
  </si>
  <si>
    <t>01657A0000394816</t>
  </si>
  <si>
    <t>1657-0003424</t>
  </si>
  <si>
    <t>3/24/2026 8:17:00 AM</t>
  </si>
  <si>
    <t>3/24/2026 3:17:55 PM</t>
  </si>
  <si>
    <t>3/24/2026 3:17:05 PM</t>
  </si>
  <si>
    <t>01657A0000395549</t>
  </si>
  <si>
    <t>01657A0000395536</t>
  </si>
  <si>
    <t>1657-0003480</t>
  </si>
  <si>
    <t>3/24/2026 4:19:00 PM</t>
  </si>
  <si>
    <t>3/24/2026 11:20:30 PM</t>
  </si>
  <si>
    <t>3/24/2026 11:18:54 PM</t>
  </si>
  <si>
    <t>01657A0000395448</t>
  </si>
  <si>
    <t>Horn &amp; Mounting</t>
  </si>
  <si>
    <t>LTS - Total Units</t>
  </si>
  <si>
    <t>ST - Total Units</t>
  </si>
  <si>
    <t>SHUTTLE - Total Units</t>
  </si>
  <si>
    <t>TOTAL - Total Units</t>
  </si>
  <si>
    <t>GAR-359</t>
  </si>
  <si>
    <t>GAR-6122</t>
  </si>
  <si>
    <t>GARDA - MIAMI, FL 26018</t>
  </si>
  <si>
    <t>3/25/2026 5:04:14 PM</t>
  </si>
  <si>
    <t>3/25/2026 4:57:35 PM</t>
  </si>
  <si>
    <t>VRO 1657-0003255 has been Accepted
Note:</t>
  </si>
  <si>
    <t>3/16/2026 4:07:00 AM</t>
  </si>
  <si>
    <t>3/25/2026 11:41:20 PM</t>
  </si>
  <si>
    <t>3/25/2026 11:39:52 PM</t>
  </si>
  <si>
    <t>VRO 1657-0003401 has been Accepted
Note:</t>
  </si>
  <si>
    <t>4/6/2026 12:00:00 AM</t>
  </si>
  <si>
    <t>3/25/2026 4:15:28 PM</t>
  </si>
  <si>
    <t>3/25/2026 4:06:31 PM</t>
  </si>
  <si>
    <t>01657A0000382044</t>
  </si>
  <si>
    <t>01657A0000396339</t>
  </si>
  <si>
    <t>01657A0000393418</t>
  </si>
  <si>
    <t>01657A0000395904</t>
  </si>
  <si>
    <t>01657A0000396513</t>
  </si>
  <si>
    <t>01657A0000378293</t>
  </si>
  <si>
    <t>01657A0000394438</t>
  </si>
  <si>
    <t>01657A0000396655</t>
  </si>
  <si>
    <t>Driver Risk Management Camera System Rail - Frame, Side</t>
  </si>
  <si>
    <t>01657A0000395933</t>
  </si>
  <si>
    <t>01657A0000396216</t>
  </si>
  <si>
    <t>01657A0000396016</t>
  </si>
  <si>
    <t>VRO 1657-0002927 has been Submitted for Review</t>
  </si>
  <si>
    <t>01657A0000396283</t>
  </si>
  <si>
    <t>01657A0000396127</t>
  </si>
  <si>
    <t>01657A0000377504</t>
  </si>
  <si>
    <t>01657A0000396395</t>
  </si>
  <si>
    <t>01657A0000395999</t>
  </si>
  <si>
    <t>01657A0000396654</t>
  </si>
  <si>
    <t>01657A0000396038</t>
  </si>
  <si>
    <t>JAnderson7@ameritfleet.com</t>
  </si>
  <si>
    <t>1657-0003617</t>
  </si>
  <si>
    <t>3/26/2026 12:02:14 AM</t>
  </si>
  <si>
    <t>1072063674</t>
  </si>
  <si>
    <t>1FVHC5CV94HN11524</t>
  </si>
  <si>
    <t>1657-0003559</t>
  </si>
  <si>
    <t>3/25/2026 1:13:00 PM</t>
  </si>
  <si>
    <t>1657-0003618</t>
  </si>
  <si>
    <t>3/26/2026 3:35:41 AM</t>
  </si>
  <si>
    <t>1072250157</t>
  </si>
  <si>
    <t>1FDWE3FL5DDB08266</t>
  </si>
  <si>
    <t>1657-0003554</t>
  </si>
  <si>
    <t>3/25/2026 12:25:00 PM</t>
  </si>
  <si>
    <t>3/25/2026 7:25:27 PM</t>
  </si>
  <si>
    <t>1657-0003522</t>
  </si>
  <si>
    <t>3/25/2026 10:11:00 AM</t>
  </si>
  <si>
    <t>3/26/2026 5:03:40 AM</t>
  </si>
  <si>
    <t>3/26/2026 1:03:02 AM</t>
  </si>
  <si>
    <t>GEORGE HEISER BODY LLC</t>
  </si>
  <si>
    <t>VRO 1657-0003522 has been Accepted
Note:</t>
  </si>
  <si>
    <t>1FTRS4X83PKA63953</t>
  </si>
  <si>
    <t>1657-0003514</t>
  </si>
  <si>
    <t>3/25/2026 8:15:00 AM</t>
  </si>
  <si>
    <t>3/25/2026 3:18:01 PM</t>
  </si>
  <si>
    <t>3/25/2026 3:15:20 PM</t>
  </si>
  <si>
    <t>JOES TOWING</t>
  </si>
  <si>
    <t>3/26/2026 3:08:00 AM</t>
  </si>
  <si>
    <t>3/25/2026 11:07:23 PM</t>
  </si>
  <si>
    <t>VRO 1657-0003303 has been Accepted
Note:</t>
  </si>
  <si>
    <t>1657-0003504</t>
  </si>
  <si>
    <t>3/25/2026 7:28:00 AM</t>
  </si>
  <si>
    <t>3/25/2026 2:28:55 PM</t>
  </si>
  <si>
    <t>3/25/2026 2:27:53 PM</t>
  </si>
  <si>
    <t>MONSON TRUCK &amp; TRAILER, INC</t>
  </si>
  <si>
    <t>3/26/2026 3:09:26 AM</t>
  </si>
  <si>
    <t>3/25/2026 11:08:49 PM</t>
  </si>
  <si>
    <t>VRO 1657-0003419 has been Accepted
Note:</t>
  </si>
  <si>
    <t>1657-0003600</t>
  </si>
  <si>
    <t>3/25/2026 3:55:00 PM</t>
  </si>
  <si>
    <t>3/25/2026 10:55:31 PM</t>
  </si>
  <si>
    <t>3/25/2026 10:54:56 PM</t>
  </si>
  <si>
    <t>VRO 1657-0003600 has been Accepted
Note:</t>
  </si>
  <si>
    <t>1657-0003509</t>
  </si>
  <si>
    <t>3/25/2026 8:01:00 AM</t>
  </si>
  <si>
    <t>3/25/2026 3:04:29 PM</t>
  </si>
  <si>
    <t>3/25/2026 3:00:42 PM</t>
  </si>
  <si>
    <t>VRO 1657-0003509 has been Accepted
Note:</t>
  </si>
  <si>
    <t>3/26/2026 2:43:34 AM</t>
  </si>
  <si>
    <t>3/25/2026 10:42:56 PM</t>
  </si>
  <si>
    <t>VRO 1657-0003485 has been Accepted
Note:</t>
  </si>
  <si>
    <t>3/25/2026 10:43:39 PM</t>
  </si>
  <si>
    <t>3/26/2026 2:44:59 AM</t>
  </si>
  <si>
    <t>3/25/2026 10:44:22 PM</t>
  </si>
  <si>
    <t>VRO 1657-0003397 has been Accepted
Note:</t>
  </si>
  <si>
    <t>3/25/2026 11:10:15 PM</t>
  </si>
  <si>
    <t>1657-0003528</t>
  </si>
  <si>
    <t>3/25/2026 10:33:00 AM</t>
  </si>
  <si>
    <t>3/25/2026 5:33:54 PM</t>
  </si>
  <si>
    <t>3/25/2026 5:33:24 PM</t>
  </si>
  <si>
    <t>VRO 1657-0003528 has been Accepted
Note:</t>
  </si>
  <si>
    <t>3/26/2026 2:45:42 AM</t>
  </si>
  <si>
    <t>3/25/2026 10:45:05 PM</t>
  </si>
  <si>
    <t>VRO 1657-0003285 has been Accepted
Note:</t>
  </si>
  <si>
    <t>1657-0003591</t>
  </si>
  <si>
    <t>3/25/2026 3:04:00 PM</t>
  </si>
  <si>
    <t>3/25/2026 10:04:14 PM</t>
  </si>
  <si>
    <t>3/25/2026 10:03:47 PM</t>
  </si>
  <si>
    <t>VRO 1657-0003591 has been Accepted
Note:</t>
  </si>
  <si>
    <t>1657-0003567</t>
  </si>
  <si>
    <t>3/25/2026 1:43:13 PM</t>
  </si>
  <si>
    <t>3/26/2026 5:11:34 AM</t>
  </si>
  <si>
    <t>3/26/2026 1:10:56 AM</t>
  </si>
  <si>
    <t>VRO 1657-0003567 has been Accepted
Note:</t>
  </si>
  <si>
    <t>1071678742</t>
  </si>
  <si>
    <t>1657-0003521</t>
  </si>
  <si>
    <t>3/25/2026 9:55:00 AM</t>
  </si>
  <si>
    <t>3/25/2026 4:56:22 PM</t>
  </si>
  <si>
    <t>3/25/2026 4:55:35 PM</t>
  </si>
  <si>
    <t>1657-0003599</t>
  </si>
  <si>
    <t>3/25/2026 3:27:00 PM</t>
  </si>
  <si>
    <t>3/25/2026 10:28:10 PM</t>
  </si>
  <si>
    <t>3/25/2026 10:27:25 PM</t>
  </si>
  <si>
    <t>1657-0003539</t>
  </si>
  <si>
    <t>3/25/2026 11:19:00 AM</t>
  </si>
  <si>
    <t>3/26/2026 4:54:59 AM</t>
  </si>
  <si>
    <t>3/26/2026 12:54:21 AM</t>
  </si>
  <si>
    <t>VRO 1657-0003539 has been Accepted
Note:</t>
  </si>
  <si>
    <t>1657-0003593</t>
  </si>
  <si>
    <t>3/25/2026 3:13:00 PM</t>
  </si>
  <si>
    <t>3/25/2026 10:14:58 PM</t>
  </si>
  <si>
    <t>3/25/2026 10:12:47 PM</t>
  </si>
  <si>
    <t>VRO 1657-0003593 has been Accepted
Note:</t>
  </si>
  <si>
    <t>3/26/2026 2:49:18 AM</t>
  </si>
  <si>
    <t>3/25/2026 10:48:40 PM</t>
  </si>
  <si>
    <t>VRO 1657-0003406 has been Accepted
Note:</t>
  </si>
  <si>
    <t>3/26/2026 2:50:03 AM</t>
  </si>
  <si>
    <t>3/25/2026 10:49:24 PM</t>
  </si>
  <si>
    <t>VRO 1657-0003264 has been Accepted
Note:</t>
  </si>
  <si>
    <t>1657-0003568</t>
  </si>
  <si>
    <t>3/25/2026 1:27:17 PM</t>
  </si>
  <si>
    <t>3/26/2026 4:57:10 AM</t>
  </si>
  <si>
    <t>3/26/2026 12:56:32 AM</t>
  </si>
  <si>
    <t>VRO 1657-0003568 has been Accepted
Note:</t>
  </si>
  <si>
    <t>azHhuYEj_UEiNLRT0D-yMog</t>
  </si>
  <si>
    <t>1657-0003542</t>
  </si>
  <si>
    <t>3/25/2026 11:27:00 AM</t>
  </si>
  <si>
    <t>3/26/2026 4:57:54 AM</t>
  </si>
  <si>
    <t>3/26/2026 12:57:15 AM</t>
  </si>
  <si>
    <t>VRO 1657-0003542 has been Accepted
Note:</t>
  </si>
  <si>
    <t>1657-0003508</t>
  </si>
  <si>
    <t>3/25/2026 7:46:00 AM</t>
  </si>
  <si>
    <t>3/26/2026 5:13:01 AM</t>
  </si>
  <si>
    <t>3/26/2026 1:12:23 AM</t>
  </si>
  <si>
    <t>1071401032</t>
  </si>
  <si>
    <t>1657-0003537</t>
  </si>
  <si>
    <t>3/25/2026 10:57:00 AM</t>
  </si>
  <si>
    <t>3/26/2026 4:59:20 AM</t>
  </si>
  <si>
    <t>3/26/2026 12:58:42 AM</t>
  </si>
  <si>
    <t>1657-0003493</t>
  </si>
  <si>
    <t>3/25/2026 4:56:45 AM</t>
  </si>
  <si>
    <t>3/26/2026 12:59:25 AM</t>
  </si>
  <si>
    <t>1071209272</t>
  </si>
  <si>
    <t>3/26/2026 2:50:45 AM</t>
  </si>
  <si>
    <t>3/25/2026 10:50:07 PM</t>
  </si>
  <si>
    <t>VRO 1657-0003402 has been Accepted
Note:</t>
  </si>
  <si>
    <t>3/26/2026 2:51:28 AM</t>
  </si>
  <si>
    <t>3/25/2026 10:50:50 PM</t>
  </si>
  <si>
    <t>VRO 1657-0003284 has been Accepted
Note:</t>
  </si>
  <si>
    <t>3/26/2026 2:52:11 AM</t>
  </si>
  <si>
    <t>3/25/2026 10:51:33 PM</t>
  </si>
  <si>
    <t>VRO 1657-0003291 has been Accepted
Note:</t>
  </si>
  <si>
    <t>3/26/2026 3:13:03 AM</t>
  </si>
  <si>
    <t>3/25/2026 11:12:26 PM</t>
  </si>
  <si>
    <t>VRO 1657-0003258 has been Accepted
Note:</t>
  </si>
  <si>
    <t>1657-0003592</t>
  </si>
  <si>
    <t>3/25/2026 3:09:00 PM</t>
  </si>
  <si>
    <t>3/25/2026 10:09:58 PM</t>
  </si>
  <si>
    <t>3/25/2026 10:09:35 PM</t>
  </si>
  <si>
    <t>VRO 1657-0003592 has been Accepted
Note:</t>
  </si>
  <si>
    <t>1657-0003551</t>
  </si>
  <si>
    <t>3/25/2026 11:55:00 AM</t>
  </si>
  <si>
    <t>3/25/2026 6:55:49 PM</t>
  </si>
  <si>
    <t>3/25/2026 10:52:17 PM</t>
  </si>
  <si>
    <t>1657-0003563</t>
  </si>
  <si>
    <t>3/25/2026 1:51:00 PM</t>
  </si>
  <si>
    <t>3/26/2026 5:00:47 AM</t>
  </si>
  <si>
    <t>3/26/2026 1:00:09 AM</t>
  </si>
  <si>
    <t>VRO 1657-0003563 has been Accepted
Note:</t>
  </si>
  <si>
    <t>1657-0003492</t>
  </si>
  <si>
    <t>3/25/2026 4:42:15 AM</t>
  </si>
  <si>
    <t>3/26/2026 5:01:31 AM</t>
  </si>
  <si>
    <t>3/26/2026 1:00:52 AM</t>
  </si>
  <si>
    <t>VRO 1657-0003492 has been Accepted
Note:</t>
  </si>
  <si>
    <t>1071190176</t>
  </si>
  <si>
    <t>1657-0003533</t>
  </si>
  <si>
    <t>3/25/2026 10:39:00 AM</t>
  </si>
  <si>
    <t>3/25/2026 5:39:24 PM</t>
  </si>
  <si>
    <t>3/25/2026 5:39:06 PM</t>
  </si>
  <si>
    <t>VRO 1657-0003533 has been Accepted
Note:</t>
  </si>
  <si>
    <t>3/26/2026 3:13:48 AM</t>
  </si>
  <si>
    <t>3/25/2026 11:13:09 PM</t>
  </si>
  <si>
    <t>VRO 1657-0003306 has been Accepted
Note:</t>
  </si>
  <si>
    <t>3/26/2026 2:53:38 AM</t>
  </si>
  <si>
    <t>3/25/2026 10:53:00 PM</t>
  </si>
  <si>
    <t>VRO 1657-0003396 has been Accepted
Note:</t>
  </si>
  <si>
    <t>3/26/2026 2:54:21 AM</t>
  </si>
  <si>
    <t>3/25/2026 10:53:43 PM</t>
  </si>
  <si>
    <t>VRO 1657-0003263 has been Accepted
Note:</t>
  </si>
  <si>
    <t>1657-0003597</t>
  </si>
  <si>
    <t>3/25/2026 3:22:00 PM</t>
  </si>
  <si>
    <t>3/25/2026 10:22:10 PM</t>
  </si>
  <si>
    <t>3/25/2026 10:21:51 PM</t>
  </si>
  <si>
    <t>VRO 1657-0003597 has been Accepted
Note:</t>
  </si>
  <si>
    <t>1657-0003540</t>
  </si>
  <si>
    <t>3/25/2026 11:21:00 AM</t>
  </si>
  <si>
    <t>3/26/2026 5:14:30 AM</t>
  </si>
  <si>
    <t>3/26/2026 1:13:51 AM</t>
  </si>
  <si>
    <t>VRO 1657-0003540 has been Accepted
Note:</t>
  </si>
  <si>
    <t>3/26/2026 2:58:40 AM</t>
  </si>
  <si>
    <t>3/25/2026 10:58:03 PM</t>
  </si>
  <si>
    <t>VRO 1657-0003392 has been Accepted
Note:</t>
  </si>
  <si>
    <t>1657-0003524</t>
  </si>
  <si>
    <t>3/25/2026 10:22:00 AM</t>
  </si>
  <si>
    <t>3/25/2026 5:23:56 PM</t>
  </si>
  <si>
    <t>3/25/2026 5:21:48 PM</t>
  </si>
  <si>
    <t>VRO 1657-0003524 has been Accepted
Note:</t>
  </si>
  <si>
    <t>1657-0003531</t>
  </si>
  <si>
    <t>3/25/2026 10:37:00 AM</t>
  </si>
  <si>
    <t>3/25/2026 5:37:18 PM</t>
  </si>
  <si>
    <t>3/25/2026 5:36:58 PM</t>
  </si>
  <si>
    <t>VRO 1657-0003531 has been Accepted
Note:</t>
  </si>
  <si>
    <t>1657-0003501</t>
  </si>
  <si>
    <t>3/25/2026 6:19:00 AM</t>
  </si>
  <si>
    <t>3/25/2026 1:19:37 PM</t>
  </si>
  <si>
    <t>3/25/2026 1:18:46 PM</t>
  </si>
  <si>
    <t>Left VM for vendor to get status RB 3-26</t>
  </si>
  <si>
    <t>1657-0003609</t>
  </si>
  <si>
    <t>3/25/2026 5:56:00 PM</t>
  </si>
  <si>
    <t>3/26/2026 1:42:43 AM</t>
  </si>
  <si>
    <t>3/26/2026 12:55:36 AM</t>
  </si>
  <si>
    <t>VRO 1657-0003609 has been Accepted
Note:</t>
  </si>
  <si>
    <t>1657-0003530</t>
  </si>
  <si>
    <t>3/25/2026 10:36:00 AM</t>
  </si>
  <si>
    <t>3/25/2026 5:36:17 PM</t>
  </si>
  <si>
    <t>3/25/2026 5:35:58 PM</t>
  </si>
  <si>
    <t>VRO 1657-0003530 has been Accepted
Note:</t>
  </si>
  <si>
    <t>1657-0003598</t>
  </si>
  <si>
    <t>3/25/2026 3:24:00 PM</t>
  </si>
  <si>
    <t>3/25/2026 10:24:39 PM</t>
  </si>
  <si>
    <t>3/25/2026 10:24:24 PM</t>
  </si>
  <si>
    <t>VRO 1657-0003598 has been Accepted
Note:</t>
  </si>
  <si>
    <t>3/26/2026 3:15:55 AM</t>
  </si>
  <si>
    <t>3/25/2026 11:15:18 PM</t>
  </si>
  <si>
    <t>VRO 1657-0003486 has been Accepted
Note:</t>
  </si>
  <si>
    <t>3/26/2026 3:00:06 AM</t>
  </si>
  <si>
    <t>3/25/2026 10:59:28 PM</t>
  </si>
  <si>
    <t>VRO 1657-0003477 has been Accepted
Note:</t>
  </si>
  <si>
    <t>1657-0003496</t>
  </si>
  <si>
    <t>3/25/2026 5:05:29 AM</t>
  </si>
  <si>
    <t>3/26/2026 5:04:23 AM</t>
  </si>
  <si>
    <t>3/26/2026 1:03:45 AM</t>
  </si>
  <si>
    <t>VRO 1657-0003496 has been Accepted
Note:</t>
  </si>
  <si>
    <t>1071221380</t>
  </si>
  <si>
    <t>1657-0003608</t>
  </si>
  <si>
    <t>3/25/2026 4:25:27 PM</t>
  </si>
  <si>
    <t>3/26/2026 5:05:48 AM</t>
  </si>
  <si>
    <t>3/26/2026 1:05:10 AM</t>
  </si>
  <si>
    <t>VRO 1657-0003608 has been Accepted
Note:</t>
  </si>
  <si>
    <t>1071833897</t>
  </si>
  <si>
    <t>1657-0003588</t>
  </si>
  <si>
    <t>3/25/2026 2:51:41 PM</t>
  </si>
  <si>
    <t>3/26/2026 5:05:05 AM</t>
  </si>
  <si>
    <t>3/26/2026 1:04:28 AM</t>
  </si>
  <si>
    <t>VRO 1657-0003588 has been Accepted
Note:</t>
  </si>
  <si>
    <t>1071746623</t>
  </si>
  <si>
    <t>1657-0003515</t>
  </si>
  <si>
    <t>3/25/2026 8:18:00 AM</t>
  </si>
  <si>
    <t>3/25/2026 3:19:42 PM</t>
  </si>
  <si>
    <t>3/25/2026 3:18:28 PM</t>
  </si>
  <si>
    <t>3/26/2026 3:16:39 AM</t>
  </si>
  <si>
    <t>3/25/2026 11:16:01 PM</t>
  </si>
  <si>
    <t>VRO 1657-0003405 has been Accepted
Note:</t>
  </si>
  <si>
    <t>3/26/2026 3:00:49 AM</t>
  </si>
  <si>
    <t>3/25/2026 11:00:11 PM</t>
  </si>
  <si>
    <t>VRO 1657-0003271 has been Accepted
Note:</t>
  </si>
  <si>
    <t>3/26/2026 3:01:33 AM</t>
  </si>
  <si>
    <t>3/25/2026 11:00:55 PM</t>
  </si>
  <si>
    <t>VRO 1657-0003481 has been Accepted
Note:</t>
  </si>
  <si>
    <t>1657-0003494</t>
  </si>
  <si>
    <t>3/25/2026 4:16:44 AM</t>
  </si>
  <si>
    <t>3/26/2026 5:07:14 AM</t>
  </si>
  <si>
    <t>3/26/2026 1:06:37 AM</t>
  </si>
  <si>
    <t>VRO 1657-0003494 has been Accepted
Note:</t>
  </si>
  <si>
    <t>amDqGyH3B60K-eoRyZp-x5g</t>
  </si>
  <si>
    <t>3/26/2026 3:02:58 AM</t>
  </si>
  <si>
    <t>3/25/2026 11:02:20 PM</t>
  </si>
  <si>
    <t>VRO 1657-0003488 has been Accepted
Note:</t>
  </si>
  <si>
    <t>1657-0003590</t>
  </si>
  <si>
    <t>3/25/2026 2:54:44 PM</t>
  </si>
  <si>
    <t>3/26/2026 5:07:59 AM</t>
  </si>
  <si>
    <t>3/26/2026 1:07:20 AM</t>
  </si>
  <si>
    <t>VRO 1657-0003590 has been Accepted
Note:</t>
  </si>
  <si>
    <t>1071749528</t>
  </si>
  <si>
    <t>1657-0003603</t>
  </si>
  <si>
    <t>3/25/2026 4:21:00 PM</t>
  </si>
  <si>
    <t>3/25/2026 11:22:10 PM</t>
  </si>
  <si>
    <t>3/26/2026 11:21:34 PM</t>
  </si>
  <si>
    <t>VRO 1657-0003603 has been Accepted
Note:</t>
  </si>
  <si>
    <t>3/26/2026 3:07:18 AM</t>
  </si>
  <si>
    <t>3/25/2026 11:06:40 PM</t>
  </si>
  <si>
    <t>VRO 1657-0003275 has been Accepted
Note:</t>
  </si>
  <si>
    <t>3/25/2026 11:08:05 PM</t>
  </si>
  <si>
    <t>3/26/2026 2:42:08 AM</t>
  </si>
  <si>
    <t>3/25/2026 10:41:30 PM</t>
  </si>
  <si>
    <t>VRO 1657-0003280 has been Accepted
Note:</t>
  </si>
  <si>
    <t>3/26/2026 2:42:51 AM</t>
  </si>
  <si>
    <t>3/25/2026 10:42:13 PM</t>
  </si>
  <si>
    <t>VRO 1657-0003272 has been Accepted
Note:</t>
  </si>
  <si>
    <t>1FTYR2CM0JKA73572</t>
  </si>
  <si>
    <t>1657-0003532</t>
  </si>
  <si>
    <t>3/25/2026 10:38:00 AM</t>
  </si>
  <si>
    <t>3/25/2026 5:38:24 PM</t>
  </si>
  <si>
    <t>3/25/2026 5:38:02 PM</t>
  </si>
  <si>
    <t>VRO 1657-0003532 has been Accepted
Note:</t>
  </si>
  <si>
    <t>1657-0003516</t>
  </si>
  <si>
    <t>3/25/2026 8:43:00 AM</t>
  </si>
  <si>
    <t>3/26/2026 4:53:32 AM</t>
  </si>
  <si>
    <t>3/26/2026 12:52:55 AM</t>
  </si>
  <si>
    <t>VRO 1657-0003516 has been Accepted
Note:</t>
  </si>
  <si>
    <t>1657-0003497</t>
  </si>
  <si>
    <t>3/25/2026 5:44:07 AM</t>
  </si>
  <si>
    <t>3/26/2026 5:10:51 AM</t>
  </si>
  <si>
    <t>3/26/2026 1:10:13 AM</t>
  </si>
  <si>
    <t>VRO 1657-0003497 has been Accepted
Note:</t>
  </si>
  <si>
    <t>1071272726</t>
  </si>
  <si>
    <t>1657-0003529</t>
  </si>
  <si>
    <t>3/25/2026 10:34:00 AM</t>
  </si>
  <si>
    <t>3/25/2026 5:35:01 PM</t>
  </si>
  <si>
    <t>3/25/2026 5:34:30 PM</t>
  </si>
  <si>
    <t>VRO 1657-0003529 has been Accepted
Note:</t>
  </si>
  <si>
    <t>1657-0003526</t>
  </si>
  <si>
    <t>3/25/2026 10:31:00 AM</t>
  </si>
  <si>
    <t>3/26/2026 4:54:16 AM</t>
  </si>
  <si>
    <t>3/26/2026 12:53:39 AM</t>
  </si>
  <si>
    <t>VRO 1657-0003526 has been Accepted
Note:</t>
  </si>
  <si>
    <t>3/26/2026 2:46:26 AM</t>
  </si>
  <si>
    <t>3/25/2026 10:45:48 PM</t>
  </si>
  <si>
    <t>VRO 1657-0003273 has been Accepted
Note:</t>
  </si>
  <si>
    <t>3/26/2026 3:11:37 AM</t>
  </si>
  <si>
    <t>3/25/2026 11:10:59 PM</t>
  </si>
  <si>
    <t>VRO 1657-0003283 has been Accepted
Note:</t>
  </si>
  <si>
    <t>3/26/2026 3:12:20 AM</t>
  </si>
  <si>
    <t>3/25/2026 11:11:42 PM</t>
  </si>
  <si>
    <t>VRO 1657-0003318 has been Accepted
Note:</t>
  </si>
  <si>
    <t>3/26/2026 2:47:08 AM</t>
  </si>
  <si>
    <t>3/25/2026 10:46:31 PM</t>
  </si>
  <si>
    <t>VRO 1657-0003398 has been Accepted
Note:</t>
  </si>
  <si>
    <t>1657-0003498</t>
  </si>
  <si>
    <t>3/25/2026 5:51:23 AM</t>
  </si>
  <si>
    <t>3/26/2026 5:12:17 AM</t>
  </si>
  <si>
    <t>3/26/2026 1:11:40 AM</t>
  </si>
  <si>
    <t>VRO 1657-0003498 has been Accepted
Note:</t>
  </si>
  <si>
    <t>1071281611</t>
  </si>
  <si>
    <t>2NPNHM6X6HM319064</t>
  </si>
  <si>
    <t>1657-0003534</t>
  </si>
  <si>
    <t>3/25/2026 10:40:00 AM</t>
  </si>
  <si>
    <t>3/25/2026 5:40:25 PM</t>
  </si>
  <si>
    <t>3/25/2026 5:40:07 PM</t>
  </si>
  <si>
    <t>VRO 1657-0003534 has been Accepted
Note:</t>
  </si>
  <si>
    <t>1657-0003541</t>
  </si>
  <si>
    <t>3/25/2026 11:23:00 AM</t>
  </si>
  <si>
    <t>3/26/2026 4:55:42 AM</t>
  </si>
  <si>
    <t>3/26/2026 12:55:04 AM</t>
  </si>
  <si>
    <t>VRO 1657-0003541 has been Accepted
Note:</t>
  </si>
  <si>
    <t>1657-0003525</t>
  </si>
  <si>
    <t>3/25/2026 5:31:18 PM</t>
  </si>
  <si>
    <t>3/25/2026 5:30:55 PM</t>
  </si>
  <si>
    <t>VRO 1657-0003525 has been Accepted
Note:</t>
  </si>
  <si>
    <t>1FTRS4X8XMKA97318</t>
  </si>
  <si>
    <t>1657-0003543</t>
  </si>
  <si>
    <t>3/25/2026 11:30:00 AM</t>
  </si>
  <si>
    <t>3/26/2026 3:08:50 AM</t>
  </si>
  <si>
    <t>3/25/2026 8:49:06 PM</t>
  </si>
  <si>
    <t>VRO 1657-0003543 has been Accepted
Note:</t>
  </si>
  <si>
    <t>1657-0003613</t>
  </si>
  <si>
    <t>3/25/2026 8:24:00 PM</t>
  </si>
  <si>
    <t>3/26/2026 3:24:04 AM</t>
  </si>
  <si>
    <t>3/26/2026 3:23:47 AM</t>
  </si>
  <si>
    <t>2NPNHM6X3JM472779</t>
  </si>
  <si>
    <t>1657-0003552</t>
  </si>
  <si>
    <t>3/25/2026 12:19:00 PM</t>
  </si>
  <si>
    <t>3/26/2026 5:13:45 AM</t>
  </si>
  <si>
    <t>3/26/2026 1:13:07 AM</t>
  </si>
  <si>
    <t>VRO 1657-0003552 has been Accepted
Note:</t>
  </si>
  <si>
    <t>1657-0003527</t>
  </si>
  <si>
    <t>3/25/2026 10:32:00 AM</t>
  </si>
  <si>
    <t>3/25/2026 5:32:50 PM</t>
  </si>
  <si>
    <t>3/25/2026 5:31:48 PM</t>
  </si>
  <si>
    <t>VRO 1657-0003527 has been Accepted
Note:</t>
  </si>
  <si>
    <t>1657-0003604</t>
  </si>
  <si>
    <t>3/25/2026 4:48:00 PM</t>
  </si>
  <si>
    <t>3/26/2026 12:32:57 AM</t>
  </si>
  <si>
    <t>3/25/2026 11:47:47 PM</t>
  </si>
  <si>
    <t>3/26/2026 3:14:31 AM</t>
  </si>
  <si>
    <t>3/25/2026 11:13:52 PM</t>
  </si>
  <si>
    <t>VRO 1657-0003244 has been Accepted
Note:</t>
  </si>
  <si>
    <t>1FTRS4X86MKA97297</t>
  </si>
  <si>
    <t>1657-0003605</t>
  </si>
  <si>
    <t>3/25/2026 4:51:00 PM</t>
  </si>
  <si>
    <t>3/25/2026 11:52:43 PM</t>
  </si>
  <si>
    <t>3/26/2026 1:51:28 AM</t>
  </si>
  <si>
    <t>VRO 1657-0003605 has been Accepted
Note:</t>
  </si>
  <si>
    <t>3/26/2026 3:15:13 AM</t>
  </si>
  <si>
    <t>3/25/2026 11:14:36 PM</t>
  </si>
  <si>
    <t>VRO 1657-0003471 has been Accepted
Note:</t>
  </si>
  <si>
    <t>1657-0003595</t>
  </si>
  <si>
    <t>3/25/2026 3:17:00 PM</t>
  </si>
  <si>
    <t>3/25/2026 10:17:40 PM</t>
  </si>
  <si>
    <t>3/26/2026 10:17:03 PM</t>
  </si>
  <si>
    <t>VRO 1657-0003595 has been Accepted
Note:</t>
  </si>
  <si>
    <t>1657-0003587</t>
  </si>
  <si>
    <t>3/25/2026 2:56:00 PM</t>
  </si>
  <si>
    <t>3/25/2026 10:01:20 PM</t>
  </si>
  <si>
    <t>3/25/2026 9:57:36 PM</t>
  </si>
  <si>
    <t>VRO 1657-0003587 has been Accepted
Note:</t>
  </si>
  <si>
    <t>3/26/2026 2:59:23 AM</t>
  </si>
  <si>
    <t>3/25/2026 10:58:45 PM</t>
  </si>
  <si>
    <t>VRO 1657-0003266 has been Accepted
Note:</t>
  </si>
  <si>
    <t>3/25/2026 11:01:38 PM</t>
  </si>
  <si>
    <t>3/26/2026 3:03:42 AM</t>
  </si>
  <si>
    <t>3/25/2026 11:03:03 PM</t>
  </si>
  <si>
    <t>VRO 1657-0003360 has been Accepted
Note:</t>
  </si>
  <si>
    <t>3/26/2026 3:05:07 AM</t>
  </si>
  <si>
    <t>3/25/2026 11:04:30 PM</t>
  </si>
  <si>
    <t>VRO 1657-0003260 has been Accepted
Note:</t>
  </si>
  <si>
    <t>1657-0003510</t>
  </si>
  <si>
    <t>3/25/2026 8:08:00 AM</t>
  </si>
  <si>
    <t>3/26/2026 5:08:41 AM</t>
  </si>
  <si>
    <t>3/26/2026 1:08:03 AM</t>
  </si>
  <si>
    <t>VRO 1657-0003510 has been Accepted
Note:</t>
  </si>
  <si>
    <t>1657-0003616</t>
  </si>
  <si>
    <t>3/25/2026 11:28:00 PM</t>
  </si>
  <si>
    <t>3/26/2026 6:34:53 AM</t>
  </si>
  <si>
    <t>3/26/2026 6:33:01 AM</t>
  </si>
  <si>
    <t>1657-0003491</t>
  </si>
  <si>
    <t>3/25/2026 4:18:05 AM</t>
  </si>
  <si>
    <t>3/26/2026 5:09:24 AM</t>
  </si>
  <si>
    <t>3/26/2026 1:08:46 AM</t>
  </si>
  <si>
    <t>VRO 1657-0003491 has been Accepted
Note:</t>
  </si>
  <si>
    <t>1071155692</t>
  </si>
  <si>
    <t>3/26/2026 3:18:06 AM</t>
  </si>
  <si>
    <t>3/25/2026 11:17:28 PM</t>
  </si>
  <si>
    <t>VRO 1657-0003248 has been Accepted
Note:</t>
  </si>
  <si>
    <t>3/25/2026 11:18:11 PM</t>
  </si>
  <si>
    <t>3/25/2026 11:18:55 PM</t>
  </si>
  <si>
    <t>3/26/2026 3:26:50 AM</t>
  </si>
  <si>
    <t>3/25/2026 11:26:13 PM</t>
  </si>
  <si>
    <t>VRO 1657-0003256 has been Accepted
Note:</t>
  </si>
  <si>
    <t>1657-0003594</t>
  </si>
  <si>
    <t>3/25/2026 10:17:38 PM</t>
  </si>
  <si>
    <t>3/25/2026 10:17:18 PM</t>
  </si>
  <si>
    <t>VRO 1657-0003594 has been Accepted
Note:</t>
  </si>
  <si>
    <t>3/26/2026 3:27:34 AM</t>
  </si>
  <si>
    <t>3/25/2026 11:26:56 PM</t>
  </si>
  <si>
    <t>VRO 1657-0003331 has been Accepted
Note:</t>
  </si>
  <si>
    <t>3/26/2026 3:21:01 AM</t>
  </si>
  <si>
    <t>3/25/2026 11:20:23 PM</t>
  </si>
  <si>
    <t>VRO 1657-0003267 has been Accepted
Note:</t>
  </si>
  <si>
    <t>3/26/2026 3:28:17 AM</t>
  </si>
  <si>
    <t>3/25/2026 11:27:40 PM</t>
  </si>
  <si>
    <t>VRO 1657-0003274 has been Accepted
Note:</t>
  </si>
  <si>
    <t>3/26/2026 3:21:44 AM</t>
  </si>
  <si>
    <t>3/25/2026 11:21:06 PM</t>
  </si>
  <si>
    <t>VRO 1657-0003490 has been Accepted
Note:</t>
  </si>
  <si>
    <t>3/26/2026 3:22:27 AM</t>
  </si>
  <si>
    <t>3/25/2026 11:21:50 PM</t>
  </si>
  <si>
    <t>VRO 1657-0003317 has been Accepted
Note:</t>
  </si>
  <si>
    <t>3/26/2026 3:23:12 AM</t>
  </si>
  <si>
    <t>3/25/2026 11:22:33 PM</t>
  </si>
  <si>
    <t>3/25/2026 11:23:17 PM</t>
  </si>
  <si>
    <t>3/25/2026 11:24:01 PM</t>
  </si>
  <si>
    <t>3/25/2026 11:24:44 PM</t>
  </si>
  <si>
    <t>1657-0003505</t>
  </si>
  <si>
    <t>3/25/2026 7:38:00 AM</t>
  </si>
  <si>
    <t>3/26/2026 5:10:08 AM</t>
  </si>
  <si>
    <t>3/26/2026 1:09:30 AM</t>
  </si>
  <si>
    <t>VRO 1657-0003505 has been Accepted
Note:</t>
  </si>
  <si>
    <t>3/26/2026 3:04:24 AM</t>
  </si>
  <si>
    <t>3/25/2026 11:03:47 PM</t>
  </si>
  <si>
    <t>VRO 1657-0003399 has been Accepted
Note:</t>
  </si>
  <si>
    <t>3/26/2026 3:17:23 AM</t>
  </si>
  <si>
    <t>3/25/2026 11:16:45 PM</t>
  </si>
  <si>
    <t>VRO 1657-0003404 has been Accepted
Note:</t>
  </si>
  <si>
    <t>3/26/2026 3:05:51 AM</t>
  </si>
  <si>
    <t>3/25/2026 11:05:13 PM</t>
  </si>
  <si>
    <t>VRO 1657-0003487 has been Accepted
Note:</t>
  </si>
  <si>
    <t>3/26/2026 3:06:34 AM</t>
  </si>
  <si>
    <t>3/25/2026 11:05:56 PM</t>
  </si>
  <si>
    <t>VRO 1657-0003287 has been Accepted
Note:</t>
  </si>
  <si>
    <t>1657-0003596</t>
  </si>
  <si>
    <t>3/25/2026 3:19:00 PM</t>
  </si>
  <si>
    <t>3/25/2026 10:19:31 PM</t>
  </si>
  <si>
    <t>3/25/2026 10:19:15 PM</t>
  </si>
  <si>
    <t>VRO 1657-0003596 has been Accepted
Note:</t>
  </si>
  <si>
    <t>3/26/2026 3:26:07 AM</t>
  </si>
  <si>
    <t>3/25/2026 11:25:29 PM</t>
  </si>
  <si>
    <t>3/26/2026 3:29:02 AM</t>
  </si>
  <si>
    <t>3/25/2026 11:28:23 PM</t>
  </si>
  <si>
    <t>VRO 1657-0003270 has been Accepted
Note:</t>
  </si>
  <si>
    <t>3/25/2026 11:29:06 PM</t>
  </si>
  <si>
    <t>3/26/2026 3:30:29 AM</t>
  </si>
  <si>
    <t>3/25/2026 11:29:50 PM</t>
  </si>
  <si>
    <t>Rear Brakes &amp; Drums</t>
  </si>
  <si>
    <t>01657A0000396468</t>
  </si>
  <si>
    <t>1FTBR2C8XTKA07753</t>
  </si>
  <si>
    <t>1657-0003560</t>
  </si>
  <si>
    <t>3/25/2026 1:16:00 PM</t>
  </si>
  <si>
    <t>3/25/2026 8:20:36 PM</t>
  </si>
  <si>
    <t>3/25/2026 8:16:49 PM</t>
  </si>
  <si>
    <t>VRO 1657-0003560 has been Accepted
Note:</t>
  </si>
  <si>
    <t>1657-0003612</t>
  </si>
  <si>
    <t>3/25/2026 6:31:00 PM</t>
  </si>
  <si>
    <t>3/26/2026 1:31:05 AM</t>
  </si>
  <si>
    <t>3/26/2026 3:30:47 AM</t>
  </si>
  <si>
    <t>DJ 3/26</t>
  </si>
  <si>
    <t>01657A0000396374</t>
  </si>
  <si>
    <t>1657-0003553</t>
  </si>
  <si>
    <t>3/25/2026 7:21:42 PM</t>
  </si>
  <si>
    <t>3/25/2026 7:19:35 PM</t>
  </si>
  <si>
    <t>VRO 1657-0003014 has been Accepted
Note:</t>
  </si>
  <si>
    <t>HP 03/26</t>
  </si>
  <si>
    <t>01657A0000396204</t>
  </si>
  <si>
    <t>1657-0003535</t>
  </si>
  <si>
    <t>3/25/2026 10:43:00 AM</t>
  </si>
  <si>
    <t>3/25/2026 5:43:51 PM</t>
  </si>
  <si>
    <t>3/25/2026 5:43:18 PM</t>
  </si>
  <si>
    <t>VRO 1657-0003535 has been Accepted
Note:</t>
  </si>
  <si>
    <t>01657A0000396281</t>
  </si>
  <si>
    <t>1657-0003538</t>
  </si>
  <si>
    <t>3/25/2026 11:16:00 AM</t>
  </si>
  <si>
    <t>3/25/2026 6:17:19 PM</t>
  </si>
  <si>
    <t>3/25/2026 6:16:36 PM</t>
  </si>
  <si>
    <t>VRO 1657-0003538 has been Accepted
Note:</t>
  </si>
  <si>
    <t>VRO 1657-0002224 has been Accepted
Note:</t>
  </si>
  <si>
    <t>HP326</t>
  </si>
  <si>
    <t>1657-0003536</t>
  </si>
  <si>
    <t>3/25/2026 10:44:00 AM</t>
  </si>
  <si>
    <t>3/25/2026 5:44:53 PM</t>
  </si>
  <si>
    <t>3/25/2026 5:44:00 PM</t>
  </si>
  <si>
    <t>VRO 1657-0003536 has been Accepted
Note:</t>
  </si>
  <si>
    <t>2NPNHM6X4HM319130</t>
  </si>
  <si>
    <t>1657-0003503</t>
  </si>
  <si>
    <t>3/25/2026 7:08:00 AM</t>
  </si>
  <si>
    <t>3/25/2026 2:11:01 PM</t>
  </si>
  <si>
    <t>3/25/2026 2:08:21 PM</t>
  </si>
  <si>
    <t>VRO 1657-0003503 has been Accepted
Note:</t>
  </si>
  <si>
    <t>01657A0000396242</t>
  </si>
  <si>
    <t>1657-0003523</t>
  </si>
  <si>
    <t>3/25/2026 10:21:00 AM</t>
  </si>
  <si>
    <t>3/25/2026 6:04:05 PM</t>
  </si>
  <si>
    <t>3/25/2026 5:21:41 PM</t>
  </si>
  <si>
    <t>VRO 1657-0003523 has been Accepted
Note:</t>
  </si>
  <si>
    <t>01657A0000396664</t>
  </si>
  <si>
    <t>1FTRU8XG4RKB57688</t>
  </si>
  <si>
    <t>1657-0003611</t>
  </si>
  <si>
    <t>3/25/2026 6:22:00 PM</t>
  </si>
  <si>
    <t>3/26/2026 1:23:09 AM</t>
  </si>
  <si>
    <t>3/26/2026 1:22:29 AM</t>
  </si>
  <si>
    <t>VRO 1657-0003611 has been Accepted
Note:</t>
  </si>
  <si>
    <t>01657A0000395934</t>
  </si>
  <si>
    <t>3FRNF6HP8DV000028</t>
  </si>
  <si>
    <t>1657-0003507</t>
  </si>
  <si>
    <t>3/25/2026 7:45:00 AM</t>
  </si>
  <si>
    <t>3/25/2026 2:45:50 PM</t>
  </si>
  <si>
    <t>3/25/2026 2:45:10 PM</t>
  </si>
  <si>
    <t>VRO 1657-0003507 has been Accepted
Note:</t>
  </si>
  <si>
    <t>1657-0003506</t>
  </si>
  <si>
    <t>3/25/2026 2:38:30 PM</t>
  </si>
  <si>
    <t>3/25/2026 2:37:59 PM</t>
  </si>
  <si>
    <t>VRO 1657-0003506 has been Accepted
Note:</t>
  </si>
  <si>
    <t>hp 03/26</t>
  </si>
  <si>
    <t>01657A0000396687</t>
  </si>
  <si>
    <t>01657A0000396689</t>
  </si>
  <si>
    <t>01657A0000395754</t>
  </si>
  <si>
    <t>1657-0003500</t>
  </si>
  <si>
    <t>3/25/2026 6:16:00 AM</t>
  </si>
  <si>
    <t>3/25/2026 1:18:22 PM</t>
  </si>
  <si>
    <t>3/25/2026 1:17:07 PM</t>
  </si>
  <si>
    <t>01657A0000395747</t>
  </si>
  <si>
    <t>1657-0003499</t>
  </si>
  <si>
    <t>3/25/2026 6:15:00 AM</t>
  </si>
  <si>
    <t>3/25/2026 1:18:49 PM</t>
  </si>
  <si>
    <t>3/25/2026 1:15:00 PM</t>
  </si>
  <si>
    <t>01657A0000396350</t>
  </si>
  <si>
    <t>1657-0003550</t>
  </si>
  <si>
    <t>3/25/2026 11:53:00 AM</t>
  </si>
  <si>
    <t>3/25/2026 6:53:42 PM</t>
  </si>
  <si>
    <t>3/25/2026 6:53:05 PM</t>
  </si>
  <si>
    <t>01657A0000396688</t>
  </si>
  <si>
    <t>1657-0003615</t>
  </si>
  <si>
    <t>3/25/2026 11:12:00 PM</t>
  </si>
  <si>
    <t>3/26/2026 6:13:06 AM</t>
  </si>
  <si>
    <t>3/26/2026 6:12:10 AM</t>
  </si>
  <si>
    <t>01657A0000396658</t>
  </si>
  <si>
    <t>01657A0000396661</t>
  </si>
  <si>
    <t>01657A0000396338</t>
  </si>
  <si>
    <t>3FRWF65N04V659213</t>
  </si>
  <si>
    <t>1657-0003547</t>
  </si>
  <si>
    <t>3/25/2026 11:47:00 AM</t>
  </si>
  <si>
    <t>3/25/2026 6:48:20 PM</t>
  </si>
  <si>
    <t>3/25/2026 6:47:16 PM</t>
  </si>
  <si>
    <t>01657A0000396667</t>
  </si>
  <si>
    <t>1657-0003520</t>
  </si>
  <si>
    <t>3/25/2026 9:51:00 AM</t>
  </si>
  <si>
    <t>3/25/2026 4:52:09 PM</t>
  </si>
  <si>
    <t>3/25/2026 4:51:09 PM</t>
  </si>
  <si>
    <t>01657A0000396683</t>
  </si>
  <si>
    <t>01657A0000396685</t>
  </si>
  <si>
    <t>01657A0000396666</t>
  </si>
  <si>
    <t>Battery &amp; Cables</t>
  </si>
  <si>
    <t>01657A0000396334</t>
  </si>
  <si>
    <t>1657-0003545</t>
  </si>
  <si>
    <t>3/25/2026 11:39:00 AM</t>
  </si>
  <si>
    <t>3/25/2026 6:39:52 PM</t>
  </si>
  <si>
    <t>3/25/2026 8:38:57 PM</t>
  </si>
  <si>
    <t>01657A0000397171</t>
  </si>
  <si>
    <t>Holder - Permits</t>
  </si>
  <si>
    <t>01657A0000396675</t>
  </si>
  <si>
    <t>01657A0000396684</t>
  </si>
  <si>
    <t>VRO 1657-0000543 has been Submitted for Review</t>
  </si>
  <si>
    <t>VRO 1657-0003500 has been Submitted for Review</t>
  </si>
  <si>
    <t>01657A0000396589</t>
  </si>
  <si>
    <t>1657-0003586</t>
  </si>
  <si>
    <t>3/25/2026 2:51:00 PM</t>
  </si>
  <si>
    <t>3/25/2026 9:51:39 PM</t>
  </si>
  <si>
    <t>3/25/2026 9:51:27 PM</t>
  </si>
  <si>
    <t>01657A0000396383</t>
  </si>
  <si>
    <t>1657-0003555</t>
  </si>
  <si>
    <t>3/25/2026 12:27:00 PM</t>
  </si>
  <si>
    <t>3/25/2026 7:28:14 PM</t>
  </si>
  <si>
    <t>3/25/2026 7:26:50 PM</t>
  </si>
  <si>
    <t>GARDA - WILMINGTON, DE 14090</t>
  </si>
  <si>
    <t>01657A0000396346</t>
  </si>
  <si>
    <t>1FDWE35L07DB27782</t>
  </si>
  <si>
    <t>1657-0003549</t>
  </si>
  <si>
    <t>3/25/2026 11:51:00 AM</t>
  </si>
  <si>
    <t>3/25/2026 6:51:34 PM</t>
  </si>
  <si>
    <t>3/25/2026 6:51:14 PM</t>
  </si>
  <si>
    <t>01657A0000396093</t>
  </si>
  <si>
    <t>2NPNHM6X3GM318968</t>
  </si>
  <si>
    <t>1657-0003518</t>
  </si>
  <si>
    <t>3/25/2026 9:23:00 AM</t>
  </si>
  <si>
    <t>3/25/2026 4:22:56 PM</t>
  </si>
  <si>
    <t>3/25/2026 4:22:42 PM</t>
  </si>
  <si>
    <t>01657A0000396682</t>
  </si>
  <si>
    <t>01657A0000396435</t>
  </si>
  <si>
    <t>1657-0003557</t>
  </si>
  <si>
    <t>3/25/2026 12:58:00 PM</t>
  </si>
  <si>
    <t>3/25/2026 7:58:40 PM</t>
  </si>
  <si>
    <t>3/25/2026 7:58:04 PM</t>
  </si>
  <si>
    <t>01657A0000396680</t>
  </si>
  <si>
    <t>01657A0000396343</t>
  </si>
  <si>
    <t>1657-0003548</t>
  </si>
  <si>
    <t>3/25/2026 11:50:00 AM</t>
  </si>
  <si>
    <t>3/25/2026 6:50:34 PM</t>
  </si>
  <si>
    <t>3/25/2026 8:50:07 PM</t>
  </si>
  <si>
    <t>01657A0000395643</t>
  </si>
  <si>
    <t>1657-0003495</t>
  </si>
  <si>
    <t>3/25/2026 5:16:00 AM</t>
  </si>
  <si>
    <t>3/25/2026 12:16:32 PM</t>
  </si>
  <si>
    <t>3/25/2026 12:16:01 PM</t>
  </si>
  <si>
    <t>5/8/2026 12:00:00 AM</t>
  </si>
  <si>
    <t>on hold until we confirm the final use of the truck</t>
  </si>
  <si>
    <t>1657-0006201</t>
  </si>
  <si>
    <t>01657A0000397825</t>
  </si>
  <si>
    <t>VRO 1657-0000641 has been Accepted
Note:</t>
  </si>
  <si>
    <t>kw 3/26</t>
  </si>
  <si>
    <t>VRO 1657-0002187 has been Accepted
Note:</t>
  </si>
  <si>
    <t>01657A0000397841</t>
  </si>
  <si>
    <t>01657A0000397774</t>
  </si>
  <si>
    <t>GAR-5810</t>
  </si>
  <si>
    <t>GAR-337</t>
  </si>
  <si>
    <t>GAR-5668</t>
  </si>
  <si>
    <t>GAR-4800</t>
  </si>
  <si>
    <t>GAR-18-194</t>
  </si>
  <si>
    <t>GAR-9956</t>
  </si>
  <si>
    <t>GAR-5104</t>
  </si>
  <si>
    <t>GAR-328</t>
  </si>
  <si>
    <t>GAR-961T</t>
  </si>
  <si>
    <t>GAR-5344</t>
  </si>
  <si>
    <t>GAR-16-046</t>
  </si>
  <si>
    <t>GAR-4606</t>
  </si>
  <si>
    <t>GAR-4206</t>
  </si>
  <si>
    <t>GAR-5604</t>
  </si>
  <si>
    <t>GAR-5762</t>
  </si>
  <si>
    <t>GAR-6674</t>
  </si>
  <si>
    <t>GAR-6890</t>
  </si>
  <si>
    <t>GAR-5026</t>
  </si>
  <si>
    <t>GAR-3670</t>
  </si>
  <si>
    <t>GAR-03-098</t>
  </si>
  <si>
    <t>GAR-4248</t>
  </si>
  <si>
    <t>GAR-4822</t>
  </si>
  <si>
    <t>GAR-4294</t>
  </si>
  <si>
    <t>GAR-4368</t>
  </si>
  <si>
    <t>GAR-5768</t>
  </si>
  <si>
    <t>GAR-5834</t>
  </si>
  <si>
    <t>GAR-5292</t>
  </si>
  <si>
    <t>GAR-3528</t>
  </si>
  <si>
    <t>GAR-23-018U</t>
  </si>
  <si>
    <t>GAR-13-008</t>
  </si>
  <si>
    <t>GAR-16-002</t>
  </si>
  <si>
    <t>GAR-350</t>
  </si>
  <si>
    <t>GAR-183</t>
  </si>
  <si>
    <t>GAR-6422</t>
  </si>
  <si>
    <t>GAR-6260</t>
  </si>
  <si>
    <t>GAR-6604</t>
  </si>
  <si>
    <t>GAR-16-067</t>
  </si>
  <si>
    <t>GAR-6256</t>
  </si>
  <si>
    <t>GAR-15-013</t>
  </si>
  <si>
    <t>GAR-5954</t>
  </si>
  <si>
    <t>GAR-13-017</t>
  </si>
  <si>
    <t>GAR-5664</t>
  </si>
  <si>
    <t>GAR-3288</t>
  </si>
  <si>
    <t>GAR-121410</t>
  </si>
  <si>
    <t>GAR-4938</t>
  </si>
  <si>
    <t>GAR-4074</t>
  </si>
  <si>
    <t>GAR-4028</t>
  </si>
  <si>
    <t>GAR-5704</t>
  </si>
  <si>
    <t>GAR-5820</t>
  </si>
  <si>
    <t>GAR-8737T</t>
  </si>
  <si>
    <t>GAR-8739T</t>
  </si>
  <si>
    <t>GAR-4958</t>
  </si>
  <si>
    <t>GAR-6560</t>
  </si>
  <si>
    <t>GAR-113</t>
  </si>
  <si>
    <t>GAR-19-102U</t>
  </si>
  <si>
    <t>GAR-UT1</t>
  </si>
  <si>
    <t>GAR-8693</t>
  </si>
  <si>
    <t>1FTRS4X85LKA48588</t>
  </si>
  <si>
    <t>1657-0003682</t>
  </si>
  <si>
    <t>3/26/2026 2:44:00 PM</t>
  </si>
  <si>
    <t>1657-0003677</t>
  </si>
  <si>
    <t>3/26/2026 2:01:00 PM</t>
  </si>
  <si>
    <t>1657-0003666</t>
  </si>
  <si>
    <t>3/26/2026 12:55:00 PM</t>
  </si>
  <si>
    <t>1657-0003658</t>
  </si>
  <si>
    <t>3/26/2026 11:14:00 AM</t>
  </si>
  <si>
    <t>1657-0003667</t>
  </si>
  <si>
    <t>3/26/2026 12:16:33 PM</t>
  </si>
  <si>
    <t>1072749934</t>
  </si>
  <si>
    <t>1657-0003638</t>
  </si>
  <si>
    <t>3/26/2026 6:57:12 AM</t>
  </si>
  <si>
    <t>an_mF9UYGX02V_s2OTPMDCg</t>
  </si>
  <si>
    <t>1657-0003676</t>
  </si>
  <si>
    <t>3/26/2026 1:13:26 PM</t>
  </si>
  <si>
    <t>1072801417</t>
  </si>
  <si>
    <t>1657-0003636</t>
  </si>
  <si>
    <t>3/26/2026 6:38:57 AM</t>
  </si>
  <si>
    <t>1657-0003678</t>
  </si>
  <si>
    <t>3/26/2026 2:19:00 PM</t>
  </si>
  <si>
    <t>1657-0003646</t>
  </si>
  <si>
    <t>3/26/2026 8:05:16 AM</t>
  </si>
  <si>
    <t>1072567830</t>
  </si>
  <si>
    <t>1657-0003663</t>
  </si>
  <si>
    <t>3/26/2026 11:53:07 AM</t>
  </si>
  <si>
    <t>1072730126</t>
  </si>
  <si>
    <t>1657-0003655</t>
  </si>
  <si>
    <t>3/26/2026 10:58:53 AM</t>
  </si>
  <si>
    <t>1072688203</t>
  </si>
  <si>
    <t>1657-0003700</t>
  </si>
  <si>
    <t>3/26/2026 5:16:38 PM</t>
  </si>
  <si>
    <t>1073023060</t>
  </si>
  <si>
    <t>1657-0003699</t>
  </si>
  <si>
    <t>3/26/2026 5:00:11 PM</t>
  </si>
  <si>
    <t>1073010826</t>
  </si>
  <si>
    <t>Sealant - Leak Repair</t>
  </si>
  <si>
    <t>1657-0003705</t>
  </si>
  <si>
    <t>3/26/2026 11:45:14 PM</t>
  </si>
  <si>
    <t>1073200523</t>
  </si>
  <si>
    <t>1657-0003627</t>
  </si>
  <si>
    <t>3/26/2026 5:23:38 AM</t>
  </si>
  <si>
    <t>1072399763</t>
  </si>
  <si>
    <t>1657-0003706</t>
  </si>
  <si>
    <t>3/27/2026 3:57:01 AM</t>
  </si>
  <si>
    <t>1073412599</t>
  </si>
  <si>
    <t>1657-0003685</t>
  </si>
  <si>
    <t>3/26/2026 3:09:05 PM</t>
  </si>
  <si>
    <t>axANWSUvV70mE5w8tFwu6KQ</t>
  </si>
  <si>
    <t>1657-0003623</t>
  </si>
  <si>
    <t>3/26/2026 4:24:12 AM</t>
  </si>
  <si>
    <t>1072318400</t>
  </si>
  <si>
    <t>1657-0003697</t>
  </si>
  <si>
    <t>3/26/2026 4:01:00 PM</t>
  </si>
  <si>
    <t>akQCPFnbS6kWMfLVTEch6yA</t>
  </si>
  <si>
    <t>1657-0003696</t>
  </si>
  <si>
    <t>3/26/2026 4:59:00 PM</t>
  </si>
  <si>
    <t>1657-0003642</t>
  </si>
  <si>
    <t>3/26/2026 7:18:16 AM</t>
  </si>
  <si>
    <t>1072527606</t>
  </si>
  <si>
    <t>1657-0003637</t>
  </si>
  <si>
    <t>3/26/2026 6:37:42 AM</t>
  </si>
  <si>
    <t>a8EA96YB8U0Gahswvto8Gyg</t>
  </si>
  <si>
    <t>1FTRS4X80PKA69984</t>
  </si>
  <si>
    <t>1657-0003647</t>
  </si>
  <si>
    <t>3/26/2026 9:20:00 AM</t>
  </si>
  <si>
    <t>1657-0003673</t>
  </si>
  <si>
    <t>3/26/2026 1:13:00 PM</t>
  </si>
  <si>
    <t>1657-0003668</t>
  </si>
  <si>
    <t>3/26/2026 1:00:00 PM</t>
  </si>
  <si>
    <t>1657-0003624</t>
  </si>
  <si>
    <t>3/26/2026 4:58:05 AM</t>
  </si>
  <si>
    <t>1072364345</t>
  </si>
  <si>
    <t>1657-0003652</t>
  </si>
  <si>
    <t>3/26/2026 10:07:00 AM</t>
  </si>
  <si>
    <t>3/26/2026 5:07:07 PM</t>
  </si>
  <si>
    <t>3/27/2026 5:06:33 PM</t>
  </si>
  <si>
    <t>VRO 1657-0003652 has been Accepted
Note:</t>
  </si>
  <si>
    <t>1657-0003672</t>
  </si>
  <si>
    <t>3/26/2026 1:10:00 PM</t>
  </si>
  <si>
    <t>3/26/2026 8:11:13 PM</t>
  </si>
  <si>
    <t>3/26/2026 8:10:50 PM</t>
  </si>
  <si>
    <t>VRO 1657-0003672 has been Accepted
Note:</t>
  </si>
  <si>
    <t>1657-0003670</t>
  </si>
  <si>
    <t>3/26/2026 1:06:00 PM</t>
  </si>
  <si>
    <t>3/26/2026 8:07:49 PM</t>
  </si>
  <si>
    <t>3/26/2026 8:06:36 PM</t>
  </si>
  <si>
    <t>VRO 1657-0003670 has been Accepted
Note:</t>
  </si>
  <si>
    <t>1657-0003657</t>
  </si>
  <si>
    <t>3/26/2026 11:11:00 AM</t>
  </si>
  <si>
    <t>3/26/2026 6:12:21 PM</t>
  </si>
  <si>
    <t>3/26/2026 6:10:40 PM</t>
  </si>
  <si>
    <t>VRO 1657-0003657 has been Accepted
Note:</t>
  </si>
  <si>
    <t>1657-0003639</t>
  </si>
  <si>
    <t>3/26/2026 7:38:00 AM</t>
  </si>
  <si>
    <t>3/26/2026 2:39:14 PM</t>
  </si>
  <si>
    <t>3/26/2026 2:37:54 PM</t>
  </si>
  <si>
    <t>VRO 1657-0003639 has been Accepted
Note:</t>
  </si>
  <si>
    <t>1FDWE3FL0ADA97950</t>
  </si>
  <si>
    <t>1657-0003701</t>
  </si>
  <si>
    <t>3/26/2026 6:04:00 PM</t>
  </si>
  <si>
    <t>3/27/2026 1:06:03 AM</t>
  </si>
  <si>
    <t>3/27/2026 3:04:11 AM</t>
  </si>
  <si>
    <t>VRO 1657-0003701 has been Accepted
Note:</t>
  </si>
  <si>
    <t>1657-0003649</t>
  </si>
  <si>
    <t>3/26/2026 9:54:00 AM</t>
  </si>
  <si>
    <t>3/26/2026 4:54:46 PM</t>
  </si>
  <si>
    <t>3/27/2026 4:54:04 PM</t>
  </si>
  <si>
    <t>4/8/2026 12:00:00 AM</t>
  </si>
  <si>
    <t>VRO 1657-0003649 has been Accepted
Note:</t>
  </si>
  <si>
    <t>1FDWE35L37DB27727</t>
  </si>
  <si>
    <t>1657-0003665</t>
  </si>
  <si>
    <t>3/26/2026 12:52:00 PM</t>
  </si>
  <si>
    <t>3/26/2026 7:52:52 PM</t>
  </si>
  <si>
    <t>3/26/2026 9:52:16 PM</t>
  </si>
  <si>
    <t>VRO 1657-0003665 has been Accepted
Note:</t>
  </si>
  <si>
    <t>Estimate Declined: abs module far too expensive</t>
  </si>
  <si>
    <t>1657-0003656</t>
  </si>
  <si>
    <t>3/26/2026 11:08:00 AM</t>
  </si>
  <si>
    <t>3/26/2026 6:08:57 PM</t>
  </si>
  <si>
    <t>3/26/2026 6:08:06 PM</t>
  </si>
  <si>
    <t>1657-0003698</t>
  </si>
  <si>
    <t>3/26/2026 5:07:00 PM</t>
  </si>
  <si>
    <t>3/27/2026 12:07:25 AM</t>
  </si>
  <si>
    <t>3/27/2026 12:06:47 AM</t>
  </si>
  <si>
    <t>VRO 1657-0003698 has been Accepted
Note:</t>
  </si>
  <si>
    <t>1657-0003669</t>
  </si>
  <si>
    <t>3/26/2026 1:03:00 PM</t>
  </si>
  <si>
    <t>3/26/2026 8:04:06 PM</t>
  </si>
  <si>
    <t>3/26/2026 8:03:27 PM</t>
  </si>
  <si>
    <t>VRO 1657-0003669 has been Accepted
Note:</t>
  </si>
  <si>
    <t>1657-0003664</t>
  </si>
  <si>
    <t>3/26/2026 12:25:00 PM</t>
  </si>
  <si>
    <t>3/26/2026 7:35:26 PM</t>
  </si>
  <si>
    <t>3/26/2026 9:29:31 PM</t>
  </si>
  <si>
    <t>VRO 1657-0003664 has been Accepted
Note:</t>
  </si>
  <si>
    <t>01657A0000376885</t>
  </si>
  <si>
    <t>1657-0003695</t>
  </si>
  <si>
    <t>3/26/2026 4:57:00 PM</t>
  </si>
  <si>
    <t>3/26/2026 11:57:55 PM</t>
  </si>
  <si>
    <t>3/26/2026 11:57:12 PM</t>
  </si>
  <si>
    <t>1657-0003693</t>
  </si>
  <si>
    <t>3/26/2026 4:50:00 PM</t>
  </si>
  <si>
    <t>3/26/2026 11:50:31 PM</t>
  </si>
  <si>
    <t>3/26/2026 11:50:11 PM</t>
  </si>
  <si>
    <t>4/23/2027 12:00:00 AM</t>
  </si>
  <si>
    <t>01657A0000374100</t>
  </si>
  <si>
    <t>Axle Components - Non-Driven, Front</t>
  </si>
  <si>
    <t>1657-0003621</t>
  </si>
  <si>
    <t>3/26/2026 5:00:00 AM</t>
  </si>
  <si>
    <t>3/26/2026 12:05:48 PM</t>
  </si>
  <si>
    <t>3/26/2026 11:59:48 AM</t>
  </si>
  <si>
    <t>estimate approved vendor notified.</t>
  </si>
  <si>
    <t>1657-0003679</t>
  </si>
  <si>
    <t>3/26/2026 9:19:30 PM</t>
  </si>
  <si>
    <t>3/26/2026 9:18:38 PM</t>
  </si>
  <si>
    <t>VRO 1657-0003679 has been Accepted
Note:</t>
  </si>
  <si>
    <t>01657A0000397610</t>
  </si>
  <si>
    <t>1657-0003645</t>
  </si>
  <si>
    <t>3/26/2026 8:53:00 AM</t>
  </si>
  <si>
    <t>3/26/2026 3:53:34 PM</t>
  </si>
  <si>
    <t>3/26/2026 3:53:14 PM</t>
  </si>
  <si>
    <t>VRO 1657-0003645 has been Accepted
Note:</t>
  </si>
  <si>
    <t>01657A0000398245</t>
  </si>
  <si>
    <t>1657-0003643</t>
  </si>
  <si>
    <t>3/26/2026 8:08:00 AM</t>
  </si>
  <si>
    <t>3/26/2026 3:08:15 PM</t>
  </si>
  <si>
    <t>3/26/2026 3:07:57 PM</t>
  </si>
  <si>
    <t>VRO 1657-0003643 has been Accepted
Note:</t>
  </si>
  <si>
    <t>01657A0000397583</t>
  </si>
  <si>
    <t>1657-0003644</t>
  </si>
  <si>
    <t>3/26/2026 8:14:00 AM</t>
  </si>
  <si>
    <t>3/26/2026 3:27:31 PM</t>
  </si>
  <si>
    <t>3/26/2026 3:13:56 PM</t>
  </si>
  <si>
    <t>VRO 1657-0003644 has been Accepted
Note:</t>
  </si>
  <si>
    <t>01657A0000398072</t>
  </si>
  <si>
    <t>1657-0003674</t>
  </si>
  <si>
    <t>3/26/2026 1:20:00 PM</t>
  </si>
  <si>
    <t>3/26/2026 8:28:30 PM</t>
  </si>
  <si>
    <t>3/26/2026 8:19:38 PM</t>
  </si>
  <si>
    <t>01657A0000397461</t>
  </si>
  <si>
    <t>1657-0003641</t>
  </si>
  <si>
    <t>3/26/2026 7:43:00 AM</t>
  </si>
  <si>
    <t>3/26/2026 2:43:10 PM</t>
  </si>
  <si>
    <t>3/26/2026 2:42:45 PM</t>
  </si>
  <si>
    <t>VRO 1657-0003641 has been Accepted
Note:</t>
  </si>
  <si>
    <t>01657A0000380169</t>
  </si>
  <si>
    <t>VRO 1657-0001989 has been Accepted
Note:</t>
  </si>
  <si>
    <t>01657A0000397920</t>
  </si>
  <si>
    <t>1657-0003661</t>
  </si>
  <si>
    <t>3/26/2026 11:44:00 AM</t>
  </si>
  <si>
    <t>3/26/2026 6:44:13 PM</t>
  </si>
  <si>
    <t>3/26/2026 6:43:48 PM</t>
  </si>
  <si>
    <t>VRO 1657-0003661 has been Accepted
Note:</t>
  </si>
  <si>
    <t>01657A0000398047</t>
  </si>
  <si>
    <t>3FRWF65N24V659228</t>
  </si>
  <si>
    <t>1657-0003671</t>
  </si>
  <si>
    <t>3/26/2026 1:07:00 PM</t>
  </si>
  <si>
    <t>3/26/2026 8:08:07 PM</t>
  </si>
  <si>
    <t>3/26/2026 8:07:31 PM</t>
  </si>
  <si>
    <t>VRO 1657-0003671 has been Accepted
Note:</t>
  </si>
  <si>
    <t>VRO 1657-0001619 has been Accepted
Note:</t>
  </si>
  <si>
    <t>01657A0000398078</t>
  </si>
  <si>
    <t>1HTJSSKKXDH152774</t>
  </si>
  <si>
    <t>1657-0003675</t>
  </si>
  <si>
    <t>3/26/2026 1:27:00 PM</t>
  </si>
  <si>
    <t>3/26/2026 8:29:17 PM</t>
  </si>
  <si>
    <t>3/26/2026 8:27:31 PM</t>
  </si>
  <si>
    <t>VRO 1657-0003675 has been Accepted
Note:</t>
  </si>
  <si>
    <t>VRO 1657-0001627 has been Accepted
Note:</t>
  </si>
  <si>
    <t>DJ 3/27</t>
  </si>
  <si>
    <t>01657A0000384357</t>
  </si>
  <si>
    <t>01657A0000397837</t>
  </si>
  <si>
    <t>Lamps -  Tail, Stop, Turn &amp; License, Rear</t>
  </si>
  <si>
    <t>1657-0003654</t>
  </si>
  <si>
    <t>3/26/2026 10:50:00 AM</t>
  </si>
  <si>
    <t>3/26/2026 5:50:50 PM</t>
  </si>
  <si>
    <t>3/26/2026 5:50:20 PM</t>
  </si>
  <si>
    <t>ROY &amp; DOT S TOWING</t>
  </si>
  <si>
    <t>01657A0000398250</t>
  </si>
  <si>
    <t>1657-0003703</t>
  </si>
  <si>
    <t>3/26/2026 8:36:00 PM</t>
  </si>
  <si>
    <t>3/27/2026 3:37:23 AM</t>
  </si>
  <si>
    <t>3/27/2026 3:36:00 AM</t>
  </si>
  <si>
    <t>Powerplant Diagnostics Brakes Diagnostics</t>
  </si>
  <si>
    <t>01657A0000397310</t>
  </si>
  <si>
    <t>1657-0003630</t>
  </si>
  <si>
    <t>3/26/2026 6:15:00 AM</t>
  </si>
  <si>
    <t>3/26/2026 1:15:57 PM</t>
  </si>
  <si>
    <t>3/26/2026 1:15:23 PM</t>
  </si>
  <si>
    <t>01657A0000397328</t>
  </si>
  <si>
    <t>1657-0003634</t>
  </si>
  <si>
    <t>3/26/2026 6:30:00 AM</t>
  </si>
  <si>
    <t>3/26/2026 1:30:47 PM</t>
  </si>
  <si>
    <t>3/26/2026 1:30:17 PM</t>
  </si>
  <si>
    <t>01657A0000398220</t>
  </si>
  <si>
    <t>1657-0003687</t>
  </si>
  <si>
    <t>3/26/2026 4:09:00 PM</t>
  </si>
  <si>
    <t>3/26/2026 11:09:21 PM</t>
  </si>
  <si>
    <t>3/26/2026 11:09:08 PM</t>
  </si>
  <si>
    <t>01657A0000398230</t>
  </si>
  <si>
    <t>1657-0003690</t>
  </si>
  <si>
    <t>3/26/2026 4:19:00 PM</t>
  </si>
  <si>
    <t>3/26/2026 11:19:41 PM</t>
  </si>
  <si>
    <t>3/26/2026 11:19:24 PM</t>
  </si>
  <si>
    <t>01657A0000398228</t>
  </si>
  <si>
    <t>1657-0003689</t>
  </si>
  <si>
    <t>3/26/2026 4:17:00 PM</t>
  </si>
  <si>
    <t>3/26/2026 11:16:58 PM</t>
  </si>
  <si>
    <t>3/26/2026 11:16:45 PM</t>
  </si>
  <si>
    <t>HVAC Diagnostics General Accessories Diagnostics</t>
  </si>
  <si>
    <t>01657A0000398239</t>
  </si>
  <si>
    <t>1657-0003694</t>
  </si>
  <si>
    <t>3/26/2026 4:54:00 PM</t>
  </si>
  <si>
    <t>3/26/2026 11:54:43 PM</t>
  </si>
  <si>
    <t>3/26/2026 11:54:06 PM</t>
  </si>
  <si>
    <t>01657A0000398302</t>
  </si>
  <si>
    <t>01657A0000398147</t>
  </si>
  <si>
    <t>1657-0003681</t>
  </si>
  <si>
    <t>3/26/2026 2:35:00 PM</t>
  </si>
  <si>
    <t>3/26/2026 9:36:44 PM</t>
  </si>
  <si>
    <t>3/26/2026 9:35:34 PM</t>
  </si>
  <si>
    <t>01657A0000398246</t>
  </si>
  <si>
    <t>01657A0000398217</t>
  </si>
  <si>
    <t>1657-0003684</t>
  </si>
  <si>
    <t>3/26/2026 3:59:00 PM</t>
  </si>
  <si>
    <t>3/26/2026 10:58:48 PM</t>
  </si>
  <si>
    <t>3/26/2026 10:58:35 PM</t>
  </si>
  <si>
    <t>01657A0000397931</t>
  </si>
  <si>
    <t>1657-0003625</t>
  </si>
  <si>
    <t>3/26/2026 5:52:00 AM</t>
  </si>
  <si>
    <t>3/26/2026 12:53:53 PM</t>
  </si>
  <si>
    <t>3/26/2026 12:52:20 PM</t>
  </si>
  <si>
    <t>01657A0000398036</t>
  </si>
  <si>
    <t>1657-0003660</t>
  </si>
  <si>
    <t>3/26/2026 11:23:00 AM</t>
  </si>
  <si>
    <t>3/26/2026 7:05:36 PM</t>
  </si>
  <si>
    <t>3/27/2026 6:23:10 PM</t>
  </si>
  <si>
    <t>01657A0000398235</t>
  </si>
  <si>
    <t>1657-0003692</t>
  </si>
  <si>
    <t>3/26/2026 4:38:00 PM</t>
  </si>
  <si>
    <t>3/26/2026 11:39:31 PM</t>
  </si>
  <si>
    <t>3/26/2026 11:38:19 PM</t>
  </si>
  <si>
    <t>01657A0000398138</t>
  </si>
  <si>
    <t>2NPNHM6X0FM285829</t>
  </si>
  <si>
    <t>1657-0003680</t>
  </si>
  <si>
    <t>3/26/2026 2:26:00 PM</t>
  </si>
  <si>
    <t>3/26/2026 9:26:49 PM</t>
  </si>
  <si>
    <t>3/26/2026 9:26:29 PM</t>
  </si>
  <si>
    <t>01657A0000398219</t>
  </si>
  <si>
    <t>1657-0003686</t>
  </si>
  <si>
    <t>3/26/2026 4:04:00 PM</t>
  </si>
  <si>
    <t>3/26/2026 11:04:44 PM</t>
  </si>
  <si>
    <t>3/26/2026 11:04:25 PM</t>
  </si>
  <si>
    <t>01657A0000397887</t>
  </si>
  <si>
    <t>1657-0003648</t>
  </si>
  <si>
    <t>3/26/2026 9:35:00 AM</t>
  </si>
  <si>
    <t>3/26/2026 4:36:04 PM</t>
  </si>
  <si>
    <t>3/26/2026 4:34:47 PM</t>
  </si>
  <si>
    <t>01657A0000398272</t>
  </si>
  <si>
    <t>01657A0000397194</t>
  </si>
  <si>
    <t>3ALHHPDV8SSVT0012</t>
  </si>
  <si>
    <t>1657-0003619</t>
  </si>
  <si>
    <t>3/26/2026 4:40:00 AM</t>
  </si>
  <si>
    <t>3/26/2026 11:40:58 AM</t>
  </si>
  <si>
    <t>3/26/2026 11:40:09 AM</t>
  </si>
  <si>
    <t>01657A0000398226</t>
  </si>
  <si>
    <t>1XPBDP9XXRD649525</t>
  </si>
  <si>
    <t>1657-0003688</t>
  </si>
  <si>
    <t>3/26/2026 4:13:00 PM</t>
  </si>
  <si>
    <t>3/26/2026 11:13:38 PM</t>
  </si>
  <si>
    <t>3/26/2026 11:13:16 PM</t>
  </si>
  <si>
    <t>01657A0000397940</t>
  </si>
  <si>
    <t>1657-0003662</t>
  </si>
  <si>
    <t>3/26/2026 11:53:00 AM</t>
  </si>
  <si>
    <t>3/26/2026 6:55:01 PM</t>
  </si>
  <si>
    <t>3/26/2026 6:53:31 PM</t>
  </si>
  <si>
    <t>01657A0000398233</t>
  </si>
  <si>
    <t>1657-0003691</t>
  </si>
  <si>
    <t>3/26/2026 4:29:00 PM</t>
  </si>
  <si>
    <t>3/26/2026 11:30:15 PM</t>
  </si>
  <si>
    <t>3/26/2026 11:28:48 PM</t>
  </si>
  <si>
    <t>1657-0004304</t>
  </si>
  <si>
    <t>VRO 1657-0003695 has been Accepted
Note:</t>
  </si>
  <si>
    <t>hp 03/27</t>
  </si>
  <si>
    <t>VRO 1657-0003322 has been Accepted
Note:</t>
  </si>
  <si>
    <t>HP 03/27</t>
  </si>
  <si>
    <t>VRO 1657-0003693 has been Accepted
Note:</t>
  </si>
  <si>
    <t>GARDA TRANSIT PM Level B Door Assembly - Cab Or Front</t>
  </si>
  <si>
    <t>1657-0003725</t>
  </si>
  <si>
    <t>3/23/2026 4:23:00 PM</t>
  </si>
  <si>
    <t>3/27/2026 2:09:20 PM</t>
  </si>
  <si>
    <t>3/27/2026 2:06:21 PM</t>
  </si>
  <si>
    <t>VRO 1657-0003725 has been Accepted
Note:</t>
  </si>
  <si>
    <t>VRO 1657-0003333 has been Accepted
Note:</t>
  </si>
  <si>
    <t>01657A0000398538</t>
  </si>
  <si>
    <t>AFSSCMUser</t>
  </si>
  <si>
    <t>01657A0000398622</t>
  </si>
  <si>
    <t>TOWING SERVICE Powerplant Diagnostics</t>
  </si>
  <si>
    <t>01657A0000398642</t>
  </si>
  <si>
    <t>01657A0000398630</t>
  </si>
  <si>
    <t>Powerplant Diagnostics HVAC Diagnostics</t>
  </si>
  <si>
    <t>VRO 1657-0002072 has been Submitted for Review</t>
  </si>
  <si>
    <t>MAKE</t>
  </si>
  <si>
    <t>MODEL</t>
  </si>
  <si>
    <t>DESCRIP</t>
  </si>
  <si>
    <t>OPEN ROs</t>
  </si>
  <si>
    <t>MIN RO DATE</t>
  </si>
  <si>
    <t>MAX ETC</t>
  </si>
  <si>
    <t>FRDLT</t>
  </si>
  <si>
    <t>E350</t>
  </si>
  <si>
    <t>2008 FRDLT E350</t>
  </si>
  <si>
    <t>No LTS Issue</t>
  </si>
  <si>
    <t>2026-03-09</t>
  </si>
  <si>
    <t>2007 FRDLT E350</t>
  </si>
  <si>
    <t>2026-03-23</t>
  </si>
  <si>
    <t>2011 FRDLT E350</t>
  </si>
  <si>
    <t>2026-03-26</t>
  </si>
  <si>
    <t>2026-03-18</t>
  </si>
  <si>
    <t>2026-02-18</t>
  </si>
  <si>
    <t>2010 FRDLT E350</t>
  </si>
  <si>
    <t>2026-03-17</t>
  </si>
  <si>
    <t>PTRBL</t>
  </si>
  <si>
    <t>PB330</t>
  </si>
  <si>
    <t>2018 PTRBL PB330</t>
  </si>
  <si>
    <t>F650</t>
  </si>
  <si>
    <t>2005 FRDLT F650</t>
  </si>
  <si>
    <t>2013 FRDLT F650</t>
  </si>
  <si>
    <t>2026-02-27</t>
  </si>
  <si>
    <t>2026-03-30</t>
  </si>
  <si>
    <t>TRANSIT</t>
  </si>
  <si>
    <t>2020 FRDLT TRANSIT</t>
  </si>
  <si>
    <t>2026-03-03</t>
  </si>
  <si>
    <t>2026-04-01</t>
  </si>
  <si>
    <t>2018 FRDLT TRANSIT</t>
  </si>
  <si>
    <t>LTS Issue</t>
  </si>
  <si>
    <t>2026-03-24</t>
  </si>
  <si>
    <t>2012 FRDLT E350</t>
  </si>
  <si>
    <t>2026-03-19</t>
  </si>
  <si>
    <t>2019 FRDLT TRANSIT</t>
  </si>
  <si>
    <t>2026-03-22</t>
  </si>
  <si>
    <t>2015 PTRBL PB330</t>
  </si>
  <si>
    <t>2026-03-27</t>
  </si>
  <si>
    <t>FRECS</t>
  </si>
  <si>
    <t>MT55</t>
  </si>
  <si>
    <t>2025 FRECS MT55</t>
  </si>
  <si>
    <t>2026-02-26</t>
  </si>
  <si>
    <t>2026-04-17</t>
  </si>
  <si>
    <t>2026-02-25</t>
  </si>
  <si>
    <t>MT50E</t>
  </si>
  <si>
    <t>2023 FRECS MT50E</t>
  </si>
  <si>
    <t>2022 FRECS MT50E</t>
  </si>
  <si>
    <t>2026-03-25</t>
  </si>
  <si>
    <t>2026-02-17</t>
  </si>
  <si>
    <t>2026-03-31</t>
  </si>
  <si>
    <t>2026 FRDLT TRANSIT</t>
  </si>
  <si>
    <t>2026-03-20</t>
  </si>
  <si>
    <t>2026-04-10</t>
  </si>
  <si>
    <t>E450</t>
  </si>
  <si>
    <t>2026 FRDLT E450</t>
  </si>
  <si>
    <t>2022 FRDLT TRANSIT</t>
  </si>
  <si>
    <t>2026-03-16</t>
  </si>
  <si>
    <t>2026-04-03</t>
  </si>
  <si>
    <t>INTHR</t>
  </si>
  <si>
    <t>4300</t>
  </si>
  <si>
    <t>2005 INTHR 4300</t>
  </si>
  <si>
    <t>2016 PTRBL PB330</t>
  </si>
  <si>
    <t>2023 FRDLT TRANSIT</t>
  </si>
  <si>
    <t>2026-02-11</t>
  </si>
  <si>
    <t>2026-03-10</t>
  </si>
  <si>
    <t>2017 PTRBL PB330</t>
  </si>
  <si>
    <t>2021 FRDLT TRANSIT</t>
  </si>
  <si>
    <t>2026-02-20</t>
  </si>
  <si>
    <t>2026-03-11</t>
  </si>
  <si>
    <t>FRGHT</t>
  </si>
  <si>
    <t>FL60</t>
  </si>
  <si>
    <t>2003 FRGHT FL60</t>
  </si>
  <si>
    <t>2026-03-01</t>
  </si>
  <si>
    <t>2026-03-06</t>
  </si>
  <si>
    <t>2026-03-04</t>
  </si>
  <si>
    <t>2004 FRDLT F650</t>
  </si>
  <si>
    <t>2026-02-19</t>
  </si>
  <si>
    <t>2001 FRDLT F650</t>
  </si>
  <si>
    <t>2026-03-02</t>
  </si>
  <si>
    <t>2026-03-14</t>
  </si>
  <si>
    <t>2026-03-12</t>
  </si>
  <si>
    <t>2026-03-28</t>
  </si>
  <si>
    <t>TRANSIT 350</t>
  </si>
  <si>
    <t>2021 FRDLT TRANSIT 350</t>
  </si>
  <si>
    <t>2026-03-08</t>
  </si>
  <si>
    <t>2026-04-07</t>
  </si>
  <si>
    <t>2026-03-15</t>
  </si>
  <si>
    <t>2026-03-05</t>
  </si>
  <si>
    <t>2026-03-13</t>
  </si>
  <si>
    <t>2026-04-02</t>
  </si>
  <si>
    <t>2016 FRDLT TRANSIT</t>
  </si>
  <si>
    <t>2023 FRDLT TRANSIT 350</t>
  </si>
  <si>
    <t>2026-02-23</t>
  </si>
  <si>
    <t>2026-05-30</t>
  </si>
  <si>
    <t>F550</t>
  </si>
  <si>
    <t>2012 FRDLT F550</t>
  </si>
  <si>
    <t>2026-02-24</t>
  </si>
  <si>
    <t>2025 FRDLT TRANSIT 350</t>
  </si>
  <si>
    <t>2024 FRDLT TRANSIT 350</t>
  </si>
  <si>
    <t>2006 FRDLT E350</t>
  </si>
  <si>
    <t>2026-04-04</t>
  </si>
  <si>
    <t>TERRASTAR</t>
  </si>
  <si>
    <t>2012 INTHR TERRASTAR</t>
  </si>
  <si>
    <t>2026-04-30</t>
  </si>
  <si>
    <t>2027-04-23</t>
  </si>
  <si>
    <t>2026-03-07</t>
  </si>
  <si>
    <t>GMCXX</t>
  </si>
  <si>
    <t>TOPKICK</t>
  </si>
  <si>
    <t>1994 GMCXX TOPKICK</t>
  </si>
  <si>
    <t>2013 INTHR TERRASTAR</t>
  </si>
  <si>
    <t>2026-03-21</t>
  </si>
  <si>
    <t>2026-04-15</t>
  </si>
  <si>
    <t>2024 FRDLT TRANSIT</t>
  </si>
  <si>
    <t>2011 INTHR 4300</t>
  </si>
  <si>
    <t>2026-04-06</t>
  </si>
  <si>
    <t>2000 FRDLT F650</t>
  </si>
  <si>
    <t>2026-04-14</t>
  </si>
  <si>
    <t>4700</t>
  </si>
  <si>
    <t>2001 INTHR 4700</t>
  </si>
  <si>
    <t>2003 FRDLT E350</t>
  </si>
  <si>
    <t>F750</t>
  </si>
  <si>
    <t>2003 FRDLT F750</t>
  </si>
  <si>
    <t>2026-02-28</t>
  </si>
  <si>
    <t>2002 FRDLT E350</t>
  </si>
  <si>
    <t>2026-02-16</t>
  </si>
  <si>
    <t>2026-04-25</t>
  </si>
  <si>
    <t>M2</t>
  </si>
  <si>
    <t>2004 FRGHT M2</t>
  </si>
  <si>
    <t>2002 FRGHT FL60</t>
  </si>
  <si>
    <t>SPRINTER</t>
  </si>
  <si>
    <t>2005 FRGHT Sprinter</t>
  </si>
  <si>
    <t>2026-05-08</t>
  </si>
  <si>
    <t>FL50</t>
  </si>
  <si>
    <t>2003 FRGHT FL50</t>
  </si>
  <si>
    <t>2006 FRGHT Sprinter</t>
  </si>
  <si>
    <t>2026-04-24</t>
  </si>
  <si>
    <t>E250</t>
  </si>
  <si>
    <t>2008 FRDLT E250</t>
  </si>
  <si>
    <t>2007 FRDLT E250</t>
  </si>
  <si>
    <t>2026-04-11</t>
  </si>
  <si>
    <t>2013 FRDLT E350</t>
  </si>
  <si>
    <t>MT45</t>
  </si>
  <si>
    <t>2007 FRGHT MT45</t>
  </si>
  <si>
    <t>2026-05-09</t>
  </si>
  <si>
    <t>C5</t>
  </si>
  <si>
    <t>2009 GMCXX C5</t>
  </si>
  <si>
    <t>C7</t>
  </si>
  <si>
    <t>2000 GMCXX C7</t>
  </si>
  <si>
    <t>1999 GMCXX TOPKICK</t>
  </si>
  <si>
    <t>2005 INTHR Sprinter</t>
  </si>
  <si>
    <t>2026-03-29</t>
  </si>
  <si>
    <t>2026-02-21</t>
  </si>
  <si>
    <t>F800</t>
  </si>
  <si>
    <t>1999 FRDLT F800</t>
  </si>
  <si>
    <t>2026-04-08</t>
  </si>
  <si>
    <t>1999 INTHR 4700</t>
  </si>
  <si>
    <t>2004 FRDLT E450</t>
  </si>
  <si>
    <t>2013 FRDLT F550</t>
  </si>
  <si>
    <t>2019 FRDLT TRANSIT 350</t>
  </si>
  <si>
    <t>2017 FRDLT TRANSIT</t>
  </si>
  <si>
    <t>2006 FRGHT MT45</t>
  </si>
  <si>
    <t>3500</t>
  </si>
  <si>
    <t>2006 FRGHT 3500</t>
  </si>
  <si>
    <t>TOYOT</t>
  </si>
  <si>
    <t>SIENNA</t>
  </si>
  <si>
    <t>2015 TOYOT SIENNA</t>
  </si>
  <si>
    <t>2005 FRDLT E350</t>
  </si>
  <si>
    <t>348</t>
  </si>
  <si>
    <t>2016 PTRBL 348</t>
  </si>
  <si>
    <t>2022 PTRBL 348</t>
  </si>
  <si>
    <t>2005 FRDLT F750</t>
  </si>
  <si>
    <t>4900</t>
  </si>
  <si>
    <t>1996 INTHR 4900</t>
  </si>
  <si>
    <t>VLVNA</t>
  </si>
  <si>
    <t>WG</t>
  </si>
  <si>
    <t>2000 VLVNA WG</t>
  </si>
  <si>
    <t>2005 VLVNA TRACTOR</t>
  </si>
  <si>
    <t>STRLG</t>
  </si>
  <si>
    <t>LT8500</t>
  </si>
  <si>
    <t>2007 STRLG LT8500</t>
  </si>
  <si>
    <t>579</t>
  </si>
  <si>
    <t>2024 PTRBL 579</t>
  </si>
  <si>
    <t>VHD64B</t>
  </si>
  <si>
    <t>2005 VLVNA VHD64B</t>
  </si>
  <si>
    <t>548</t>
  </si>
  <si>
    <t>2024 PTRBL 548</t>
  </si>
  <si>
    <t>2023 PTRBL 548</t>
  </si>
  <si>
    <t>2025 PTRBL 579</t>
  </si>
  <si>
    <t>1999 VLVNA WG</t>
  </si>
  <si>
    <t>M6500</t>
  </si>
  <si>
    <t>2002 STRLG M6500</t>
  </si>
  <si>
    <t>2004 FRDLT F750</t>
  </si>
  <si>
    <t>ACTERRA</t>
  </si>
  <si>
    <t>2009 STRLG ACTERRA</t>
  </si>
  <si>
    <t>4400</t>
  </si>
  <si>
    <t>2004 INTHR 4400</t>
  </si>
  <si>
    <t>2006 FRDLT F650</t>
  </si>
  <si>
    <t>Sprinter</t>
  </si>
  <si>
    <t>LT7500</t>
  </si>
  <si>
    <t>1998 GMCXX LT7500</t>
  </si>
  <si>
    <t>FM</t>
  </si>
  <si>
    <t>2008 FRGHT FM</t>
  </si>
  <si>
    <t>2006 VLVNA VHD64B</t>
  </si>
  <si>
    <t>WABSH</t>
  </si>
  <si>
    <t>2005 WABSH TRAILER</t>
  </si>
  <si>
    <t>8600</t>
  </si>
  <si>
    <t>2005 INTHR 8600</t>
  </si>
  <si>
    <t>2001 VLVNA WG</t>
  </si>
  <si>
    <t>1999 VLVNA TRACTOR</t>
  </si>
  <si>
    <t>2025 FRGHT TRACTOR</t>
  </si>
  <si>
    <t>TRUCK</t>
  </si>
  <si>
    <t>2025 FRGHT TRUCK</t>
  </si>
  <si>
    <t>2026-05-01</t>
  </si>
  <si>
    <t>2005 INTHR TRACTOR</t>
  </si>
  <si>
    <t>XXXXX</t>
  </si>
  <si>
    <t>1977 XXXXX TRAILER</t>
  </si>
  <si>
    <t>2001 FRDLT F750</t>
  </si>
  <si>
    <t>1998 INTHR 4900</t>
  </si>
  <si>
    <t>2007 INTHR 4700</t>
  </si>
  <si>
    <t>2020 PTRBL 348</t>
  </si>
  <si>
    <t>RANGER</t>
  </si>
  <si>
    <t>2005 FRDLT RANGER</t>
  </si>
  <si>
    <t>ESCAPE</t>
  </si>
  <si>
    <t>2011 FRDLT ESCAPE</t>
  </si>
  <si>
    <t>2007 FRDLT RANGER</t>
  </si>
  <si>
    <t>SAVANA</t>
  </si>
  <si>
    <t>2002 GMCXX SAVANA</t>
  </si>
  <si>
    <t>TERRAINAWD</t>
  </si>
  <si>
    <t>2011 GMCXX TERRAINAWD</t>
  </si>
  <si>
    <t>FUSION</t>
  </si>
  <si>
    <t>2011 FRDLT FUSION</t>
  </si>
  <si>
    <t>F150</t>
  </si>
  <si>
    <t>2004 FRDLT F150</t>
  </si>
  <si>
    <t>DODGE</t>
  </si>
  <si>
    <t>RAM</t>
  </si>
  <si>
    <t>2014 DODGE RAM</t>
  </si>
  <si>
    <t>2012 FRDLT ESCAPE</t>
  </si>
  <si>
    <t>2002 FRDLT RANGER</t>
  </si>
  <si>
    <t>CHVRL</t>
  </si>
  <si>
    <t>ASTRO</t>
  </si>
  <si>
    <t>2004 CHVRL ASTRO</t>
  </si>
  <si>
    <t>FREESTAR</t>
  </si>
  <si>
    <t>2004 FRDLT FREESTAR</t>
  </si>
  <si>
    <t>2007 FRDLT F650</t>
  </si>
  <si>
    <t>WINDSTAR</t>
  </si>
  <si>
    <t>2003 FRDLT WINDSTAR</t>
  </si>
  <si>
    <t>2004 FRDLT RANGER</t>
  </si>
  <si>
    <t>2009 FRDLT E350</t>
  </si>
  <si>
    <t>2006 INTHR Sprinter</t>
  </si>
  <si>
    <t>HIGHLANDER</t>
  </si>
  <si>
    <t>2004 TOYOT HIGHLANDER</t>
  </si>
  <si>
    <t>2005 FRDLT FREESTAR</t>
  </si>
  <si>
    <t>SILVERADO</t>
  </si>
  <si>
    <t>2003 CHVRL SILVERADO</t>
  </si>
  <si>
    <t>FOCUS</t>
  </si>
  <si>
    <t>2006 FRDLT FOCUS</t>
  </si>
  <si>
    <t>GRTDN</t>
  </si>
  <si>
    <t>2017 XXXXX TRAILER</t>
  </si>
  <si>
    <t>1987 XXXXX TRAILER</t>
  </si>
  <si>
    <t>1984 XXXXX TRAILER</t>
  </si>
  <si>
    <t>1995 GRTDN TRAILER</t>
  </si>
  <si>
    <t>2012 FRDLT FUSION</t>
  </si>
  <si>
    <t>2003 FRDLT RANGER</t>
  </si>
  <si>
    <t>2004 FRDLT E350</t>
  </si>
  <si>
    <t>PROMASTER</t>
  </si>
  <si>
    <t>2013 DODGE PROMASTER</t>
  </si>
  <si>
    <t>2016 DODGE PROMASTER</t>
  </si>
  <si>
    <t>NSSMT</t>
  </si>
  <si>
    <t>NV</t>
  </si>
  <si>
    <t>2018 NSSMT NV</t>
  </si>
  <si>
    <t>TACOMA</t>
  </si>
  <si>
    <t>2006 TOYOT TACOMA</t>
  </si>
  <si>
    <t>UPLANDER</t>
  </si>
  <si>
    <t>2007 CHVRL UPLANDER</t>
  </si>
  <si>
    <t>2000 FRDLT RANGER</t>
  </si>
  <si>
    <t>2000 GRTDN TRAILER</t>
  </si>
  <si>
    <t>1978 XXXXX TRAILER</t>
  </si>
  <si>
    <t>E150</t>
  </si>
  <si>
    <t>2005 FRDLT E150</t>
  </si>
  <si>
    <t>2007 FRDLT F150</t>
  </si>
  <si>
    <t>2008 FRDLT F150</t>
  </si>
  <si>
    <t>Shop</t>
  </si>
  <si>
    <t>1657-0003741</t>
  </si>
  <si>
    <t>3/27/2026 9:52:00 AM</t>
  </si>
  <si>
    <t>1657-0003792</t>
  </si>
  <si>
    <t>3/27/2026 5:52:42 PM</t>
  </si>
  <si>
    <t>aH3m0Yrnqq06wAWN1vuB7hQ</t>
  </si>
  <si>
    <t>1657-0003719</t>
  </si>
  <si>
    <t>3/27/2026 5:20:17 AM</t>
  </si>
  <si>
    <t>1073523258</t>
  </si>
  <si>
    <t>1657-0003737</t>
  </si>
  <si>
    <t>3/27/2026 9:11:00 AM</t>
  </si>
  <si>
    <t>1657-0003720</t>
  </si>
  <si>
    <t>3/27/2026 5:31:40 AM</t>
  </si>
  <si>
    <t>1073537515</t>
  </si>
  <si>
    <t>1657-0003767</t>
  </si>
  <si>
    <t>3/27/2026 1:21:00 PM</t>
  </si>
  <si>
    <t>1657-0003744</t>
  </si>
  <si>
    <t>3/27/2026 10:09:00 AM</t>
  </si>
  <si>
    <t>1657-0003745</t>
  </si>
  <si>
    <t>3/27/2026 10:11:00 AM</t>
  </si>
  <si>
    <t>1657-0003734</t>
  </si>
  <si>
    <t>3/27/2026 8:56:00 AM</t>
  </si>
  <si>
    <t>1657-0003758</t>
  </si>
  <si>
    <t>3/27/2026 11:26:00 AM</t>
  </si>
  <si>
    <t>1657-0003757</t>
  </si>
  <si>
    <t>3/27/2026 11:25:00 AM</t>
  </si>
  <si>
    <t>1657-0003764</t>
  </si>
  <si>
    <t>3/27/2026 12:12:00 PM</t>
  </si>
  <si>
    <t>CAMERAS</t>
  </si>
  <si>
    <t>1657-0003778</t>
  </si>
  <si>
    <t>3/27/2026 2:26:41 PM</t>
  </si>
  <si>
    <t>1073980029</t>
  </si>
  <si>
    <t>1657-0003712</t>
  </si>
  <si>
    <t>3/27/2026 4:31:42 AM</t>
  </si>
  <si>
    <t>aBkvKf5X9G0yk1uiJ-6lyRg</t>
  </si>
  <si>
    <t>1657-0003718</t>
  </si>
  <si>
    <t>3/27/2026 5:08:51 AM</t>
  </si>
  <si>
    <t>1073508353</t>
  </si>
  <si>
    <t>1657-0003759</t>
  </si>
  <si>
    <t>3/27/2026 11:28:00 AM</t>
  </si>
  <si>
    <t>1FTRS4X88PKA65052</t>
  </si>
  <si>
    <t>1657-0003722</t>
  </si>
  <si>
    <t>3/27/2026 5:33:25 AM</t>
  </si>
  <si>
    <t>a-KGKH4asq0uiH2RcTsdZKA</t>
  </si>
  <si>
    <t>1657-0003729</t>
  </si>
  <si>
    <t>3/27/2026 7:27:47 AM</t>
  </si>
  <si>
    <t>1073658985</t>
  </si>
  <si>
    <t>1657-0003790</t>
  </si>
  <si>
    <t>3/27/2026 5:12:00 PM</t>
  </si>
  <si>
    <t>1657-0003794</t>
  </si>
  <si>
    <t>3/27/2026 6:40:00 PM</t>
  </si>
  <si>
    <t>1657-0003714</t>
  </si>
  <si>
    <t>3/27/2026 4:42:30 AM</t>
  </si>
  <si>
    <t>aCMn86l9bl0yJfgsjTLhnQA</t>
  </si>
  <si>
    <t>1657-0003750</t>
  </si>
  <si>
    <t>3/27/2026 10:17:11 AM</t>
  </si>
  <si>
    <t>1073777958</t>
  </si>
  <si>
    <t>1657-0003721</t>
  </si>
  <si>
    <t>3/27/2026 5:38:08 AM</t>
  </si>
  <si>
    <t>1073545283</t>
  </si>
  <si>
    <t>Mirrors Brakes Diagnostics</t>
  </si>
  <si>
    <t>1657-0003789</t>
  </si>
  <si>
    <t>3/27/2026 4:48:38 PM</t>
  </si>
  <si>
    <t>auokTet8dHkmkYR3RSddOsA</t>
  </si>
  <si>
    <t>Halogen Capsule - Low Beam, Headlamp Total Vehicle Assembly Total Vehicle Assembly Total Vehicle Assembly Total Vehicle Assembly</t>
  </si>
  <si>
    <t>1657-0003796</t>
  </si>
  <si>
    <t>3/27/2026 6:21:00 PM</t>
  </si>
  <si>
    <t>1074147940</t>
  </si>
  <si>
    <t>1657-0003797</t>
  </si>
  <si>
    <t>3/27/2026 7:37:00 PM</t>
  </si>
  <si>
    <t>1657-0003762</t>
  </si>
  <si>
    <t>3/27/2026 11:53:00 AM</t>
  </si>
  <si>
    <t>3/27/2026 7:01:52 PM</t>
  </si>
  <si>
    <t>3/27/2026 7:01:29 PM</t>
  </si>
  <si>
    <t>VRO 1657-0003762 has been Accepted
Note:</t>
  </si>
  <si>
    <t>1657-0003760</t>
  </si>
  <si>
    <t>3/27/2026 11:50:00 AM</t>
  </si>
  <si>
    <t>3/27/2026 6:51:47 PM</t>
  </si>
  <si>
    <t>3/28/2026 6:50:42 PM</t>
  </si>
  <si>
    <t>VRO 1657-0003760 has been Accepted
Note:</t>
  </si>
  <si>
    <t>3/27/2026 8:55:11 PM</t>
  </si>
  <si>
    <t>3/26/2026 8:13:27 PM</t>
  </si>
  <si>
    <t>VRO 1657-0003673 has been Accepted
Note:</t>
  </si>
  <si>
    <t>1657-0003755</t>
  </si>
  <si>
    <t>3/27/2026 11:23:00 AM</t>
  </si>
  <si>
    <t>3/27/2026 6:23:31 PM</t>
  </si>
  <si>
    <t>3/27/2026 6:23:07 PM</t>
  </si>
  <si>
    <t>VRO 1657-0003755 has been Accepted
Note:</t>
  </si>
  <si>
    <t>1657-0003776</t>
  </si>
  <si>
    <t>3/27/2026 2:54:00 PM</t>
  </si>
  <si>
    <t>3/27/2026 9:54:55 PM</t>
  </si>
  <si>
    <t>3/27/2026 11:53:51 PM</t>
  </si>
  <si>
    <t>3/27/2026 11:17:56 PM</t>
  </si>
  <si>
    <t>3/28/2026 1:08:33 AM</t>
  </si>
  <si>
    <t>1657-0003770</t>
  </si>
  <si>
    <t>3/27/2026 1:28:00 PM</t>
  </si>
  <si>
    <t>3/27/2026 8:31:23 PM</t>
  </si>
  <si>
    <t>3/27/2026 8:28:59 PM</t>
  </si>
  <si>
    <t>VRO 1657-0003770 has been Accepted
Note:</t>
  </si>
  <si>
    <t>1657-0003739</t>
  </si>
  <si>
    <t>3/27/2026 9:43:00 AM</t>
  </si>
  <si>
    <t>3/27/2026 4:45:11 PM</t>
  </si>
  <si>
    <t>3/27/2026 4:44:36 PM</t>
  </si>
  <si>
    <t>VRO 1657-0003739 has been Accepted
Note:</t>
  </si>
  <si>
    <t>1657-0003740</t>
  </si>
  <si>
    <t>3/27/2026 9:48:00 AM</t>
  </si>
  <si>
    <t>3/27/2026 4:52:46 PM</t>
  </si>
  <si>
    <t>3/27/2026 4:48:18 PM</t>
  </si>
  <si>
    <t>VRO 1657-0003740 has been Accepted
Note:</t>
  </si>
  <si>
    <t>1657-0003735</t>
  </si>
  <si>
    <t>3/27/2026 8:59:00 AM</t>
  </si>
  <si>
    <t>3/27/2026 4:41:40 PM</t>
  </si>
  <si>
    <t>3/27/2026 4:01:08 PM</t>
  </si>
  <si>
    <t>VRO 1657-0003735 has been Accepted
Note:</t>
  </si>
  <si>
    <t>waiting for invoice</t>
  </si>
  <si>
    <t>1657-0003775</t>
  </si>
  <si>
    <t>3/27/2026 2:45:00 PM</t>
  </si>
  <si>
    <t>3/27/2026 9:50:20 PM</t>
  </si>
  <si>
    <t>3/27/2026 11:46:12 PM</t>
  </si>
  <si>
    <t>VRO 1657-0003775 has been Accepted
Note:</t>
  </si>
  <si>
    <t>1657-0003777</t>
  </si>
  <si>
    <t>3/27/2026 2:57:00 PM</t>
  </si>
  <si>
    <t>3/27/2026 9:57:17 PM</t>
  </si>
  <si>
    <t>3/27/2026 11:56:44 PM</t>
  </si>
  <si>
    <t>VRO 1657-0003777 has been Accepted
Note:</t>
  </si>
  <si>
    <t>1657-0003773</t>
  </si>
  <si>
    <t>3/27/2026 2:34:00 PM</t>
  </si>
  <si>
    <t>3/27/2026 9:34:56 PM</t>
  </si>
  <si>
    <t>3/27/2026 9:34:15 PM</t>
  </si>
  <si>
    <t>VRO 1657-0003773 has been Accepted
Note:</t>
  </si>
  <si>
    <t>1657-0003781</t>
  </si>
  <si>
    <t>3/27/2026 4:12:00 PM</t>
  </si>
  <si>
    <t>3/27/2026 11:12:31 PM</t>
  </si>
  <si>
    <t>3/28/2026 11:12:00 PM</t>
  </si>
  <si>
    <t>4/2/2026 12:00:00 AM</t>
  </si>
  <si>
    <t>VRO 1657-0003781 has been Accepted
Note:</t>
  </si>
  <si>
    <t>1657-0003801</t>
  </si>
  <si>
    <t>3/27/2026 9:45:00 PM</t>
  </si>
  <si>
    <t>3/28/2026 4:47:17 AM</t>
  </si>
  <si>
    <t>3/28/2026 4:45:57 AM</t>
  </si>
  <si>
    <t>1657-0003805</t>
  </si>
  <si>
    <t>3/27/2026 11:23:00 PM</t>
  </si>
  <si>
    <t>3/28/2026 6:24:26 AM</t>
  </si>
  <si>
    <t>3/28/2026 6:23:33 AM</t>
  </si>
  <si>
    <t>3/27/2026 11:35:31 PM</t>
  </si>
  <si>
    <t>3/28/2026 1:04:30 AM</t>
  </si>
  <si>
    <t>1657-0003736</t>
  </si>
  <si>
    <t>3/27/2026 9:05:00 AM</t>
  </si>
  <si>
    <t>3/27/2026 4:38:35 PM</t>
  </si>
  <si>
    <t>3/27/2026 4:35:50 PM</t>
  </si>
  <si>
    <t>1FDWE3FL2ADA97934</t>
  </si>
  <si>
    <t>1657-0003771</t>
  </si>
  <si>
    <t>3/27/2026 1:29:00 PM</t>
  </si>
  <si>
    <t>3/27/2026 8:29:47 PM</t>
  </si>
  <si>
    <t>1FTRS4XMXKKA58805</t>
  </si>
  <si>
    <t>1657-0003784</t>
  </si>
  <si>
    <t>3/27/2026 4:22:00 PM</t>
  </si>
  <si>
    <t>3/27/2026 11:22:34 PM</t>
  </si>
  <si>
    <t>3/27/2026 11:22:01 PM</t>
  </si>
  <si>
    <t>3FRWF65254V610062</t>
  </si>
  <si>
    <t>1657-0003782</t>
  </si>
  <si>
    <t>3/27/2026 4:14:00 PM</t>
  </si>
  <si>
    <t>3/27/2026 11:14:27 PM</t>
  </si>
  <si>
    <t>3/27/2026 11:13:40 PM</t>
  </si>
  <si>
    <t>2NPNHM6X7GM319007</t>
  </si>
  <si>
    <t>1657-0003751</t>
  </si>
  <si>
    <t>3/27/2026 11:01:00 AM</t>
  </si>
  <si>
    <t>3/27/2026 9:32:10 PM</t>
  </si>
  <si>
    <t>3/27/2026 9:08:21 PM</t>
  </si>
  <si>
    <t>1657-0003793</t>
  </si>
  <si>
    <t>3/27/2026 6:24:00 PM</t>
  </si>
  <si>
    <t>3/28/2026 1:25:30 AM</t>
  </si>
  <si>
    <t>3/28/2026 3:23:50 AM</t>
  </si>
  <si>
    <t>1657-0003743</t>
  </si>
  <si>
    <t>3/27/2026 10:08:00 AM</t>
  </si>
  <si>
    <t>3/27/2026 5:08:26 PM</t>
  </si>
  <si>
    <t>3/27/2026 7:07:46 PM</t>
  </si>
  <si>
    <t>Engine Assembly</t>
  </si>
  <si>
    <t>1657-0003709</t>
  </si>
  <si>
    <t>3/27/2026 4:49:00 AM</t>
  </si>
  <si>
    <t>3/27/2026 11:49:18 AM</t>
  </si>
  <si>
    <t>3/27/2026 11:48:37 AM</t>
  </si>
  <si>
    <t>VRO 1657-0003709 has been Accepted
Note:</t>
  </si>
  <si>
    <t>01657A0000399089</t>
  </si>
  <si>
    <t>1657-0003791</t>
  </si>
  <si>
    <t>3/27/2026 5:43:00 PM</t>
  </si>
  <si>
    <t>3/28/2026 12:44:00 AM</t>
  </si>
  <si>
    <t>3/28/2026 12:43:32 AM</t>
  </si>
  <si>
    <t>VRO 1657-0003791 has been Accepted
Note:</t>
  </si>
  <si>
    <t>01657A0000399066</t>
  </si>
  <si>
    <t>1657-0003779</t>
  </si>
  <si>
    <t>3/27/2026 3:04:00 PM</t>
  </si>
  <si>
    <t>3/27/2026 10:04:29 PM</t>
  </si>
  <si>
    <t>3/27/2026 10:03:49 PM</t>
  </si>
  <si>
    <t>VRO 1657-0003779 has been Accepted
Note:</t>
  </si>
  <si>
    <t>01657A0000398358</t>
  </si>
  <si>
    <t>1657-0003717</t>
  </si>
  <si>
    <t>3/27/2026 5:30:00 AM</t>
  </si>
  <si>
    <t>3/27/2026 1:03:22 PM</t>
  </si>
  <si>
    <t>3/27/2026 12:31:31 PM</t>
  </si>
  <si>
    <t>VRO 1657-0003717 has been Accepted
Note: Transmission issue</t>
  </si>
  <si>
    <t>VRO 1657-0002124 has been Accepted
Note:</t>
  </si>
  <si>
    <t>01657A0000399038</t>
  </si>
  <si>
    <t>1657-0003772</t>
  </si>
  <si>
    <t>3/27/2026 2:25:00 PM</t>
  </si>
  <si>
    <t>3/27/2026 9:25:48 PM</t>
  </si>
  <si>
    <t>3/27/2026 9:25:25 PM</t>
  </si>
  <si>
    <t>01657A0000398928</t>
  </si>
  <si>
    <t>1657-0003765</t>
  </si>
  <si>
    <t>3/27/2026 12:18:00 PM</t>
  </si>
  <si>
    <t>3/27/2026 7:18:43 PM</t>
  </si>
  <si>
    <t>3/27/2026 7:18:08 PM</t>
  </si>
  <si>
    <t>VRO 1657-0003765 has been Accepted
Note:</t>
  </si>
  <si>
    <t>01657A0000399055</t>
  </si>
  <si>
    <t>1FTRS4X82LKA29139</t>
  </si>
  <si>
    <t>1657-0003774</t>
  </si>
  <si>
    <t>3/27/2026 2:42:00 PM</t>
  </si>
  <si>
    <t>3/27/2026 9:42:18 PM</t>
  </si>
  <si>
    <t>3/27/2026 9:41:49 PM</t>
  </si>
  <si>
    <t>VRO 1657-0003774 has been Accepted
Note:</t>
  </si>
  <si>
    <t>Powerplant Diagnostics Powerplant Diagnostics</t>
  </si>
  <si>
    <t>VRO 1657-0002728 has been Accepted
Note:</t>
  </si>
  <si>
    <t>01657A0000398663</t>
  </si>
  <si>
    <t>1FDWE35L07DB42153</t>
  </si>
  <si>
    <t>1657-0003738</t>
  </si>
  <si>
    <t>3/27/2026 9:30:00 AM</t>
  </si>
  <si>
    <t>3/27/2026 4:30:25 PM</t>
  </si>
  <si>
    <t>3/27/2026 4:29:52 PM</t>
  </si>
  <si>
    <t>VRO 1657-0003738 has been Accepted
Note:</t>
  </si>
  <si>
    <t>01657A0000398573</t>
  </si>
  <si>
    <t>1657-0003732</t>
  </si>
  <si>
    <t>3/27/2026 8:30:00 AM</t>
  </si>
  <si>
    <t>3/27/2026 3:32:10 PM</t>
  </si>
  <si>
    <t>3/27/2026 3:30:26 PM</t>
  </si>
  <si>
    <t>VRO 1657-0003732 has been Accepted
Note:</t>
  </si>
  <si>
    <t>01657A0000399181</t>
  </si>
  <si>
    <t>1657-0003731</t>
  </si>
  <si>
    <t>3/27/2026 8:17:00 AM</t>
  </si>
  <si>
    <t>3/28/2026 1:48:32 PM</t>
  </si>
  <si>
    <t>3/28/2026 1:47:59 PM</t>
  </si>
  <si>
    <t>01657A0000374035</t>
  </si>
  <si>
    <t>Standard PM OR PM C GARDA PB330 PM LEVEL B</t>
  </si>
  <si>
    <t>01657A0000399123</t>
  </si>
  <si>
    <t>01657A0000398277</t>
  </si>
  <si>
    <t>1657-0003707</t>
  </si>
  <si>
    <t>3/27/2026 4:28:00 AM</t>
  </si>
  <si>
    <t>3/27/2026 11:28:41 AM</t>
  </si>
  <si>
    <t>3/27/2026 11:28:08 AM</t>
  </si>
  <si>
    <t>01657A0000399269</t>
  </si>
  <si>
    <t>01657A0000398508</t>
  </si>
  <si>
    <t>1657-0003728</t>
  </si>
  <si>
    <t>3/27/2026 7:54:00 AM</t>
  </si>
  <si>
    <t>3/27/2026 2:54:52 PM</t>
  </si>
  <si>
    <t>3/27/2026 2:54:34 PM</t>
  </si>
  <si>
    <t>01657A0000399091</t>
  </si>
  <si>
    <t>1657-0003799</t>
  </si>
  <si>
    <t>3/27/2026 8:18:00 PM</t>
  </si>
  <si>
    <t>3/28/2026 3:19:35 AM</t>
  </si>
  <si>
    <t>3/28/2026 3:18:34 AM</t>
  </si>
  <si>
    <t>01657A0000399097</t>
  </si>
  <si>
    <t>1657-0003803</t>
  </si>
  <si>
    <t>3/27/2026 10:17:00 PM</t>
  </si>
  <si>
    <t>3/28/2026 5:17:57 AM</t>
  </si>
  <si>
    <t>3/28/2026 5:17:08 AM</t>
  </si>
  <si>
    <t>01657A0000398957</t>
  </si>
  <si>
    <t>01657A0000399103</t>
  </si>
  <si>
    <t>01657A0000398317</t>
  </si>
  <si>
    <t>1657-0003715</t>
  </si>
  <si>
    <t>3/27/2026 5:14:00 AM</t>
  </si>
  <si>
    <t>3/27/2026 12:21:19 PM</t>
  </si>
  <si>
    <t>3/27/2026 12:13:53 PM</t>
  </si>
  <si>
    <t>01657A0000399095</t>
  </si>
  <si>
    <t>1657-0003802</t>
  </si>
  <si>
    <t>3/27/2026 9:51:00 PM</t>
  </si>
  <si>
    <t>3/28/2026 4:51:49 AM</t>
  </si>
  <si>
    <t>3/28/2026 4:51:00 AM</t>
  </si>
  <si>
    <t>01657A0000399060</t>
  </si>
  <si>
    <t>01657A0000398730</t>
  </si>
  <si>
    <t>1657-0003742</t>
  </si>
  <si>
    <t>3/27/2026 10:07:00 AM</t>
  </si>
  <si>
    <t>3/27/2026 5:07:03 PM</t>
  </si>
  <si>
    <t>3/27/2026 5:06:39 PM</t>
  </si>
  <si>
    <t>01657A0000399084</t>
  </si>
  <si>
    <t>1657-0003786</t>
  </si>
  <si>
    <t>3/27/2026 4:37:00 PM</t>
  </si>
  <si>
    <t>3/27/2026 11:38:59 PM</t>
  </si>
  <si>
    <t>3/27/2026 11:37:32 PM</t>
  </si>
  <si>
    <t>01657A0000399101</t>
  </si>
  <si>
    <t>01657A0000399098</t>
  </si>
  <si>
    <t>01657A0000399131</t>
  </si>
  <si>
    <t>01657A0000399096</t>
  </si>
  <si>
    <t>01657A0000399275</t>
  </si>
  <si>
    <t>Air Conditioning Assembly Air Conditioning Assembly</t>
  </si>
  <si>
    <t>01657A0000398572</t>
  </si>
  <si>
    <t>1657-0003733</t>
  </si>
  <si>
    <t>3/27/2026 8:31:00 AM</t>
  </si>
  <si>
    <t>3/27/2026 3:32:43 PM</t>
  </si>
  <si>
    <t>3/27/2026 3:31:27 PM</t>
  </si>
  <si>
    <t>01657A0000398283</t>
  </si>
  <si>
    <t>Navigation System - GPS</t>
  </si>
  <si>
    <t>1657-0003708</t>
  </si>
  <si>
    <t>3/27/2026 4:37:00 AM</t>
  </si>
  <si>
    <t>3/27/2026 11:37:59 AM</t>
  </si>
  <si>
    <t>3/27/2026 11:37:02 AM</t>
  </si>
  <si>
    <t>01657A0000399094</t>
  </si>
  <si>
    <t>1657-0003800</t>
  </si>
  <si>
    <t>3/27/2026 9:23:00 PM</t>
  </si>
  <si>
    <t>3/28/2026 4:23:49 AM</t>
  </si>
  <si>
    <t>3/28/2026 4:22:48 AM</t>
  </si>
  <si>
    <t>01657A0000399267</t>
  </si>
  <si>
    <t>01657A0000398437</t>
  </si>
  <si>
    <t>1657-0003726</t>
  </si>
  <si>
    <t>3/27/2026 7:13:00 AM</t>
  </si>
  <si>
    <t>3/27/2026 2:13:31 PM</t>
  </si>
  <si>
    <t>3/27/2026 2:13:12 PM</t>
  </si>
  <si>
    <t>01657A0000399130</t>
  </si>
  <si>
    <t>01657A0000399093</t>
  </si>
  <si>
    <t>01657A0000399076</t>
  </si>
  <si>
    <t>NEEDS APPROVAL</t>
  </si>
  <si>
    <t>01657A0000399009</t>
  </si>
  <si>
    <t>01657A0000399099</t>
  </si>
  <si>
    <t>01657A0000399167</t>
  </si>
  <si>
    <t>01657A0000399129</t>
  </si>
  <si>
    <t>01657A0000398807</t>
  </si>
  <si>
    <t>1657-0003724</t>
  </si>
  <si>
    <t>3/27/2026 7:04:00 AM</t>
  </si>
  <si>
    <t>3/27/2026 5:56:59 PM</t>
  </si>
  <si>
    <t>3/27/2026 2:03:49 PM</t>
  </si>
  <si>
    <t>01657A0000399092</t>
  </si>
  <si>
    <t>LIGHTING OPERATIONAL-REPLACE BRAKE LIGHT BULB-ALL</t>
  </si>
  <si>
    <t>01657A0000399246</t>
  </si>
  <si>
    <t>TRAVEL TIME OF TRANSPORT OF VEHICLE Shaft - Rear Axle Standard PM OR PM C</t>
  </si>
  <si>
    <t>01657A0000398999</t>
  </si>
  <si>
    <t>1657-0003769</t>
  </si>
  <si>
    <t>3/27/2026 1:27:00 PM</t>
  </si>
  <si>
    <t>3/27/2026 8:27:16 PM</t>
  </si>
  <si>
    <t>3/27/2026 10:26:49 PM</t>
  </si>
  <si>
    <t>01657A0000399102</t>
  </si>
  <si>
    <t>1657-0003804</t>
  </si>
  <si>
    <t>3/27/2026 11:11:00 PM</t>
  </si>
  <si>
    <t>3/28/2026 6:12:18 AM</t>
  </si>
  <si>
    <t>3/28/2026 6:10:46 AM</t>
  </si>
  <si>
    <t>01657A0000399037</t>
  </si>
  <si>
    <t>01657A0000399090</t>
  </si>
  <si>
    <t>2NPNHM6X1GM309122</t>
  </si>
  <si>
    <t>1657-0003798</t>
  </si>
  <si>
    <t>3/27/2026 8:08:00 PM</t>
  </si>
  <si>
    <t>3/28/2026 3:08:40 AM</t>
  </si>
  <si>
    <t>3/28/2026 4:08:07 AM</t>
  </si>
  <si>
    <t>01657A0000399247</t>
  </si>
  <si>
    <t>01657A0000398308</t>
  </si>
  <si>
    <t>1657-0003716</t>
  </si>
  <si>
    <t>3/27/2026 5:16:00 AM</t>
  </si>
  <si>
    <t>3/27/2026 12:16:53 PM</t>
  </si>
  <si>
    <t>3/27/2026 12:16:17 PM</t>
  </si>
  <si>
    <t>OWNER</t>
  </si>
  <si>
    <t>EMAIL</t>
  </si>
  <si>
    <t>E-Mail</t>
  </si>
  <si>
    <t>bwilliams5@ameritfleet.com</t>
  </si>
  <si>
    <t>hfrancis@ameritfleet.com</t>
  </si>
  <si>
    <t>jhopkins5@ameritfleet.com</t>
  </si>
  <si>
    <t>rmann@ameritfleet.com</t>
  </si>
  <si>
    <t>Amanda Armes</t>
  </si>
  <si>
    <t>Chad Caylor</t>
  </si>
  <si>
    <t>Chase Christianson</t>
  </si>
  <si>
    <t>Christian Decker</t>
  </si>
  <si>
    <t>Damian Nicholson</t>
  </si>
  <si>
    <t>Feather Beardslee</t>
  </si>
  <si>
    <t>Felipe Mendoza Cruz</t>
  </si>
  <si>
    <t>James Kennedy</t>
  </si>
  <si>
    <t>Jonathan McCormick</t>
  </si>
  <si>
    <t>Kevin Anguzza</t>
  </si>
  <si>
    <t>Kenneth Hulbert</t>
  </si>
  <si>
    <t>La'Keisia Johnson</t>
  </si>
  <si>
    <t>Mark McClain</t>
  </si>
  <si>
    <t>Patty Gallagher</t>
  </si>
  <si>
    <t>Rosalee Castillo</t>
  </si>
  <si>
    <t>Shane Gerdes</t>
  </si>
  <si>
    <t>Sydney Wooten</t>
  </si>
  <si>
    <t>Timothy Blake</t>
  </si>
  <si>
    <t>Tammy Forrester</t>
  </si>
  <si>
    <t>Tonya Todd</t>
  </si>
  <si>
    <t>Wayne Vaught</t>
  </si>
  <si>
    <t>CCaylor@ameritfleet.com</t>
  </si>
  <si>
    <t>CChristianson@ameritfleet.com</t>
  </si>
  <si>
    <t>JMcCormick@ameritfleet.com</t>
  </si>
  <si>
    <t>ljohnson@ameritfleet.com</t>
  </si>
  <si>
    <t>MMcClain2@ameritfleet.com</t>
  </si>
  <si>
    <t>RCastillo@ameritfleet.com</t>
  </si>
  <si>
    <t>TBlake@ameritfleet.com</t>
  </si>
  <si>
    <t>TForrester@ameritfleet.com</t>
  </si>
  <si>
    <t>TTodd@ameritfleet.com</t>
  </si>
  <si>
    <t>WVaught@ameritfleet.com</t>
  </si>
  <si>
    <t>ERS</t>
  </si>
  <si>
    <t>PM</t>
  </si>
  <si>
    <t>AFS Dedicated Tech</t>
  </si>
  <si>
    <t>Team</t>
  </si>
  <si>
    <t>Vended Repair</t>
  </si>
  <si>
    <t>1657-0003826</t>
  </si>
  <si>
    <t>3/30/2026 3:11:06 AM</t>
  </si>
  <si>
    <t>1075135981</t>
  </si>
  <si>
    <t>Powerplant Diagnostics Instrument and Gauge Diagnostics</t>
  </si>
  <si>
    <t>1657-0003815</t>
  </si>
  <si>
    <t>3/28/2026 7:01:00 PM</t>
  </si>
  <si>
    <t>3/29/2026 2:03:05 AM</t>
  </si>
  <si>
    <t>3/29/2026 2:01:05 AM</t>
  </si>
  <si>
    <t>3/28/2026 10:26:38 PM</t>
  </si>
  <si>
    <t>3/28/2026 10:25:45 PM</t>
  </si>
  <si>
    <t>VRO 1657-0003737 has been Accepted
Note:</t>
  </si>
  <si>
    <t>3/30/2026 12:11:45 PM</t>
  </si>
  <si>
    <t>3/30/2026 12:11:01 PM</t>
  </si>
  <si>
    <t>VRO 1657-0003757 has been Accepted
Note:</t>
  </si>
  <si>
    <t>1657-0003808</t>
  </si>
  <si>
    <t>3/28/2026 7:10:00 AM</t>
  </si>
  <si>
    <t>3/28/2026 2:11:23 PM</t>
  </si>
  <si>
    <t>3/28/2026 2:10:24 PM</t>
  </si>
  <si>
    <t>VRO 1657-0003808 has been Accepted
Note:</t>
  </si>
  <si>
    <t>Drive Shaft</t>
  </si>
  <si>
    <t>1657-0003814</t>
  </si>
  <si>
    <t>3/28/2026 6:54:00 PM</t>
  </si>
  <si>
    <t>3/29/2026 1:54:53 AM</t>
  </si>
  <si>
    <t>3/29/2026 1:54:24 AM</t>
  </si>
  <si>
    <t>1657-0003811</t>
  </si>
  <si>
    <t>3/28/2026 10:55:00 AM</t>
  </si>
  <si>
    <t>3/28/2026 5:57:07 PM</t>
  </si>
  <si>
    <t>3/28/2026 5:56:39 PM</t>
  </si>
  <si>
    <t>1657-0005702</t>
  </si>
  <si>
    <t>01657A0000399152</t>
  </si>
  <si>
    <t>1657-0003806</t>
  </si>
  <si>
    <t>3/28/2026 5:46:00 AM</t>
  </si>
  <si>
    <t>3/28/2026 12:46:54 PM</t>
  </si>
  <si>
    <t>3/28/2026 12:46:14 PM</t>
  </si>
  <si>
    <t>VRO 1657-0003806 has been Accepted
Note:</t>
  </si>
  <si>
    <t>Bulbs, Fuses &amp; Wiring Standard PM OR PM C Camera - Visual Assist Back-Up Camera</t>
  </si>
  <si>
    <t>01657A0000399340</t>
  </si>
  <si>
    <t>1657-0003817</t>
  </si>
  <si>
    <t>3/29/2026 3:31:00 AM</t>
  </si>
  <si>
    <t>3/29/2026 10:32:01 AM</t>
  </si>
  <si>
    <t>3/29/2026 10:31:02 AM</t>
  </si>
  <si>
    <t>01657A0000399289</t>
  </si>
  <si>
    <t>1657-0003812</t>
  </si>
  <si>
    <t>3/28/2026 11:34:00 AM</t>
  </si>
  <si>
    <t>3/28/2026 6:36:02 PM</t>
  </si>
  <si>
    <t>3/28/2026 6:34:20 PM</t>
  </si>
  <si>
    <t>01657A0000399413</t>
  </si>
  <si>
    <t>01657A0000399438</t>
  </si>
  <si>
    <t>01657A0000399452</t>
  </si>
  <si>
    <t>01657A0000399453</t>
  </si>
  <si>
    <t>01657A0000399437</t>
  </si>
  <si>
    <t>01657A0000399414</t>
  </si>
  <si>
    <t>01657A0000399317</t>
  </si>
  <si>
    <t>01657A0000399450</t>
  </si>
  <si>
    <t>1657-0003823</t>
  </si>
  <si>
    <t>3/29/2026 9:19:00 PM</t>
  </si>
  <si>
    <t>3/30/2026 4:19:28 AM</t>
  </si>
  <si>
    <t>3/30/2026 4:19:01 AM</t>
  </si>
  <si>
    <t>01657A0000399448</t>
  </si>
  <si>
    <t>1657-0003820</t>
  </si>
  <si>
    <t>3/29/2026 8:47:00 PM</t>
  </si>
  <si>
    <t>3/30/2026 3:47:32 AM</t>
  </si>
  <si>
    <t>3/30/2026 3:47:01 AM</t>
  </si>
  <si>
    <t>01657A0000399330</t>
  </si>
  <si>
    <t>01657A0000399336</t>
  </si>
  <si>
    <t>1657-0003813</t>
  </si>
  <si>
    <t>3/28/2026 6:09:00 PM</t>
  </si>
  <si>
    <t>3/29/2026 1:09:19 AM</t>
  </si>
  <si>
    <t>3/29/2026 1:09:00 AM</t>
  </si>
  <si>
    <t>01657A0000399320</t>
  </si>
  <si>
    <t>01657A0000399434</t>
  </si>
  <si>
    <t>01657A0000399443</t>
  </si>
  <si>
    <t>01657A0000399442</t>
  </si>
  <si>
    <t>01657A0000399440</t>
  </si>
  <si>
    <t>01657A0000399439</t>
  </si>
  <si>
    <t>Mirrors Headlamps</t>
  </si>
  <si>
    <t>01657A0000399318</t>
  </si>
  <si>
    <t>01657A0000399416</t>
  </si>
  <si>
    <t>01657A0000399299</t>
  </si>
  <si>
    <t>Air Conditioning Assembly - Complete GARDA TRANSIT PM Level B</t>
  </si>
  <si>
    <t>01657A0000399338</t>
  </si>
  <si>
    <t>2NPNHM6X7JM472784</t>
  </si>
  <si>
    <t>1657-0003816</t>
  </si>
  <si>
    <t>3/29/2026 2:57:00 AM</t>
  </si>
  <si>
    <t>3/29/2026 9:57:45 AM</t>
  </si>
  <si>
    <t>3/29/2026 9:56:45 AM</t>
  </si>
  <si>
    <t>01657A0000399451</t>
  </si>
  <si>
    <t>1657-0003824</t>
  </si>
  <si>
    <t>3/29/2026 9:34:00 PM</t>
  </si>
  <si>
    <t>3/30/2026 4:34:36 AM</t>
  </si>
  <si>
    <t>3/30/2026 4:34:15 AM</t>
  </si>
  <si>
    <t>01657A0000399454</t>
  </si>
  <si>
    <t>1657-0003825</t>
  </si>
  <si>
    <t>3/29/2026 10:07:00 PM</t>
  </si>
  <si>
    <t>3/30/2026 5:08:04 AM</t>
  </si>
  <si>
    <t>3/30/2026 5:07:42 AM</t>
  </si>
  <si>
    <t>01657A0000358664</t>
  </si>
  <si>
    <t>01657A0000399446</t>
  </si>
  <si>
    <t>1657-0003819</t>
  </si>
  <si>
    <t>3/29/2026 8:20:00 PM</t>
  </si>
  <si>
    <t>3/30/2026 3:20:54 AM</t>
  </si>
  <si>
    <t>3/30/2026 3:20:23 AM</t>
  </si>
  <si>
    <t>01657A0000399333</t>
  </si>
  <si>
    <t>01657A0000399404</t>
  </si>
  <si>
    <t>01657A0000399418</t>
  </si>
  <si>
    <t>01657A0000399436</t>
  </si>
  <si>
    <t>01657A0000399445</t>
  </si>
  <si>
    <t>1657-0003818</t>
  </si>
  <si>
    <t>3/29/2026 8:10:00 PM</t>
  </si>
  <si>
    <t>3/30/2026 3:11:15 AM</t>
  </si>
  <si>
    <t>3/30/2026 3:10:18 AM</t>
  </si>
  <si>
    <t>01657A0000399326</t>
  </si>
  <si>
    <t>01657A0000399447</t>
  </si>
  <si>
    <t>01657A0000399441</t>
  </si>
  <si>
    <t>01657A0000399449</t>
  </si>
  <si>
    <t>1657-0003821</t>
  </si>
  <si>
    <t>3/29/2026 9:00:00 PM</t>
  </si>
  <si>
    <t>3/30/2026 4:00:23 AM</t>
  </si>
  <si>
    <t>3/30/2026 3:59:54 AM</t>
  </si>
  <si>
    <t>01657A0000399325</t>
  </si>
  <si>
    <t>Lighting System HVAC Diagnostics</t>
  </si>
  <si>
    <t>Horn - Electric Lighting System Diagnostic</t>
  </si>
  <si>
    <t>01657A0000399264</t>
  </si>
  <si>
    <t>1657-0003810</t>
  </si>
  <si>
    <t>3/28/2026 9:44:00 AM</t>
  </si>
  <si>
    <t>3/28/2026 4:45:11 PM</t>
  </si>
  <si>
    <t>3/28/2026 4:44:11 PM</t>
  </si>
  <si>
    <t>01657A0000399455</t>
  </si>
  <si>
    <t>Case - Defroster &amp; Air Conditioning Windshield Wiper &amp; Washer</t>
  </si>
  <si>
    <t>01657A0000399444</t>
  </si>
  <si>
    <t>Air Type Power Brakes</t>
  </si>
  <si>
    <t>01657A0000399958</t>
  </si>
  <si>
    <t>General Accessories Brakes Diagnostics</t>
  </si>
  <si>
    <t>Horn &amp; Mounting Horn &amp; Mounting Horn &amp; Mounting Horn &amp; Mounting Total Vehicle Assembly Total Vehicle Assembly Total Vehicle Assembly Total Vehicle Assembly Total Vehicle Assembly Total Vehicle Assembly Fluid - Power Steering Fluid - Power Steering</t>
  </si>
  <si>
    <t>Please provide more description for '$625 of travel'</t>
  </si>
  <si>
    <t>Markup greater than 10%</t>
  </si>
  <si>
    <t>REMOVE CC FEE &amp; TAX LINE</t>
  </si>
  <si>
    <t>Air Compressor</t>
  </si>
  <si>
    <t>Rear Brakes &amp; Drums Shock Absorber - Rear</t>
  </si>
  <si>
    <t>VRO 1657-0003805 has been Accepted
Note:</t>
  </si>
  <si>
    <t>DJ 3/30</t>
  </si>
  <si>
    <t>VRO 1657-0003521 has been Accepted
Note:</t>
  </si>
  <si>
    <t>kw 3/30</t>
  </si>
  <si>
    <t>Powerplant Diagnostics TRAVEL TIME OF TRANSPORT OF VEHICLE</t>
  </si>
  <si>
    <t>Parking Brakes</t>
  </si>
  <si>
    <t>VRO 1657-0003636 has been Accepted
Note:</t>
  </si>
  <si>
    <t>HP 03/30</t>
  </si>
  <si>
    <t>VRO 1657-0003736 has been Accepted
Note:</t>
  </si>
  <si>
    <t>VRO 1657-0003814 has been Accepted
Note:</t>
  </si>
  <si>
    <t>VRO 1657-0003793 has been Accepted
Note:</t>
  </si>
  <si>
    <t>VRO 1657-0002316 has been Accepted
Note:</t>
  </si>
  <si>
    <t>Powerplant Diagnostics Fuel Systems</t>
  </si>
  <si>
    <t>Brakes Diagnostics Brakes Diagnostics Powerplant Diagnostics</t>
  </si>
  <si>
    <t>VRO 1657-0001538 has been Accepted
Note:</t>
  </si>
  <si>
    <t>VRO 1657-0003743 has been Accepted
Note:</t>
  </si>
  <si>
    <t>VRO 1657-0003041 has been Accepted
Note:</t>
  </si>
  <si>
    <t>01657A0000400184</t>
  </si>
  <si>
    <t>01657A0000400141</t>
  </si>
  <si>
    <t>GARDA LTS SYSTEM CHECK Glass - Windshield</t>
  </si>
  <si>
    <t>Cab Or Front Door Panels Fenders &amp; Mud Flaps - Front Wheel</t>
  </si>
  <si>
    <t>General Accessories Glass - Windshield</t>
  </si>
  <si>
    <t>Brakes Diagnostics Cranking System Diagnositics</t>
  </si>
  <si>
    <t>HVAC Diagnostics Lighting System Diagnostic</t>
  </si>
  <si>
    <t>Air Conditioning Assembly - Complete Total Vehicle Assembly</t>
  </si>
  <si>
    <t>Rear Brakes &amp; Drums Coil &amp; Spark Plugs</t>
  </si>
  <si>
    <t>Tires, Tubes, Liners, Valves Diagnostics HVAC Diagnostics Lighting System Diagnostic Lighting System Diagnostic</t>
  </si>
  <si>
    <t>ENGINE DIAGNOSTIC Mirrors</t>
  </si>
  <si>
    <t>VRO 1657-0003815 has been Accepted
Note:</t>
  </si>
  <si>
    <t>hp/03/30</t>
  </si>
  <si>
    <t>Powerplant Diagnostics Gauges &amp; Warning Devices</t>
  </si>
  <si>
    <t>01657A0000400496</t>
  </si>
  <si>
    <t>VRO 1657-0001675 has been Accepted
Note:</t>
  </si>
  <si>
    <t>Steering Diagnostics Lighting System Diagnostic</t>
  </si>
  <si>
    <t>Bearings, Hubs - Position Not Specified Brake System - Full Air</t>
  </si>
  <si>
    <t>General Accessories Diagnostics Lighting System Diagnostic</t>
  </si>
  <si>
    <t>Side Door Assembly - Hinged Heating &amp; Ventilating</t>
  </si>
  <si>
    <t>Cranking System Diagnositics Powerplant Diagnostics</t>
  </si>
  <si>
    <t>HVAC Diagnostics HVAC Diagnostics HVAC Diagnostics HVAC Diagnostics HVAC Diagnostics General Accessories</t>
  </si>
  <si>
    <t>ENGINE DIAGNOSTIC Brake System - Full Air</t>
  </si>
  <si>
    <t>Door Assembly Components - Hinged, Rear, Body General Accessories Diagnostics Powerplant Diagnostics</t>
  </si>
  <si>
    <t>Cranking System Diagnositics Lighting System Diagnostic</t>
  </si>
  <si>
    <t>ENGINE DIAGNOSTIC GARDA F650 PM LEVEL B</t>
  </si>
  <si>
    <t>ENGINE DIAGNOSTIC Lamps -  Tail, Stop, Turn &amp; License, Rear Standard PM OR PM C</t>
  </si>
  <si>
    <t>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Powerplant Diagnostics</t>
  </si>
  <si>
    <t>Brakes Diagnostics Powerplant Diagnostics</t>
  </si>
  <si>
    <t>01657A0000400683</t>
  </si>
  <si>
    <t>HVAC Diagnostics Brake Parts - Position Not Specified</t>
  </si>
  <si>
    <t>01657A0000400590</t>
  </si>
  <si>
    <t>01657A0000400353</t>
  </si>
  <si>
    <t>2026-05-16</t>
  </si>
  <si>
    <t>1657-0003888</t>
  </si>
  <si>
    <t>3/30/2026 12:48:00 PM</t>
  </si>
  <si>
    <t>1FTRS4X88PKA69733</t>
  </si>
  <si>
    <t>GARDA LTS SYSTEM CHECK</t>
  </si>
  <si>
    <t>1657-0003885</t>
  </si>
  <si>
    <t>3/30/2026 11:45:44 AM</t>
  </si>
  <si>
    <t>1075595329</t>
  </si>
  <si>
    <t>CAMERAS CAMERAS CAMERAS CAMERAS CAMERAS CAMERAS CAMERAS CAMERAS CAMERAS CAMERAS CAMERAS CAMERAS CAMERAS CAMERAS CAMERAS</t>
  </si>
  <si>
    <t>1657-0003902</t>
  </si>
  <si>
    <t>3/30/2026 3:57:31 PM</t>
  </si>
  <si>
    <t>1075823528</t>
  </si>
  <si>
    <t>1657-0003890</t>
  </si>
  <si>
    <t>3/30/2026 1:26:00 PM</t>
  </si>
  <si>
    <t>1657-0003910</t>
  </si>
  <si>
    <t>3/30/2026 5:36:00 PM</t>
  </si>
  <si>
    <t>1657-0003834</t>
  </si>
  <si>
    <t>3/30/2026 5:01:00 AM</t>
  </si>
  <si>
    <t>1075267611</t>
  </si>
  <si>
    <t>1657-0003850</t>
  </si>
  <si>
    <t>3/30/2026 7:29:00 AM</t>
  </si>
  <si>
    <t>1657-0003847</t>
  </si>
  <si>
    <t>3/30/2026 7:21:00 AM</t>
  </si>
  <si>
    <t>LIGHTING OPERATIONAL-REPLACE BRAKE LIGHT BULB-ALL Total Vehicle Assembly Total Vehicle Assembly Total Vehicle Assembly</t>
  </si>
  <si>
    <t>1657-0003901</t>
  </si>
  <si>
    <t>3/30/2026 3:51:02 PM</t>
  </si>
  <si>
    <t>1075818088</t>
  </si>
  <si>
    <t>1657-0003845</t>
  </si>
  <si>
    <t>3/30/2026 7:14:00 AM</t>
  </si>
  <si>
    <t>1657-0003892</t>
  </si>
  <si>
    <t>3/30/2026 1:35:00 PM</t>
  </si>
  <si>
    <t>Glass - Windshield HVAC Diagnostics HVAC Diagnostics HVAC Diagnostics Fifth Wheel - Lower Coupler Assembly Cab Or Front Door Panels Cab Or Front Door Panels Cab Or Front Door Panels INSPECTION SAFETY INSPECTION SAFETY Clutch Body Moldings - Exterior</t>
  </si>
  <si>
    <t>1657-0003842</t>
  </si>
  <si>
    <t>3/30/2026 7:03:00 AM</t>
  </si>
  <si>
    <t>Tires, Tubes, Liners, Valves Diagnostics General Accessories Diagnostics</t>
  </si>
  <si>
    <t>1657-0003865</t>
  </si>
  <si>
    <t>3/30/2026 9:17:00 AM</t>
  </si>
  <si>
    <t>Monitoring System - Air Brake, Complete Windshield Washer Assembly Windshield Washer Assembly HVAC Diagnostics INSPECTION SAFETY Body Moldings - Exterior Horn &amp; Mounting Horn &amp; Mounting Horn &amp; Mounting Horn &amp; Mounting Horn &amp; Mounting Linkage Assembly - Windshield Wiper</t>
  </si>
  <si>
    <t>1657-0003896</t>
  </si>
  <si>
    <t>3/30/2026 2:47:58 PM</t>
  </si>
  <si>
    <t>1075759242</t>
  </si>
  <si>
    <t>1657-0003832</t>
  </si>
  <si>
    <t>3/30/2026 5:29:00 AM</t>
  </si>
  <si>
    <t>Triangle - Safety Triangle - Safety Steering Diagnostics Steering Diagnostics Steering Diagnostics Total Vehicle Assembly Headlamps CAMERAS</t>
  </si>
  <si>
    <t>1657-0003894</t>
  </si>
  <si>
    <t>3/30/2026 1:29:49 PM</t>
  </si>
  <si>
    <t>1075684945</t>
  </si>
  <si>
    <t>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t>
  </si>
  <si>
    <t>1657-0003906</t>
  </si>
  <si>
    <t>3/30/2026 4:52:05 PM</t>
  </si>
  <si>
    <t>1075866779</t>
  </si>
  <si>
    <t>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t>
  </si>
  <si>
    <t>1657-0003915</t>
  </si>
  <si>
    <t>3/31/2026 3:49:01 AM</t>
  </si>
  <si>
    <t>1076268693</t>
  </si>
  <si>
    <t>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t>
  </si>
  <si>
    <t>1657-0003830</t>
  </si>
  <si>
    <t>3/30/2026 4:18:29 AM</t>
  </si>
  <si>
    <t>1075215744</t>
  </si>
  <si>
    <t>1657-0003873</t>
  </si>
  <si>
    <t>3/30/2026 9:08:15 AM</t>
  </si>
  <si>
    <t>aFeL9GY6vM0aBTaAPOBS3QA</t>
  </si>
  <si>
    <t>Lighting System CAMERAS CAMERAS Indicator - Warning, Coolant Level Indicator - Warning, Coolant Level Monitoring System - Air Brake, Complete Monitoring System - Air Brake, Complete Total Vehicle Assembly Mirrors Mirrors Tire - Pneumatic Tire - Pneumatic</t>
  </si>
  <si>
    <t>1657-0003875</t>
  </si>
  <si>
    <t>3/30/2026 10:23:00 AM</t>
  </si>
  <si>
    <t>Fire Extinguisher CAMERAS ANNUAL INSPECTION ANNUAL INSPECTION ANNUAL INSPECTION</t>
  </si>
  <si>
    <t>ANNUAL INSPECTION ANNUAL INSPECTION ANNUAL INSPECTION ANNUAL INSPECTION Steering Diagnostics Fire Extinguisher Fire Extinguisher CAMERAS CAMERAS Total Vehicle Assembly</t>
  </si>
  <si>
    <t>1657-0003905</t>
  </si>
  <si>
    <t>3/30/2026 4:16:59 PM</t>
  </si>
  <si>
    <t>1075839736</t>
  </si>
  <si>
    <t>Holder - Permits Security System - Cab Alarm Lighting System</t>
  </si>
  <si>
    <t>1657-0003844</t>
  </si>
  <si>
    <t>3/30/2026 7:09:00 AM</t>
  </si>
  <si>
    <t>Lighting System Lighting System Lighting System Lighting System Lighting System Lighting System Lighting System Lighting System Lighting System Lighting System Lighting System Lighting System Lighting System Lighting System Lighting System Total Vehicle Assembly Total Vehicle Assembly Total Vehicle Assembly Total Vehicle Assembly Total Vehicle Assembly Total Vehicle Assembly Total Vehicle Assembly Total Vehicle Assembly Windshield Washer Assembly Windshield Washer Assembly Windshield Washer Assembly Windshield Washer Assembly Windshield Washer Assembly Windshield Washer Assembly Windshield Washer Assembly Windshield Washer Assembly Windshield Washer Assembly Windshield Washer Assembly Windshield Washer Assembly Windshield Washer Assembly Windshield Washer Assembly Windshield Washer Assembly Windshield Washer Assembly Wheels, Rims, Hubs &amp; Bearings Wheels, Rims, Hubs &amp; Bearings Wheels, Rims, Hubs &amp; Bearings Wheels, Rims, Hubs &amp; Bearings Wheels, Rims, Hubs &amp; Bearings Wheels, Rims, Hubs &amp; Bearings Wheels, Rims, Hubs &amp; Bearings Wheels, Rims, Hubs &amp; Bearings Wheels, Rims, Hubs &amp; Bearings Wheels, Rims, Hubs &amp; Bearings Wheels, Rims, Hubs &amp; Bearings Wheels, Rims, Hubs &amp; Bearings Wheels, Rims, Hubs &amp; Bearings Wheels, Rims, Hubs &amp; Bearings Wheels, Rims, Hubs &amp; Bearings Linkage Assembly - Windshield Wiper</t>
  </si>
  <si>
    <t>1657-0003880</t>
  </si>
  <si>
    <t>3/30/2026 11:22:00 AM</t>
  </si>
  <si>
    <t>LIGHTING OPERATIONAL-REPLACE LIGHT/BULB(INTERIOR)-ALL LIGHTING OPERATIONAL-REPLACE LIGHT/BULB(INTERIOR)-ALL LIGHTING OPERATIONAL-REPLACE LIGHT/BULB(INTERIOR)-ALL LIGHTING OPERATIONAL-REPLACE LIGHT/BULB(INTERIOR)-ALL LIGHTING OPERATIONAL-REPLACE LIGHT/BULB(INTERIOR)-ALL LIGHTING OPERATIONAL-REPLACE LIGHT/BULB(INTERIOR)-ALL LIGHTING OPERATIONAL-REPLACE LIGHT/BULB(INTERIOR)-ALL Total Vehicle Assembly Total Vehicle Assembly Total Vehicle Assembly</t>
  </si>
  <si>
    <t>1657-0003900</t>
  </si>
  <si>
    <t>3/30/2026 3:44:14 PM</t>
  </si>
  <si>
    <t>1075812164</t>
  </si>
  <si>
    <t>Parking Brakes Parking Brakes Steering Diagnostics LIGHTING OPERATIONAL-REPLACE LIGHT/BULB(INTERIOR)-ALL Windshield Washer Assembly</t>
  </si>
  <si>
    <t>Total Vehicle Assembly Lighting System Lighting System</t>
  </si>
  <si>
    <t>1657-0003889</t>
  </si>
  <si>
    <t>3/30/2026 12:58:20 PM</t>
  </si>
  <si>
    <t>1075655696</t>
  </si>
  <si>
    <t>1FTRS4X87LKA53033</t>
  </si>
  <si>
    <t>1657-0003903</t>
  </si>
  <si>
    <t>3/30/2026 4:48:00 PM</t>
  </si>
  <si>
    <t>Headlamps Horn &amp; Mounting Horn &amp; Mounting Horn &amp; Mounting Horn &amp; Mounting Horn &amp; Mounting Horn &amp; Mounting Horn &amp; Mounting Horn &amp; Mounting Horn &amp; Mounting Horn &amp; Mounting ANNUAL INSPECTION</t>
  </si>
  <si>
    <t>1657-0003904</t>
  </si>
  <si>
    <t>3/30/2026 4:02:37 PM</t>
  </si>
  <si>
    <t>1075827933</t>
  </si>
  <si>
    <t>1657-0003893</t>
  </si>
  <si>
    <t>3/30/2026 1:37:00 PM</t>
  </si>
  <si>
    <t>Mirrors</t>
  </si>
  <si>
    <t>1657-0003837</t>
  </si>
  <si>
    <t>3/30/2026 5:39:44 AM</t>
  </si>
  <si>
    <t>aCfcehOs6lE6kwhQi2-7u9A</t>
  </si>
  <si>
    <t>1657-0003848</t>
  </si>
  <si>
    <t>3/30/2026 7:27:00 AM</t>
  </si>
  <si>
    <t>1657-0003849</t>
  </si>
  <si>
    <t>3/30/2026 7:28:00 AM</t>
  </si>
  <si>
    <t>Line - Oil Pressure Gauge Line - Oil Pressure Gauge Line - Oil Pressure Gauge Line - Oil Pressure Gauge Line - Oil Pressure Gauge Line - Oil Pressure Gauge Line - Oil Pressure Gauge Line - Oil Pressure Gauge Line - Oil Pressure Gauge Line - Oil Pressure Gauge Line - Oil Pressure Gauge LIGHTING OPERATIONAL-REPLACE LIGHT/BULB(INTERIOR)-ALL LIGHTING OPERATIONAL-REPLACE LIGHT/BULB(INTERIOR)-ALL LIGHTING OPERATIONAL-REPLACE LIGHT/BULB(INTERIOR)-ALL Total Vehicle Assembly Total Vehicle Assembly Total Vehicle Assembly Total Vehicle Assembly Total Vehicle Assembly Total Vehicle Assembly Linkage Assembly - Windshield Wiper GARDA LTS SYSTEM CHECK Headlamps Headlamps Air Conditioning Assembly - Complete Air Conditioning Assembly - Complete Air Conditioning Assembly - Complete Wheels, Rims, Hubs &amp; Bearings Wheels, Rims, Hubs &amp; Bearings Wheels, Rims, Hubs &amp; Bearings Wheels, Rims, Hubs &amp; Bearings Wheels, Rims, Hubs &amp; Bearings Wheels, Rims, Hubs &amp; Bearings Wheels, Rims, Hubs &amp; Bearings Wheels, Rims, Hubs &amp; Bearings Wheels, Rims, Hubs &amp; Bearings Wheels, Rims, Hubs &amp; Bearings BATTERY REPLACEMENT BATTERY REPLACEMENT BATTERY REPLACEMENT BATTERY REPLACEMENT</t>
  </si>
  <si>
    <t>GARDA LTS SYSTEM CHECK LIGHTING OPERATIONAL-REPLACE LIGHT/BULB(INTERIOR)-ALL LIGHTING OPERATIONAL-REPLACE LIGHT/BULB(INTERIOR)-ALL LIGHTING OPERATIONAL-REPLACE LIGHT/BULB(INTERIOR)-ALL Line - Oil Pressure Gauge Line - Oil Pressure Gauge Line - Oil Pressure Gauge Line - Oil Pressure Gauge Line - Oil Pressure Gauge Line - Oil Pressure Gauge Line - Oil Pressure Gauge Line - Oil Pressure Gauge Line - Oil Pressure Gauge Line - Oil Pressure Gauge Line - Oil Pressure Gauge Steering Diagnostics Total Vehicle Assembly Total Vehicle Assembly Total Vehicle Assembly Total Vehicle Assembly Total Vehicle Assembly Total Vehicle Assembly Total Vehicle Assembly Total Vehicle Assembly Total Vehicle Assembly Total Vehicle Assembly Total Vehicle Assembly Total Vehicle Assembly Wheels, Rims, Hubs &amp; Bearings Wheels, Rims, Hubs &amp; Bearings Wheels, Rims, Hubs &amp; Bearings Wheels, Rims, Hubs &amp; Bearings Wheels, Rims, Hubs &amp; Bearings Wheels, Rims, Hubs &amp; Bearings Wheels, Rims, Hubs &amp; Bearings Wheels, Rims, Hubs &amp; Bearings Wheels, Rims, Hubs &amp; Bearings Wheels, Rims, Hubs &amp; Bearings Air Conditioning Assembly - Complete Air Conditioning Assembly - Complete Air Conditioning Assembly - Complete Air Conditioning Assembly - Complete Air Conditioning Assembly - Complete Headlamps Headlamps BATTERY REPLACEMENT BATTERY REPLACEMENT BATTERY REPLACEMENT BATTERY REPLACEMENT Linkage Assembly - Windshield Wiper</t>
  </si>
  <si>
    <t>GARDA LTS SYSTEM CHECK Fluid - Power Steering Fluid - Power Steering CAMERAS Steering Linkage</t>
  </si>
  <si>
    <t>1657-0003836</t>
  </si>
  <si>
    <t>3/30/2026 5:21:20 AM</t>
  </si>
  <si>
    <t>1075293108</t>
  </si>
  <si>
    <t>Windshield Washer Assembly Linkage Assembly - Windshield Wiper Linkage Assembly - Windshield Wiper</t>
  </si>
  <si>
    <t>1657-0003835</t>
  </si>
  <si>
    <t>3/30/2026 5:15:19 AM</t>
  </si>
  <si>
    <t>1075285629</t>
  </si>
  <si>
    <t>Estimate Declined: na</t>
  </si>
  <si>
    <t>1657-0003831</t>
  </si>
  <si>
    <t>3/30/2026 5:12:00 AM</t>
  </si>
  <si>
    <t>3/30/2026 12:12:29 PM</t>
  </si>
  <si>
    <t>3/30/2026 12:12:10 PM</t>
  </si>
  <si>
    <t>VRO 1657-0003831 has been Accepted
Note:</t>
  </si>
  <si>
    <t>1657-0003855</t>
  </si>
  <si>
    <t>3/30/2026 8:13:00 AM</t>
  </si>
  <si>
    <t>3/30/2026 7:25:53 PM</t>
  </si>
  <si>
    <t>3/30/2026 6:41:51 PM</t>
  </si>
  <si>
    <t>VRO 1657-0003855 has been Accepted
Note:</t>
  </si>
  <si>
    <t>1657-0003879</t>
  </si>
  <si>
    <t>3/30/2026 11:01:00 AM</t>
  </si>
  <si>
    <t>3/30/2026 6:02:41 PM</t>
  </si>
  <si>
    <t>3/31/2026 6:00:43 PM</t>
  </si>
  <si>
    <t>VRO 1657-0003879 has been Accepted
Note:</t>
  </si>
  <si>
    <t>1657-0003872</t>
  </si>
  <si>
    <t>3/30/2026 9:53:00 AM</t>
  </si>
  <si>
    <t>3/30/2026 4:53:42 PM</t>
  </si>
  <si>
    <t>3/30/2026 4:53:20 PM</t>
  </si>
  <si>
    <t>VRO 1657-0003872 has been Accepted
Note:</t>
  </si>
  <si>
    <t>1657-0003884</t>
  </si>
  <si>
    <t>3/30/2026 11:30:00 AM</t>
  </si>
  <si>
    <t>3/30/2026 6:33:07 PM</t>
  </si>
  <si>
    <t>3/30/2026 6:30:38 PM</t>
  </si>
  <si>
    <t>Advance 9193092424 set up to look at unit after 5 pm est.</t>
  </si>
  <si>
    <t>1FTRS4X84PKA70992</t>
  </si>
  <si>
    <t>1657-0003857</t>
  </si>
  <si>
    <t>3/30/2026 8:22:00 AM</t>
  </si>
  <si>
    <t>3/30/2026 3:25:03 PM</t>
  </si>
  <si>
    <t>3/30/2026 3:21:48 PM</t>
  </si>
  <si>
    <t>VRO 1657-0003857 has been Accepted
Note:</t>
  </si>
  <si>
    <t>1657-0003833</t>
  </si>
  <si>
    <t>3/30/2026 5:52:00 AM</t>
  </si>
  <si>
    <t>3/30/2026 12:53:51 PM</t>
  </si>
  <si>
    <t>3/30/2026 12:53:02 PM</t>
  </si>
  <si>
    <t>Advance to have parts in tomorrow ECD 4/1</t>
  </si>
  <si>
    <t>1657-0003864</t>
  </si>
  <si>
    <t>3/30/2026 4:23:25 PM</t>
  </si>
  <si>
    <t>3/30/2026 4:16:47 PM</t>
  </si>
  <si>
    <t>description need to be complete</t>
  </si>
  <si>
    <t>1048141703</t>
  </si>
  <si>
    <t>4/5/2026 12:00:00 AM</t>
  </si>
  <si>
    <t>1657-0003871</t>
  </si>
  <si>
    <t>3/30/2026 9:52:00 AM</t>
  </si>
  <si>
    <t>3/30/2026 4:53:10 PM</t>
  </si>
  <si>
    <t>3/30/2026 4:51:55 PM</t>
  </si>
  <si>
    <t>VRO 1657-0003871 has been Accepted
Note:</t>
  </si>
  <si>
    <t>1657-0003866</t>
  </si>
  <si>
    <t>3/30/2026 9:24:00 AM</t>
  </si>
  <si>
    <t>3/30/2026 4:25:58 PM</t>
  </si>
  <si>
    <t>3/30/2026 4:25:30 PM</t>
  </si>
  <si>
    <t>VRO 1657-0003866 has been Accepted
Note:</t>
  </si>
  <si>
    <t>1657-0003891</t>
  </si>
  <si>
    <t>3/30/2026 1:28:00 PM</t>
  </si>
  <si>
    <t>3/30/2026 8:29:28 PM</t>
  </si>
  <si>
    <t>3/31/2026 8:28:07 PM</t>
  </si>
  <si>
    <t>VRO 1657-0003891 has been Accepted
Note:</t>
  </si>
  <si>
    <t>3/30/2026 9:48:04 PM</t>
  </si>
  <si>
    <t>3/30/2026 9:47:31 PM</t>
  </si>
  <si>
    <t>VRO 1657-0003618 has been Accepted
Note:</t>
  </si>
  <si>
    <t>3/30/2026 7:20:13 PM</t>
  </si>
  <si>
    <t>3/30/2026 7:19:23 PM</t>
  </si>
  <si>
    <t>VRO 1657-0003797 has been Accepted
Note:</t>
  </si>
  <si>
    <t>1657-0003912</t>
  </si>
  <si>
    <t>3/30/2026 5:58:00 PM</t>
  </si>
  <si>
    <t>3/31/2026 12:58:54 AM</t>
  </si>
  <si>
    <t>3/31/2026 12:58:32 AM</t>
  </si>
  <si>
    <t>1657-0003887</t>
  </si>
  <si>
    <t>3/30/2026 12:05:00 PM</t>
  </si>
  <si>
    <t>3/30/2026 7:05:49 PM</t>
  </si>
  <si>
    <t>3/31/2026 7:05:23 PM</t>
  </si>
  <si>
    <t>3/30/2026 10:13:05 PM</t>
  </si>
  <si>
    <t>3/30/2026 10:12:28 PM</t>
  </si>
  <si>
    <t>1657-0003838</t>
  </si>
  <si>
    <t>3/30/2026 6:00:26 AM</t>
  </si>
  <si>
    <t>3/30/2026 7:03:10 PM</t>
  </si>
  <si>
    <t>3/31/2026 7:02:42 PM</t>
  </si>
  <si>
    <t>aTu6lFEJQOk68illC9BSUpA</t>
  </si>
  <si>
    <t>Total Vehicle Assembly Total Vehicle Assembly</t>
  </si>
  <si>
    <t>Cooling Systems Diagnostics Module - Motor Control Drive Shaft Diagnostics Powerplant Diagnostics</t>
  </si>
  <si>
    <t>Door - Access Brakes Diagnostics</t>
  </si>
  <si>
    <t>Oil Pump &amp; Distribution System Oil Pump &amp; Distribution System Independent Front Suspension Independent Front Suspension Tire - Pneumatic</t>
  </si>
  <si>
    <t>1657-0003911</t>
  </si>
  <si>
    <t>3/31/2026 12:36:57 AM</t>
  </si>
  <si>
    <t>3/31/2026 12:36:26 AM</t>
  </si>
  <si>
    <t>1657-0003877</t>
  </si>
  <si>
    <t>3/30/2026 10:35:00 AM</t>
  </si>
  <si>
    <t>3/30/2026 5:41:34 PM</t>
  </si>
  <si>
    <t>3/30/2026 7:35:29 PM</t>
  </si>
  <si>
    <t>1657-0003899</t>
  </si>
  <si>
    <t>3/30/2026 3:48:00 PM</t>
  </si>
  <si>
    <t>3/30/2026 10:49:12 PM</t>
  </si>
  <si>
    <t>3/31/2026 12:48:02 AM</t>
  </si>
  <si>
    <t>01657A0000400415</t>
  </si>
  <si>
    <t>1FTRS4XM3KKA81228</t>
  </si>
  <si>
    <t>1657-0003861</t>
  </si>
  <si>
    <t>3/30/2026 9:01:00 AM</t>
  </si>
  <si>
    <t>3/30/2026 4:02:10 PM</t>
  </si>
  <si>
    <t>3/30/2026 4:01:50 PM</t>
  </si>
  <si>
    <t>VRO 1657-0003861 has been Accepted
Note:</t>
  </si>
  <si>
    <t>Powerplant Diagnostics Tires, Tubes, Liners, Valves Diagnostics</t>
  </si>
  <si>
    <t>VRO 1657-0002233 has been Accepted
Note:</t>
  </si>
  <si>
    <t>hp 03/30</t>
  </si>
  <si>
    <t>01657A0000400377</t>
  </si>
  <si>
    <t>2NPNHM6X8JM461874</t>
  </si>
  <si>
    <t>1657-0003860</t>
  </si>
  <si>
    <t>3/30/2026 8:37:00 AM</t>
  </si>
  <si>
    <t>3/30/2026 3:39:50 PM</t>
  </si>
  <si>
    <t>3/30/2026 3:37:12 PM</t>
  </si>
  <si>
    <t>VRO 1657-0003860 has been Accepted
Note:</t>
  </si>
  <si>
    <t>01657A0000399997</t>
  </si>
  <si>
    <t>1657-0003828</t>
  </si>
  <si>
    <t>3/30/2026 4:12:00 AM</t>
  </si>
  <si>
    <t>3/30/2026 11:36:39 AM</t>
  </si>
  <si>
    <t>3/30/2026 11:12:33 AM</t>
  </si>
  <si>
    <t>VRO 1657-0003828 has been Accepted
Note:</t>
  </si>
  <si>
    <t>01657A0000401096</t>
  </si>
  <si>
    <t>1657-0003909</t>
  </si>
  <si>
    <t>3/30/2026 5:31:00 PM</t>
  </si>
  <si>
    <t>3/31/2026 12:31:53 AM</t>
  </si>
  <si>
    <t>3/31/2026 12:31:02 AM</t>
  </si>
  <si>
    <t>VRO 1657-0003909 has been Accepted
Note:</t>
  </si>
  <si>
    <t>01657A0000400491</t>
  </si>
  <si>
    <t>1657-0003870</t>
  </si>
  <si>
    <t>3/30/2026 9:49:00 AM</t>
  </si>
  <si>
    <t>3/30/2026 4:49:59 PM</t>
  </si>
  <si>
    <t>3/30/2026 4:49:15 PM</t>
  </si>
  <si>
    <t>VRO 1657-0003870 has been Accepted
Note:</t>
  </si>
  <si>
    <t>Lighting System Diagnostic HVAC Diagnostics Brakes Diagnostics</t>
  </si>
  <si>
    <t>Shoe - Rear Brake Standard PM OR PM C Standard PM OR PM C Standard PM OR PM C Standard PM OR PM C Standard PM OR PM C Standard PM OR PM C Standard PM OR PM C Standard PM OR PM C Standard PM OR PM C Standard PM OR PM C Standard PM OR PM C Standard PM OR PM C Standard PM OR PM C</t>
  </si>
  <si>
    <t>01657A0000400802</t>
  </si>
  <si>
    <t>1657-0003878</t>
  </si>
  <si>
    <t>3/30/2026 10:41:00 AM</t>
  </si>
  <si>
    <t>3/30/2026 7:23:14 PM</t>
  </si>
  <si>
    <t>3/30/2026 6:36:41 PM</t>
  </si>
  <si>
    <t>VRO 1657-0003878 has been Accepted
Note:</t>
  </si>
  <si>
    <t>01657A0000400715</t>
  </si>
  <si>
    <t>1657-0003883</t>
  </si>
  <si>
    <t>3/30/2026 11:24:00 AM</t>
  </si>
  <si>
    <t>3/30/2026 6:26:26 PM</t>
  </si>
  <si>
    <t>3/30/2026 6:23:57 PM</t>
  </si>
  <si>
    <t>VRO 1657-0003883 has been Accepted
Note:</t>
  </si>
  <si>
    <t>01657A0000400488</t>
  </si>
  <si>
    <t>1657-0003868</t>
  </si>
  <si>
    <t>3/30/2026 9:46:00 AM</t>
  </si>
  <si>
    <t>3/30/2026 4:46:11 PM</t>
  </si>
  <si>
    <t>3/30/2026 4:45:46 PM</t>
  </si>
  <si>
    <t>VRO 1657-0003868 has been Accepted
Note:</t>
  </si>
  <si>
    <t>01657A0000400825</t>
  </si>
  <si>
    <t>Standard PM OR PM C Frame Assembly  Components Bulbs, Fuses &amp; Wiring</t>
  </si>
  <si>
    <t>Exhaust Manifold Injectors - Mechanical Modules - Electrical, Multiple Use</t>
  </si>
  <si>
    <t>VRO 1657-0002749 has been Accepted
Note:</t>
  </si>
  <si>
    <t>1657-0003862</t>
  </si>
  <si>
    <t>3/30/2026 9:11:00 AM</t>
  </si>
  <si>
    <t>3/30/2026 4:13:23 PM</t>
  </si>
  <si>
    <t>3/30/2026 6:10:40 PM</t>
  </si>
  <si>
    <t>CORPORATE CUSTOMZ INC.</t>
  </si>
  <si>
    <t>VRO 1657-0003862 has been Accepted
Note:</t>
  </si>
  <si>
    <t>Lighting System Diagnostic HVAC Diagnostics</t>
  </si>
  <si>
    <t>Exhaust Aftertreatment Devices Thermostat - Engine Cooling System Lever - Dash Control Assembly Solenoid Valve - Fan Clutch Powerplant Diagnostics Standard PM OR PM C</t>
  </si>
  <si>
    <t>01657A0000401136</t>
  </si>
  <si>
    <t>1657-0003914</t>
  </si>
  <si>
    <t>3/31/2026 3:48:00 AM</t>
  </si>
  <si>
    <t>3/31/2026 10:48:21 AM</t>
  </si>
  <si>
    <t>3/31/2026 10:48:00 AM</t>
  </si>
  <si>
    <t>VRO 1657-0003914 has been Accepted
Note:</t>
  </si>
  <si>
    <t>01657A0000401021</t>
  </si>
  <si>
    <t>1FDWE3FL1ADA97942</t>
  </si>
  <si>
    <t>1657-0003895</t>
  </si>
  <si>
    <t>3/30/2026 3:00:00 PM</t>
  </si>
  <si>
    <t>3/30/2026 10:00:18 PM</t>
  </si>
  <si>
    <t>3/30/2026 9:59:56 PM</t>
  </si>
  <si>
    <t>VRO 1657-0003895 has been Accepted
Note:</t>
  </si>
  <si>
    <t>01657A0000401116</t>
  </si>
  <si>
    <t>1FTRS4X89PKA63858</t>
  </si>
  <si>
    <t>1657-0003913</t>
  </si>
  <si>
    <t>3/31/2026 3:09:00 AM</t>
  </si>
  <si>
    <t>3/31/2026 10:10:24 AM</t>
  </si>
  <si>
    <t>3/31/2026 10:08:57 AM</t>
  </si>
  <si>
    <t>VRO 1657-0003913 has been Accepted
Note: N/A</t>
  </si>
  <si>
    <t>PENDING INVOCIE</t>
  </si>
  <si>
    <t>01657A0000401058</t>
  </si>
  <si>
    <t>1657-0003897</t>
  </si>
  <si>
    <t>3/30/2026 3:19:00 PM</t>
  </si>
  <si>
    <t>3/30/2026 10:26:39 PM</t>
  </si>
  <si>
    <t>3/30/2026 10:19:35 PM</t>
  </si>
  <si>
    <t>VRO 1657-0003897 has been Accepted
Note:</t>
  </si>
  <si>
    <t>Monitoring System - Air Brake, Complete Flasher - 4-Way Hazard Signal</t>
  </si>
  <si>
    <t>PM B Suspension Diagnostics Powerplant Diagnostics Lighting System Diagnostic</t>
  </si>
  <si>
    <t>VRO 1657-0001202 has been Accepted
Note:</t>
  </si>
  <si>
    <t>VRO 1657-0002951 has been Accepted
Note:</t>
  </si>
  <si>
    <t>Flasher - 4-Way Hazard Signal Wheels, Rims &amp; Bearings Diagnostics Indicator - Warning, Coolant Level</t>
  </si>
  <si>
    <t>01657A0000401001</t>
  </si>
  <si>
    <t>TITLE/REGISTRATION ANNUAL INSPECTION Windshield Washer Assembly Fire Extinguisher</t>
  </si>
  <si>
    <t>3/30/2026 9:37:06 PM</t>
  </si>
  <si>
    <t>3/30/2026 9:36:34 PM</t>
  </si>
  <si>
    <t>VRO 1657-0003624 has been Accepted
Note:</t>
  </si>
  <si>
    <t>Coil &amp; Spark Plugs Rear Brakes &amp; Drums Front Brakes &amp; Drums Signal, Parking, &amp; Backup Lamps Seal Kit - Rear Drive Axle ENGINE DIAGNOSTIC</t>
  </si>
  <si>
    <t>01657A0000400209</t>
  </si>
  <si>
    <t>1657-0003846</t>
  </si>
  <si>
    <t>3/30/2026 7:19:00 AM</t>
  </si>
  <si>
    <t>3/30/2026 2:19:29 PM</t>
  </si>
  <si>
    <t>3/30/2026 2:19:02 PM</t>
  </si>
  <si>
    <t>VRO 1657-0003846 has been Accepted
Note:</t>
  </si>
  <si>
    <t>VRO 1657-0000418 has been Accepted
Note:</t>
  </si>
  <si>
    <t>01657A0000400696</t>
  </si>
  <si>
    <t>1657-0003881</t>
  </si>
  <si>
    <t>3/30/2026 6:23:54 PM</t>
  </si>
  <si>
    <t>3/30/2026 6:22:05 PM</t>
  </si>
  <si>
    <t>01657A0000388659</t>
  </si>
  <si>
    <t>Standard PM OR PM C Seat Belt Assembly CAB PARTITION ENGINE DIAGNOSTIC</t>
  </si>
  <si>
    <t>General Accessories Diagnostics General Accessories Diagnostics Tube - Manifold Pad - Parking Brake Pedal Hinge - Rear Door Walking Floor Assembly Guard - Security Seal, Rear Door Battery Manifold - Exhaust Tires, Tubes, Liners, Valves Diagnostics Tires, Tubes, Liners, Valves Diagnostics GARDA F650 PM LEVEL B GARDA F650 PM LEVEL B FRONT BRAKE PADS AND ROTORS INCLUDING REPLACING THE FRONT WH</t>
  </si>
  <si>
    <t>01657A0000372577</t>
  </si>
  <si>
    <t>01657A0000400434</t>
  </si>
  <si>
    <t>1657-0003863</t>
  </si>
  <si>
    <t>3/30/2026 4:11:46 PM</t>
  </si>
  <si>
    <t>3/30/2026 4:11:21 PM</t>
  </si>
  <si>
    <t>A INSPECTION GARDA E350 PM LEVEL B Lamps -  Tail, Stop, Turn &amp; License, Rear Cooling Systems Cab Or Front Door Mechanism Power Steering</t>
  </si>
  <si>
    <t>Windshield Wiper &amp; Washer Windshield Wiper &amp; Washer Mirrors Security System - Cab Alarm Lighting System Lighting System</t>
  </si>
  <si>
    <t>Total Vehicle Assembly Brakes Diagnostics Brakes Diagnostics Safety Equipment Windshield Wiper &amp; Washer Horn &amp; Mounting</t>
  </si>
  <si>
    <t>01657A0000401095</t>
  </si>
  <si>
    <t>01657A0000400290</t>
  </si>
  <si>
    <t>1657-0003851</t>
  </si>
  <si>
    <t>3/30/2026 7:50:00 AM</t>
  </si>
  <si>
    <t>3/30/2026 2:51:07 PM</t>
  </si>
  <si>
    <t>3/30/2026 2:50:16 PM</t>
  </si>
  <si>
    <t>Security System - Cab Alarm Security System - Cab Alarm Brakes Diagnostics Brakes Diagnostics Brakes Diagnostics</t>
  </si>
  <si>
    <t>Powerplant Diagnostics Lighting System Diagnostic Brakes Diagnostics</t>
  </si>
  <si>
    <t>Clamp - Oil Heater Hose Hose - Oil Cooler INSPECT AND DIAGNOSE</t>
  </si>
  <si>
    <t>TOWING SERVICE Side Door Mechanism Water Pump</t>
  </si>
  <si>
    <t>Bearings, Hubs - Position Not Specified Front Brakes &amp; Drums Axle Components - Non-Driven, Rear</t>
  </si>
  <si>
    <t>01657A0000397275</t>
  </si>
  <si>
    <t>Horn - Electric Housing &amp; Lamp - License Plate</t>
  </si>
  <si>
    <t>Tires, Tubes, Liners, Valves Diagnostics Lighting System Diagnostic</t>
  </si>
  <si>
    <t>01657A0000373194</t>
  </si>
  <si>
    <t>01657A0000400481</t>
  </si>
  <si>
    <t>1657-0003867</t>
  </si>
  <si>
    <t>3/30/2026 9:40:00 AM</t>
  </si>
  <si>
    <t>3/30/2026 4:40:27 PM</t>
  </si>
  <si>
    <t>3/30/2026 4:40:03 PM</t>
  </si>
  <si>
    <t>01657A0000400015</t>
  </si>
  <si>
    <t>1657-0003829</t>
  </si>
  <si>
    <t>3/30/2026 4:40:00 AM</t>
  </si>
  <si>
    <t>3/30/2026 11:42:57 AM</t>
  </si>
  <si>
    <t>3/30/2026 11:40:13 AM</t>
  </si>
  <si>
    <t>01657A0000400838</t>
  </si>
  <si>
    <t>Security System - Cab Alarm Holder - Permits</t>
  </si>
  <si>
    <t>Linkage Assembly - Windshield Wiper Mirrors</t>
  </si>
  <si>
    <t>Charging System Windshield Wiper &amp; Washer</t>
  </si>
  <si>
    <t>Gauges &amp; Warning Devices Mirrors Headlamps Security System - Cab Alarm TITLE/REGISTRATION Air Conditioning Assembly Glass - Windshield Lighting System Linkage Assembly - Windshield Wiper Triangle - Safety</t>
  </si>
  <si>
    <t>01657A0000400972</t>
  </si>
  <si>
    <t>1657-0003841</t>
  </si>
  <si>
    <t>3/30/2026 6:58:00 AM</t>
  </si>
  <si>
    <t>3/30/2026 4:19:37 PM</t>
  </si>
  <si>
    <t>3/30/2026 4:18:13 PM</t>
  </si>
  <si>
    <t>01657A0000400327</t>
  </si>
  <si>
    <t>1657-0003854</t>
  </si>
  <si>
    <t>3/30/2026 8:08:00 AM</t>
  </si>
  <si>
    <t>3/30/2026 3:09:38 PM</t>
  </si>
  <si>
    <t>3/30/2026 3:07:37 PM</t>
  </si>
  <si>
    <t>1657-0003882</t>
  </si>
  <si>
    <t>3/30/2026 6:25:48 PM</t>
  </si>
  <si>
    <t>3/30/2026 6:22:35 PM</t>
  </si>
  <si>
    <t>Brakes Diagnostics Lighting System</t>
  </si>
  <si>
    <t>01657A0000401067</t>
  </si>
  <si>
    <t>1657-0003898</t>
  </si>
  <si>
    <t>3/30/2026 3:40:00 PM</t>
  </si>
  <si>
    <t>3/30/2026 10:41:00 PM</t>
  </si>
  <si>
    <t>3/30/2026 10:40:35 PM</t>
  </si>
  <si>
    <t>Brakes Diagnostics Lighting System Lighting System Lighting System Windshield Wiper &amp; Washer</t>
  </si>
  <si>
    <t>01657A0000401061</t>
  </si>
  <si>
    <t>GARDA TRANSIT R&amp;R ALTERNATOR GARDA TRANSIT R&amp;R ALTERNATOR GARDA TRANSIT R&amp;R BATTERY GARDA TRANSIT R&amp;R BATTERY OTHER OTHER OTHER OTHER</t>
  </si>
  <si>
    <t>Pad Set - Rear Brake Link - Spring Control, Lower Control Arm Cap - Fuel Tank Front Brakes &amp; Drums ANNUAL INSPECTION Cooling Systems Diagnostics</t>
  </si>
  <si>
    <t>Steering Diagnostics Tires, Tubes, Liners, Valves Diagnostics Windshield Wiper &amp; Washer</t>
  </si>
  <si>
    <t>Brakes Diagnostics Powerplant Diagnostics Lighting System Diagnostic General Accessories Diagnostics</t>
  </si>
  <si>
    <t>01657A0000401069</t>
  </si>
  <si>
    <t>Total Vehicle Assembly Total Vehicle Assembly Front Brakes &amp; Drums Tire - Pneumatic PM C</t>
  </si>
  <si>
    <t>Lighting System Diagnostic Powerplant Diagnostics</t>
  </si>
  <si>
    <t>VRO 1657-0003625 has been Submitted for Review</t>
  </si>
  <si>
    <t>Brakes Diagnostics Mirror - Convex OTHER</t>
  </si>
  <si>
    <t>Seat Belt &amp; Retainer Assembly TOWING SERVICE TOWING SERVICE TOWING SERVICE</t>
  </si>
  <si>
    <t>1FDRS6PV5KKA44827</t>
  </si>
  <si>
    <t>1657-0003840</t>
  </si>
  <si>
    <t>3/30/2026 6:53:00 AM</t>
  </si>
  <si>
    <t>3/30/2026 1:57:29 PM</t>
  </si>
  <si>
    <t>3/30/2026 1:55:29 PM</t>
  </si>
  <si>
    <t>Front Brakes &amp; Drums Front Brakes &amp; Drums Halogen Capsule - High Beam, Headlamp</t>
  </si>
  <si>
    <t>01657A0000400368</t>
  </si>
  <si>
    <t>1657-0003858</t>
  </si>
  <si>
    <t>3/30/2026 8:27:00 AM</t>
  </si>
  <si>
    <t>3/30/2026 3:27:15 PM</t>
  </si>
  <si>
    <t>3/30/2026 3:26:52 PM</t>
  </si>
  <si>
    <t>Shoe &amp; Lining Assembly - Front Brake Shoe &amp; Lining Assembly - Front Brake Core &amp; Tank Assembly - Radiator Brakes Diagnostics Shoe &amp; Lining Assembly - Rear Brake Shoe &amp; Lining Assembly - Rear Brake</t>
  </si>
  <si>
    <t>01657A0000400571</t>
  </si>
  <si>
    <t>1657-0003874</t>
  </si>
  <si>
    <t>3/30/2026 10:21:00 AM</t>
  </si>
  <si>
    <t>3/30/2026 5:21:49 PM</t>
  </si>
  <si>
    <t>3/30/2026 5:21:34 PM</t>
  </si>
  <si>
    <t>GARDA PB330 PM LEVEL B GARDA PB330 R&amp;R BATTERY TOWING SERVICE</t>
  </si>
  <si>
    <t>Motor - Blower Standard PM OR PM C Modules - Electronic Diagnostics</t>
  </si>
  <si>
    <t>01657A0000400716</t>
  </si>
  <si>
    <t>1657-0003876</t>
  </si>
  <si>
    <t>3/30/2026 6:35:01 PM</t>
  </si>
  <si>
    <t>3/30/2026 5:24:54 PM</t>
  </si>
  <si>
    <t>Tire - Pneumatic Brake Parts - Position Not Specified Powerplant Diagnostics Powerplant Diagnostics</t>
  </si>
  <si>
    <t>1657-0005602</t>
  </si>
  <si>
    <t>HVAC Diagnostics Powerplant Diagnostics</t>
  </si>
  <si>
    <t>01657A0000400492</t>
  </si>
  <si>
    <t>1657-0003869</t>
  </si>
  <si>
    <t>3/30/2026 9:47:00 AM</t>
  </si>
  <si>
    <t>3/30/2026 4:48:58 PM</t>
  </si>
  <si>
    <t>3/30/2026 6:47:12 PM</t>
  </si>
  <si>
    <t>PM B HVAC Diagnostics Brakes Diagnostics Suspension Diagnostics Powerplant Diagnostics Clamp - Exhaust System Hose Assembly - Pressure Line Travel Time Cooling Systems Diagnostics</t>
  </si>
  <si>
    <t>GARDA F650 PM LEVEL B A INSPECTION</t>
  </si>
  <si>
    <t>Cranking System Diagnositics Lighting System Diagnostic Powerplant Diagnostics Catalytic Converter - Exhaust Aftertreatment Devices Brakes Diagnostics</t>
  </si>
  <si>
    <t>Front Steer Axle Wheel End Components Differential Carrier</t>
  </si>
  <si>
    <t>01657A0000401023</t>
  </si>
  <si>
    <t>GARDA TRANSIT PM Level B Tires, Tubes, Liners, Valves Diagnostics</t>
  </si>
  <si>
    <t>01657A0000387904</t>
  </si>
  <si>
    <t>1657-0002735</t>
  </si>
  <si>
    <t>3/17/2026 10:43:00 AM</t>
  </si>
  <si>
    <t>AmeritFleetAPI</t>
  </si>
  <si>
    <t>CREDIT VROS</t>
  </si>
  <si>
    <t>01657A0000390398</t>
  </si>
  <si>
    <t>1657-0002918</t>
  </si>
  <si>
    <t>3/19/2026 7:53:00 AM</t>
  </si>
  <si>
    <t>01657A0000398767</t>
  </si>
  <si>
    <t>1657-0003746</t>
  </si>
  <si>
    <t>3/27/2026 10:35:00 AM</t>
  </si>
  <si>
    <t>2026-04-05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</si>
</sst>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name val="Calibri"/>
    </font>
    <font>
      <sz val="11"/>
      <color theme="1"/>
      <name val="Aptos Narrow"/>
      <family val="2"/>
      <scheme val="minor"/>
    </font>
    <font>
      <sz val="11"/>
      <name val="Calibri"/>
      <family val="2"/>
    </font>
    <font>
      <sz val="11"/>
      <color theme="1"/>
      <name val="Calibri"/>
      <family val="2"/>
    </font>
    <font>
      <u/>
      <sz val="11"/>
      <color theme="10"/>
      <name val="Calibri"/>
      <family val="2"/>
    </font>
    <font>
      <u/>
      <sz val="11"/>
      <name val="Calibri"/>
      <family val="2"/>
    </font>
    <font>
      <sz val="11"/>
      <name val="Aptos Narrow"/>
      <family val="2"/>
      <scheme val="minor"/>
    </font>
    <font>
      <b/>
      <sz val="11"/>
      <name val="Arial"/>
    </font>
  </fonts>
  <fills count="3">
    <fill>
      <patternFill patternType="none"/>
    </fill>
    <fill>
      <patternFill patternType="gray125"/>
    </fill>
    <fill>
      <patternFill patternType="solid">
        <fgColor rgb="FF87CEFA"/>
        <bgColor rgb="FFADD8E6"/>
      </patternFill>
    </fill>
  </fills>
  <borders count="3">
    <border>
      <left/>
      <right/>
      <top/>
      <bottom/>
      <diagonal/>
    </border>
    <border>
      <left style="thin">
        <color theme="0"/>
      </left>
      <right style="thin">
        <color theme="0"/>
      </right>
      <top style="thin">
        <color theme="0"/>
      </top>
      <bottom style="thin">
        <color theme="0"/>
      </bottom>
      <diagonal/>
    </border>
    <border>
      <left/>
      <right/>
      <top/>
      <bottom style="thin">
        <color auto="1"/>
      </bottom>
      <diagonal/>
    </border>
  </borders>
  <cellStyleXfs count="2">
    <xf numFmtId="0" fontId="0" fillId="0" borderId="0"/>
    <xf numFmtId="0" fontId="4" fillId="0" borderId="0" applyNumberFormat="0" applyFill="0" applyBorder="0" applyAlignment="0" applyProtection="0"/>
  </cellStyleXfs>
  <cellXfs count="10">
    <xf numFmtId="0" fontId="0" fillId="0" borderId="0" xfId="0"/>
    <xf numFmtId="10" fontId="0" fillId="0" borderId="0" xfId="0" applyNumberFormat="1"/>
    <xf numFmtId="0" fontId="2" fillId="0" borderId="0" xfId="0" applyFont="1"/>
    <xf numFmtId="0" fontId="3" fillId="0" borderId="1" xfId="0" applyFont="1" applyBorder="1"/>
    <xf numFmtId="0" fontId="5" fillId="0" borderId="0" xfId="1" applyFont="1"/>
    <xf numFmtId="0" fontId="6" fillId="0" borderId="0" xfId="0" applyFont="1"/>
    <xf numFmtId="0" fontId="1" fillId="0" borderId="0" xfId="0" applyFont="1"/>
    <xf numFmtId="0" fontId="0" fillId="0" borderId="1" xfId="0" applyBorder="1"/>
    <xf numFmtId="0" fontId="3" fillId="0" borderId="0" xfId="0" applyFont="1"/>
    <xf numFmtId="49" fontId="7" fillId="2" borderId="2" xfId="0" applyNumberFormat="1" applyFont="1" applyFill="1" applyBorder="1" applyAlignment="1">
      <alignment horizontal="center"/>
    </xf>
  </cellXfs>
  <cellStyles count="2">
    <cellStyle name="Hyperlink" xfId="1" builtinId="8"/>
    <cellStyle name="Normal" xfId="0" builtinId="0"/>
  </cellStyles>
  <dxfs count="14">
    <dxf>
      <font>
        <b/>
        <i val="0"/>
        <strike val="0"/>
        <condense val="0"/>
        <extend val="0"/>
        <outline val="0"/>
        <shadow val="0"/>
        <u val="none"/>
        <vertAlign val="baseline"/>
        <sz val="11"/>
        <color auto="1"/>
        <name val="Arial"/>
        <scheme val="none"/>
      </font>
      <numFmt numFmtId="30" formatCode="@"/>
      <fill>
        <patternFill patternType="solid">
          <fgColor rgb="FFADD8E6"/>
          <bgColor rgb="FF87CEFA"/>
        </patternFill>
      </fill>
      <alignment horizontal="center" vertical="bottom" textRotation="0" wrapText="0" indent="0" justifyLastLine="0" shrinkToFit="0" readingOrder="0"/>
    </dxf>
    <dxf>
      <border outline="0">
        <bottom style="thin">
          <color auto="1"/>
        </bottom>
      </border>
    </dxf>
    <dxf>
      <border outline="0">
        <top style="thin">
          <color auto="1"/>
        </top>
      </border>
    </dxf>
    <dxf>
      <font>
        <color rgb="FF9C0006"/>
      </font>
      <fill>
        <patternFill>
          <bgColor rgb="FFFFC7CE"/>
        </patternFill>
      </fill>
    </dxf>
    <dxf>
      <fill>
        <patternFill patternType="none">
          <bgColor auto="1"/>
        </patternFill>
      </fill>
    </dxf>
    <dxf>
      <font>
        <strike val="0"/>
        <outline val="0"/>
        <shadow val="0"/>
        <vertAlign val="baseline"/>
        <sz val="11"/>
        <color auto="1"/>
      </font>
      <fill>
        <patternFill patternType="none">
          <bgColor auto="1"/>
        </patternFill>
      </fill>
    </dxf>
    <dxf>
      <fill>
        <patternFill patternType="none">
          <bgColor auto="1"/>
        </patternFill>
      </fill>
    </dxf>
    <dxf>
      <font>
        <b val="0"/>
        <i val="0"/>
        <strike val="0"/>
        <condense val="0"/>
        <extend val="0"/>
        <outline val="0"/>
        <shadow val="0"/>
        <u val="none"/>
        <vertAlign val="baseline"/>
        <sz val="11"/>
        <color theme="1"/>
        <name val="Calibri"/>
        <family val="2"/>
        <scheme val="none"/>
      </font>
      <fill>
        <patternFill patternType="none">
          <fgColor theme="4" tint="0.79998168889431442"/>
          <bgColor auto="1"/>
        </patternFill>
      </fill>
      <border diagonalUp="0" diagonalDown="0" outline="0">
        <left style="thin">
          <color theme="0"/>
        </left>
        <right style="thin">
          <color theme="0"/>
        </right>
        <top style="thin">
          <color theme="0"/>
        </top>
        <bottom style="thin">
          <color theme="0"/>
        </bottom>
      </border>
    </dxf>
    <dxf>
      <fill>
        <patternFill patternType="none">
          <bgColor auto="1"/>
        </patternFill>
      </fill>
    </dxf>
    <dxf>
      <font>
        <b val="0"/>
        <i val="0"/>
        <strike val="0"/>
        <condense val="0"/>
        <extend val="0"/>
        <outline val="0"/>
        <shadow val="0"/>
        <u val="none"/>
        <vertAlign val="baseline"/>
        <sz val="11"/>
        <color auto="1"/>
        <name val="Calibri"/>
        <family val="2"/>
        <scheme val="none"/>
      </font>
      <fill>
        <patternFill patternType="none">
          <bgColor auto="1"/>
        </patternFill>
      </fill>
    </dxf>
    <dxf>
      <numFmt numFmtId="0" formatCode="General"/>
    </dxf>
    <dxf>
      <numFmt numFmtId="0" formatCode="General"/>
    </dxf>
    <dxf>
      <numFmt numFmtId="0" formatCode="General"/>
    </dxf>
    <dxf>
      <border outline="0">
        <top style="thin">
          <color auto="1"/>
        </top>
      </bord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C774BECD-286B-4B9C-8677-032E8918C6D0}" name="Table3" displayName="Table3" ref="A1:S2258" totalsRowShown="0" headerRowDxfId="0" headerRowBorderDxfId="1" tableBorderDxfId="2">
  <autoFilter ref="A1:S2258" xr:uid="{C774BECD-286B-4B9C-8677-032E8918C6D0}">
    <filterColumn colId="14">
      <filters>
        <filter val="COMPLETED"/>
        <filter val="ESTIMATES"/>
        <filter val="PENDING ESTIMATES"/>
        <filter val="UNASSIGNED ROS"/>
        <filter val="WORK IN PROGRESS"/>
      </filters>
    </filterColumn>
  </autoFilter>
  <tableColumns count="19">
    <tableColumn id="1" xr3:uid="{4188A89E-950A-4D8A-B6DE-ED4888F19A78}" name="Customer"/>
    <tableColumn id="2" xr3:uid="{C64B243B-5072-467B-AE46-72E24CC86C62}" name="PO Number"/>
    <tableColumn id="3" xr3:uid="{9E04DFB4-B127-4830-A913-6CB181AF8B0E}" name="Vehicle"/>
    <tableColumn id="4" xr3:uid="{BE8F0108-45DE-420D-B0DE-CB8C59B1A982}" name="Unit No"/>
    <tableColumn id="5" xr3:uid="{652B3D21-D934-4C68-8504-45B967E3F2FA}" name="Type"/>
    <tableColumn id="6" xr3:uid="{1AB75149-FE84-410A-95E5-0572C1C15FDA}" name="Task"/>
    <tableColumn id="7" xr3:uid="{D45987CB-C1B8-416B-B0B8-A248BEB0E8DA}" name="Shop ID"/>
    <tableColumn id="8" xr3:uid="{BC2CEE11-A98F-4FCE-81BA-E0D015175D84}" name="Order"/>
    <tableColumn id="9" xr3:uid="{C68E0547-FB0D-4C0C-9059-81441F244112}" name="Opened"/>
    <tableColumn id="10" xr3:uid="{E9565ED6-3450-4351-8F04-2DA0407B1B14}" name="Estimate Requested Date"/>
    <tableColumn id="11" xr3:uid="{905159CF-70B8-4D73-9C49-00FA3784463D}" name="Estimate Due Date"/>
    <tableColumn id="12" xr3:uid="{60B996E2-791C-41EB-8D69-D965FA326DBE}" name="Unit Due Date"/>
    <tableColumn id="13" xr3:uid="{A4DCAFE1-F475-4002-BEDC-90BF9D48F4EE}" name="Vendor"/>
    <tableColumn id="14" xr3:uid="{FBF119EB-4C0F-42CA-8F57-7F1D95429204}" name="Owner"/>
    <tableColumn id="15" xr3:uid="{3BB2F534-F75E-4107-8018-567F88B5C2D3}" name="Status"/>
    <tableColumn id="16" xr3:uid="{C99FCC4C-DE26-46C0-97D8-27356BBEB784}" name="Completed Date"/>
    <tableColumn id="17" xr3:uid="{042AF788-D435-4CAE-AE2A-73481B3B4D96}" name="CC Vendor"/>
    <tableColumn id="18" xr3:uid="{608D0F23-50FB-4306-8E73-081E419C2F23}" name="Message"/>
    <tableColumn id="19" xr3:uid="{3ABDD027-D04F-4F04-A17C-71A017A503FC}" name="Customer PO"/>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5D9FFE-ECC7-488D-971A-56776E62C5B0}" name="Table17" displayName="Table17" ref="A1:P1773" totalsRowShown="0">
  <autoFilter ref="A1:P1773" xr:uid="{135D9FFE-ECC7-488D-971A-56776E62C5B0}"/>
  <tableColumns count="16">
    <tableColumn id="1" xr3:uid="{A82629BD-A1DD-46ED-88EC-1E3D05779279}" name="GARDA REGION"/>
    <tableColumn id="2" xr3:uid="{15881D70-495B-4BD5-999C-9112F5188757}" name="GARDA SUBREGION"/>
    <tableColumn id="3" xr3:uid="{46DD794F-89C0-44FF-8B29-B3F6E7C5BE34}" name="GARDA SHOPNAME"/>
    <tableColumn id="4" xr3:uid="{98989FC3-FDC3-47B6-A98D-02400E589B6B}" name="UNIT #"/>
    <tableColumn id="5" xr3:uid="{33AB5D8B-E249-4096-888E-81C16FCE27F0}" name="UNIT TYPE"/>
    <tableColumn id="6" xr3:uid="{FDDA97EF-F06E-4A9F-B03E-7E4AE858F511}" name="MAKE"/>
    <tableColumn id="7" xr3:uid="{A50A1711-8584-4855-BB94-08ADCA8657C9}" name="MODEL"/>
    <tableColumn id="8" xr3:uid="{90E8921E-FF84-42C2-9A94-C29E04A908AB}" name="DESCRIP"/>
    <tableColumn id="9" xr3:uid="{E0DBAE2D-AC57-4D6E-B266-A82E07B131E0}" name="OOS"/>
    <tableColumn id="10" xr3:uid="{8EF01E83-1A80-4121-9E9F-98B15794CF70}" name="LTS"/>
    <tableColumn id="11" xr3:uid="{0886A4D7-18B8-4483-B036-B6ABE1BC2C42}" name="OPEN ROs"/>
    <tableColumn id="12" xr3:uid="{4C540EE4-FD9A-4271-8123-76C5C233183F}" name="MIN RO DATE"/>
    <tableColumn id="13" xr3:uid="{8C66003E-18D1-4E73-9878-5CBE00F1A7F9}" name="MAX ETC"/>
    <tableColumn id="14" xr3:uid="{F5603C70-B3B6-4572-9679-0CC347AB56E1}" name="OWNER" dataDxfId="12">
      <calculatedColumnFormula>_xlfn.XLOOKUP(C:C,'Resource Table'!A:A,'Resource Table'!B:B,"NOT FOUND",0,1)</calculatedColumnFormula>
    </tableColumn>
    <tableColumn id="15" xr3:uid="{F5BC3505-41F3-4537-9463-2CED2988DF30}" name="EMAIL" dataDxfId="11">
      <calculatedColumnFormula>_xlfn.XLOOKUP(N:N,'Resource Table'!B:B,'Resource Table'!C:C,"n/a",0,1)</calculatedColumnFormula>
    </tableColumn>
    <tableColumn id="16" xr3:uid="{3EDC5251-C2D5-4694-A97A-BDC3FA4ED3D1}" name="Team" dataDxfId="10">
      <calculatedColumnFormula>_xlfn.XLOOKUP(N:N,'Resource Table'!B:B,'Resource Table'!D:D,"n/a",0,1)</calculatedColumnFormula>
    </tableColumn>
  </tableColumns>
  <tableStyleInfo name="TableStyleMedium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7358C5DD-F741-4F5E-8EAB-6798335DC341}" name="Table8" displayName="Table8" ref="A1:D146" totalsRowShown="0" headerRowDxfId="9" dataDxfId="8">
  <autoFilter ref="A1:D146" xr:uid="{7358C5DD-F741-4F5E-8EAB-6798335DC341}">
    <filterColumn colId="3">
      <filters>
        <filter val="Vended Repair"/>
      </filters>
    </filterColumn>
  </autoFilter>
  <tableColumns count="4">
    <tableColumn id="1" xr3:uid="{EF15E622-BEEF-4D24-956B-1718E16E9881}" name="Shop" dataDxfId="7"/>
    <tableColumn id="2" xr3:uid="{F2878B60-5086-4EE6-8A24-B7D5709F90C9}" name="Owner" dataDxfId="6"/>
    <tableColumn id="3" xr3:uid="{40CFA814-28DC-4142-ABF5-6E193246D2C1}" name="E-Mail" dataDxfId="5"/>
    <tableColumn id="4" xr3:uid="{DC8A1474-050E-4852-9282-0F29960028D7}" name="Team" dataDxfId="4"/>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hyperlink" Target="mailto:hfrancis@ameritfleet.com" TargetMode="External"/><Relationship Id="rId1" Type="http://schemas.openxmlformats.org/officeDocument/2006/relationships/hyperlink" Target="mailto:bwilliams5@ameritfleet.co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S2258"/>
  <sheetViews>
    <sheetView workbookViewId="0">
      <selection sqref="A1:S2258"/>
    </sheetView>
  </sheetViews>
  <sheetFormatPr defaultRowHeight="14.25" x14ac:dyDescent="0.45"/>
  <cols>
    <col min="1" max="1" width="41.19921875" bestFit="1" customWidth="1"/>
    <col min="2" max="2" width="17.33203125" bestFit="1" customWidth="1"/>
    <col min="3" max="3" width="21.6640625" bestFit="1" customWidth="1"/>
    <col min="4" max="4" width="18.6640625" bestFit="1" customWidth="1"/>
    <col min="5" max="5" width="12.6640625" bestFit="1" customWidth="1"/>
    <col min="6" max="6" width="229.86328125" customWidth="1"/>
    <col min="7" max="8" width="12.6640625" bestFit="1" customWidth="1"/>
    <col min="9" max="9" width="21.6640625" bestFit="1" customWidth="1"/>
    <col min="10" max="10" width="32.6640625" bestFit="1" customWidth="1"/>
    <col min="11" max="11" width="25.6640625" bestFit="1" customWidth="1"/>
    <col min="12" max="12" width="21.6640625" bestFit="1" customWidth="1"/>
    <col min="13" max="13" width="54.6640625" bestFit="1" customWidth="1"/>
    <col min="14" max="14" width="29.6640625" bestFit="1" customWidth="1"/>
    <col min="15" max="15" width="23.6640625" bestFit="1" customWidth="1"/>
    <col min="16" max="16" width="21.6640625" bestFit="1" customWidth="1"/>
    <col min="17" max="17" width="15.6640625" bestFit="1" customWidth="1"/>
    <col min="18" max="18" width="357.6640625" bestFit="1" customWidth="1"/>
    <col min="19" max="19" width="36.6640625" bestFit="1" customWidth="1"/>
  </cols>
  <sheetData>
    <row r="1" spans="1:19" x14ac:dyDescent="0.45">
      <c r="A1" s="9" t="s">
        <v>0</v>
      </c>
      <c r="B1" s="9" t="s">
        <v>1</v>
      </c>
      <c r="C1" s="9" t="s">
        <v>2</v>
      </c>
      <c r="D1" s="9" t="s">
        <v>3</v>
      </c>
      <c r="E1" s="9" t="s">
        <v>4</v>
      </c>
      <c r="F1" s="9" t="s">
        <v>5</v>
      </c>
      <c r="G1" s="9" t="s">
        <v>6</v>
      </c>
      <c r="H1" s="9" t="s">
        <v>7</v>
      </c>
      <c r="I1" s="9" t="s">
        <v>8</v>
      </c>
      <c r="J1" s="9" t="s">
        <v>9</v>
      </c>
      <c r="K1" s="9" t="s">
        <v>10</v>
      </c>
      <c r="L1" s="9" t="s">
        <v>11</v>
      </c>
      <c r="M1" s="9" t="s">
        <v>12</v>
      </c>
      <c r="N1" s="9" t="s">
        <v>13</v>
      </c>
      <c r="O1" s="9" t="s">
        <v>14</v>
      </c>
      <c r="P1" s="9" t="s">
        <v>15</v>
      </c>
      <c r="Q1" s="9" t="s">
        <v>16</v>
      </c>
      <c r="R1" s="9" t="s">
        <v>17</v>
      </c>
      <c r="S1" s="9" t="s">
        <v>18</v>
      </c>
    </row>
    <row r="2" spans="1:19" x14ac:dyDescent="0.45">
      <c r="A2" t="s">
        <v>310</v>
      </c>
      <c r="B2" t="s">
        <v>20</v>
      </c>
      <c r="C2" t="s">
        <v>2983</v>
      </c>
      <c r="D2" t="s">
        <v>2984</v>
      </c>
      <c r="E2" t="s">
        <v>38</v>
      </c>
      <c r="F2" t="s">
        <v>2785</v>
      </c>
      <c r="G2" t="s">
        <v>23</v>
      </c>
      <c r="H2" t="s">
        <v>13738</v>
      </c>
      <c r="I2" t="s">
        <v>13739</v>
      </c>
      <c r="J2" t="s">
        <v>20</v>
      </c>
      <c r="K2" t="s">
        <v>20</v>
      </c>
      <c r="L2" t="s">
        <v>3418</v>
      </c>
      <c r="M2" t="s">
        <v>24</v>
      </c>
      <c r="N2" t="s">
        <v>146</v>
      </c>
      <c r="O2" t="s">
        <v>11242</v>
      </c>
      <c r="P2" t="s">
        <v>20</v>
      </c>
      <c r="Q2" t="s">
        <v>20</v>
      </c>
      <c r="R2" t="s">
        <v>20</v>
      </c>
      <c r="S2" t="s">
        <v>20</v>
      </c>
    </row>
    <row r="3" spans="1:19" x14ac:dyDescent="0.45">
      <c r="A3" t="s">
        <v>516</v>
      </c>
      <c r="B3" t="s">
        <v>20</v>
      </c>
      <c r="C3" t="s">
        <v>5043</v>
      </c>
      <c r="D3" t="s">
        <v>5044</v>
      </c>
      <c r="E3" t="s">
        <v>38</v>
      </c>
      <c r="F3" t="s">
        <v>12999</v>
      </c>
      <c r="G3" t="s">
        <v>23</v>
      </c>
      <c r="H3" t="s">
        <v>13740</v>
      </c>
      <c r="I3" t="s">
        <v>13741</v>
      </c>
      <c r="J3" t="s">
        <v>20</v>
      </c>
      <c r="K3" t="s">
        <v>20</v>
      </c>
      <c r="L3" t="s">
        <v>20</v>
      </c>
      <c r="M3" t="s">
        <v>24</v>
      </c>
      <c r="N3" t="s">
        <v>3831</v>
      </c>
      <c r="O3" t="s">
        <v>11242</v>
      </c>
      <c r="P3" t="s">
        <v>20</v>
      </c>
      <c r="Q3" t="s">
        <v>20</v>
      </c>
      <c r="R3" t="s">
        <v>20</v>
      </c>
      <c r="S3" t="s">
        <v>13742</v>
      </c>
    </row>
    <row r="4" spans="1:19" x14ac:dyDescent="0.45">
      <c r="A4" t="s">
        <v>592</v>
      </c>
      <c r="B4" t="s">
        <v>20</v>
      </c>
      <c r="C4" t="s">
        <v>4201</v>
      </c>
      <c r="D4" t="s">
        <v>4202</v>
      </c>
      <c r="E4" t="s">
        <v>38</v>
      </c>
      <c r="F4" t="s">
        <v>3062</v>
      </c>
      <c r="G4" t="s">
        <v>23</v>
      </c>
      <c r="H4" t="s">
        <v>14325</v>
      </c>
      <c r="I4" t="s">
        <v>14326</v>
      </c>
      <c r="J4" t="s">
        <v>20</v>
      </c>
      <c r="K4" t="s">
        <v>20</v>
      </c>
      <c r="L4" t="s">
        <v>20</v>
      </c>
      <c r="M4" t="s">
        <v>24</v>
      </c>
      <c r="N4" t="s">
        <v>195</v>
      </c>
      <c r="O4" t="s">
        <v>11242</v>
      </c>
      <c r="P4" t="s">
        <v>20</v>
      </c>
      <c r="Q4" t="s">
        <v>20</v>
      </c>
      <c r="R4" t="s">
        <v>20</v>
      </c>
      <c r="S4" t="s">
        <v>20</v>
      </c>
    </row>
    <row r="5" spans="1:19" x14ac:dyDescent="0.45">
      <c r="A5" t="s">
        <v>79</v>
      </c>
      <c r="B5" t="s">
        <v>20</v>
      </c>
      <c r="C5" t="s">
        <v>14327</v>
      </c>
      <c r="D5" t="s">
        <v>80</v>
      </c>
      <c r="E5" t="s">
        <v>38</v>
      </c>
      <c r="F5" t="s">
        <v>14328</v>
      </c>
      <c r="G5" t="s">
        <v>23</v>
      </c>
      <c r="H5" t="s">
        <v>14329</v>
      </c>
      <c r="I5" t="s">
        <v>14330</v>
      </c>
      <c r="J5" t="s">
        <v>20</v>
      </c>
      <c r="K5" t="s">
        <v>20</v>
      </c>
      <c r="L5" t="s">
        <v>20</v>
      </c>
      <c r="M5" t="s">
        <v>24</v>
      </c>
      <c r="N5" t="s">
        <v>3831</v>
      </c>
      <c r="O5" t="s">
        <v>11242</v>
      </c>
      <c r="P5" t="s">
        <v>20</v>
      </c>
      <c r="Q5" t="s">
        <v>20</v>
      </c>
      <c r="R5" t="s">
        <v>20</v>
      </c>
      <c r="S5" t="s">
        <v>14331</v>
      </c>
    </row>
    <row r="6" spans="1:19" x14ac:dyDescent="0.45">
      <c r="A6" t="s">
        <v>35</v>
      </c>
      <c r="B6" t="s">
        <v>20</v>
      </c>
      <c r="C6" t="s">
        <v>155</v>
      </c>
      <c r="D6" t="s">
        <v>156</v>
      </c>
      <c r="E6" t="s">
        <v>38</v>
      </c>
      <c r="F6" t="s">
        <v>2785</v>
      </c>
      <c r="G6" t="s">
        <v>23</v>
      </c>
      <c r="H6" t="s">
        <v>13113</v>
      </c>
      <c r="I6" t="s">
        <v>13114</v>
      </c>
      <c r="J6" t="s">
        <v>20</v>
      </c>
      <c r="K6" t="s">
        <v>20</v>
      </c>
      <c r="L6" t="s">
        <v>6533</v>
      </c>
      <c r="M6" t="s">
        <v>24</v>
      </c>
      <c r="N6" t="s">
        <v>195</v>
      </c>
      <c r="O6" t="s">
        <v>11242</v>
      </c>
      <c r="P6" t="s">
        <v>20</v>
      </c>
      <c r="Q6" t="s">
        <v>20</v>
      </c>
      <c r="R6" t="s">
        <v>20</v>
      </c>
      <c r="S6" t="s">
        <v>20</v>
      </c>
    </row>
    <row r="7" spans="1:19" x14ac:dyDescent="0.45">
      <c r="A7" t="s">
        <v>386</v>
      </c>
      <c r="B7" t="s">
        <v>20</v>
      </c>
      <c r="C7" t="s">
        <v>387</v>
      </c>
      <c r="D7" t="s">
        <v>388</v>
      </c>
      <c r="E7" t="s">
        <v>38</v>
      </c>
      <c r="F7" t="s">
        <v>14332</v>
      </c>
      <c r="G7" t="s">
        <v>23</v>
      </c>
      <c r="H7" t="s">
        <v>14333</v>
      </c>
      <c r="I7" t="s">
        <v>14334</v>
      </c>
      <c r="J7" t="s">
        <v>20</v>
      </c>
      <c r="K7" t="s">
        <v>20</v>
      </c>
      <c r="L7" t="s">
        <v>20</v>
      </c>
      <c r="M7" t="s">
        <v>24</v>
      </c>
      <c r="N7" t="s">
        <v>3831</v>
      </c>
      <c r="O7" t="s">
        <v>11242</v>
      </c>
      <c r="P7" t="s">
        <v>20</v>
      </c>
      <c r="Q7" t="s">
        <v>20</v>
      </c>
      <c r="R7" t="s">
        <v>20</v>
      </c>
      <c r="S7" t="s">
        <v>14335</v>
      </c>
    </row>
    <row r="8" spans="1:19" x14ac:dyDescent="0.45">
      <c r="A8" t="s">
        <v>379</v>
      </c>
      <c r="B8" t="s">
        <v>20</v>
      </c>
      <c r="C8" t="s">
        <v>1468</v>
      </c>
      <c r="D8" t="s">
        <v>1469</v>
      </c>
      <c r="E8" t="s">
        <v>38</v>
      </c>
      <c r="F8" t="s">
        <v>2785</v>
      </c>
      <c r="G8" t="s">
        <v>23</v>
      </c>
      <c r="H8" t="s">
        <v>14336</v>
      </c>
      <c r="I8" t="s">
        <v>14337</v>
      </c>
      <c r="J8" t="s">
        <v>20</v>
      </c>
      <c r="K8" t="s">
        <v>20</v>
      </c>
      <c r="L8" t="s">
        <v>9126</v>
      </c>
      <c r="M8" t="s">
        <v>24</v>
      </c>
      <c r="N8" t="s">
        <v>146</v>
      </c>
      <c r="O8" t="s">
        <v>11242</v>
      </c>
      <c r="P8" t="s">
        <v>20</v>
      </c>
      <c r="Q8" t="s">
        <v>20</v>
      </c>
      <c r="R8" t="s">
        <v>20</v>
      </c>
      <c r="S8" t="s">
        <v>20</v>
      </c>
    </row>
    <row r="9" spans="1:19" x14ac:dyDescent="0.45">
      <c r="A9" t="s">
        <v>1980</v>
      </c>
      <c r="B9" t="s">
        <v>20</v>
      </c>
      <c r="C9" t="s">
        <v>7229</v>
      </c>
      <c r="D9" t="s">
        <v>6294</v>
      </c>
      <c r="E9" t="s">
        <v>38</v>
      </c>
      <c r="F9" t="s">
        <v>2755</v>
      </c>
      <c r="G9" t="s">
        <v>23</v>
      </c>
      <c r="H9" t="s">
        <v>14338</v>
      </c>
      <c r="I9" t="s">
        <v>14339</v>
      </c>
      <c r="J9" t="s">
        <v>20</v>
      </c>
      <c r="K9" t="s">
        <v>20</v>
      </c>
      <c r="L9" t="s">
        <v>20</v>
      </c>
      <c r="M9" t="s">
        <v>24</v>
      </c>
      <c r="N9" t="s">
        <v>210</v>
      </c>
      <c r="O9" t="s">
        <v>11242</v>
      </c>
      <c r="P9" t="s">
        <v>20</v>
      </c>
      <c r="Q9" t="s">
        <v>20</v>
      </c>
      <c r="R9" t="s">
        <v>20</v>
      </c>
      <c r="S9" t="s">
        <v>20</v>
      </c>
    </row>
    <row r="10" spans="1:19" x14ac:dyDescent="0.45">
      <c r="A10" t="s">
        <v>114</v>
      </c>
      <c r="B10" t="s">
        <v>20</v>
      </c>
      <c r="C10" t="s">
        <v>3394</v>
      </c>
      <c r="D10" t="s">
        <v>3395</v>
      </c>
      <c r="E10" t="s">
        <v>38</v>
      </c>
      <c r="F10" t="s">
        <v>5396</v>
      </c>
      <c r="G10" t="s">
        <v>23</v>
      </c>
      <c r="H10" t="s">
        <v>13117</v>
      </c>
      <c r="I10" t="s">
        <v>13118</v>
      </c>
      <c r="J10" t="s">
        <v>20</v>
      </c>
      <c r="K10" t="s">
        <v>20</v>
      </c>
      <c r="L10" t="s">
        <v>6524</v>
      </c>
      <c r="M10" t="s">
        <v>24</v>
      </c>
      <c r="N10" t="s">
        <v>2858</v>
      </c>
      <c r="O10" t="s">
        <v>11242</v>
      </c>
      <c r="P10" t="s">
        <v>20</v>
      </c>
      <c r="Q10" t="s">
        <v>20</v>
      </c>
      <c r="R10" t="s">
        <v>20</v>
      </c>
      <c r="S10" t="s">
        <v>20</v>
      </c>
    </row>
    <row r="11" spans="1:19" x14ac:dyDescent="0.45">
      <c r="A11" t="s">
        <v>19</v>
      </c>
      <c r="B11" t="s">
        <v>20</v>
      </c>
      <c r="C11" t="s">
        <v>4476</v>
      </c>
      <c r="D11" t="s">
        <v>4477</v>
      </c>
      <c r="E11" t="s">
        <v>38</v>
      </c>
      <c r="F11" t="s">
        <v>3954</v>
      </c>
      <c r="G11" t="s">
        <v>23</v>
      </c>
      <c r="H11" t="s">
        <v>14340</v>
      </c>
      <c r="I11" t="s">
        <v>14341</v>
      </c>
      <c r="J11" t="s">
        <v>20</v>
      </c>
      <c r="K11" t="s">
        <v>20</v>
      </c>
      <c r="L11" t="s">
        <v>20</v>
      </c>
      <c r="M11" t="s">
        <v>24</v>
      </c>
      <c r="N11" t="s">
        <v>3831</v>
      </c>
      <c r="O11" t="s">
        <v>11242</v>
      </c>
      <c r="P11" t="s">
        <v>20</v>
      </c>
      <c r="Q11" t="s">
        <v>20</v>
      </c>
      <c r="R11" t="s">
        <v>20</v>
      </c>
      <c r="S11" t="s">
        <v>14342</v>
      </c>
    </row>
    <row r="12" spans="1:19" x14ac:dyDescent="0.45">
      <c r="A12" t="s">
        <v>572</v>
      </c>
      <c r="B12" t="s">
        <v>20</v>
      </c>
      <c r="C12" t="s">
        <v>1398</v>
      </c>
      <c r="D12" t="s">
        <v>1399</v>
      </c>
      <c r="E12" t="s">
        <v>38</v>
      </c>
      <c r="F12" t="s">
        <v>2755</v>
      </c>
      <c r="G12" t="s">
        <v>23</v>
      </c>
      <c r="H12" t="s">
        <v>14343</v>
      </c>
      <c r="I12" t="s">
        <v>14344</v>
      </c>
      <c r="J12" t="s">
        <v>20</v>
      </c>
      <c r="K12" t="s">
        <v>20</v>
      </c>
      <c r="L12" t="s">
        <v>9126</v>
      </c>
      <c r="M12" t="s">
        <v>24</v>
      </c>
      <c r="N12" t="s">
        <v>146</v>
      </c>
      <c r="O12" t="s">
        <v>11242</v>
      </c>
      <c r="P12" t="s">
        <v>20</v>
      </c>
      <c r="Q12" t="s">
        <v>20</v>
      </c>
      <c r="R12" t="s">
        <v>20</v>
      </c>
      <c r="S12" t="s">
        <v>20</v>
      </c>
    </row>
    <row r="13" spans="1:19" x14ac:dyDescent="0.45">
      <c r="A13" t="s">
        <v>572</v>
      </c>
      <c r="B13" t="s">
        <v>20</v>
      </c>
      <c r="C13" t="s">
        <v>1398</v>
      </c>
      <c r="D13" t="s">
        <v>1399</v>
      </c>
      <c r="E13" t="s">
        <v>38</v>
      </c>
      <c r="F13" t="s">
        <v>2755</v>
      </c>
      <c r="G13" t="s">
        <v>23</v>
      </c>
      <c r="H13" t="s">
        <v>14345</v>
      </c>
      <c r="I13" t="s">
        <v>14346</v>
      </c>
      <c r="J13" t="s">
        <v>20</v>
      </c>
      <c r="K13" t="s">
        <v>20</v>
      </c>
      <c r="L13" t="s">
        <v>9126</v>
      </c>
      <c r="M13" t="s">
        <v>24</v>
      </c>
      <c r="N13" t="s">
        <v>146</v>
      </c>
      <c r="O13" t="s">
        <v>11242</v>
      </c>
      <c r="P13" t="s">
        <v>20</v>
      </c>
      <c r="Q13" t="s">
        <v>20</v>
      </c>
      <c r="R13" t="s">
        <v>20</v>
      </c>
      <c r="S13" t="s">
        <v>20</v>
      </c>
    </row>
    <row r="14" spans="1:19" x14ac:dyDescent="0.45">
      <c r="A14" t="s">
        <v>85</v>
      </c>
      <c r="B14" t="s">
        <v>20</v>
      </c>
      <c r="C14" t="s">
        <v>86</v>
      </c>
      <c r="D14" t="s">
        <v>87</v>
      </c>
      <c r="E14" t="s">
        <v>38</v>
      </c>
      <c r="F14" t="s">
        <v>4981</v>
      </c>
      <c r="G14" t="s">
        <v>23</v>
      </c>
      <c r="H14" t="s">
        <v>13748</v>
      </c>
      <c r="I14" t="s">
        <v>13749</v>
      </c>
      <c r="J14" t="s">
        <v>20</v>
      </c>
      <c r="K14" t="s">
        <v>20</v>
      </c>
      <c r="L14" t="s">
        <v>20</v>
      </c>
      <c r="M14" t="s">
        <v>24</v>
      </c>
      <c r="N14" t="s">
        <v>3831</v>
      </c>
      <c r="O14" t="s">
        <v>11242</v>
      </c>
      <c r="P14" t="s">
        <v>20</v>
      </c>
      <c r="Q14" t="s">
        <v>20</v>
      </c>
      <c r="R14" t="s">
        <v>20</v>
      </c>
      <c r="S14" t="s">
        <v>13750</v>
      </c>
    </row>
    <row r="15" spans="1:19" x14ac:dyDescent="0.45">
      <c r="A15" t="s">
        <v>572</v>
      </c>
      <c r="B15" t="s">
        <v>20</v>
      </c>
      <c r="C15" t="s">
        <v>2407</v>
      </c>
      <c r="D15" t="s">
        <v>2408</v>
      </c>
      <c r="E15" t="s">
        <v>38</v>
      </c>
      <c r="F15" t="s">
        <v>2898</v>
      </c>
      <c r="G15" t="s">
        <v>23</v>
      </c>
      <c r="H15" t="s">
        <v>13119</v>
      </c>
      <c r="I15" t="s">
        <v>13120</v>
      </c>
      <c r="J15" t="s">
        <v>20</v>
      </c>
      <c r="K15" t="s">
        <v>20</v>
      </c>
      <c r="L15" t="s">
        <v>20</v>
      </c>
      <c r="M15" t="s">
        <v>24</v>
      </c>
      <c r="N15" t="s">
        <v>3831</v>
      </c>
      <c r="O15" t="s">
        <v>11242</v>
      </c>
      <c r="P15" t="s">
        <v>20</v>
      </c>
      <c r="Q15" t="s">
        <v>20</v>
      </c>
      <c r="R15" t="s">
        <v>20</v>
      </c>
      <c r="S15" t="s">
        <v>13121</v>
      </c>
    </row>
    <row r="16" spans="1:19" x14ac:dyDescent="0.45">
      <c r="A16" t="s">
        <v>572</v>
      </c>
      <c r="B16" t="s">
        <v>20</v>
      </c>
      <c r="C16" t="s">
        <v>2407</v>
      </c>
      <c r="D16" t="s">
        <v>2408</v>
      </c>
      <c r="E16" t="s">
        <v>38</v>
      </c>
      <c r="F16" t="s">
        <v>14347</v>
      </c>
      <c r="G16" t="s">
        <v>23</v>
      </c>
      <c r="H16" t="s">
        <v>14348</v>
      </c>
      <c r="I16" t="s">
        <v>14349</v>
      </c>
      <c r="J16" t="s">
        <v>20</v>
      </c>
      <c r="K16" t="s">
        <v>20</v>
      </c>
      <c r="L16" t="s">
        <v>20</v>
      </c>
      <c r="M16" t="s">
        <v>24</v>
      </c>
      <c r="N16" t="s">
        <v>3831</v>
      </c>
      <c r="O16" t="s">
        <v>11242</v>
      </c>
      <c r="P16" t="s">
        <v>20</v>
      </c>
      <c r="Q16" t="s">
        <v>20</v>
      </c>
      <c r="R16" t="s">
        <v>20</v>
      </c>
      <c r="S16" t="s">
        <v>14350</v>
      </c>
    </row>
    <row r="17" spans="1:19" x14ac:dyDescent="0.45">
      <c r="A17" t="s">
        <v>572</v>
      </c>
      <c r="B17" t="s">
        <v>20</v>
      </c>
      <c r="C17" t="s">
        <v>2407</v>
      </c>
      <c r="D17" t="s">
        <v>2408</v>
      </c>
      <c r="E17" t="s">
        <v>38</v>
      </c>
      <c r="F17" t="s">
        <v>2785</v>
      </c>
      <c r="G17" t="s">
        <v>23</v>
      </c>
      <c r="H17" t="s">
        <v>14351</v>
      </c>
      <c r="I17" t="s">
        <v>14352</v>
      </c>
      <c r="J17" t="s">
        <v>20</v>
      </c>
      <c r="K17" t="s">
        <v>20</v>
      </c>
      <c r="L17" t="s">
        <v>9126</v>
      </c>
      <c r="M17" t="s">
        <v>24</v>
      </c>
      <c r="N17" t="s">
        <v>146</v>
      </c>
      <c r="O17" t="s">
        <v>11242</v>
      </c>
      <c r="P17" t="s">
        <v>20</v>
      </c>
      <c r="Q17" t="s">
        <v>20</v>
      </c>
      <c r="R17" t="s">
        <v>20</v>
      </c>
      <c r="S17" t="s">
        <v>20</v>
      </c>
    </row>
    <row r="18" spans="1:19" x14ac:dyDescent="0.45">
      <c r="A18" t="s">
        <v>310</v>
      </c>
      <c r="B18" t="s">
        <v>20</v>
      </c>
      <c r="C18" t="s">
        <v>1920</v>
      </c>
      <c r="D18" t="s">
        <v>1921</v>
      </c>
      <c r="E18" t="s">
        <v>38</v>
      </c>
      <c r="F18" t="s">
        <v>3062</v>
      </c>
      <c r="G18" t="s">
        <v>23</v>
      </c>
      <c r="H18" t="s">
        <v>13755</v>
      </c>
      <c r="I18" t="s">
        <v>13756</v>
      </c>
      <c r="J18" t="s">
        <v>20</v>
      </c>
      <c r="K18" t="s">
        <v>20</v>
      </c>
      <c r="L18" t="s">
        <v>3418</v>
      </c>
      <c r="M18" t="s">
        <v>24</v>
      </c>
      <c r="N18" t="s">
        <v>146</v>
      </c>
      <c r="O18" t="s">
        <v>11242</v>
      </c>
      <c r="P18" t="s">
        <v>20</v>
      </c>
      <c r="Q18" t="s">
        <v>20</v>
      </c>
      <c r="R18" t="s">
        <v>20</v>
      </c>
      <c r="S18" t="s">
        <v>20</v>
      </c>
    </row>
    <row r="19" spans="1:19" x14ac:dyDescent="0.45">
      <c r="A19" t="s">
        <v>261</v>
      </c>
      <c r="B19" t="s">
        <v>20</v>
      </c>
      <c r="C19" t="s">
        <v>2391</v>
      </c>
      <c r="D19" t="s">
        <v>2392</v>
      </c>
      <c r="E19" t="s">
        <v>38</v>
      </c>
      <c r="F19" t="s">
        <v>2713</v>
      </c>
      <c r="G19" t="s">
        <v>23</v>
      </c>
      <c r="H19" t="s">
        <v>13130</v>
      </c>
      <c r="I19" t="s">
        <v>13131</v>
      </c>
      <c r="J19" t="s">
        <v>20</v>
      </c>
      <c r="K19" t="s">
        <v>20</v>
      </c>
      <c r="L19" t="s">
        <v>20</v>
      </c>
      <c r="M19" t="s">
        <v>24</v>
      </c>
      <c r="N19" t="s">
        <v>1224</v>
      </c>
      <c r="O19" t="s">
        <v>11242</v>
      </c>
      <c r="P19" t="s">
        <v>20</v>
      </c>
      <c r="Q19" t="s">
        <v>20</v>
      </c>
      <c r="R19" t="s">
        <v>20</v>
      </c>
      <c r="S19" t="s">
        <v>20</v>
      </c>
    </row>
    <row r="20" spans="1:19" x14ac:dyDescent="0.45">
      <c r="A20" t="s">
        <v>1598</v>
      </c>
      <c r="B20" t="s">
        <v>20</v>
      </c>
      <c r="C20" t="s">
        <v>6890</v>
      </c>
      <c r="D20" t="s">
        <v>6052</v>
      </c>
      <c r="E20" t="s">
        <v>38</v>
      </c>
      <c r="F20" t="s">
        <v>2787</v>
      </c>
      <c r="G20" t="s">
        <v>23</v>
      </c>
      <c r="H20" t="s">
        <v>14353</v>
      </c>
      <c r="I20" t="s">
        <v>14354</v>
      </c>
      <c r="J20" t="s">
        <v>20</v>
      </c>
      <c r="K20" t="s">
        <v>20</v>
      </c>
      <c r="L20" t="s">
        <v>20</v>
      </c>
      <c r="M20" t="s">
        <v>24</v>
      </c>
      <c r="N20" t="s">
        <v>62</v>
      </c>
      <c r="O20" t="s">
        <v>11242</v>
      </c>
      <c r="P20" t="s">
        <v>20</v>
      </c>
      <c r="Q20" t="s">
        <v>20</v>
      </c>
      <c r="R20" t="s">
        <v>20</v>
      </c>
      <c r="S20" t="s">
        <v>20</v>
      </c>
    </row>
    <row r="21" spans="1:19" x14ac:dyDescent="0.45">
      <c r="A21" t="s">
        <v>379</v>
      </c>
      <c r="B21" t="s">
        <v>20</v>
      </c>
      <c r="C21" t="s">
        <v>1930</v>
      </c>
      <c r="D21" t="s">
        <v>1931</v>
      </c>
      <c r="E21" t="s">
        <v>38</v>
      </c>
      <c r="F21" t="s">
        <v>2948</v>
      </c>
      <c r="G21" t="s">
        <v>23</v>
      </c>
      <c r="H21" t="s">
        <v>13757</v>
      </c>
      <c r="I21" t="s">
        <v>13758</v>
      </c>
      <c r="J21" t="s">
        <v>20</v>
      </c>
      <c r="K21" t="s">
        <v>20</v>
      </c>
      <c r="L21" t="s">
        <v>3418</v>
      </c>
      <c r="M21" t="s">
        <v>24</v>
      </c>
      <c r="N21" t="s">
        <v>146</v>
      </c>
      <c r="O21" t="s">
        <v>11242</v>
      </c>
      <c r="P21" t="s">
        <v>20</v>
      </c>
      <c r="Q21" t="s">
        <v>20</v>
      </c>
      <c r="R21" t="s">
        <v>20</v>
      </c>
      <c r="S21" t="s">
        <v>20</v>
      </c>
    </row>
    <row r="22" spans="1:19" x14ac:dyDescent="0.45">
      <c r="A22" t="s">
        <v>1613</v>
      </c>
      <c r="B22" t="s">
        <v>20</v>
      </c>
      <c r="C22" t="s">
        <v>1805</v>
      </c>
      <c r="D22" t="s">
        <v>1806</v>
      </c>
      <c r="E22" t="s">
        <v>38</v>
      </c>
      <c r="F22" t="s">
        <v>14355</v>
      </c>
      <c r="G22" t="s">
        <v>23</v>
      </c>
      <c r="H22" t="s">
        <v>13781</v>
      </c>
      <c r="I22" t="s">
        <v>13782</v>
      </c>
      <c r="J22" t="s">
        <v>20</v>
      </c>
      <c r="K22" t="s">
        <v>20</v>
      </c>
      <c r="L22" t="s">
        <v>20</v>
      </c>
      <c r="M22" t="s">
        <v>24</v>
      </c>
      <c r="N22" t="s">
        <v>3831</v>
      </c>
      <c r="O22" t="s">
        <v>11242</v>
      </c>
      <c r="P22" t="s">
        <v>20</v>
      </c>
      <c r="Q22" t="s">
        <v>20</v>
      </c>
      <c r="R22" t="s">
        <v>20</v>
      </c>
      <c r="S22" t="s">
        <v>13783</v>
      </c>
    </row>
    <row r="23" spans="1:19" x14ac:dyDescent="0.45">
      <c r="A23" t="s">
        <v>120</v>
      </c>
      <c r="B23" t="s">
        <v>20</v>
      </c>
      <c r="C23" t="s">
        <v>2779</v>
      </c>
      <c r="D23" t="s">
        <v>2780</v>
      </c>
      <c r="E23" t="s">
        <v>29</v>
      </c>
      <c r="F23" t="s">
        <v>2948</v>
      </c>
      <c r="G23" t="s">
        <v>23</v>
      </c>
      <c r="H23" t="s">
        <v>14356</v>
      </c>
      <c r="I23" t="s">
        <v>14357</v>
      </c>
      <c r="J23" t="s">
        <v>20</v>
      </c>
      <c r="K23" t="s">
        <v>20</v>
      </c>
      <c r="L23" t="s">
        <v>6533</v>
      </c>
      <c r="M23" t="s">
        <v>24</v>
      </c>
      <c r="N23" t="s">
        <v>12413</v>
      </c>
      <c r="O23" t="s">
        <v>11242</v>
      </c>
      <c r="P23" t="s">
        <v>20</v>
      </c>
      <c r="Q23" t="s">
        <v>20</v>
      </c>
      <c r="R23" t="s">
        <v>20</v>
      </c>
      <c r="S23" t="s">
        <v>20</v>
      </c>
    </row>
    <row r="24" spans="1:19" x14ac:dyDescent="0.45">
      <c r="A24" t="s">
        <v>379</v>
      </c>
      <c r="B24" t="s">
        <v>20</v>
      </c>
      <c r="C24" t="s">
        <v>1063</v>
      </c>
      <c r="D24" t="s">
        <v>1064</v>
      </c>
      <c r="E24" t="s">
        <v>38</v>
      </c>
      <c r="F24" t="s">
        <v>14358</v>
      </c>
      <c r="G24" t="s">
        <v>23</v>
      </c>
      <c r="H24" t="s">
        <v>13759</v>
      </c>
      <c r="I24" t="s">
        <v>13760</v>
      </c>
      <c r="J24" t="s">
        <v>20</v>
      </c>
      <c r="K24" t="s">
        <v>20</v>
      </c>
      <c r="L24" t="s">
        <v>3418</v>
      </c>
      <c r="M24" t="s">
        <v>24</v>
      </c>
      <c r="N24" t="s">
        <v>146</v>
      </c>
      <c r="O24" t="s">
        <v>11242</v>
      </c>
      <c r="P24" t="s">
        <v>20</v>
      </c>
      <c r="Q24" t="s">
        <v>20</v>
      </c>
      <c r="R24" t="s">
        <v>20</v>
      </c>
      <c r="S24" t="s">
        <v>20</v>
      </c>
    </row>
    <row r="25" spans="1:19" x14ac:dyDescent="0.45">
      <c r="A25" t="s">
        <v>358</v>
      </c>
      <c r="B25" t="s">
        <v>20</v>
      </c>
      <c r="C25" t="s">
        <v>1519</v>
      </c>
      <c r="D25" t="s">
        <v>1520</v>
      </c>
      <c r="E25" t="s">
        <v>38</v>
      </c>
      <c r="F25" t="s">
        <v>2863</v>
      </c>
      <c r="G25" t="s">
        <v>23</v>
      </c>
      <c r="H25" t="s">
        <v>14359</v>
      </c>
      <c r="I25" t="s">
        <v>14360</v>
      </c>
      <c r="J25" t="s">
        <v>20</v>
      </c>
      <c r="K25" t="s">
        <v>20</v>
      </c>
      <c r="L25" t="s">
        <v>20</v>
      </c>
      <c r="M25" t="s">
        <v>24</v>
      </c>
      <c r="N25" t="s">
        <v>146</v>
      </c>
      <c r="O25" t="s">
        <v>11242</v>
      </c>
      <c r="P25" t="s">
        <v>20</v>
      </c>
      <c r="Q25" t="s">
        <v>20</v>
      </c>
      <c r="R25" t="s">
        <v>20</v>
      </c>
      <c r="S25" t="s">
        <v>20</v>
      </c>
    </row>
    <row r="26" spans="1:19" x14ac:dyDescent="0.45">
      <c r="A26" t="s">
        <v>1308</v>
      </c>
      <c r="B26" t="s">
        <v>20</v>
      </c>
      <c r="C26" t="s">
        <v>2228</v>
      </c>
      <c r="D26" t="s">
        <v>2229</v>
      </c>
      <c r="E26" t="s">
        <v>38</v>
      </c>
      <c r="F26" t="s">
        <v>14361</v>
      </c>
      <c r="G26" t="s">
        <v>23</v>
      </c>
      <c r="H26" t="s">
        <v>13132</v>
      </c>
      <c r="I26" t="s">
        <v>13133</v>
      </c>
      <c r="J26" t="s">
        <v>20</v>
      </c>
      <c r="K26" t="s">
        <v>20</v>
      </c>
      <c r="L26" t="s">
        <v>20</v>
      </c>
      <c r="M26" t="s">
        <v>24</v>
      </c>
      <c r="N26" t="s">
        <v>3831</v>
      </c>
      <c r="O26" t="s">
        <v>11242</v>
      </c>
      <c r="P26" t="s">
        <v>20</v>
      </c>
      <c r="Q26" t="s">
        <v>20</v>
      </c>
      <c r="R26" t="s">
        <v>20</v>
      </c>
      <c r="S26" t="s">
        <v>13134</v>
      </c>
    </row>
    <row r="27" spans="1:19" x14ac:dyDescent="0.45">
      <c r="A27" t="s">
        <v>173</v>
      </c>
      <c r="B27" t="s">
        <v>20</v>
      </c>
      <c r="C27" t="s">
        <v>3234</v>
      </c>
      <c r="D27" t="s">
        <v>3235</v>
      </c>
      <c r="E27" t="s">
        <v>38</v>
      </c>
      <c r="F27" t="s">
        <v>12375</v>
      </c>
      <c r="G27" t="s">
        <v>23</v>
      </c>
      <c r="H27" t="s">
        <v>14362</v>
      </c>
      <c r="I27" t="s">
        <v>14363</v>
      </c>
      <c r="J27" t="s">
        <v>20</v>
      </c>
      <c r="K27" t="s">
        <v>20</v>
      </c>
      <c r="L27" t="s">
        <v>20</v>
      </c>
      <c r="M27" t="s">
        <v>24</v>
      </c>
      <c r="N27" t="s">
        <v>3831</v>
      </c>
      <c r="O27" t="s">
        <v>11242</v>
      </c>
      <c r="P27" t="s">
        <v>20</v>
      </c>
      <c r="Q27" t="s">
        <v>20</v>
      </c>
      <c r="R27" t="s">
        <v>20</v>
      </c>
      <c r="S27" t="s">
        <v>14364</v>
      </c>
    </row>
    <row r="28" spans="1:19" x14ac:dyDescent="0.45">
      <c r="A28" t="s">
        <v>94</v>
      </c>
      <c r="B28" t="s">
        <v>20</v>
      </c>
      <c r="C28" t="s">
        <v>548</v>
      </c>
      <c r="D28" t="s">
        <v>549</v>
      </c>
      <c r="E28" t="s">
        <v>38</v>
      </c>
      <c r="F28" t="s">
        <v>2898</v>
      </c>
      <c r="G28" t="s">
        <v>23</v>
      </c>
      <c r="H28" t="s">
        <v>13135</v>
      </c>
      <c r="I28" t="s">
        <v>13136</v>
      </c>
      <c r="J28" t="s">
        <v>20</v>
      </c>
      <c r="K28" t="s">
        <v>20</v>
      </c>
      <c r="L28" t="s">
        <v>20</v>
      </c>
      <c r="M28" t="s">
        <v>24</v>
      </c>
      <c r="N28" t="s">
        <v>3831</v>
      </c>
      <c r="O28" t="s">
        <v>11242</v>
      </c>
      <c r="P28" t="s">
        <v>20</v>
      </c>
      <c r="Q28" t="s">
        <v>20</v>
      </c>
      <c r="R28" t="s">
        <v>20</v>
      </c>
      <c r="S28" t="s">
        <v>13137</v>
      </c>
    </row>
    <row r="29" spans="1:19" x14ac:dyDescent="0.45">
      <c r="A29" t="s">
        <v>1278</v>
      </c>
      <c r="B29" t="s">
        <v>20</v>
      </c>
      <c r="C29" t="s">
        <v>3657</v>
      </c>
      <c r="D29" t="s">
        <v>3658</v>
      </c>
      <c r="E29" t="s">
        <v>38</v>
      </c>
      <c r="F29" t="s">
        <v>2787</v>
      </c>
      <c r="G29" t="s">
        <v>23</v>
      </c>
      <c r="H29" t="s">
        <v>14365</v>
      </c>
      <c r="I29" t="s">
        <v>14366</v>
      </c>
      <c r="J29" t="s">
        <v>20</v>
      </c>
      <c r="K29" t="s">
        <v>20</v>
      </c>
      <c r="L29" t="s">
        <v>20</v>
      </c>
      <c r="M29" t="s">
        <v>24</v>
      </c>
      <c r="N29" t="s">
        <v>62</v>
      </c>
      <c r="O29" t="s">
        <v>11242</v>
      </c>
      <c r="P29" t="s">
        <v>20</v>
      </c>
      <c r="Q29" t="s">
        <v>20</v>
      </c>
      <c r="R29" t="s">
        <v>20</v>
      </c>
      <c r="S29" t="s">
        <v>20</v>
      </c>
    </row>
    <row r="30" spans="1:19" x14ac:dyDescent="0.45">
      <c r="A30" t="s">
        <v>64</v>
      </c>
      <c r="B30" t="s">
        <v>20</v>
      </c>
      <c r="C30" t="s">
        <v>1396</v>
      </c>
      <c r="D30" t="s">
        <v>1397</v>
      </c>
      <c r="E30" t="s">
        <v>38</v>
      </c>
      <c r="F30" t="s">
        <v>14367</v>
      </c>
      <c r="G30" t="s">
        <v>23</v>
      </c>
      <c r="H30" t="s">
        <v>14368</v>
      </c>
      <c r="I30" t="s">
        <v>14369</v>
      </c>
      <c r="J30" t="s">
        <v>20</v>
      </c>
      <c r="K30" t="s">
        <v>20</v>
      </c>
      <c r="L30" t="s">
        <v>20</v>
      </c>
      <c r="M30" t="s">
        <v>24</v>
      </c>
      <c r="N30" t="s">
        <v>3831</v>
      </c>
      <c r="O30" t="s">
        <v>11242</v>
      </c>
      <c r="P30" t="s">
        <v>20</v>
      </c>
      <c r="Q30" t="s">
        <v>20</v>
      </c>
      <c r="R30" t="s">
        <v>20</v>
      </c>
      <c r="S30" t="s">
        <v>14370</v>
      </c>
    </row>
    <row r="31" spans="1:19" x14ac:dyDescent="0.45">
      <c r="A31" t="s">
        <v>46</v>
      </c>
      <c r="B31" t="s">
        <v>20</v>
      </c>
      <c r="C31" t="s">
        <v>460</v>
      </c>
      <c r="D31" t="s">
        <v>461</v>
      </c>
      <c r="E31" t="s">
        <v>38</v>
      </c>
      <c r="F31" t="s">
        <v>14371</v>
      </c>
      <c r="G31" t="s">
        <v>23</v>
      </c>
      <c r="H31" t="s">
        <v>14372</v>
      </c>
      <c r="I31" t="s">
        <v>14373</v>
      </c>
      <c r="J31" t="s">
        <v>20</v>
      </c>
      <c r="K31" t="s">
        <v>20</v>
      </c>
      <c r="L31" t="s">
        <v>20</v>
      </c>
      <c r="M31" t="s">
        <v>24</v>
      </c>
      <c r="N31" t="s">
        <v>3831</v>
      </c>
      <c r="O31" t="s">
        <v>11242</v>
      </c>
      <c r="P31" t="s">
        <v>20</v>
      </c>
      <c r="Q31" t="s">
        <v>20</v>
      </c>
      <c r="R31" t="s">
        <v>20</v>
      </c>
      <c r="S31" t="s">
        <v>14374</v>
      </c>
    </row>
    <row r="32" spans="1:19" x14ac:dyDescent="0.45">
      <c r="A32" t="s">
        <v>46</v>
      </c>
      <c r="B32" t="s">
        <v>20</v>
      </c>
      <c r="C32" t="s">
        <v>460</v>
      </c>
      <c r="D32" t="s">
        <v>461</v>
      </c>
      <c r="E32" t="s">
        <v>38</v>
      </c>
      <c r="F32" t="s">
        <v>14375</v>
      </c>
      <c r="G32" t="s">
        <v>23</v>
      </c>
      <c r="H32" t="s">
        <v>14376</v>
      </c>
      <c r="I32" t="s">
        <v>14377</v>
      </c>
      <c r="J32" t="s">
        <v>20</v>
      </c>
      <c r="K32" t="s">
        <v>20</v>
      </c>
      <c r="L32" t="s">
        <v>20</v>
      </c>
      <c r="M32" t="s">
        <v>24</v>
      </c>
      <c r="N32" t="s">
        <v>3831</v>
      </c>
      <c r="O32" t="s">
        <v>11242</v>
      </c>
      <c r="P32" t="s">
        <v>20</v>
      </c>
      <c r="Q32" t="s">
        <v>20</v>
      </c>
      <c r="R32" t="s">
        <v>20</v>
      </c>
      <c r="S32" t="s">
        <v>14378</v>
      </c>
    </row>
    <row r="33" spans="1:19" x14ac:dyDescent="0.45">
      <c r="A33" t="s">
        <v>46</v>
      </c>
      <c r="B33" t="s">
        <v>20</v>
      </c>
      <c r="C33" t="s">
        <v>460</v>
      </c>
      <c r="D33" t="s">
        <v>461</v>
      </c>
      <c r="E33" t="s">
        <v>38</v>
      </c>
      <c r="F33" t="s">
        <v>14379</v>
      </c>
      <c r="G33" t="s">
        <v>23</v>
      </c>
      <c r="H33" t="s">
        <v>14380</v>
      </c>
      <c r="I33" t="s">
        <v>14381</v>
      </c>
      <c r="J33" t="s">
        <v>20</v>
      </c>
      <c r="K33" t="s">
        <v>20</v>
      </c>
      <c r="L33" t="s">
        <v>20</v>
      </c>
      <c r="M33" t="s">
        <v>24</v>
      </c>
      <c r="N33" t="s">
        <v>3831</v>
      </c>
      <c r="O33" t="s">
        <v>11242</v>
      </c>
      <c r="P33" t="s">
        <v>20</v>
      </c>
      <c r="Q33" t="s">
        <v>20</v>
      </c>
      <c r="R33" t="s">
        <v>20</v>
      </c>
      <c r="S33" t="s">
        <v>14382</v>
      </c>
    </row>
    <row r="34" spans="1:19" x14ac:dyDescent="0.45">
      <c r="A34" t="s">
        <v>592</v>
      </c>
      <c r="B34" t="s">
        <v>20</v>
      </c>
      <c r="C34" t="s">
        <v>3720</v>
      </c>
      <c r="D34" t="s">
        <v>3721</v>
      </c>
      <c r="E34" t="s">
        <v>38</v>
      </c>
      <c r="F34" t="s">
        <v>2948</v>
      </c>
      <c r="G34" t="s">
        <v>23</v>
      </c>
      <c r="H34" t="s">
        <v>13786</v>
      </c>
      <c r="I34" t="s">
        <v>13787</v>
      </c>
      <c r="J34" t="s">
        <v>20</v>
      </c>
      <c r="K34" t="s">
        <v>20</v>
      </c>
      <c r="L34" t="s">
        <v>20</v>
      </c>
      <c r="M34" t="s">
        <v>24</v>
      </c>
      <c r="N34" t="s">
        <v>195</v>
      </c>
      <c r="O34" t="s">
        <v>11242</v>
      </c>
      <c r="P34" t="s">
        <v>20</v>
      </c>
      <c r="Q34" t="s">
        <v>20</v>
      </c>
      <c r="R34" t="s">
        <v>20</v>
      </c>
      <c r="S34" t="s">
        <v>20</v>
      </c>
    </row>
    <row r="35" spans="1:19" x14ac:dyDescent="0.45">
      <c r="A35" t="s">
        <v>535</v>
      </c>
      <c r="B35" t="s">
        <v>20</v>
      </c>
      <c r="C35" t="s">
        <v>859</v>
      </c>
      <c r="D35" t="s">
        <v>860</v>
      </c>
      <c r="E35" t="s">
        <v>38</v>
      </c>
      <c r="F35" t="s">
        <v>3954</v>
      </c>
      <c r="G35" t="s">
        <v>23</v>
      </c>
      <c r="H35" t="s">
        <v>14383</v>
      </c>
      <c r="I35" t="s">
        <v>14384</v>
      </c>
      <c r="J35" t="s">
        <v>20</v>
      </c>
      <c r="K35" t="s">
        <v>20</v>
      </c>
      <c r="L35" t="s">
        <v>20</v>
      </c>
      <c r="M35" t="s">
        <v>24</v>
      </c>
      <c r="N35" t="s">
        <v>3831</v>
      </c>
      <c r="O35" t="s">
        <v>11242</v>
      </c>
      <c r="P35" t="s">
        <v>20</v>
      </c>
      <c r="Q35" t="s">
        <v>20</v>
      </c>
      <c r="R35" t="s">
        <v>20</v>
      </c>
      <c r="S35" t="s">
        <v>14385</v>
      </c>
    </row>
    <row r="36" spans="1:19" x14ac:dyDescent="0.45">
      <c r="A36" t="s">
        <v>79</v>
      </c>
      <c r="B36" t="s">
        <v>20</v>
      </c>
      <c r="C36" t="s">
        <v>861</v>
      </c>
      <c r="D36" t="s">
        <v>862</v>
      </c>
      <c r="E36" t="s">
        <v>38</v>
      </c>
      <c r="F36" t="s">
        <v>14386</v>
      </c>
      <c r="G36" t="s">
        <v>23</v>
      </c>
      <c r="H36" t="s">
        <v>13138</v>
      </c>
      <c r="I36" t="s">
        <v>13139</v>
      </c>
      <c r="J36" t="s">
        <v>20</v>
      </c>
      <c r="K36" t="s">
        <v>20</v>
      </c>
      <c r="L36" t="s">
        <v>20</v>
      </c>
      <c r="M36" t="s">
        <v>24</v>
      </c>
      <c r="N36" t="s">
        <v>3831</v>
      </c>
      <c r="O36" t="s">
        <v>11242</v>
      </c>
      <c r="P36" t="s">
        <v>20</v>
      </c>
      <c r="Q36" t="s">
        <v>20</v>
      </c>
      <c r="R36" t="s">
        <v>20</v>
      </c>
      <c r="S36" t="s">
        <v>13140</v>
      </c>
    </row>
    <row r="37" spans="1:19" x14ac:dyDescent="0.45">
      <c r="A37" t="s">
        <v>729</v>
      </c>
      <c r="B37" t="s">
        <v>20</v>
      </c>
      <c r="C37" t="s">
        <v>1079</v>
      </c>
      <c r="D37" t="s">
        <v>1080</v>
      </c>
      <c r="E37" t="s">
        <v>38</v>
      </c>
      <c r="F37" t="s">
        <v>2898</v>
      </c>
      <c r="G37" t="s">
        <v>23</v>
      </c>
      <c r="H37" t="s">
        <v>13141</v>
      </c>
      <c r="I37" t="s">
        <v>13142</v>
      </c>
      <c r="J37" t="s">
        <v>20</v>
      </c>
      <c r="K37" t="s">
        <v>20</v>
      </c>
      <c r="L37" t="s">
        <v>20</v>
      </c>
      <c r="M37" t="s">
        <v>24</v>
      </c>
      <c r="N37" t="s">
        <v>3831</v>
      </c>
      <c r="O37" t="s">
        <v>11242</v>
      </c>
      <c r="P37" t="s">
        <v>20</v>
      </c>
      <c r="Q37" t="s">
        <v>20</v>
      </c>
      <c r="R37" t="s">
        <v>20</v>
      </c>
      <c r="S37" t="s">
        <v>13143</v>
      </c>
    </row>
    <row r="38" spans="1:19" x14ac:dyDescent="0.45">
      <c r="A38" t="s">
        <v>35</v>
      </c>
      <c r="B38" t="s">
        <v>20</v>
      </c>
      <c r="C38" t="s">
        <v>2607</v>
      </c>
      <c r="D38" t="s">
        <v>2608</v>
      </c>
      <c r="E38" t="s">
        <v>38</v>
      </c>
      <c r="F38" t="s">
        <v>3062</v>
      </c>
      <c r="G38" t="s">
        <v>23</v>
      </c>
      <c r="H38" t="s">
        <v>13763</v>
      </c>
      <c r="I38" t="s">
        <v>13764</v>
      </c>
      <c r="J38" t="s">
        <v>20</v>
      </c>
      <c r="K38" t="s">
        <v>20</v>
      </c>
      <c r="L38" t="s">
        <v>9126</v>
      </c>
      <c r="M38" t="s">
        <v>24</v>
      </c>
      <c r="N38" t="s">
        <v>2858</v>
      </c>
      <c r="O38" t="s">
        <v>11242</v>
      </c>
      <c r="P38" t="s">
        <v>20</v>
      </c>
      <c r="Q38" t="s">
        <v>20</v>
      </c>
      <c r="R38" t="s">
        <v>20</v>
      </c>
      <c r="S38" t="s">
        <v>20</v>
      </c>
    </row>
    <row r="39" spans="1:19" x14ac:dyDescent="0.45">
      <c r="A39" t="s">
        <v>19</v>
      </c>
      <c r="B39" t="s">
        <v>20</v>
      </c>
      <c r="C39" t="s">
        <v>6777</v>
      </c>
      <c r="D39" t="s">
        <v>6188</v>
      </c>
      <c r="E39" t="s">
        <v>38</v>
      </c>
      <c r="F39" t="s">
        <v>2948</v>
      </c>
      <c r="G39" t="s">
        <v>23</v>
      </c>
      <c r="H39" t="s">
        <v>14387</v>
      </c>
      <c r="I39" t="s">
        <v>14388</v>
      </c>
      <c r="J39" t="s">
        <v>20</v>
      </c>
      <c r="K39" t="s">
        <v>20</v>
      </c>
      <c r="L39" t="s">
        <v>20</v>
      </c>
      <c r="M39" t="s">
        <v>24</v>
      </c>
      <c r="N39" t="s">
        <v>146</v>
      </c>
      <c r="O39" t="s">
        <v>11242</v>
      </c>
      <c r="P39" t="s">
        <v>20</v>
      </c>
      <c r="Q39" t="s">
        <v>20</v>
      </c>
      <c r="R39" t="s">
        <v>20</v>
      </c>
      <c r="S39" t="s">
        <v>20</v>
      </c>
    </row>
    <row r="40" spans="1:19" x14ac:dyDescent="0.45">
      <c r="A40" t="s">
        <v>46</v>
      </c>
      <c r="B40" t="s">
        <v>20</v>
      </c>
      <c r="C40" t="s">
        <v>3409</v>
      </c>
      <c r="D40" t="s">
        <v>3410</v>
      </c>
      <c r="E40" t="s">
        <v>38</v>
      </c>
      <c r="F40" t="s">
        <v>13765</v>
      </c>
      <c r="G40" t="s">
        <v>23</v>
      </c>
      <c r="H40" t="s">
        <v>13766</v>
      </c>
      <c r="I40" t="s">
        <v>13767</v>
      </c>
      <c r="J40" t="s">
        <v>20</v>
      </c>
      <c r="K40" t="s">
        <v>20</v>
      </c>
      <c r="L40" t="s">
        <v>20</v>
      </c>
      <c r="M40" t="s">
        <v>24</v>
      </c>
      <c r="N40" t="s">
        <v>3831</v>
      </c>
      <c r="O40" t="s">
        <v>11242</v>
      </c>
      <c r="P40" t="s">
        <v>20</v>
      </c>
      <c r="Q40" t="s">
        <v>20</v>
      </c>
      <c r="R40" t="s">
        <v>20</v>
      </c>
      <c r="S40" t="s">
        <v>13768</v>
      </c>
    </row>
    <row r="41" spans="1:19" x14ac:dyDescent="0.45">
      <c r="A41" t="s">
        <v>64</v>
      </c>
      <c r="B41" t="s">
        <v>20</v>
      </c>
      <c r="C41" t="s">
        <v>2115</v>
      </c>
      <c r="D41" t="s">
        <v>2116</v>
      </c>
      <c r="E41" t="s">
        <v>38</v>
      </c>
      <c r="F41" t="s">
        <v>20</v>
      </c>
      <c r="G41" t="s">
        <v>23</v>
      </c>
      <c r="H41" t="s">
        <v>12414</v>
      </c>
      <c r="I41" t="s">
        <v>12415</v>
      </c>
      <c r="J41" t="s">
        <v>20</v>
      </c>
      <c r="K41" t="s">
        <v>20</v>
      </c>
      <c r="L41" t="s">
        <v>20</v>
      </c>
      <c r="M41" t="s">
        <v>24</v>
      </c>
      <c r="N41" t="s">
        <v>3831</v>
      </c>
      <c r="O41" t="s">
        <v>11242</v>
      </c>
      <c r="P41" t="s">
        <v>20</v>
      </c>
      <c r="Q41" t="s">
        <v>20</v>
      </c>
      <c r="R41" t="s">
        <v>20</v>
      </c>
      <c r="S41" t="s">
        <v>12416</v>
      </c>
    </row>
    <row r="42" spans="1:19" x14ac:dyDescent="0.45">
      <c r="A42" t="s">
        <v>64</v>
      </c>
      <c r="B42" t="s">
        <v>20</v>
      </c>
      <c r="C42" t="s">
        <v>2115</v>
      </c>
      <c r="D42" t="s">
        <v>2116</v>
      </c>
      <c r="E42" t="s">
        <v>38</v>
      </c>
      <c r="F42" t="s">
        <v>20</v>
      </c>
      <c r="G42" t="s">
        <v>23</v>
      </c>
      <c r="H42" t="s">
        <v>13144</v>
      </c>
      <c r="I42" t="s">
        <v>13145</v>
      </c>
      <c r="J42" t="s">
        <v>20</v>
      </c>
      <c r="K42" t="s">
        <v>20</v>
      </c>
      <c r="L42" t="s">
        <v>20</v>
      </c>
      <c r="M42" t="s">
        <v>24</v>
      </c>
      <c r="N42" t="s">
        <v>3831</v>
      </c>
      <c r="O42" t="s">
        <v>11242</v>
      </c>
      <c r="P42" t="s">
        <v>20</v>
      </c>
      <c r="Q42" t="s">
        <v>20</v>
      </c>
      <c r="R42" t="s">
        <v>20</v>
      </c>
      <c r="S42" t="s">
        <v>13146</v>
      </c>
    </row>
    <row r="43" spans="1:19" x14ac:dyDescent="0.45">
      <c r="A43" t="s">
        <v>64</v>
      </c>
      <c r="B43" t="s">
        <v>20</v>
      </c>
      <c r="C43" t="s">
        <v>2115</v>
      </c>
      <c r="D43" t="s">
        <v>2116</v>
      </c>
      <c r="E43" t="s">
        <v>38</v>
      </c>
      <c r="F43" t="s">
        <v>13147</v>
      </c>
      <c r="G43" t="s">
        <v>23</v>
      </c>
      <c r="H43" t="s">
        <v>13148</v>
      </c>
      <c r="I43" t="s">
        <v>13149</v>
      </c>
      <c r="J43" t="s">
        <v>20</v>
      </c>
      <c r="K43" t="s">
        <v>20</v>
      </c>
      <c r="L43" t="s">
        <v>20</v>
      </c>
      <c r="M43" t="s">
        <v>24</v>
      </c>
      <c r="N43" t="s">
        <v>3831</v>
      </c>
      <c r="O43" t="s">
        <v>11242</v>
      </c>
      <c r="P43" t="s">
        <v>20</v>
      </c>
      <c r="Q43" t="s">
        <v>20</v>
      </c>
      <c r="R43" t="s">
        <v>20</v>
      </c>
      <c r="S43" t="s">
        <v>13150</v>
      </c>
    </row>
    <row r="44" spans="1:19" x14ac:dyDescent="0.45">
      <c r="A44" t="s">
        <v>19</v>
      </c>
      <c r="B44" t="s">
        <v>20</v>
      </c>
      <c r="C44" t="s">
        <v>3883</v>
      </c>
      <c r="D44" t="s">
        <v>3884</v>
      </c>
      <c r="E44" t="s">
        <v>38</v>
      </c>
      <c r="F44" t="s">
        <v>11633</v>
      </c>
      <c r="G44" t="s">
        <v>23</v>
      </c>
      <c r="H44" t="s">
        <v>13772</v>
      </c>
      <c r="I44" t="s">
        <v>13773</v>
      </c>
      <c r="J44" t="s">
        <v>20</v>
      </c>
      <c r="K44" t="s">
        <v>20</v>
      </c>
      <c r="L44" t="s">
        <v>9126</v>
      </c>
      <c r="M44" t="s">
        <v>24</v>
      </c>
      <c r="N44" t="s">
        <v>3831</v>
      </c>
      <c r="O44" t="s">
        <v>11242</v>
      </c>
      <c r="P44" t="s">
        <v>20</v>
      </c>
      <c r="Q44" t="s">
        <v>20</v>
      </c>
      <c r="R44" t="s">
        <v>20</v>
      </c>
      <c r="S44" t="s">
        <v>13774</v>
      </c>
    </row>
    <row r="45" spans="1:19" x14ac:dyDescent="0.45">
      <c r="A45" t="s">
        <v>19</v>
      </c>
      <c r="B45" t="s">
        <v>20</v>
      </c>
      <c r="C45" t="s">
        <v>3883</v>
      </c>
      <c r="D45" t="s">
        <v>3884</v>
      </c>
      <c r="E45" t="s">
        <v>38</v>
      </c>
      <c r="F45" t="s">
        <v>14389</v>
      </c>
      <c r="G45" t="s">
        <v>23</v>
      </c>
      <c r="H45" t="s">
        <v>14135</v>
      </c>
      <c r="I45" t="s">
        <v>14136</v>
      </c>
      <c r="J45" t="s">
        <v>20</v>
      </c>
      <c r="K45" t="s">
        <v>20</v>
      </c>
      <c r="L45" t="s">
        <v>20</v>
      </c>
      <c r="M45" t="s">
        <v>24</v>
      </c>
      <c r="N45" t="s">
        <v>3831</v>
      </c>
      <c r="O45" t="s">
        <v>11242</v>
      </c>
      <c r="P45" t="s">
        <v>20</v>
      </c>
      <c r="Q45" t="s">
        <v>20</v>
      </c>
      <c r="R45" t="s">
        <v>20</v>
      </c>
      <c r="S45" t="s">
        <v>14137</v>
      </c>
    </row>
    <row r="46" spans="1:19" x14ac:dyDescent="0.45">
      <c r="A46" t="s">
        <v>19</v>
      </c>
      <c r="B46" t="s">
        <v>20</v>
      </c>
      <c r="C46" t="s">
        <v>3883</v>
      </c>
      <c r="D46" t="s">
        <v>3884</v>
      </c>
      <c r="E46" t="s">
        <v>38</v>
      </c>
      <c r="F46" t="s">
        <v>14390</v>
      </c>
      <c r="G46" t="s">
        <v>23</v>
      </c>
      <c r="H46" t="s">
        <v>14391</v>
      </c>
      <c r="I46" t="s">
        <v>14392</v>
      </c>
      <c r="J46" t="s">
        <v>20</v>
      </c>
      <c r="K46" t="s">
        <v>20</v>
      </c>
      <c r="L46" t="s">
        <v>20</v>
      </c>
      <c r="M46" t="s">
        <v>24</v>
      </c>
      <c r="N46" t="s">
        <v>3831</v>
      </c>
      <c r="O46" t="s">
        <v>11242</v>
      </c>
      <c r="P46" t="s">
        <v>20</v>
      </c>
      <c r="Q46" t="s">
        <v>20</v>
      </c>
      <c r="R46" t="s">
        <v>20</v>
      </c>
      <c r="S46" t="s">
        <v>14393</v>
      </c>
    </row>
    <row r="47" spans="1:19" x14ac:dyDescent="0.45">
      <c r="A47" t="s">
        <v>869</v>
      </c>
      <c r="B47" t="s">
        <v>20</v>
      </c>
      <c r="C47" t="s">
        <v>1126</v>
      </c>
      <c r="D47" t="s">
        <v>1127</v>
      </c>
      <c r="E47" t="s">
        <v>38</v>
      </c>
      <c r="F47" t="s">
        <v>14394</v>
      </c>
      <c r="G47" t="s">
        <v>23</v>
      </c>
      <c r="H47" t="s">
        <v>13788</v>
      </c>
      <c r="I47" t="s">
        <v>13789</v>
      </c>
      <c r="J47" t="s">
        <v>20</v>
      </c>
      <c r="K47" t="s">
        <v>20</v>
      </c>
      <c r="L47" t="s">
        <v>20</v>
      </c>
      <c r="M47" t="s">
        <v>24</v>
      </c>
      <c r="N47" t="s">
        <v>3831</v>
      </c>
      <c r="O47" t="s">
        <v>11242</v>
      </c>
      <c r="P47" t="s">
        <v>20</v>
      </c>
      <c r="Q47" t="s">
        <v>20</v>
      </c>
      <c r="R47" t="s">
        <v>20</v>
      </c>
      <c r="S47" t="s">
        <v>13790</v>
      </c>
    </row>
    <row r="48" spans="1:19" x14ac:dyDescent="0.45">
      <c r="A48" t="s">
        <v>572</v>
      </c>
      <c r="B48" t="s">
        <v>20</v>
      </c>
      <c r="C48" t="s">
        <v>3565</v>
      </c>
      <c r="D48" t="s">
        <v>3566</v>
      </c>
      <c r="E48" t="s">
        <v>38</v>
      </c>
      <c r="F48" t="s">
        <v>14268</v>
      </c>
      <c r="G48" t="s">
        <v>23</v>
      </c>
      <c r="H48" t="s">
        <v>13151</v>
      </c>
      <c r="I48" t="s">
        <v>13152</v>
      </c>
      <c r="J48" t="s">
        <v>20</v>
      </c>
      <c r="K48" t="s">
        <v>20</v>
      </c>
      <c r="L48" t="s">
        <v>20</v>
      </c>
      <c r="M48" t="s">
        <v>24</v>
      </c>
      <c r="N48" t="s">
        <v>3831</v>
      </c>
      <c r="O48" t="s">
        <v>11242</v>
      </c>
      <c r="P48" t="s">
        <v>20</v>
      </c>
      <c r="Q48" t="s">
        <v>20</v>
      </c>
      <c r="R48" t="s">
        <v>20</v>
      </c>
      <c r="S48" t="s">
        <v>13153</v>
      </c>
    </row>
    <row r="49" spans="1:19" x14ac:dyDescent="0.45">
      <c r="A49" t="s">
        <v>572</v>
      </c>
      <c r="B49" t="s">
        <v>20</v>
      </c>
      <c r="C49" t="s">
        <v>3565</v>
      </c>
      <c r="D49" t="s">
        <v>3566</v>
      </c>
      <c r="E49" t="s">
        <v>38</v>
      </c>
      <c r="F49" t="s">
        <v>2787</v>
      </c>
      <c r="G49" t="s">
        <v>23</v>
      </c>
      <c r="H49" t="s">
        <v>14395</v>
      </c>
      <c r="I49" t="s">
        <v>14396</v>
      </c>
      <c r="J49" t="s">
        <v>20</v>
      </c>
      <c r="K49" t="s">
        <v>20</v>
      </c>
      <c r="L49" t="s">
        <v>9126</v>
      </c>
      <c r="M49" t="s">
        <v>24</v>
      </c>
      <c r="N49" t="s">
        <v>146</v>
      </c>
      <c r="O49" t="s">
        <v>11242</v>
      </c>
      <c r="P49" t="s">
        <v>20</v>
      </c>
      <c r="Q49" t="s">
        <v>20</v>
      </c>
      <c r="R49" t="s">
        <v>20</v>
      </c>
      <c r="S49" t="s">
        <v>20</v>
      </c>
    </row>
    <row r="50" spans="1:19" x14ac:dyDescent="0.45">
      <c r="A50" t="s">
        <v>64</v>
      </c>
      <c r="B50" t="s">
        <v>20</v>
      </c>
      <c r="C50" t="s">
        <v>622</v>
      </c>
      <c r="D50" t="s">
        <v>623</v>
      </c>
      <c r="E50" t="s">
        <v>38</v>
      </c>
      <c r="F50" t="s">
        <v>14397</v>
      </c>
      <c r="G50" t="s">
        <v>23</v>
      </c>
      <c r="H50" t="s">
        <v>13154</v>
      </c>
      <c r="I50" t="s">
        <v>13155</v>
      </c>
      <c r="J50" t="s">
        <v>20</v>
      </c>
      <c r="K50" t="s">
        <v>20</v>
      </c>
      <c r="L50" t="s">
        <v>20</v>
      </c>
      <c r="M50" t="s">
        <v>24</v>
      </c>
      <c r="N50" t="s">
        <v>3831</v>
      </c>
      <c r="O50" t="s">
        <v>11242</v>
      </c>
      <c r="P50" t="s">
        <v>20</v>
      </c>
      <c r="Q50" t="s">
        <v>20</v>
      </c>
      <c r="R50" t="s">
        <v>20</v>
      </c>
      <c r="S50" t="s">
        <v>13156</v>
      </c>
    </row>
    <row r="51" spans="1:19" x14ac:dyDescent="0.45">
      <c r="A51" t="s">
        <v>5243</v>
      </c>
      <c r="B51" t="s">
        <v>20</v>
      </c>
      <c r="C51" t="s">
        <v>5245</v>
      </c>
      <c r="D51" t="s">
        <v>5246</v>
      </c>
      <c r="E51" t="s">
        <v>38</v>
      </c>
      <c r="F51" t="s">
        <v>2787</v>
      </c>
      <c r="G51" t="s">
        <v>23</v>
      </c>
      <c r="H51" t="s">
        <v>14398</v>
      </c>
      <c r="I51" t="s">
        <v>14399</v>
      </c>
      <c r="J51" t="s">
        <v>20</v>
      </c>
      <c r="K51" t="s">
        <v>20</v>
      </c>
      <c r="L51" t="s">
        <v>20</v>
      </c>
      <c r="M51" t="s">
        <v>24</v>
      </c>
      <c r="N51" t="s">
        <v>1224</v>
      </c>
      <c r="O51" t="s">
        <v>11242</v>
      </c>
      <c r="P51" t="s">
        <v>20</v>
      </c>
      <c r="Q51" t="s">
        <v>20</v>
      </c>
      <c r="R51" t="s">
        <v>20</v>
      </c>
      <c r="S51" t="s">
        <v>20</v>
      </c>
    </row>
    <row r="52" spans="1:19" x14ac:dyDescent="0.45">
      <c r="A52" t="s">
        <v>516</v>
      </c>
      <c r="B52" t="s">
        <v>20</v>
      </c>
      <c r="C52" t="s">
        <v>13777</v>
      </c>
      <c r="D52" t="s">
        <v>6103</v>
      </c>
      <c r="E52" t="s">
        <v>38</v>
      </c>
      <c r="F52" t="s">
        <v>9393</v>
      </c>
      <c r="G52" t="s">
        <v>23</v>
      </c>
      <c r="H52" t="s">
        <v>13778</v>
      </c>
      <c r="I52" t="s">
        <v>13779</v>
      </c>
      <c r="J52" t="s">
        <v>20</v>
      </c>
      <c r="K52" t="s">
        <v>20</v>
      </c>
      <c r="L52" t="s">
        <v>20</v>
      </c>
      <c r="M52" t="s">
        <v>24</v>
      </c>
      <c r="N52" t="s">
        <v>3831</v>
      </c>
      <c r="O52" t="s">
        <v>11242</v>
      </c>
      <c r="P52" t="s">
        <v>20</v>
      </c>
      <c r="Q52" t="s">
        <v>20</v>
      </c>
      <c r="R52" t="s">
        <v>20</v>
      </c>
      <c r="S52" t="s">
        <v>13780</v>
      </c>
    </row>
    <row r="53" spans="1:19" x14ac:dyDescent="0.45">
      <c r="A53" t="s">
        <v>1598</v>
      </c>
      <c r="B53" t="s">
        <v>20</v>
      </c>
      <c r="C53" t="s">
        <v>6885</v>
      </c>
      <c r="D53" t="s">
        <v>5644</v>
      </c>
      <c r="E53" t="s">
        <v>38</v>
      </c>
      <c r="F53" t="s">
        <v>14400</v>
      </c>
      <c r="G53" t="s">
        <v>23</v>
      </c>
      <c r="H53" t="s">
        <v>14401</v>
      </c>
      <c r="I53" t="s">
        <v>14402</v>
      </c>
      <c r="J53" t="s">
        <v>20</v>
      </c>
      <c r="K53" t="s">
        <v>20</v>
      </c>
      <c r="L53" t="s">
        <v>20</v>
      </c>
      <c r="M53" t="s">
        <v>24</v>
      </c>
      <c r="N53" t="s">
        <v>3831</v>
      </c>
      <c r="O53" t="s">
        <v>11242</v>
      </c>
      <c r="P53" t="s">
        <v>20</v>
      </c>
      <c r="Q53" t="s">
        <v>20</v>
      </c>
      <c r="R53" t="s">
        <v>20</v>
      </c>
      <c r="S53" t="s">
        <v>14403</v>
      </c>
    </row>
    <row r="54" spans="1:19" x14ac:dyDescent="0.45">
      <c r="A54" t="s">
        <v>5243</v>
      </c>
      <c r="B54" t="s">
        <v>20</v>
      </c>
      <c r="C54" t="s">
        <v>13110</v>
      </c>
      <c r="D54" t="s">
        <v>5962</v>
      </c>
      <c r="E54" t="s">
        <v>38</v>
      </c>
      <c r="F54" t="s">
        <v>2787</v>
      </c>
      <c r="G54" t="s">
        <v>23</v>
      </c>
      <c r="H54" t="s">
        <v>13111</v>
      </c>
      <c r="I54" t="s">
        <v>13112</v>
      </c>
      <c r="J54" t="s">
        <v>20</v>
      </c>
      <c r="K54" t="s">
        <v>20</v>
      </c>
      <c r="L54" t="s">
        <v>20</v>
      </c>
      <c r="M54" t="s">
        <v>24</v>
      </c>
      <c r="N54" t="s">
        <v>2809</v>
      </c>
      <c r="O54" t="s">
        <v>11242</v>
      </c>
      <c r="P54" t="s">
        <v>20</v>
      </c>
      <c r="Q54" t="s">
        <v>20</v>
      </c>
      <c r="R54" t="s">
        <v>20</v>
      </c>
      <c r="S54" t="s">
        <v>20</v>
      </c>
    </row>
    <row r="55" spans="1:19" x14ac:dyDescent="0.45">
      <c r="A55" t="s">
        <v>9906</v>
      </c>
      <c r="B55" t="s">
        <v>20</v>
      </c>
      <c r="C55" t="s">
        <v>13174</v>
      </c>
      <c r="D55" t="s">
        <v>6104</v>
      </c>
      <c r="E55" t="s">
        <v>38</v>
      </c>
      <c r="F55" t="s">
        <v>2985</v>
      </c>
      <c r="G55" t="s">
        <v>23</v>
      </c>
      <c r="H55" t="s">
        <v>13175</v>
      </c>
      <c r="I55" t="s">
        <v>13176</v>
      </c>
      <c r="J55" t="s">
        <v>20</v>
      </c>
      <c r="K55" t="s">
        <v>20</v>
      </c>
      <c r="L55" t="s">
        <v>20</v>
      </c>
      <c r="M55" t="s">
        <v>24</v>
      </c>
      <c r="N55" t="s">
        <v>119</v>
      </c>
      <c r="O55" t="s">
        <v>11242</v>
      </c>
      <c r="P55" t="s">
        <v>20</v>
      </c>
      <c r="Q55" t="s">
        <v>20</v>
      </c>
      <c r="R55" t="s">
        <v>20</v>
      </c>
      <c r="S55" t="s">
        <v>20</v>
      </c>
    </row>
    <row r="56" spans="1:19" x14ac:dyDescent="0.45">
      <c r="A56" t="s">
        <v>379</v>
      </c>
      <c r="B56" t="s">
        <v>20</v>
      </c>
      <c r="C56" t="s">
        <v>1468</v>
      </c>
      <c r="D56" t="s">
        <v>1469</v>
      </c>
      <c r="E56" t="s">
        <v>38</v>
      </c>
      <c r="F56" t="s">
        <v>2904</v>
      </c>
      <c r="G56" t="s">
        <v>23</v>
      </c>
      <c r="H56" t="s">
        <v>13115</v>
      </c>
      <c r="I56" t="s">
        <v>13116</v>
      </c>
      <c r="J56" t="s">
        <v>20</v>
      </c>
      <c r="K56" t="s">
        <v>20</v>
      </c>
      <c r="L56" t="s">
        <v>3418</v>
      </c>
      <c r="M56" t="s">
        <v>24</v>
      </c>
      <c r="N56" t="s">
        <v>146</v>
      </c>
      <c r="O56" t="s">
        <v>11242</v>
      </c>
      <c r="P56" t="s">
        <v>20</v>
      </c>
      <c r="Q56" t="s">
        <v>20</v>
      </c>
      <c r="R56" t="s">
        <v>20</v>
      </c>
      <c r="S56" t="s">
        <v>20</v>
      </c>
    </row>
    <row r="57" spans="1:19" x14ac:dyDescent="0.45">
      <c r="A57" t="s">
        <v>104</v>
      </c>
      <c r="B57" t="s">
        <v>20</v>
      </c>
      <c r="C57" t="s">
        <v>7178</v>
      </c>
      <c r="D57" t="s">
        <v>5695</v>
      </c>
      <c r="E57" t="s">
        <v>38</v>
      </c>
      <c r="F57" t="s">
        <v>14404</v>
      </c>
      <c r="G57" t="s">
        <v>23</v>
      </c>
      <c r="H57" t="s">
        <v>13743</v>
      </c>
      <c r="I57" t="s">
        <v>13744</v>
      </c>
      <c r="J57" t="s">
        <v>20</v>
      </c>
      <c r="K57" t="s">
        <v>20</v>
      </c>
      <c r="L57" t="s">
        <v>20</v>
      </c>
      <c r="M57" t="s">
        <v>24</v>
      </c>
      <c r="N57" t="s">
        <v>3831</v>
      </c>
      <c r="O57" t="s">
        <v>11242</v>
      </c>
      <c r="P57" t="s">
        <v>20</v>
      </c>
      <c r="Q57" t="s">
        <v>20</v>
      </c>
      <c r="R57" t="s">
        <v>20</v>
      </c>
      <c r="S57" t="s">
        <v>13745</v>
      </c>
    </row>
    <row r="58" spans="1:19" x14ac:dyDescent="0.45">
      <c r="A58" t="s">
        <v>19</v>
      </c>
      <c r="B58" t="s">
        <v>20</v>
      </c>
      <c r="C58" t="s">
        <v>4476</v>
      </c>
      <c r="D58" t="s">
        <v>4477</v>
      </c>
      <c r="E58" t="s">
        <v>38</v>
      </c>
      <c r="F58" t="s">
        <v>14405</v>
      </c>
      <c r="G58" t="s">
        <v>23</v>
      </c>
      <c r="H58" t="s">
        <v>14406</v>
      </c>
      <c r="I58" t="s">
        <v>14407</v>
      </c>
      <c r="J58" t="s">
        <v>20</v>
      </c>
      <c r="K58" t="s">
        <v>20</v>
      </c>
      <c r="L58" t="s">
        <v>20</v>
      </c>
      <c r="M58" t="s">
        <v>24</v>
      </c>
      <c r="N58" t="s">
        <v>3831</v>
      </c>
      <c r="O58" t="s">
        <v>11242</v>
      </c>
      <c r="P58" t="s">
        <v>20</v>
      </c>
      <c r="Q58" t="s">
        <v>20</v>
      </c>
      <c r="R58" t="s">
        <v>20</v>
      </c>
      <c r="S58" t="s">
        <v>14408</v>
      </c>
    </row>
    <row r="59" spans="1:19" x14ac:dyDescent="0.45">
      <c r="A59" t="s">
        <v>85</v>
      </c>
      <c r="B59" t="s">
        <v>20</v>
      </c>
      <c r="C59" t="s">
        <v>86</v>
      </c>
      <c r="D59" t="s">
        <v>87</v>
      </c>
      <c r="E59" t="s">
        <v>38</v>
      </c>
      <c r="F59" t="s">
        <v>2787</v>
      </c>
      <c r="G59" t="s">
        <v>23</v>
      </c>
      <c r="H59" t="s">
        <v>13751</v>
      </c>
      <c r="I59" t="s">
        <v>13752</v>
      </c>
      <c r="J59" t="s">
        <v>20</v>
      </c>
      <c r="K59" t="s">
        <v>20</v>
      </c>
      <c r="L59" t="s">
        <v>3998</v>
      </c>
      <c r="M59" t="s">
        <v>24</v>
      </c>
      <c r="N59" t="s">
        <v>146</v>
      </c>
      <c r="O59" t="s">
        <v>11242</v>
      </c>
      <c r="P59" t="s">
        <v>20</v>
      </c>
      <c r="Q59" t="s">
        <v>20</v>
      </c>
      <c r="R59" t="s">
        <v>20</v>
      </c>
      <c r="S59" t="s">
        <v>20</v>
      </c>
    </row>
    <row r="60" spans="1:19" x14ac:dyDescent="0.45">
      <c r="A60" t="s">
        <v>662</v>
      </c>
      <c r="B60" t="s">
        <v>20</v>
      </c>
      <c r="C60" t="s">
        <v>14409</v>
      </c>
      <c r="D60" t="s">
        <v>5988</v>
      </c>
      <c r="E60" t="s">
        <v>38</v>
      </c>
      <c r="F60" t="s">
        <v>2755</v>
      </c>
      <c r="G60" t="s">
        <v>23</v>
      </c>
      <c r="H60" t="s">
        <v>14410</v>
      </c>
      <c r="I60" t="s">
        <v>14411</v>
      </c>
      <c r="J60" t="s">
        <v>20</v>
      </c>
      <c r="K60" t="s">
        <v>20</v>
      </c>
      <c r="L60" t="s">
        <v>3418</v>
      </c>
      <c r="M60" t="s">
        <v>24</v>
      </c>
      <c r="N60" t="s">
        <v>9705</v>
      </c>
      <c r="O60" t="s">
        <v>11242</v>
      </c>
      <c r="P60" t="s">
        <v>20</v>
      </c>
      <c r="Q60" t="s">
        <v>20</v>
      </c>
      <c r="R60" t="s">
        <v>20</v>
      </c>
      <c r="S60" t="s">
        <v>20</v>
      </c>
    </row>
    <row r="61" spans="1:19" x14ac:dyDescent="0.45">
      <c r="A61" t="s">
        <v>1598</v>
      </c>
      <c r="B61" t="s">
        <v>20</v>
      </c>
      <c r="C61" t="s">
        <v>7192</v>
      </c>
      <c r="D61" t="s">
        <v>6015</v>
      </c>
      <c r="E61" t="s">
        <v>38</v>
      </c>
      <c r="F61" t="s">
        <v>2898</v>
      </c>
      <c r="G61" t="s">
        <v>23</v>
      </c>
      <c r="H61" t="s">
        <v>13125</v>
      </c>
      <c r="I61" t="s">
        <v>13126</v>
      </c>
      <c r="J61" t="s">
        <v>20</v>
      </c>
      <c r="K61" t="s">
        <v>20</v>
      </c>
      <c r="L61" t="s">
        <v>13871</v>
      </c>
      <c r="M61" t="s">
        <v>24</v>
      </c>
      <c r="N61" t="s">
        <v>3831</v>
      </c>
      <c r="O61" t="s">
        <v>11242</v>
      </c>
      <c r="P61" t="s">
        <v>20</v>
      </c>
      <c r="Q61" t="s">
        <v>20</v>
      </c>
      <c r="R61" t="s">
        <v>20</v>
      </c>
      <c r="S61" t="s">
        <v>13127</v>
      </c>
    </row>
    <row r="62" spans="1:19" x14ac:dyDescent="0.45">
      <c r="A62" t="s">
        <v>1016</v>
      </c>
      <c r="B62" t="s">
        <v>20</v>
      </c>
      <c r="C62" t="s">
        <v>1017</v>
      </c>
      <c r="D62" t="s">
        <v>1018</v>
      </c>
      <c r="E62" t="s">
        <v>38</v>
      </c>
      <c r="F62" t="s">
        <v>14412</v>
      </c>
      <c r="G62" t="s">
        <v>23</v>
      </c>
      <c r="H62" t="s">
        <v>14413</v>
      </c>
      <c r="I62" t="s">
        <v>14414</v>
      </c>
      <c r="J62" t="s">
        <v>20</v>
      </c>
      <c r="K62" t="s">
        <v>20</v>
      </c>
      <c r="L62" t="s">
        <v>20</v>
      </c>
      <c r="M62" t="s">
        <v>24</v>
      </c>
      <c r="N62" t="s">
        <v>3831</v>
      </c>
      <c r="O62" t="s">
        <v>11242</v>
      </c>
      <c r="P62" t="s">
        <v>20</v>
      </c>
      <c r="Q62" t="s">
        <v>20</v>
      </c>
      <c r="R62" t="s">
        <v>20</v>
      </c>
      <c r="S62" t="s">
        <v>14415</v>
      </c>
    </row>
    <row r="63" spans="1:19" x14ac:dyDescent="0.45">
      <c r="A63" t="s">
        <v>358</v>
      </c>
      <c r="B63" t="s">
        <v>20</v>
      </c>
      <c r="C63" t="s">
        <v>1519</v>
      </c>
      <c r="D63" t="s">
        <v>1520</v>
      </c>
      <c r="E63" t="s">
        <v>38</v>
      </c>
      <c r="F63" t="s">
        <v>2948</v>
      </c>
      <c r="G63" t="s">
        <v>23</v>
      </c>
      <c r="H63" t="s">
        <v>13179</v>
      </c>
      <c r="I63" t="s">
        <v>13180</v>
      </c>
      <c r="J63" t="s">
        <v>20</v>
      </c>
      <c r="K63" t="s">
        <v>20</v>
      </c>
      <c r="L63" t="s">
        <v>3418</v>
      </c>
      <c r="M63" t="s">
        <v>24</v>
      </c>
      <c r="N63" t="s">
        <v>146</v>
      </c>
      <c r="O63" t="s">
        <v>11242</v>
      </c>
      <c r="P63" t="s">
        <v>20</v>
      </c>
      <c r="Q63" t="s">
        <v>20</v>
      </c>
      <c r="R63" t="s">
        <v>20</v>
      </c>
      <c r="S63" t="s">
        <v>20</v>
      </c>
    </row>
    <row r="64" spans="1:19" x14ac:dyDescent="0.45">
      <c r="A64" t="s">
        <v>19</v>
      </c>
      <c r="B64" t="s">
        <v>20</v>
      </c>
      <c r="C64" t="s">
        <v>3858</v>
      </c>
      <c r="D64" t="s">
        <v>3859</v>
      </c>
      <c r="E64" t="s">
        <v>38</v>
      </c>
      <c r="F64" t="s">
        <v>2863</v>
      </c>
      <c r="G64" t="s">
        <v>23</v>
      </c>
      <c r="H64" t="s">
        <v>14416</v>
      </c>
      <c r="I64" t="s">
        <v>14417</v>
      </c>
      <c r="J64" t="s">
        <v>20</v>
      </c>
      <c r="K64" t="s">
        <v>20</v>
      </c>
      <c r="L64" t="s">
        <v>474</v>
      </c>
      <c r="M64" t="s">
        <v>24</v>
      </c>
      <c r="N64" t="s">
        <v>146</v>
      </c>
      <c r="O64" t="s">
        <v>11242</v>
      </c>
      <c r="P64" t="s">
        <v>20</v>
      </c>
      <c r="Q64" t="s">
        <v>20</v>
      </c>
      <c r="R64" t="s">
        <v>20</v>
      </c>
      <c r="S64" t="s">
        <v>20</v>
      </c>
    </row>
    <row r="65" spans="1:19" x14ac:dyDescent="0.45">
      <c r="A65" t="s">
        <v>239</v>
      </c>
      <c r="B65" t="s">
        <v>20</v>
      </c>
      <c r="C65" t="s">
        <v>3271</v>
      </c>
      <c r="D65" t="s">
        <v>3272</v>
      </c>
      <c r="E65" t="s">
        <v>38</v>
      </c>
      <c r="F65" t="s">
        <v>14138</v>
      </c>
      <c r="G65" t="s">
        <v>23</v>
      </c>
      <c r="H65" t="s">
        <v>13784</v>
      </c>
      <c r="I65" t="s">
        <v>13785</v>
      </c>
      <c r="J65" t="s">
        <v>20</v>
      </c>
      <c r="K65" t="s">
        <v>20</v>
      </c>
      <c r="L65" t="s">
        <v>9126</v>
      </c>
      <c r="M65" t="s">
        <v>24</v>
      </c>
      <c r="N65" t="s">
        <v>45</v>
      </c>
      <c r="O65" t="s">
        <v>11242</v>
      </c>
      <c r="P65" t="s">
        <v>20</v>
      </c>
      <c r="Q65" t="s">
        <v>20</v>
      </c>
      <c r="R65" t="s">
        <v>20</v>
      </c>
      <c r="S65" t="s">
        <v>20</v>
      </c>
    </row>
    <row r="66" spans="1:19" x14ac:dyDescent="0.45">
      <c r="A66" t="s">
        <v>592</v>
      </c>
      <c r="B66" t="s">
        <v>20</v>
      </c>
      <c r="C66" t="s">
        <v>1825</v>
      </c>
      <c r="D66" t="s">
        <v>1826</v>
      </c>
      <c r="E66" t="s">
        <v>38</v>
      </c>
      <c r="F66" t="s">
        <v>14418</v>
      </c>
      <c r="G66" t="s">
        <v>23</v>
      </c>
      <c r="H66" t="s">
        <v>14419</v>
      </c>
      <c r="I66" t="s">
        <v>14420</v>
      </c>
      <c r="J66" t="s">
        <v>20</v>
      </c>
      <c r="K66" t="s">
        <v>20</v>
      </c>
      <c r="L66" t="s">
        <v>20</v>
      </c>
      <c r="M66" t="s">
        <v>24</v>
      </c>
      <c r="N66" t="s">
        <v>3831</v>
      </c>
      <c r="O66" t="s">
        <v>11242</v>
      </c>
      <c r="P66" t="s">
        <v>20</v>
      </c>
      <c r="Q66" t="s">
        <v>20</v>
      </c>
      <c r="R66" t="s">
        <v>20</v>
      </c>
      <c r="S66" t="s">
        <v>14421</v>
      </c>
    </row>
    <row r="67" spans="1:19" x14ac:dyDescent="0.45">
      <c r="A67" t="s">
        <v>511</v>
      </c>
      <c r="B67" t="s">
        <v>20</v>
      </c>
      <c r="C67" t="s">
        <v>6946</v>
      </c>
      <c r="D67" t="s">
        <v>6011</v>
      </c>
      <c r="E67" t="s">
        <v>38</v>
      </c>
      <c r="F67" t="s">
        <v>2898</v>
      </c>
      <c r="G67" t="s">
        <v>23</v>
      </c>
      <c r="H67" t="s">
        <v>13769</v>
      </c>
      <c r="I67" t="s">
        <v>13770</v>
      </c>
      <c r="J67" t="s">
        <v>20</v>
      </c>
      <c r="K67" t="s">
        <v>20</v>
      </c>
      <c r="L67" t="s">
        <v>20</v>
      </c>
      <c r="M67" t="s">
        <v>24</v>
      </c>
      <c r="N67" t="s">
        <v>3831</v>
      </c>
      <c r="O67" t="s">
        <v>11242</v>
      </c>
      <c r="P67" t="s">
        <v>20</v>
      </c>
      <c r="Q67" t="s">
        <v>20</v>
      </c>
      <c r="R67" t="s">
        <v>20</v>
      </c>
      <c r="S67" t="s">
        <v>13771</v>
      </c>
    </row>
    <row r="68" spans="1:19" x14ac:dyDescent="0.45">
      <c r="A68" t="s">
        <v>1735</v>
      </c>
      <c r="B68" t="s">
        <v>20</v>
      </c>
      <c r="C68" t="s">
        <v>12417</v>
      </c>
      <c r="D68" t="s">
        <v>3594</v>
      </c>
      <c r="E68" t="s">
        <v>29</v>
      </c>
      <c r="F68" t="s">
        <v>2785</v>
      </c>
      <c r="G68" t="s">
        <v>23</v>
      </c>
      <c r="H68" t="s">
        <v>12418</v>
      </c>
      <c r="I68" t="s">
        <v>12419</v>
      </c>
      <c r="J68" t="s">
        <v>20</v>
      </c>
      <c r="K68" t="s">
        <v>20</v>
      </c>
      <c r="L68" t="s">
        <v>3418</v>
      </c>
      <c r="M68" t="s">
        <v>24</v>
      </c>
      <c r="N68" t="s">
        <v>195</v>
      </c>
      <c r="O68" t="s">
        <v>11242</v>
      </c>
      <c r="P68" t="s">
        <v>20</v>
      </c>
      <c r="Q68" t="s">
        <v>20</v>
      </c>
      <c r="R68" t="s">
        <v>20</v>
      </c>
      <c r="S68" t="s">
        <v>20</v>
      </c>
    </row>
    <row r="69" spans="1:19" x14ac:dyDescent="0.45">
      <c r="A69" t="s">
        <v>572</v>
      </c>
      <c r="B69" t="s">
        <v>20</v>
      </c>
      <c r="C69" t="s">
        <v>573</v>
      </c>
      <c r="D69" t="s">
        <v>574</v>
      </c>
      <c r="E69" t="s">
        <v>38</v>
      </c>
      <c r="F69" t="s">
        <v>2755</v>
      </c>
      <c r="G69" t="s">
        <v>23</v>
      </c>
      <c r="H69" t="s">
        <v>14422</v>
      </c>
      <c r="I69" t="s">
        <v>14423</v>
      </c>
      <c r="J69" t="s">
        <v>20</v>
      </c>
      <c r="K69" t="s">
        <v>20</v>
      </c>
      <c r="L69" t="s">
        <v>9126</v>
      </c>
      <c r="M69" t="s">
        <v>24</v>
      </c>
      <c r="N69" t="s">
        <v>146</v>
      </c>
      <c r="O69" t="s">
        <v>11242</v>
      </c>
      <c r="P69" t="s">
        <v>20</v>
      </c>
      <c r="Q69" t="s">
        <v>20</v>
      </c>
      <c r="R69" t="s">
        <v>20</v>
      </c>
      <c r="S69" t="s">
        <v>20</v>
      </c>
    </row>
    <row r="70" spans="1:19" x14ac:dyDescent="0.45">
      <c r="A70" t="s">
        <v>4482</v>
      </c>
      <c r="B70" t="s">
        <v>20</v>
      </c>
      <c r="C70" t="s">
        <v>7164</v>
      </c>
      <c r="D70" t="s">
        <v>5438</v>
      </c>
      <c r="E70" t="s">
        <v>38</v>
      </c>
      <c r="F70" t="s">
        <v>2722</v>
      </c>
      <c r="G70" t="s">
        <v>23</v>
      </c>
      <c r="H70" t="s">
        <v>14424</v>
      </c>
      <c r="I70" t="s">
        <v>14425</v>
      </c>
      <c r="J70" t="s">
        <v>20</v>
      </c>
      <c r="K70" t="s">
        <v>20</v>
      </c>
      <c r="L70" t="s">
        <v>3418</v>
      </c>
      <c r="M70" t="s">
        <v>24</v>
      </c>
      <c r="N70" t="s">
        <v>62</v>
      </c>
      <c r="O70" t="s">
        <v>11242</v>
      </c>
      <c r="P70" t="s">
        <v>20</v>
      </c>
      <c r="Q70" t="s">
        <v>20</v>
      </c>
      <c r="R70" t="s">
        <v>20</v>
      </c>
      <c r="S70" t="s">
        <v>20</v>
      </c>
    </row>
    <row r="71" spans="1:19" x14ac:dyDescent="0.45">
      <c r="A71" t="s">
        <v>379</v>
      </c>
      <c r="B71" t="s">
        <v>20</v>
      </c>
      <c r="C71" t="s">
        <v>380</v>
      </c>
      <c r="D71" t="s">
        <v>381</v>
      </c>
      <c r="E71" t="s">
        <v>38</v>
      </c>
      <c r="F71" t="s">
        <v>3062</v>
      </c>
      <c r="G71" t="s">
        <v>23</v>
      </c>
      <c r="H71" t="s">
        <v>13775</v>
      </c>
      <c r="I71" t="s">
        <v>13776</v>
      </c>
      <c r="J71" t="s">
        <v>20</v>
      </c>
      <c r="K71" t="s">
        <v>20</v>
      </c>
      <c r="L71" t="s">
        <v>3418</v>
      </c>
      <c r="M71" t="s">
        <v>24</v>
      </c>
      <c r="N71" t="s">
        <v>146</v>
      </c>
      <c r="O71" t="s">
        <v>11242</v>
      </c>
      <c r="P71" t="s">
        <v>20</v>
      </c>
      <c r="Q71" t="s">
        <v>20</v>
      </c>
      <c r="R71" t="s">
        <v>20</v>
      </c>
      <c r="S71" t="s">
        <v>20</v>
      </c>
    </row>
    <row r="72" spans="1:19" x14ac:dyDescent="0.45">
      <c r="A72" t="s">
        <v>46</v>
      </c>
      <c r="B72" t="s">
        <v>20</v>
      </c>
      <c r="C72" t="s">
        <v>1986</v>
      </c>
      <c r="D72" t="s">
        <v>1987</v>
      </c>
      <c r="E72" t="s">
        <v>38</v>
      </c>
      <c r="F72" t="s">
        <v>14298</v>
      </c>
      <c r="G72" t="s">
        <v>23</v>
      </c>
      <c r="H72" t="s">
        <v>13791</v>
      </c>
      <c r="I72" t="s">
        <v>13792</v>
      </c>
      <c r="J72" t="s">
        <v>20</v>
      </c>
      <c r="K72" t="s">
        <v>20</v>
      </c>
      <c r="L72" t="s">
        <v>20</v>
      </c>
      <c r="M72" t="s">
        <v>24</v>
      </c>
      <c r="N72" t="s">
        <v>3831</v>
      </c>
      <c r="O72" t="s">
        <v>11242</v>
      </c>
      <c r="P72" t="s">
        <v>20</v>
      </c>
      <c r="Q72" t="s">
        <v>20</v>
      </c>
      <c r="R72" t="s">
        <v>20</v>
      </c>
      <c r="S72" t="s">
        <v>13793</v>
      </c>
    </row>
    <row r="73" spans="1:19" x14ac:dyDescent="0.45">
      <c r="A73" t="s">
        <v>64</v>
      </c>
      <c r="B73" t="s">
        <v>20</v>
      </c>
      <c r="C73" t="s">
        <v>601</v>
      </c>
      <c r="D73" t="s">
        <v>602</v>
      </c>
      <c r="E73" t="s">
        <v>38</v>
      </c>
      <c r="F73" t="s">
        <v>14426</v>
      </c>
      <c r="G73" t="s">
        <v>23</v>
      </c>
      <c r="H73" t="s">
        <v>13160</v>
      </c>
      <c r="I73" t="s">
        <v>13161</v>
      </c>
      <c r="J73" t="s">
        <v>20</v>
      </c>
      <c r="K73" t="s">
        <v>20</v>
      </c>
      <c r="L73" t="s">
        <v>20</v>
      </c>
      <c r="M73" t="s">
        <v>24</v>
      </c>
      <c r="N73" t="s">
        <v>3831</v>
      </c>
      <c r="O73" t="s">
        <v>11242</v>
      </c>
      <c r="P73" t="s">
        <v>20</v>
      </c>
      <c r="Q73" t="s">
        <v>20</v>
      </c>
      <c r="R73" t="s">
        <v>20</v>
      </c>
      <c r="S73" t="s">
        <v>13162</v>
      </c>
    </row>
    <row r="74" spans="1:19" x14ac:dyDescent="0.45">
      <c r="A74" t="s">
        <v>64</v>
      </c>
      <c r="B74" t="s">
        <v>20</v>
      </c>
      <c r="C74" t="s">
        <v>601</v>
      </c>
      <c r="D74" t="s">
        <v>602</v>
      </c>
      <c r="E74" t="s">
        <v>38</v>
      </c>
      <c r="F74" t="s">
        <v>14427</v>
      </c>
      <c r="G74" t="s">
        <v>23</v>
      </c>
      <c r="H74" t="s">
        <v>13794</v>
      </c>
      <c r="I74" t="s">
        <v>13795</v>
      </c>
      <c r="J74" t="s">
        <v>20</v>
      </c>
      <c r="K74" t="s">
        <v>20</v>
      </c>
      <c r="L74" t="s">
        <v>20</v>
      </c>
      <c r="M74" t="s">
        <v>24</v>
      </c>
      <c r="N74" t="s">
        <v>3831</v>
      </c>
      <c r="O74" t="s">
        <v>11242</v>
      </c>
      <c r="P74" t="s">
        <v>20</v>
      </c>
      <c r="Q74" t="s">
        <v>20</v>
      </c>
      <c r="R74" t="s">
        <v>20</v>
      </c>
      <c r="S74" t="s">
        <v>13796</v>
      </c>
    </row>
    <row r="75" spans="1:19" x14ac:dyDescent="0.45">
      <c r="A75" t="s">
        <v>139</v>
      </c>
      <c r="B75" t="s">
        <v>20</v>
      </c>
      <c r="C75" t="s">
        <v>1668</v>
      </c>
      <c r="D75" t="s">
        <v>1669</v>
      </c>
      <c r="E75" t="s">
        <v>38</v>
      </c>
      <c r="F75" t="s">
        <v>4071</v>
      </c>
      <c r="G75" t="s">
        <v>23</v>
      </c>
      <c r="H75" t="s">
        <v>13163</v>
      </c>
      <c r="I75" t="s">
        <v>13164</v>
      </c>
      <c r="J75" t="s">
        <v>20</v>
      </c>
      <c r="K75" t="s">
        <v>20</v>
      </c>
      <c r="L75" t="s">
        <v>20</v>
      </c>
      <c r="M75" t="s">
        <v>24</v>
      </c>
      <c r="N75" t="s">
        <v>3831</v>
      </c>
      <c r="O75" t="s">
        <v>11242</v>
      </c>
      <c r="P75" t="s">
        <v>20</v>
      </c>
      <c r="Q75" t="s">
        <v>20</v>
      </c>
      <c r="R75" t="s">
        <v>20</v>
      </c>
      <c r="S75" t="s">
        <v>13165</v>
      </c>
    </row>
    <row r="76" spans="1:19" x14ac:dyDescent="0.45">
      <c r="A76" t="s">
        <v>120</v>
      </c>
      <c r="B76" t="s">
        <v>20</v>
      </c>
      <c r="C76" t="s">
        <v>1002</v>
      </c>
      <c r="D76" t="s">
        <v>1003</v>
      </c>
      <c r="E76" t="s">
        <v>38</v>
      </c>
      <c r="F76" t="s">
        <v>14428</v>
      </c>
      <c r="G76" t="s">
        <v>23</v>
      </c>
      <c r="H76" t="s">
        <v>14429</v>
      </c>
      <c r="I76" t="s">
        <v>14430</v>
      </c>
      <c r="J76" t="s">
        <v>20</v>
      </c>
      <c r="K76" t="s">
        <v>20</v>
      </c>
      <c r="L76" t="s">
        <v>20</v>
      </c>
      <c r="M76" t="s">
        <v>24</v>
      </c>
      <c r="N76" t="s">
        <v>3831</v>
      </c>
      <c r="O76" t="s">
        <v>11242</v>
      </c>
      <c r="P76" t="s">
        <v>20</v>
      </c>
      <c r="Q76" t="s">
        <v>20</v>
      </c>
      <c r="R76" t="s">
        <v>20</v>
      </c>
      <c r="S76" t="s">
        <v>14431</v>
      </c>
    </row>
    <row r="77" spans="1:19" x14ac:dyDescent="0.45">
      <c r="A77" t="s">
        <v>1308</v>
      </c>
      <c r="B77" t="s">
        <v>20</v>
      </c>
      <c r="C77" t="s">
        <v>2101</v>
      </c>
      <c r="D77" t="s">
        <v>2102</v>
      </c>
      <c r="E77" t="s">
        <v>38</v>
      </c>
      <c r="F77" t="s">
        <v>13797</v>
      </c>
      <c r="G77" t="s">
        <v>23</v>
      </c>
      <c r="H77" t="s">
        <v>13798</v>
      </c>
      <c r="I77" t="s">
        <v>13799</v>
      </c>
      <c r="J77" t="s">
        <v>20</v>
      </c>
      <c r="K77" t="s">
        <v>20</v>
      </c>
      <c r="L77" t="s">
        <v>20</v>
      </c>
      <c r="M77" t="s">
        <v>24</v>
      </c>
      <c r="N77" t="s">
        <v>3831</v>
      </c>
      <c r="O77" t="s">
        <v>11242</v>
      </c>
      <c r="P77" t="s">
        <v>20</v>
      </c>
      <c r="Q77" t="s">
        <v>20</v>
      </c>
      <c r="R77" t="s">
        <v>20</v>
      </c>
      <c r="S77" t="s">
        <v>13800</v>
      </c>
    </row>
    <row r="78" spans="1:19" x14ac:dyDescent="0.45">
      <c r="A78" t="s">
        <v>535</v>
      </c>
      <c r="B78" t="s">
        <v>20</v>
      </c>
      <c r="C78" t="s">
        <v>4024</v>
      </c>
      <c r="D78" t="s">
        <v>4025</v>
      </c>
      <c r="E78" t="s">
        <v>38</v>
      </c>
      <c r="F78" t="s">
        <v>12313</v>
      </c>
      <c r="G78" t="s">
        <v>23</v>
      </c>
      <c r="H78" t="s">
        <v>13168</v>
      </c>
      <c r="I78" t="s">
        <v>13169</v>
      </c>
      <c r="J78" t="s">
        <v>20</v>
      </c>
      <c r="K78" t="s">
        <v>20</v>
      </c>
      <c r="L78" t="s">
        <v>20</v>
      </c>
      <c r="M78" t="s">
        <v>24</v>
      </c>
      <c r="N78" t="s">
        <v>3831</v>
      </c>
      <c r="O78" t="s">
        <v>11242</v>
      </c>
      <c r="P78" t="s">
        <v>20</v>
      </c>
      <c r="Q78" t="s">
        <v>20</v>
      </c>
      <c r="R78" t="s">
        <v>20</v>
      </c>
      <c r="S78" t="s">
        <v>13170</v>
      </c>
    </row>
    <row r="79" spans="1:19" x14ac:dyDescent="0.45">
      <c r="A79" t="s">
        <v>535</v>
      </c>
      <c r="B79" t="s">
        <v>20</v>
      </c>
      <c r="C79" t="s">
        <v>4024</v>
      </c>
      <c r="D79" t="s">
        <v>4025</v>
      </c>
      <c r="E79" t="s">
        <v>38</v>
      </c>
      <c r="F79" t="s">
        <v>14432</v>
      </c>
      <c r="G79" t="s">
        <v>23</v>
      </c>
      <c r="H79" t="s">
        <v>14433</v>
      </c>
      <c r="I79" t="s">
        <v>14434</v>
      </c>
      <c r="J79" t="s">
        <v>20</v>
      </c>
      <c r="K79" t="s">
        <v>20</v>
      </c>
      <c r="L79" t="s">
        <v>20</v>
      </c>
      <c r="M79" t="s">
        <v>24</v>
      </c>
      <c r="N79" t="s">
        <v>3831</v>
      </c>
      <c r="O79" t="s">
        <v>11242</v>
      </c>
      <c r="P79" t="s">
        <v>20</v>
      </c>
      <c r="Q79" t="s">
        <v>20</v>
      </c>
      <c r="R79" t="s">
        <v>20</v>
      </c>
      <c r="S79" t="s">
        <v>14435</v>
      </c>
    </row>
    <row r="80" spans="1:19" x14ac:dyDescent="0.45">
      <c r="A80" t="s">
        <v>1735</v>
      </c>
      <c r="B80" t="s">
        <v>20</v>
      </c>
      <c r="C80" t="s">
        <v>1736</v>
      </c>
      <c r="D80" t="s">
        <v>1737</v>
      </c>
      <c r="E80" t="s">
        <v>38</v>
      </c>
      <c r="F80" t="s">
        <v>4071</v>
      </c>
      <c r="G80" t="s">
        <v>23</v>
      </c>
      <c r="H80" t="s">
        <v>13171</v>
      </c>
      <c r="I80" t="s">
        <v>13172</v>
      </c>
      <c r="J80" t="s">
        <v>20</v>
      </c>
      <c r="K80" t="s">
        <v>20</v>
      </c>
      <c r="L80" t="s">
        <v>20</v>
      </c>
      <c r="M80" t="s">
        <v>24</v>
      </c>
      <c r="N80" t="s">
        <v>3831</v>
      </c>
      <c r="O80" t="s">
        <v>11242</v>
      </c>
      <c r="P80" t="s">
        <v>20</v>
      </c>
      <c r="Q80" t="s">
        <v>20</v>
      </c>
      <c r="R80" t="s">
        <v>20</v>
      </c>
      <c r="S80" t="s">
        <v>13173</v>
      </c>
    </row>
    <row r="81" spans="1:19" x14ac:dyDescent="0.45">
      <c r="A81" t="s">
        <v>26</v>
      </c>
      <c r="B81" t="s">
        <v>20</v>
      </c>
      <c r="C81" t="s">
        <v>203</v>
      </c>
      <c r="D81" t="s">
        <v>204</v>
      </c>
      <c r="E81" t="s">
        <v>38</v>
      </c>
      <c r="F81" t="s">
        <v>12999</v>
      </c>
      <c r="G81" t="s">
        <v>23</v>
      </c>
      <c r="H81" t="s">
        <v>13157</v>
      </c>
      <c r="I81" t="s">
        <v>13158</v>
      </c>
      <c r="J81" t="s">
        <v>20</v>
      </c>
      <c r="K81" t="s">
        <v>20</v>
      </c>
      <c r="L81" t="s">
        <v>20</v>
      </c>
      <c r="M81" t="s">
        <v>24</v>
      </c>
      <c r="N81" t="s">
        <v>3831</v>
      </c>
      <c r="O81" t="s">
        <v>11242</v>
      </c>
      <c r="P81" t="s">
        <v>20</v>
      </c>
      <c r="Q81" t="s">
        <v>20</v>
      </c>
      <c r="R81" t="s">
        <v>20</v>
      </c>
      <c r="S81" t="s">
        <v>13159</v>
      </c>
    </row>
    <row r="82" spans="1:19" x14ac:dyDescent="0.45">
      <c r="A82" t="s">
        <v>572</v>
      </c>
      <c r="B82" t="s">
        <v>20</v>
      </c>
      <c r="C82" t="s">
        <v>11797</v>
      </c>
      <c r="D82" t="s">
        <v>3075</v>
      </c>
      <c r="E82" t="s">
        <v>38</v>
      </c>
      <c r="F82" t="s">
        <v>13801</v>
      </c>
      <c r="G82" t="s">
        <v>23</v>
      </c>
      <c r="H82" t="s">
        <v>13802</v>
      </c>
      <c r="I82" t="s">
        <v>13803</v>
      </c>
      <c r="J82" t="s">
        <v>20</v>
      </c>
      <c r="K82" t="s">
        <v>20</v>
      </c>
      <c r="L82" t="s">
        <v>20</v>
      </c>
      <c r="M82" t="s">
        <v>24</v>
      </c>
      <c r="N82" t="s">
        <v>3831</v>
      </c>
      <c r="O82" t="s">
        <v>11242</v>
      </c>
      <c r="P82" t="s">
        <v>20</v>
      </c>
      <c r="Q82" t="s">
        <v>20</v>
      </c>
      <c r="R82" t="s">
        <v>20</v>
      </c>
      <c r="S82" t="s">
        <v>13804</v>
      </c>
    </row>
    <row r="83" spans="1:19" x14ac:dyDescent="0.45">
      <c r="A83" t="s">
        <v>535</v>
      </c>
      <c r="B83" t="s">
        <v>20</v>
      </c>
      <c r="C83" t="s">
        <v>2771</v>
      </c>
      <c r="D83" t="s">
        <v>2772</v>
      </c>
      <c r="E83" t="s">
        <v>38</v>
      </c>
      <c r="F83" t="s">
        <v>2831</v>
      </c>
      <c r="G83" t="s">
        <v>23</v>
      </c>
      <c r="H83" t="s">
        <v>13166</v>
      </c>
      <c r="I83" t="s">
        <v>13167</v>
      </c>
      <c r="J83" t="s">
        <v>20</v>
      </c>
      <c r="K83" t="s">
        <v>20</v>
      </c>
      <c r="L83" t="s">
        <v>20</v>
      </c>
      <c r="M83" t="s">
        <v>24</v>
      </c>
      <c r="N83" t="s">
        <v>45</v>
      </c>
      <c r="O83" t="s">
        <v>11242</v>
      </c>
      <c r="P83" t="s">
        <v>20</v>
      </c>
      <c r="Q83" t="s">
        <v>20</v>
      </c>
      <c r="R83" t="s">
        <v>20</v>
      </c>
      <c r="S83" t="s">
        <v>20</v>
      </c>
    </row>
    <row r="84" spans="1:19" x14ac:dyDescent="0.45">
      <c r="A84" t="s">
        <v>4800</v>
      </c>
      <c r="B84" t="s">
        <v>20</v>
      </c>
      <c r="C84" t="s">
        <v>12423</v>
      </c>
      <c r="D84" t="s">
        <v>5668</v>
      </c>
      <c r="E84" t="s">
        <v>38</v>
      </c>
      <c r="F84" t="s">
        <v>20</v>
      </c>
      <c r="G84" t="s">
        <v>23</v>
      </c>
      <c r="H84" t="s">
        <v>12424</v>
      </c>
      <c r="I84" t="s">
        <v>12425</v>
      </c>
      <c r="J84" t="s">
        <v>20</v>
      </c>
      <c r="K84" t="s">
        <v>12426</v>
      </c>
      <c r="L84" t="s">
        <v>6524</v>
      </c>
      <c r="M84" t="s">
        <v>3145</v>
      </c>
      <c r="N84" t="s">
        <v>3407</v>
      </c>
      <c r="O84" t="s">
        <v>34</v>
      </c>
      <c r="P84" t="s">
        <v>20</v>
      </c>
      <c r="Q84" t="s">
        <v>20</v>
      </c>
      <c r="R84" t="s">
        <v>20</v>
      </c>
      <c r="S84" t="s">
        <v>20</v>
      </c>
    </row>
    <row r="85" spans="1:19" x14ac:dyDescent="0.45">
      <c r="A85" t="s">
        <v>12382</v>
      </c>
      <c r="B85" t="s">
        <v>20</v>
      </c>
      <c r="C85" t="s">
        <v>6886</v>
      </c>
      <c r="D85" t="s">
        <v>5758</v>
      </c>
      <c r="E85" t="s">
        <v>57</v>
      </c>
      <c r="F85" t="s">
        <v>20</v>
      </c>
      <c r="G85" t="s">
        <v>23</v>
      </c>
      <c r="H85" t="s">
        <v>11578</v>
      </c>
      <c r="I85" t="s">
        <v>11579</v>
      </c>
      <c r="J85" t="s">
        <v>11580</v>
      </c>
      <c r="K85" t="s">
        <v>11581</v>
      </c>
      <c r="L85" t="s">
        <v>3418</v>
      </c>
      <c r="M85" t="s">
        <v>32</v>
      </c>
      <c r="N85" t="s">
        <v>62</v>
      </c>
      <c r="O85" t="s">
        <v>34</v>
      </c>
      <c r="P85" t="s">
        <v>20</v>
      </c>
      <c r="Q85" t="s">
        <v>20</v>
      </c>
      <c r="R85" t="s">
        <v>11582</v>
      </c>
      <c r="S85" t="s">
        <v>20</v>
      </c>
    </row>
    <row r="86" spans="1:19" x14ac:dyDescent="0.45">
      <c r="A86" t="s">
        <v>12382</v>
      </c>
      <c r="B86" t="s">
        <v>20</v>
      </c>
      <c r="C86" t="s">
        <v>6886</v>
      </c>
      <c r="D86" t="s">
        <v>5758</v>
      </c>
      <c r="E86" t="s">
        <v>38</v>
      </c>
      <c r="F86" t="s">
        <v>20</v>
      </c>
      <c r="G86" t="s">
        <v>23</v>
      </c>
      <c r="H86" t="s">
        <v>11146</v>
      </c>
      <c r="I86" t="s">
        <v>11147</v>
      </c>
      <c r="J86" t="s">
        <v>11148</v>
      </c>
      <c r="K86" t="s">
        <v>11149</v>
      </c>
      <c r="L86" t="s">
        <v>9570</v>
      </c>
      <c r="M86" t="s">
        <v>32</v>
      </c>
      <c r="N86" t="s">
        <v>33</v>
      </c>
      <c r="O86" t="s">
        <v>34</v>
      </c>
      <c r="P86" t="s">
        <v>20</v>
      </c>
      <c r="Q86" t="s">
        <v>20</v>
      </c>
      <c r="R86" t="s">
        <v>11150</v>
      </c>
      <c r="S86" t="s">
        <v>11151</v>
      </c>
    </row>
    <row r="87" spans="1:19" x14ac:dyDescent="0.45">
      <c r="A87" t="s">
        <v>12382</v>
      </c>
      <c r="B87" t="s">
        <v>20</v>
      </c>
      <c r="C87" t="s">
        <v>2653</v>
      </c>
      <c r="D87" t="s">
        <v>2654</v>
      </c>
      <c r="E87" t="s">
        <v>38</v>
      </c>
      <c r="F87" t="s">
        <v>20</v>
      </c>
      <c r="G87" t="s">
        <v>23</v>
      </c>
      <c r="H87" t="s">
        <v>2655</v>
      </c>
      <c r="I87" t="s">
        <v>2656</v>
      </c>
      <c r="J87" t="s">
        <v>2657</v>
      </c>
      <c r="K87" t="s">
        <v>2658</v>
      </c>
      <c r="L87" t="s">
        <v>290</v>
      </c>
      <c r="M87" t="s">
        <v>112</v>
      </c>
      <c r="N87" t="s">
        <v>146</v>
      </c>
      <c r="O87" t="s">
        <v>34</v>
      </c>
      <c r="P87" t="s">
        <v>20</v>
      </c>
      <c r="Q87" t="s">
        <v>20</v>
      </c>
      <c r="R87" t="s">
        <v>2659</v>
      </c>
      <c r="S87" t="s">
        <v>20</v>
      </c>
    </row>
    <row r="88" spans="1:19" x14ac:dyDescent="0.45">
      <c r="A88" t="s">
        <v>12382</v>
      </c>
      <c r="B88" t="s">
        <v>20</v>
      </c>
      <c r="C88" t="s">
        <v>2169</v>
      </c>
      <c r="D88" t="s">
        <v>2170</v>
      </c>
      <c r="E88" t="s">
        <v>57</v>
      </c>
      <c r="F88" t="s">
        <v>20</v>
      </c>
      <c r="G88" t="s">
        <v>23</v>
      </c>
      <c r="H88" t="s">
        <v>11280</v>
      </c>
      <c r="I88" t="s">
        <v>11281</v>
      </c>
      <c r="J88" t="s">
        <v>11282</v>
      </c>
      <c r="K88" t="s">
        <v>11283</v>
      </c>
      <c r="L88" t="s">
        <v>3418</v>
      </c>
      <c r="M88" t="s">
        <v>32</v>
      </c>
      <c r="N88" t="s">
        <v>62</v>
      </c>
      <c r="O88" t="s">
        <v>34</v>
      </c>
      <c r="P88" t="s">
        <v>20</v>
      </c>
      <c r="Q88" t="s">
        <v>20</v>
      </c>
      <c r="R88" t="s">
        <v>11284</v>
      </c>
      <c r="S88" t="s">
        <v>20</v>
      </c>
    </row>
    <row r="89" spans="1:19" x14ac:dyDescent="0.45">
      <c r="A89" t="s">
        <v>12382</v>
      </c>
      <c r="B89" t="s">
        <v>20</v>
      </c>
      <c r="C89" t="s">
        <v>2169</v>
      </c>
      <c r="D89" t="s">
        <v>2170</v>
      </c>
      <c r="E89" t="s">
        <v>38</v>
      </c>
      <c r="F89" t="s">
        <v>20</v>
      </c>
      <c r="G89" t="s">
        <v>23</v>
      </c>
      <c r="H89" t="s">
        <v>2171</v>
      </c>
      <c r="I89" t="s">
        <v>2172</v>
      </c>
      <c r="J89" t="s">
        <v>2173</v>
      </c>
      <c r="K89" t="s">
        <v>2174</v>
      </c>
      <c r="L89" t="s">
        <v>53</v>
      </c>
      <c r="M89" t="s">
        <v>136</v>
      </c>
      <c r="N89" t="s">
        <v>33</v>
      </c>
      <c r="O89" t="s">
        <v>34</v>
      </c>
      <c r="P89" t="s">
        <v>20</v>
      </c>
      <c r="Q89" t="s">
        <v>20</v>
      </c>
      <c r="R89" t="s">
        <v>2175</v>
      </c>
      <c r="S89" t="s">
        <v>20</v>
      </c>
    </row>
    <row r="90" spans="1:19" x14ac:dyDescent="0.45">
      <c r="A90" t="s">
        <v>12382</v>
      </c>
      <c r="B90" t="s">
        <v>20</v>
      </c>
      <c r="C90" t="s">
        <v>1149</v>
      </c>
      <c r="D90" t="s">
        <v>1150</v>
      </c>
      <c r="E90" t="s">
        <v>38</v>
      </c>
      <c r="F90" t="s">
        <v>20</v>
      </c>
      <c r="G90" t="s">
        <v>23</v>
      </c>
      <c r="H90" t="s">
        <v>1151</v>
      </c>
      <c r="I90" t="s">
        <v>1152</v>
      </c>
      <c r="J90" t="s">
        <v>1153</v>
      </c>
      <c r="K90" t="s">
        <v>1154</v>
      </c>
      <c r="L90" t="s">
        <v>290</v>
      </c>
      <c r="M90" t="s">
        <v>136</v>
      </c>
      <c r="N90" t="s">
        <v>33</v>
      </c>
      <c r="O90" t="s">
        <v>34</v>
      </c>
      <c r="P90" t="s">
        <v>20</v>
      </c>
      <c r="Q90" t="s">
        <v>20</v>
      </c>
      <c r="R90" t="s">
        <v>1155</v>
      </c>
      <c r="S90" t="s">
        <v>20</v>
      </c>
    </row>
    <row r="91" spans="1:19" x14ac:dyDescent="0.45">
      <c r="A91" t="s">
        <v>12382</v>
      </c>
      <c r="B91" t="s">
        <v>20</v>
      </c>
      <c r="C91" t="s">
        <v>1149</v>
      </c>
      <c r="D91" t="s">
        <v>1150</v>
      </c>
      <c r="E91" t="s">
        <v>57</v>
      </c>
      <c r="F91" t="s">
        <v>20</v>
      </c>
      <c r="G91" t="s">
        <v>23</v>
      </c>
      <c r="H91" t="s">
        <v>11546</v>
      </c>
      <c r="I91" t="s">
        <v>11547</v>
      </c>
      <c r="J91" t="s">
        <v>11548</v>
      </c>
      <c r="K91" t="s">
        <v>11549</v>
      </c>
      <c r="L91" t="s">
        <v>3418</v>
      </c>
      <c r="M91" t="s">
        <v>32</v>
      </c>
      <c r="N91" t="s">
        <v>62</v>
      </c>
      <c r="O91" t="s">
        <v>34</v>
      </c>
      <c r="P91" t="s">
        <v>20</v>
      </c>
      <c r="Q91" t="s">
        <v>20</v>
      </c>
      <c r="R91" t="s">
        <v>11550</v>
      </c>
      <c r="S91" t="s">
        <v>20</v>
      </c>
    </row>
    <row r="92" spans="1:19" x14ac:dyDescent="0.45">
      <c r="A92" t="s">
        <v>12382</v>
      </c>
      <c r="B92" t="s">
        <v>20</v>
      </c>
      <c r="C92" t="s">
        <v>9688</v>
      </c>
      <c r="D92" t="s">
        <v>5756</v>
      </c>
      <c r="E92" t="s">
        <v>57</v>
      </c>
      <c r="F92" t="s">
        <v>20</v>
      </c>
      <c r="G92" t="s">
        <v>23</v>
      </c>
      <c r="H92" t="s">
        <v>11466</v>
      </c>
      <c r="I92" t="s">
        <v>11467</v>
      </c>
      <c r="J92" t="s">
        <v>11468</v>
      </c>
      <c r="K92" t="s">
        <v>11469</v>
      </c>
      <c r="L92" t="s">
        <v>3418</v>
      </c>
      <c r="M92" t="s">
        <v>32</v>
      </c>
      <c r="N92" t="s">
        <v>62</v>
      </c>
      <c r="O92" t="s">
        <v>34</v>
      </c>
      <c r="P92" t="s">
        <v>20</v>
      </c>
      <c r="Q92" t="s">
        <v>20</v>
      </c>
      <c r="R92" t="s">
        <v>11470</v>
      </c>
      <c r="S92" t="s">
        <v>20</v>
      </c>
    </row>
    <row r="93" spans="1:19" x14ac:dyDescent="0.45">
      <c r="A93" t="s">
        <v>12382</v>
      </c>
      <c r="B93" t="s">
        <v>20</v>
      </c>
      <c r="C93" t="s">
        <v>494</v>
      </c>
      <c r="D93" t="s">
        <v>495</v>
      </c>
      <c r="E93" t="s">
        <v>57</v>
      </c>
      <c r="F93" t="s">
        <v>20</v>
      </c>
      <c r="G93" t="s">
        <v>23</v>
      </c>
      <c r="H93" t="s">
        <v>11405</v>
      </c>
      <c r="I93" t="s">
        <v>11406</v>
      </c>
      <c r="J93" t="s">
        <v>11407</v>
      </c>
      <c r="K93" t="s">
        <v>11408</v>
      </c>
      <c r="L93" t="s">
        <v>3418</v>
      </c>
      <c r="M93" t="s">
        <v>32</v>
      </c>
      <c r="N93" t="s">
        <v>62</v>
      </c>
      <c r="O93" t="s">
        <v>34</v>
      </c>
      <c r="P93" t="s">
        <v>20</v>
      </c>
      <c r="Q93" t="s">
        <v>20</v>
      </c>
      <c r="R93" t="s">
        <v>11409</v>
      </c>
      <c r="S93" t="s">
        <v>20</v>
      </c>
    </row>
    <row r="94" spans="1:19" x14ac:dyDescent="0.45">
      <c r="A94" t="s">
        <v>12382</v>
      </c>
      <c r="B94" t="s">
        <v>20</v>
      </c>
      <c r="C94" t="s">
        <v>2609</v>
      </c>
      <c r="D94" t="s">
        <v>2610</v>
      </c>
      <c r="E94" t="s">
        <v>57</v>
      </c>
      <c r="F94" t="s">
        <v>20</v>
      </c>
      <c r="G94" t="s">
        <v>23</v>
      </c>
      <c r="H94" t="s">
        <v>11525</v>
      </c>
      <c r="I94" t="s">
        <v>11526</v>
      </c>
      <c r="J94" t="s">
        <v>11527</v>
      </c>
      <c r="K94" t="s">
        <v>11528</v>
      </c>
      <c r="L94" t="s">
        <v>3418</v>
      </c>
      <c r="M94" t="s">
        <v>32</v>
      </c>
      <c r="N94" t="s">
        <v>62</v>
      </c>
      <c r="O94" t="s">
        <v>34</v>
      </c>
      <c r="P94" t="s">
        <v>20</v>
      </c>
      <c r="Q94" t="s">
        <v>20</v>
      </c>
      <c r="R94" t="s">
        <v>11529</v>
      </c>
      <c r="S94" t="s">
        <v>20</v>
      </c>
    </row>
    <row r="95" spans="1:19" x14ac:dyDescent="0.45">
      <c r="A95" t="s">
        <v>12382</v>
      </c>
      <c r="B95" t="s">
        <v>20</v>
      </c>
      <c r="C95" t="s">
        <v>1092</v>
      </c>
      <c r="D95" t="s">
        <v>1093</v>
      </c>
      <c r="E95" t="s">
        <v>38</v>
      </c>
      <c r="F95" t="s">
        <v>20</v>
      </c>
      <c r="G95" t="s">
        <v>23</v>
      </c>
      <c r="H95" t="s">
        <v>1094</v>
      </c>
      <c r="I95" t="s">
        <v>1095</v>
      </c>
      <c r="J95" t="s">
        <v>1096</v>
      </c>
      <c r="K95" t="s">
        <v>1097</v>
      </c>
      <c r="L95" t="s">
        <v>168</v>
      </c>
      <c r="M95" t="s">
        <v>112</v>
      </c>
      <c r="N95" t="s">
        <v>146</v>
      </c>
      <c r="O95" t="s">
        <v>34</v>
      </c>
      <c r="P95" t="s">
        <v>20</v>
      </c>
      <c r="Q95" t="s">
        <v>20</v>
      </c>
      <c r="R95" t="s">
        <v>1098</v>
      </c>
      <c r="S95" t="s">
        <v>20</v>
      </c>
    </row>
    <row r="96" spans="1:19" x14ac:dyDescent="0.45">
      <c r="A96" t="s">
        <v>12382</v>
      </c>
      <c r="B96" t="s">
        <v>20</v>
      </c>
      <c r="C96" t="s">
        <v>1092</v>
      </c>
      <c r="D96" t="s">
        <v>1093</v>
      </c>
      <c r="E96" t="s">
        <v>57</v>
      </c>
      <c r="F96" t="s">
        <v>20</v>
      </c>
      <c r="G96" t="s">
        <v>23</v>
      </c>
      <c r="H96" t="s">
        <v>11270</v>
      </c>
      <c r="I96" t="s">
        <v>11271</v>
      </c>
      <c r="J96" t="s">
        <v>11272</v>
      </c>
      <c r="K96" t="s">
        <v>11273</v>
      </c>
      <c r="L96" t="s">
        <v>3418</v>
      </c>
      <c r="M96" t="s">
        <v>32</v>
      </c>
      <c r="N96" t="s">
        <v>62</v>
      </c>
      <c r="O96" t="s">
        <v>34</v>
      </c>
      <c r="P96" t="s">
        <v>20</v>
      </c>
      <c r="Q96" t="s">
        <v>20</v>
      </c>
      <c r="R96" t="s">
        <v>11274</v>
      </c>
      <c r="S96" t="s">
        <v>20</v>
      </c>
    </row>
    <row r="97" spans="1:19" x14ac:dyDescent="0.45">
      <c r="A97" t="s">
        <v>12382</v>
      </c>
      <c r="B97" t="s">
        <v>20</v>
      </c>
      <c r="C97" t="s">
        <v>843</v>
      </c>
      <c r="D97" t="s">
        <v>844</v>
      </c>
      <c r="E97" t="s">
        <v>57</v>
      </c>
      <c r="F97" t="s">
        <v>20</v>
      </c>
      <c r="G97" t="s">
        <v>23</v>
      </c>
      <c r="H97" t="s">
        <v>11461</v>
      </c>
      <c r="I97" t="s">
        <v>11462</v>
      </c>
      <c r="J97" t="s">
        <v>11463</v>
      </c>
      <c r="K97" t="s">
        <v>11464</v>
      </c>
      <c r="L97" t="s">
        <v>3418</v>
      </c>
      <c r="M97" t="s">
        <v>32</v>
      </c>
      <c r="N97" t="s">
        <v>62</v>
      </c>
      <c r="O97" t="s">
        <v>34</v>
      </c>
      <c r="P97" t="s">
        <v>20</v>
      </c>
      <c r="Q97" t="s">
        <v>20</v>
      </c>
      <c r="R97" t="s">
        <v>11465</v>
      </c>
      <c r="S97" t="s">
        <v>20</v>
      </c>
    </row>
    <row r="98" spans="1:19" x14ac:dyDescent="0.45">
      <c r="A98" t="s">
        <v>12382</v>
      </c>
      <c r="B98" t="s">
        <v>20</v>
      </c>
      <c r="C98" t="s">
        <v>843</v>
      </c>
      <c r="D98" t="s">
        <v>844</v>
      </c>
      <c r="E98" t="s">
        <v>38</v>
      </c>
      <c r="F98" t="s">
        <v>20</v>
      </c>
      <c r="G98" t="s">
        <v>23</v>
      </c>
      <c r="H98" t="s">
        <v>845</v>
      </c>
      <c r="I98" t="s">
        <v>846</v>
      </c>
      <c r="J98" t="s">
        <v>847</v>
      </c>
      <c r="K98" t="s">
        <v>848</v>
      </c>
      <c r="L98" t="s">
        <v>53</v>
      </c>
      <c r="M98" t="s">
        <v>136</v>
      </c>
      <c r="N98" t="s">
        <v>33</v>
      </c>
      <c r="O98" t="s">
        <v>34</v>
      </c>
      <c r="P98" t="s">
        <v>20</v>
      </c>
      <c r="Q98" t="s">
        <v>20</v>
      </c>
      <c r="R98" t="s">
        <v>849</v>
      </c>
      <c r="S98" t="s">
        <v>20</v>
      </c>
    </row>
    <row r="99" spans="1:19" x14ac:dyDescent="0.45">
      <c r="A99" t="s">
        <v>358</v>
      </c>
      <c r="B99" t="s">
        <v>20</v>
      </c>
      <c r="C99" t="s">
        <v>3587</v>
      </c>
      <c r="D99" t="s">
        <v>3588</v>
      </c>
      <c r="E99" t="s">
        <v>38</v>
      </c>
      <c r="F99" t="s">
        <v>20</v>
      </c>
      <c r="G99" t="s">
        <v>23</v>
      </c>
      <c r="H99" t="s">
        <v>11705</v>
      </c>
      <c r="I99" t="s">
        <v>11706</v>
      </c>
      <c r="J99" t="s">
        <v>12228</v>
      </c>
      <c r="K99" t="s">
        <v>12229</v>
      </c>
      <c r="L99" t="s">
        <v>9623</v>
      </c>
      <c r="M99" t="s">
        <v>32</v>
      </c>
      <c r="N99" t="s">
        <v>33</v>
      </c>
      <c r="O99" t="s">
        <v>34</v>
      </c>
      <c r="P99" t="s">
        <v>8377</v>
      </c>
      <c r="Q99" t="s">
        <v>20</v>
      </c>
      <c r="R99" t="s">
        <v>12230</v>
      </c>
      <c r="S99" t="s">
        <v>11707</v>
      </c>
    </row>
    <row r="100" spans="1:19" x14ac:dyDescent="0.45">
      <c r="A100" t="s">
        <v>12382</v>
      </c>
      <c r="B100" t="s">
        <v>20</v>
      </c>
      <c r="C100" t="s">
        <v>1545</v>
      </c>
      <c r="D100" t="s">
        <v>1546</v>
      </c>
      <c r="E100" t="s">
        <v>38</v>
      </c>
      <c r="F100" t="s">
        <v>20</v>
      </c>
      <c r="G100" t="s">
        <v>23</v>
      </c>
      <c r="H100" t="s">
        <v>1547</v>
      </c>
      <c r="I100" t="s">
        <v>1548</v>
      </c>
      <c r="J100" t="s">
        <v>1549</v>
      </c>
      <c r="K100" t="s">
        <v>1550</v>
      </c>
      <c r="L100" t="s">
        <v>53</v>
      </c>
      <c r="M100" t="s">
        <v>136</v>
      </c>
      <c r="N100" t="s">
        <v>33</v>
      </c>
      <c r="O100" t="s">
        <v>34</v>
      </c>
      <c r="P100" t="s">
        <v>20</v>
      </c>
      <c r="Q100" t="s">
        <v>20</v>
      </c>
      <c r="R100" t="s">
        <v>1551</v>
      </c>
      <c r="S100" t="s">
        <v>20</v>
      </c>
    </row>
    <row r="101" spans="1:19" x14ac:dyDescent="0.45">
      <c r="A101" t="s">
        <v>12382</v>
      </c>
      <c r="B101" t="s">
        <v>20</v>
      </c>
      <c r="C101" t="s">
        <v>1545</v>
      </c>
      <c r="D101" t="s">
        <v>1546</v>
      </c>
      <c r="E101" t="s">
        <v>57</v>
      </c>
      <c r="F101" t="s">
        <v>20</v>
      </c>
      <c r="G101" t="s">
        <v>23</v>
      </c>
      <c r="H101" t="s">
        <v>11395</v>
      </c>
      <c r="I101" t="s">
        <v>11396</v>
      </c>
      <c r="J101" t="s">
        <v>11397</v>
      </c>
      <c r="K101" t="s">
        <v>11398</v>
      </c>
      <c r="L101" t="s">
        <v>3418</v>
      </c>
      <c r="M101" t="s">
        <v>32</v>
      </c>
      <c r="N101" t="s">
        <v>62</v>
      </c>
      <c r="O101" t="s">
        <v>34</v>
      </c>
      <c r="P101" t="s">
        <v>20</v>
      </c>
      <c r="Q101" t="s">
        <v>20</v>
      </c>
      <c r="R101" t="s">
        <v>11399</v>
      </c>
      <c r="S101" t="s">
        <v>20</v>
      </c>
    </row>
    <row r="102" spans="1:19" x14ac:dyDescent="0.45">
      <c r="A102" t="s">
        <v>1598</v>
      </c>
      <c r="B102" t="s">
        <v>20</v>
      </c>
      <c r="C102" t="s">
        <v>5261</v>
      </c>
      <c r="D102" t="s">
        <v>5262</v>
      </c>
      <c r="E102" t="s">
        <v>29</v>
      </c>
      <c r="F102" t="s">
        <v>20</v>
      </c>
      <c r="G102" t="s">
        <v>23</v>
      </c>
      <c r="H102" t="s">
        <v>12427</v>
      </c>
      <c r="I102" t="s">
        <v>12428</v>
      </c>
      <c r="J102" t="s">
        <v>12429</v>
      </c>
      <c r="K102" t="s">
        <v>12430</v>
      </c>
      <c r="L102" t="s">
        <v>3418</v>
      </c>
      <c r="M102" t="s">
        <v>12431</v>
      </c>
      <c r="N102" t="s">
        <v>33</v>
      </c>
      <c r="O102" t="s">
        <v>34</v>
      </c>
      <c r="P102" t="s">
        <v>20</v>
      </c>
      <c r="Q102" t="s">
        <v>20</v>
      </c>
      <c r="R102" t="s">
        <v>12432</v>
      </c>
      <c r="S102" t="s">
        <v>20</v>
      </c>
    </row>
    <row r="103" spans="1:19" x14ac:dyDescent="0.45">
      <c r="A103" t="s">
        <v>1598</v>
      </c>
      <c r="B103" t="s">
        <v>20</v>
      </c>
      <c r="C103" t="s">
        <v>6885</v>
      </c>
      <c r="D103" t="s">
        <v>5644</v>
      </c>
      <c r="E103" t="s">
        <v>57</v>
      </c>
      <c r="F103" t="s">
        <v>20</v>
      </c>
      <c r="G103" t="s">
        <v>23</v>
      </c>
      <c r="H103" t="s">
        <v>7695</v>
      </c>
      <c r="I103" t="s">
        <v>7696</v>
      </c>
      <c r="J103" t="s">
        <v>7697</v>
      </c>
      <c r="K103" t="s">
        <v>7698</v>
      </c>
      <c r="L103" t="s">
        <v>2769</v>
      </c>
      <c r="M103" t="s">
        <v>32</v>
      </c>
      <c r="N103" t="s">
        <v>62</v>
      </c>
      <c r="O103" t="s">
        <v>34</v>
      </c>
      <c r="P103" t="s">
        <v>20</v>
      </c>
      <c r="Q103" t="s">
        <v>20</v>
      </c>
      <c r="R103" t="s">
        <v>7070</v>
      </c>
      <c r="S103" t="s">
        <v>20</v>
      </c>
    </row>
    <row r="104" spans="1:19" x14ac:dyDescent="0.45">
      <c r="A104" t="s">
        <v>1598</v>
      </c>
      <c r="B104" t="s">
        <v>20</v>
      </c>
      <c r="C104" t="s">
        <v>6885</v>
      </c>
      <c r="D104" t="s">
        <v>5644</v>
      </c>
      <c r="E104" t="s">
        <v>38</v>
      </c>
      <c r="F104" t="s">
        <v>20</v>
      </c>
      <c r="G104" t="s">
        <v>23</v>
      </c>
      <c r="H104" t="s">
        <v>6898</v>
      </c>
      <c r="I104" t="s">
        <v>6899</v>
      </c>
      <c r="J104" t="s">
        <v>11108</v>
      </c>
      <c r="K104" t="s">
        <v>11109</v>
      </c>
      <c r="L104" t="s">
        <v>13871</v>
      </c>
      <c r="M104" t="s">
        <v>32</v>
      </c>
      <c r="N104" t="s">
        <v>33</v>
      </c>
      <c r="O104" t="s">
        <v>34</v>
      </c>
      <c r="P104" t="s">
        <v>20</v>
      </c>
      <c r="Q104" t="s">
        <v>20</v>
      </c>
      <c r="R104" t="s">
        <v>11110</v>
      </c>
      <c r="S104" t="s">
        <v>6900</v>
      </c>
    </row>
    <row r="105" spans="1:19" x14ac:dyDescent="0.45">
      <c r="A105" t="s">
        <v>12382</v>
      </c>
      <c r="B105" t="s">
        <v>20</v>
      </c>
      <c r="C105" t="s">
        <v>1554</v>
      </c>
      <c r="D105" t="s">
        <v>1555</v>
      </c>
      <c r="E105" t="s">
        <v>38</v>
      </c>
      <c r="F105" t="s">
        <v>20</v>
      </c>
      <c r="G105" t="s">
        <v>23</v>
      </c>
      <c r="H105" t="s">
        <v>1556</v>
      </c>
      <c r="I105" t="s">
        <v>1557</v>
      </c>
      <c r="J105" t="s">
        <v>1558</v>
      </c>
      <c r="K105" t="s">
        <v>1559</v>
      </c>
      <c r="L105" t="s">
        <v>53</v>
      </c>
      <c r="M105" t="s">
        <v>112</v>
      </c>
      <c r="N105" t="s">
        <v>146</v>
      </c>
      <c r="O105" t="s">
        <v>34</v>
      </c>
      <c r="P105" t="s">
        <v>20</v>
      </c>
      <c r="Q105" t="s">
        <v>20</v>
      </c>
      <c r="R105" t="s">
        <v>1560</v>
      </c>
      <c r="S105" t="s">
        <v>20</v>
      </c>
    </row>
    <row r="106" spans="1:19" x14ac:dyDescent="0.45">
      <c r="A106" t="s">
        <v>12382</v>
      </c>
      <c r="B106" t="s">
        <v>20</v>
      </c>
      <c r="C106" t="s">
        <v>3785</v>
      </c>
      <c r="D106" t="s">
        <v>3786</v>
      </c>
      <c r="E106" t="s">
        <v>38</v>
      </c>
      <c r="F106" t="s">
        <v>20</v>
      </c>
      <c r="G106" t="s">
        <v>23</v>
      </c>
      <c r="H106" t="s">
        <v>11370</v>
      </c>
      <c r="I106" t="s">
        <v>11371</v>
      </c>
      <c r="J106" t="s">
        <v>11372</v>
      </c>
      <c r="K106" t="s">
        <v>11373</v>
      </c>
      <c r="L106" t="s">
        <v>3418</v>
      </c>
      <c r="M106" t="s">
        <v>32</v>
      </c>
      <c r="N106" t="s">
        <v>62</v>
      </c>
      <c r="O106" t="s">
        <v>34</v>
      </c>
      <c r="P106" t="s">
        <v>20</v>
      </c>
      <c r="Q106" t="s">
        <v>20</v>
      </c>
      <c r="R106" t="s">
        <v>11374</v>
      </c>
      <c r="S106" t="s">
        <v>20</v>
      </c>
    </row>
    <row r="107" spans="1:19" x14ac:dyDescent="0.45">
      <c r="A107" t="s">
        <v>2861</v>
      </c>
      <c r="B107" t="s">
        <v>20</v>
      </c>
      <c r="C107" t="s">
        <v>121</v>
      </c>
      <c r="D107" t="s">
        <v>122</v>
      </c>
      <c r="E107" t="s">
        <v>38</v>
      </c>
      <c r="F107" t="s">
        <v>20</v>
      </c>
      <c r="G107" t="s">
        <v>23</v>
      </c>
      <c r="H107" t="s">
        <v>11323</v>
      </c>
      <c r="I107" t="s">
        <v>11324</v>
      </c>
      <c r="J107" t="s">
        <v>11325</v>
      </c>
      <c r="K107" t="s">
        <v>11326</v>
      </c>
      <c r="L107" t="s">
        <v>3418</v>
      </c>
      <c r="M107" t="s">
        <v>32</v>
      </c>
      <c r="N107" t="s">
        <v>62</v>
      </c>
      <c r="O107" t="s">
        <v>34</v>
      </c>
      <c r="P107" t="s">
        <v>20</v>
      </c>
      <c r="Q107" t="s">
        <v>20</v>
      </c>
      <c r="R107" t="s">
        <v>11327</v>
      </c>
      <c r="S107" t="s">
        <v>20</v>
      </c>
    </row>
    <row r="108" spans="1:19" x14ac:dyDescent="0.45">
      <c r="A108" t="s">
        <v>2861</v>
      </c>
      <c r="B108" t="s">
        <v>20</v>
      </c>
      <c r="C108" t="s">
        <v>121</v>
      </c>
      <c r="D108" t="s">
        <v>122</v>
      </c>
      <c r="E108" t="s">
        <v>38</v>
      </c>
      <c r="F108" t="s">
        <v>20</v>
      </c>
      <c r="G108" t="s">
        <v>23</v>
      </c>
      <c r="H108" t="s">
        <v>123</v>
      </c>
      <c r="I108" t="s">
        <v>124</v>
      </c>
      <c r="J108" t="s">
        <v>125</v>
      </c>
      <c r="K108" t="s">
        <v>126</v>
      </c>
      <c r="L108" t="s">
        <v>8377</v>
      </c>
      <c r="M108" t="s">
        <v>32</v>
      </c>
      <c r="N108" t="s">
        <v>33</v>
      </c>
      <c r="O108" t="s">
        <v>34</v>
      </c>
      <c r="P108" t="s">
        <v>20</v>
      </c>
      <c r="Q108" t="s">
        <v>20</v>
      </c>
      <c r="R108" t="s">
        <v>127</v>
      </c>
      <c r="S108" t="s">
        <v>20</v>
      </c>
    </row>
    <row r="109" spans="1:19" x14ac:dyDescent="0.45">
      <c r="A109" t="s">
        <v>2278</v>
      </c>
      <c r="B109" t="s">
        <v>20</v>
      </c>
      <c r="C109" t="s">
        <v>12433</v>
      </c>
      <c r="D109" t="s">
        <v>6099</v>
      </c>
      <c r="E109" t="s">
        <v>38</v>
      </c>
      <c r="F109" t="s">
        <v>20</v>
      </c>
      <c r="G109" t="s">
        <v>23</v>
      </c>
      <c r="H109" t="s">
        <v>12676</v>
      </c>
      <c r="I109" t="s">
        <v>12677</v>
      </c>
      <c r="J109" t="s">
        <v>12678</v>
      </c>
      <c r="K109" t="s">
        <v>12679</v>
      </c>
      <c r="L109" t="s">
        <v>9126</v>
      </c>
      <c r="M109" t="s">
        <v>32</v>
      </c>
      <c r="N109" t="s">
        <v>45</v>
      </c>
      <c r="O109" t="s">
        <v>34</v>
      </c>
      <c r="P109" t="s">
        <v>20</v>
      </c>
      <c r="Q109" t="s">
        <v>20</v>
      </c>
      <c r="R109" t="s">
        <v>12680</v>
      </c>
      <c r="S109" t="s">
        <v>20</v>
      </c>
    </row>
    <row r="110" spans="1:19" x14ac:dyDescent="0.45">
      <c r="A110" t="s">
        <v>12382</v>
      </c>
      <c r="B110" t="s">
        <v>20</v>
      </c>
      <c r="C110" t="s">
        <v>4650</v>
      </c>
      <c r="D110" t="s">
        <v>4651</v>
      </c>
      <c r="E110" t="s">
        <v>57</v>
      </c>
      <c r="F110" t="s">
        <v>20</v>
      </c>
      <c r="G110" t="s">
        <v>23</v>
      </c>
      <c r="H110" t="s">
        <v>11420</v>
      </c>
      <c r="I110" t="s">
        <v>11421</v>
      </c>
      <c r="J110" t="s">
        <v>11422</v>
      </c>
      <c r="K110" t="s">
        <v>11423</v>
      </c>
      <c r="L110" t="s">
        <v>3418</v>
      </c>
      <c r="M110" t="s">
        <v>32</v>
      </c>
      <c r="N110" t="s">
        <v>62</v>
      </c>
      <c r="O110" t="s">
        <v>34</v>
      </c>
      <c r="P110" t="s">
        <v>20</v>
      </c>
      <c r="Q110" t="s">
        <v>20</v>
      </c>
      <c r="R110" t="s">
        <v>11424</v>
      </c>
      <c r="S110" t="s">
        <v>20</v>
      </c>
    </row>
    <row r="111" spans="1:19" x14ac:dyDescent="0.45">
      <c r="A111" t="s">
        <v>12382</v>
      </c>
      <c r="B111" t="s">
        <v>20</v>
      </c>
      <c r="C111" t="s">
        <v>1568</v>
      </c>
      <c r="D111" t="s">
        <v>1569</v>
      </c>
      <c r="E111" t="s">
        <v>2487</v>
      </c>
      <c r="F111" t="s">
        <v>20</v>
      </c>
      <c r="G111" t="s">
        <v>23</v>
      </c>
      <c r="H111" t="s">
        <v>6839</v>
      </c>
      <c r="I111" t="s">
        <v>6840</v>
      </c>
      <c r="J111" t="s">
        <v>10861</v>
      </c>
      <c r="K111" t="s">
        <v>10862</v>
      </c>
      <c r="L111" t="s">
        <v>3998</v>
      </c>
      <c r="M111" t="s">
        <v>32</v>
      </c>
      <c r="N111" t="s">
        <v>33</v>
      </c>
      <c r="O111" t="s">
        <v>34</v>
      </c>
      <c r="P111" t="s">
        <v>20</v>
      </c>
      <c r="Q111" t="s">
        <v>20</v>
      </c>
      <c r="R111" t="s">
        <v>10863</v>
      </c>
      <c r="S111" t="s">
        <v>20</v>
      </c>
    </row>
    <row r="112" spans="1:19" x14ac:dyDescent="0.45">
      <c r="A112" t="s">
        <v>12382</v>
      </c>
      <c r="B112" t="s">
        <v>20</v>
      </c>
      <c r="C112" t="s">
        <v>1568</v>
      </c>
      <c r="D112" t="s">
        <v>1569</v>
      </c>
      <c r="E112" t="s">
        <v>2487</v>
      </c>
      <c r="F112" t="s">
        <v>20</v>
      </c>
      <c r="G112" t="s">
        <v>23</v>
      </c>
      <c r="H112" t="s">
        <v>8008</v>
      </c>
      <c r="I112" t="s">
        <v>6840</v>
      </c>
      <c r="J112" t="s">
        <v>8009</v>
      </c>
      <c r="K112" t="s">
        <v>8010</v>
      </c>
      <c r="L112" t="s">
        <v>3418</v>
      </c>
      <c r="M112" t="s">
        <v>102</v>
      </c>
      <c r="N112" t="s">
        <v>62</v>
      </c>
      <c r="O112" t="s">
        <v>34</v>
      </c>
      <c r="P112" t="s">
        <v>20</v>
      </c>
      <c r="Q112" t="s">
        <v>20</v>
      </c>
      <c r="R112" t="s">
        <v>8011</v>
      </c>
      <c r="S112" t="s">
        <v>20</v>
      </c>
    </row>
    <row r="113" spans="1:19" x14ac:dyDescent="0.45">
      <c r="A113" t="s">
        <v>12382</v>
      </c>
      <c r="B113" t="s">
        <v>20</v>
      </c>
      <c r="C113" t="s">
        <v>1568</v>
      </c>
      <c r="D113" t="s">
        <v>1569</v>
      </c>
      <c r="E113" t="s">
        <v>38</v>
      </c>
      <c r="F113" t="s">
        <v>20</v>
      </c>
      <c r="G113" t="s">
        <v>23</v>
      </c>
      <c r="H113" t="s">
        <v>1570</v>
      </c>
      <c r="I113" t="s">
        <v>1571</v>
      </c>
      <c r="J113" t="s">
        <v>1572</v>
      </c>
      <c r="K113" t="s">
        <v>1573</v>
      </c>
      <c r="L113" t="s">
        <v>31</v>
      </c>
      <c r="M113" t="s">
        <v>32</v>
      </c>
      <c r="N113" t="s">
        <v>33</v>
      </c>
      <c r="O113" t="s">
        <v>34</v>
      </c>
      <c r="P113" t="s">
        <v>20</v>
      </c>
      <c r="Q113" t="s">
        <v>20</v>
      </c>
      <c r="R113" t="s">
        <v>1574</v>
      </c>
      <c r="S113" t="s">
        <v>1575</v>
      </c>
    </row>
    <row r="114" spans="1:19" x14ac:dyDescent="0.45">
      <c r="A114" t="s">
        <v>572</v>
      </c>
      <c r="B114" t="s">
        <v>20</v>
      </c>
      <c r="C114" t="s">
        <v>1729</v>
      </c>
      <c r="D114" t="s">
        <v>1730</v>
      </c>
      <c r="E114" t="s">
        <v>38</v>
      </c>
      <c r="F114" t="s">
        <v>20</v>
      </c>
      <c r="G114" t="s">
        <v>23</v>
      </c>
      <c r="H114" t="s">
        <v>2320</v>
      </c>
      <c r="I114" t="s">
        <v>2321</v>
      </c>
      <c r="J114" t="s">
        <v>2322</v>
      </c>
      <c r="K114" t="s">
        <v>2323</v>
      </c>
      <c r="L114" t="s">
        <v>12390</v>
      </c>
      <c r="M114" t="s">
        <v>32</v>
      </c>
      <c r="N114" t="s">
        <v>33</v>
      </c>
      <c r="O114" t="s">
        <v>34</v>
      </c>
      <c r="P114" t="s">
        <v>20</v>
      </c>
      <c r="Q114" t="s">
        <v>20</v>
      </c>
      <c r="R114" t="s">
        <v>12226</v>
      </c>
      <c r="S114" t="s">
        <v>8119</v>
      </c>
    </row>
    <row r="115" spans="1:19" x14ac:dyDescent="0.45">
      <c r="A115" t="s">
        <v>12382</v>
      </c>
      <c r="B115" t="s">
        <v>20</v>
      </c>
      <c r="C115" t="s">
        <v>1205</v>
      </c>
      <c r="D115" t="s">
        <v>1206</v>
      </c>
      <c r="E115" t="s">
        <v>38</v>
      </c>
      <c r="F115" t="s">
        <v>20</v>
      </c>
      <c r="G115" t="s">
        <v>23</v>
      </c>
      <c r="H115" t="s">
        <v>1207</v>
      </c>
      <c r="I115" t="s">
        <v>1208</v>
      </c>
      <c r="J115" t="s">
        <v>1209</v>
      </c>
      <c r="K115" t="s">
        <v>1210</v>
      </c>
      <c r="L115" t="s">
        <v>31</v>
      </c>
      <c r="M115" t="s">
        <v>32</v>
      </c>
      <c r="N115" t="s">
        <v>33</v>
      </c>
      <c r="O115" t="s">
        <v>34</v>
      </c>
      <c r="P115" t="s">
        <v>20</v>
      </c>
      <c r="Q115" t="s">
        <v>20</v>
      </c>
      <c r="R115" t="s">
        <v>1211</v>
      </c>
      <c r="S115" t="s">
        <v>1212</v>
      </c>
    </row>
    <row r="116" spans="1:19" x14ac:dyDescent="0.45">
      <c r="A116" t="s">
        <v>12382</v>
      </c>
      <c r="B116" t="s">
        <v>20</v>
      </c>
      <c r="C116" t="s">
        <v>1205</v>
      </c>
      <c r="D116" t="s">
        <v>1206</v>
      </c>
      <c r="E116" t="s">
        <v>57</v>
      </c>
      <c r="F116" t="s">
        <v>20</v>
      </c>
      <c r="G116" t="s">
        <v>23</v>
      </c>
      <c r="H116" t="s">
        <v>11313</v>
      </c>
      <c r="I116" t="s">
        <v>11314</v>
      </c>
      <c r="J116" t="s">
        <v>11315</v>
      </c>
      <c r="K116" t="s">
        <v>11316</v>
      </c>
      <c r="L116" t="s">
        <v>3418</v>
      </c>
      <c r="M116" t="s">
        <v>32</v>
      </c>
      <c r="N116" t="s">
        <v>62</v>
      </c>
      <c r="O116" t="s">
        <v>34</v>
      </c>
      <c r="P116" t="s">
        <v>20</v>
      </c>
      <c r="Q116" t="s">
        <v>20</v>
      </c>
      <c r="R116" t="s">
        <v>11317</v>
      </c>
      <c r="S116" t="s">
        <v>20</v>
      </c>
    </row>
    <row r="117" spans="1:19" x14ac:dyDescent="0.45">
      <c r="A117" t="s">
        <v>1975</v>
      </c>
      <c r="B117" t="s">
        <v>20</v>
      </c>
      <c r="C117" t="s">
        <v>9083</v>
      </c>
      <c r="D117" t="s">
        <v>5715</v>
      </c>
      <c r="E117" t="s">
        <v>57</v>
      </c>
      <c r="F117" t="s">
        <v>20</v>
      </c>
      <c r="G117" t="s">
        <v>23</v>
      </c>
      <c r="H117" t="s">
        <v>8928</v>
      </c>
      <c r="I117" t="s">
        <v>9084</v>
      </c>
      <c r="J117" t="s">
        <v>9085</v>
      </c>
      <c r="K117" t="s">
        <v>9086</v>
      </c>
      <c r="L117" t="s">
        <v>2769</v>
      </c>
      <c r="M117" t="s">
        <v>32</v>
      </c>
      <c r="N117" t="s">
        <v>62</v>
      </c>
      <c r="O117" t="s">
        <v>34</v>
      </c>
      <c r="P117" t="s">
        <v>20</v>
      </c>
      <c r="Q117" t="s">
        <v>20</v>
      </c>
      <c r="R117" t="s">
        <v>9087</v>
      </c>
      <c r="S117" t="s">
        <v>20</v>
      </c>
    </row>
    <row r="118" spans="1:19" x14ac:dyDescent="0.45">
      <c r="A118" t="s">
        <v>12382</v>
      </c>
      <c r="B118" t="s">
        <v>20</v>
      </c>
      <c r="C118" t="s">
        <v>284</v>
      </c>
      <c r="D118" t="s">
        <v>285</v>
      </c>
      <c r="E118" t="s">
        <v>57</v>
      </c>
      <c r="F118" t="s">
        <v>20</v>
      </c>
      <c r="G118" t="s">
        <v>23</v>
      </c>
      <c r="H118" t="s">
        <v>11613</v>
      </c>
      <c r="I118" t="s">
        <v>11614</v>
      </c>
      <c r="J118" t="s">
        <v>11615</v>
      </c>
      <c r="K118" t="s">
        <v>11616</v>
      </c>
      <c r="L118" t="s">
        <v>3418</v>
      </c>
      <c r="M118" t="s">
        <v>32</v>
      </c>
      <c r="N118" t="s">
        <v>62</v>
      </c>
      <c r="O118" t="s">
        <v>34</v>
      </c>
      <c r="P118" t="s">
        <v>20</v>
      </c>
      <c r="Q118" t="s">
        <v>20</v>
      </c>
      <c r="R118" t="s">
        <v>11617</v>
      </c>
      <c r="S118" t="s">
        <v>20</v>
      </c>
    </row>
    <row r="119" spans="1:19" x14ac:dyDescent="0.45">
      <c r="A119" t="s">
        <v>261</v>
      </c>
      <c r="B119" t="s">
        <v>20</v>
      </c>
      <c r="C119" t="s">
        <v>1272</v>
      </c>
      <c r="D119" t="s">
        <v>1273</v>
      </c>
      <c r="E119" t="s">
        <v>38</v>
      </c>
      <c r="F119" t="s">
        <v>20</v>
      </c>
      <c r="G119" t="s">
        <v>23</v>
      </c>
      <c r="H119" t="s">
        <v>11767</v>
      </c>
      <c r="I119" t="s">
        <v>11768</v>
      </c>
      <c r="J119" t="s">
        <v>12439</v>
      </c>
      <c r="K119" t="s">
        <v>12440</v>
      </c>
      <c r="L119" t="s">
        <v>3998</v>
      </c>
      <c r="M119" t="s">
        <v>12431</v>
      </c>
      <c r="N119" t="s">
        <v>33</v>
      </c>
      <c r="O119" t="s">
        <v>34</v>
      </c>
      <c r="P119" t="s">
        <v>20</v>
      </c>
      <c r="Q119" t="s">
        <v>20</v>
      </c>
      <c r="R119" t="s">
        <v>12441</v>
      </c>
      <c r="S119" t="s">
        <v>20</v>
      </c>
    </row>
    <row r="120" spans="1:19" x14ac:dyDescent="0.45">
      <c r="A120" t="s">
        <v>261</v>
      </c>
      <c r="B120" t="s">
        <v>20</v>
      </c>
      <c r="C120" t="s">
        <v>1272</v>
      </c>
      <c r="D120" t="s">
        <v>1273</v>
      </c>
      <c r="E120" t="s">
        <v>38</v>
      </c>
      <c r="F120" t="s">
        <v>20</v>
      </c>
      <c r="G120" t="s">
        <v>23</v>
      </c>
      <c r="H120" t="s">
        <v>13812</v>
      </c>
      <c r="I120" t="s">
        <v>13813</v>
      </c>
      <c r="J120" t="s">
        <v>13814</v>
      </c>
      <c r="K120" t="s">
        <v>13815</v>
      </c>
      <c r="L120" t="s">
        <v>11782</v>
      </c>
      <c r="M120" t="s">
        <v>112</v>
      </c>
      <c r="N120" t="s">
        <v>146</v>
      </c>
      <c r="O120" t="s">
        <v>34</v>
      </c>
      <c r="P120" t="s">
        <v>20</v>
      </c>
      <c r="Q120" t="s">
        <v>20</v>
      </c>
      <c r="R120" t="s">
        <v>13816</v>
      </c>
      <c r="S120" t="s">
        <v>20</v>
      </c>
    </row>
    <row r="121" spans="1:19" x14ac:dyDescent="0.45">
      <c r="A121" t="s">
        <v>12382</v>
      </c>
      <c r="B121" t="s">
        <v>20</v>
      </c>
      <c r="C121" t="s">
        <v>215</v>
      </c>
      <c r="D121" t="s">
        <v>216</v>
      </c>
      <c r="E121" t="s">
        <v>57</v>
      </c>
      <c r="F121" t="s">
        <v>20</v>
      </c>
      <c r="G121" t="s">
        <v>23</v>
      </c>
      <c r="H121" t="s">
        <v>11451</v>
      </c>
      <c r="I121" t="s">
        <v>11452</v>
      </c>
      <c r="J121" t="s">
        <v>11453</v>
      </c>
      <c r="K121" t="s">
        <v>11454</v>
      </c>
      <c r="L121" t="s">
        <v>3418</v>
      </c>
      <c r="M121" t="s">
        <v>32</v>
      </c>
      <c r="N121" t="s">
        <v>62</v>
      </c>
      <c r="O121" t="s">
        <v>34</v>
      </c>
      <c r="P121" t="s">
        <v>20</v>
      </c>
      <c r="Q121" t="s">
        <v>20</v>
      </c>
      <c r="R121" t="s">
        <v>11455</v>
      </c>
      <c r="S121" t="s">
        <v>20</v>
      </c>
    </row>
    <row r="122" spans="1:19" x14ac:dyDescent="0.45">
      <c r="A122" t="s">
        <v>12382</v>
      </c>
      <c r="B122" t="s">
        <v>20</v>
      </c>
      <c r="C122" t="s">
        <v>1283</v>
      </c>
      <c r="D122" t="s">
        <v>1284</v>
      </c>
      <c r="E122" t="s">
        <v>38</v>
      </c>
      <c r="F122" t="s">
        <v>20</v>
      </c>
      <c r="G122" t="s">
        <v>23</v>
      </c>
      <c r="H122" t="s">
        <v>10368</v>
      </c>
      <c r="I122" t="s">
        <v>10369</v>
      </c>
      <c r="J122" t="s">
        <v>11103</v>
      </c>
      <c r="K122" t="s">
        <v>11064</v>
      </c>
      <c r="L122" t="s">
        <v>9570</v>
      </c>
      <c r="M122" t="s">
        <v>32</v>
      </c>
      <c r="N122" t="s">
        <v>33</v>
      </c>
      <c r="O122" t="s">
        <v>34</v>
      </c>
      <c r="P122" t="s">
        <v>20</v>
      </c>
      <c r="Q122" t="s">
        <v>20</v>
      </c>
      <c r="R122" t="s">
        <v>11104</v>
      </c>
      <c r="S122" t="s">
        <v>10370</v>
      </c>
    </row>
    <row r="123" spans="1:19" x14ac:dyDescent="0.45">
      <c r="A123" t="s">
        <v>12382</v>
      </c>
      <c r="B123" t="s">
        <v>20</v>
      </c>
      <c r="C123" t="s">
        <v>1283</v>
      </c>
      <c r="D123" t="s">
        <v>1284</v>
      </c>
      <c r="E123" t="s">
        <v>38</v>
      </c>
      <c r="F123" t="s">
        <v>20</v>
      </c>
      <c r="G123" t="s">
        <v>23</v>
      </c>
      <c r="H123" t="s">
        <v>1285</v>
      </c>
      <c r="I123" t="s">
        <v>1286</v>
      </c>
      <c r="J123" t="s">
        <v>1287</v>
      </c>
      <c r="K123" t="s">
        <v>1288</v>
      </c>
      <c r="L123" t="s">
        <v>53</v>
      </c>
      <c r="M123" t="s">
        <v>112</v>
      </c>
      <c r="N123" t="s">
        <v>146</v>
      </c>
      <c r="O123" t="s">
        <v>34</v>
      </c>
      <c r="P123" t="s">
        <v>20</v>
      </c>
      <c r="Q123" t="s">
        <v>20</v>
      </c>
      <c r="R123" t="s">
        <v>1289</v>
      </c>
      <c r="S123" t="s">
        <v>20</v>
      </c>
    </row>
    <row r="124" spans="1:19" x14ac:dyDescent="0.45">
      <c r="A124" t="s">
        <v>12382</v>
      </c>
      <c r="B124" t="s">
        <v>20</v>
      </c>
      <c r="C124" t="s">
        <v>4587</v>
      </c>
      <c r="D124" t="s">
        <v>4588</v>
      </c>
      <c r="E124" t="s">
        <v>57</v>
      </c>
      <c r="F124" t="s">
        <v>20</v>
      </c>
      <c r="G124" t="s">
        <v>23</v>
      </c>
      <c r="H124" t="s">
        <v>11328</v>
      </c>
      <c r="I124" t="s">
        <v>11329</v>
      </c>
      <c r="J124" t="s">
        <v>11330</v>
      </c>
      <c r="K124" t="s">
        <v>11331</v>
      </c>
      <c r="L124" t="s">
        <v>3418</v>
      </c>
      <c r="M124" t="s">
        <v>32</v>
      </c>
      <c r="N124" t="s">
        <v>62</v>
      </c>
      <c r="O124" t="s">
        <v>34</v>
      </c>
      <c r="P124" t="s">
        <v>20</v>
      </c>
      <c r="Q124" t="s">
        <v>20</v>
      </c>
      <c r="R124" t="s">
        <v>11332</v>
      </c>
      <c r="S124" t="s">
        <v>20</v>
      </c>
    </row>
    <row r="125" spans="1:19" x14ac:dyDescent="0.45">
      <c r="A125" t="s">
        <v>12382</v>
      </c>
      <c r="B125" t="s">
        <v>20</v>
      </c>
      <c r="C125" t="s">
        <v>2309</v>
      </c>
      <c r="D125" t="s">
        <v>2310</v>
      </c>
      <c r="E125" t="s">
        <v>38</v>
      </c>
      <c r="F125" t="s">
        <v>20</v>
      </c>
      <c r="G125" t="s">
        <v>23</v>
      </c>
      <c r="H125" t="s">
        <v>2311</v>
      </c>
      <c r="I125" t="s">
        <v>2312</v>
      </c>
      <c r="J125" t="s">
        <v>2313</v>
      </c>
      <c r="K125" t="s">
        <v>2314</v>
      </c>
      <c r="L125" t="s">
        <v>43</v>
      </c>
      <c r="M125" t="s">
        <v>136</v>
      </c>
      <c r="N125" t="s">
        <v>33</v>
      </c>
      <c r="O125" t="s">
        <v>34</v>
      </c>
      <c r="P125" t="s">
        <v>20</v>
      </c>
      <c r="Q125" t="s">
        <v>20</v>
      </c>
      <c r="R125" t="s">
        <v>2315</v>
      </c>
      <c r="S125" t="s">
        <v>20</v>
      </c>
    </row>
    <row r="126" spans="1:19" x14ac:dyDescent="0.45">
      <c r="A126" t="s">
        <v>2920</v>
      </c>
      <c r="B126" t="s">
        <v>20</v>
      </c>
      <c r="C126" t="s">
        <v>6704</v>
      </c>
      <c r="D126" t="s">
        <v>5880</v>
      </c>
      <c r="E126" t="s">
        <v>38</v>
      </c>
      <c r="F126" t="s">
        <v>20</v>
      </c>
      <c r="G126" t="s">
        <v>23</v>
      </c>
      <c r="H126" t="s">
        <v>7811</v>
      </c>
      <c r="I126" t="s">
        <v>7812</v>
      </c>
      <c r="J126" t="s">
        <v>7813</v>
      </c>
      <c r="K126" t="s">
        <v>7814</v>
      </c>
      <c r="L126" t="s">
        <v>3418</v>
      </c>
      <c r="M126" t="s">
        <v>112</v>
      </c>
      <c r="N126" t="s">
        <v>113</v>
      </c>
      <c r="O126" t="s">
        <v>34</v>
      </c>
      <c r="P126" t="s">
        <v>20</v>
      </c>
      <c r="Q126" t="s">
        <v>20</v>
      </c>
      <c r="R126" t="s">
        <v>7815</v>
      </c>
      <c r="S126" t="s">
        <v>20</v>
      </c>
    </row>
    <row r="127" spans="1:19" x14ac:dyDescent="0.45">
      <c r="A127" t="s">
        <v>2920</v>
      </c>
      <c r="B127" t="s">
        <v>20</v>
      </c>
      <c r="C127" t="s">
        <v>6704</v>
      </c>
      <c r="D127" t="s">
        <v>5880</v>
      </c>
      <c r="E127" t="s">
        <v>38</v>
      </c>
      <c r="F127" t="s">
        <v>20</v>
      </c>
      <c r="G127" t="s">
        <v>23</v>
      </c>
      <c r="H127" t="s">
        <v>7811</v>
      </c>
      <c r="I127" t="s">
        <v>7812</v>
      </c>
      <c r="J127" t="s">
        <v>7813</v>
      </c>
      <c r="K127" t="s">
        <v>7814</v>
      </c>
      <c r="L127" t="s">
        <v>3418</v>
      </c>
      <c r="M127" t="s">
        <v>32</v>
      </c>
      <c r="N127" t="s">
        <v>45</v>
      </c>
      <c r="O127" t="s">
        <v>34</v>
      </c>
      <c r="P127" t="s">
        <v>20</v>
      </c>
      <c r="Q127" t="s">
        <v>20</v>
      </c>
      <c r="R127" t="s">
        <v>7815</v>
      </c>
      <c r="S127" t="s">
        <v>20</v>
      </c>
    </row>
    <row r="128" spans="1:19" x14ac:dyDescent="0.45">
      <c r="A128" t="s">
        <v>729</v>
      </c>
      <c r="B128" t="s">
        <v>20</v>
      </c>
      <c r="C128" t="s">
        <v>7728</v>
      </c>
      <c r="D128" t="s">
        <v>5676</v>
      </c>
      <c r="E128" t="s">
        <v>57</v>
      </c>
      <c r="F128" t="s">
        <v>20</v>
      </c>
      <c r="G128" t="s">
        <v>23</v>
      </c>
      <c r="H128" t="s">
        <v>7729</v>
      </c>
      <c r="I128" t="s">
        <v>7730</v>
      </c>
      <c r="J128" t="s">
        <v>7731</v>
      </c>
      <c r="K128" t="s">
        <v>7732</v>
      </c>
      <c r="L128" t="s">
        <v>2769</v>
      </c>
      <c r="M128" t="s">
        <v>102</v>
      </c>
      <c r="N128" t="s">
        <v>62</v>
      </c>
      <c r="O128" t="s">
        <v>34</v>
      </c>
      <c r="P128" t="s">
        <v>20</v>
      </c>
      <c r="Q128" t="s">
        <v>20</v>
      </c>
      <c r="R128" t="s">
        <v>7733</v>
      </c>
      <c r="S128" t="s">
        <v>20</v>
      </c>
    </row>
    <row r="129" spans="1:19" x14ac:dyDescent="0.45">
      <c r="A129" t="s">
        <v>516</v>
      </c>
      <c r="B129" t="s">
        <v>20</v>
      </c>
      <c r="C129" t="s">
        <v>11751</v>
      </c>
      <c r="D129" t="s">
        <v>6070</v>
      </c>
      <c r="E129" t="s">
        <v>38</v>
      </c>
      <c r="F129" t="s">
        <v>20</v>
      </c>
      <c r="G129" t="s">
        <v>23</v>
      </c>
      <c r="H129" t="s">
        <v>12147</v>
      </c>
      <c r="I129" t="s">
        <v>12148</v>
      </c>
      <c r="J129" t="s">
        <v>12447</v>
      </c>
      <c r="K129" t="s">
        <v>12448</v>
      </c>
      <c r="L129" t="s">
        <v>6524</v>
      </c>
      <c r="M129" t="s">
        <v>12431</v>
      </c>
      <c r="N129" t="s">
        <v>33</v>
      </c>
      <c r="O129" t="s">
        <v>34</v>
      </c>
      <c r="P129" t="s">
        <v>20</v>
      </c>
      <c r="Q129" t="s">
        <v>20</v>
      </c>
      <c r="R129" t="s">
        <v>12449</v>
      </c>
      <c r="S129" t="s">
        <v>12149</v>
      </c>
    </row>
    <row r="130" spans="1:19" x14ac:dyDescent="0.45">
      <c r="A130" t="s">
        <v>12382</v>
      </c>
      <c r="B130" t="s">
        <v>20</v>
      </c>
      <c r="C130" t="s">
        <v>1066</v>
      </c>
      <c r="D130" t="s">
        <v>1067</v>
      </c>
      <c r="E130" t="s">
        <v>4007</v>
      </c>
      <c r="F130" t="s">
        <v>20</v>
      </c>
      <c r="G130" t="s">
        <v>23</v>
      </c>
      <c r="H130" t="s">
        <v>11339</v>
      </c>
      <c r="I130" t="s">
        <v>11340</v>
      </c>
      <c r="J130" t="s">
        <v>11341</v>
      </c>
      <c r="K130" t="s">
        <v>11342</v>
      </c>
      <c r="L130" t="s">
        <v>3418</v>
      </c>
      <c r="M130" t="s">
        <v>32</v>
      </c>
      <c r="N130" t="s">
        <v>62</v>
      </c>
      <c r="O130" t="s">
        <v>34</v>
      </c>
      <c r="P130" t="s">
        <v>20</v>
      </c>
      <c r="Q130" t="s">
        <v>20</v>
      </c>
      <c r="R130" t="s">
        <v>11343</v>
      </c>
      <c r="S130" t="s">
        <v>20</v>
      </c>
    </row>
    <row r="131" spans="1:19" x14ac:dyDescent="0.45">
      <c r="A131" t="s">
        <v>12382</v>
      </c>
      <c r="B131" t="s">
        <v>20</v>
      </c>
      <c r="C131" t="s">
        <v>912</v>
      </c>
      <c r="D131" t="s">
        <v>913</v>
      </c>
      <c r="E131" t="s">
        <v>57</v>
      </c>
      <c r="F131" t="s">
        <v>20</v>
      </c>
      <c r="G131" t="s">
        <v>23</v>
      </c>
      <c r="H131" t="s">
        <v>11385</v>
      </c>
      <c r="I131" t="s">
        <v>11386</v>
      </c>
      <c r="J131" t="s">
        <v>11387</v>
      </c>
      <c r="K131" t="s">
        <v>11388</v>
      </c>
      <c r="L131" t="s">
        <v>3418</v>
      </c>
      <c r="M131" t="s">
        <v>32</v>
      </c>
      <c r="N131" t="s">
        <v>62</v>
      </c>
      <c r="O131" t="s">
        <v>34</v>
      </c>
      <c r="P131" t="s">
        <v>20</v>
      </c>
      <c r="Q131" t="s">
        <v>20</v>
      </c>
      <c r="R131" t="s">
        <v>11389</v>
      </c>
      <c r="S131" t="s">
        <v>20</v>
      </c>
    </row>
    <row r="132" spans="1:19" x14ac:dyDescent="0.45">
      <c r="A132" t="s">
        <v>12382</v>
      </c>
      <c r="B132" t="s">
        <v>20</v>
      </c>
      <c r="C132" t="s">
        <v>2622</v>
      </c>
      <c r="D132" t="s">
        <v>2623</v>
      </c>
      <c r="E132" t="s">
        <v>57</v>
      </c>
      <c r="F132" t="s">
        <v>20</v>
      </c>
      <c r="G132" t="s">
        <v>23</v>
      </c>
      <c r="H132" t="s">
        <v>11520</v>
      </c>
      <c r="I132" t="s">
        <v>11521</v>
      </c>
      <c r="J132" t="s">
        <v>11522</v>
      </c>
      <c r="K132" t="s">
        <v>11523</v>
      </c>
      <c r="L132" t="s">
        <v>3418</v>
      </c>
      <c r="M132" t="s">
        <v>32</v>
      </c>
      <c r="N132" t="s">
        <v>62</v>
      </c>
      <c r="O132" t="s">
        <v>34</v>
      </c>
      <c r="P132" t="s">
        <v>20</v>
      </c>
      <c r="Q132" t="s">
        <v>20</v>
      </c>
      <c r="R132" t="s">
        <v>11524</v>
      </c>
      <c r="S132" t="s">
        <v>20</v>
      </c>
    </row>
    <row r="133" spans="1:19" x14ac:dyDescent="0.45">
      <c r="A133" t="s">
        <v>563</v>
      </c>
      <c r="B133" t="s">
        <v>20</v>
      </c>
      <c r="C133" t="s">
        <v>564</v>
      </c>
      <c r="D133" t="s">
        <v>565</v>
      </c>
      <c r="E133" t="s">
        <v>38</v>
      </c>
      <c r="F133" t="s">
        <v>20</v>
      </c>
      <c r="G133" t="s">
        <v>23</v>
      </c>
      <c r="H133" t="s">
        <v>12450</v>
      </c>
      <c r="I133" t="s">
        <v>12451</v>
      </c>
      <c r="J133" t="s">
        <v>12452</v>
      </c>
      <c r="K133" t="s">
        <v>12453</v>
      </c>
      <c r="L133" t="s">
        <v>11782</v>
      </c>
      <c r="M133" t="s">
        <v>32</v>
      </c>
      <c r="N133" t="s">
        <v>45</v>
      </c>
      <c r="O133" t="s">
        <v>34</v>
      </c>
      <c r="P133" t="s">
        <v>6524</v>
      </c>
      <c r="Q133" t="s">
        <v>20</v>
      </c>
      <c r="R133" t="s">
        <v>12454</v>
      </c>
      <c r="S133" t="s">
        <v>20</v>
      </c>
    </row>
    <row r="134" spans="1:19" x14ac:dyDescent="0.45">
      <c r="A134" t="s">
        <v>563</v>
      </c>
      <c r="B134" t="s">
        <v>20</v>
      </c>
      <c r="C134" t="s">
        <v>564</v>
      </c>
      <c r="D134" t="s">
        <v>565</v>
      </c>
      <c r="E134" t="s">
        <v>57</v>
      </c>
      <c r="F134" t="s">
        <v>20</v>
      </c>
      <c r="G134" t="s">
        <v>23</v>
      </c>
      <c r="H134" t="s">
        <v>7056</v>
      </c>
      <c r="I134" t="s">
        <v>7057</v>
      </c>
      <c r="J134" t="s">
        <v>7058</v>
      </c>
      <c r="K134" t="s">
        <v>7059</v>
      </c>
      <c r="L134" t="s">
        <v>2769</v>
      </c>
      <c r="M134" t="s">
        <v>32</v>
      </c>
      <c r="N134" t="s">
        <v>62</v>
      </c>
      <c r="O134" t="s">
        <v>34</v>
      </c>
      <c r="P134" t="s">
        <v>6524</v>
      </c>
      <c r="Q134" t="s">
        <v>20</v>
      </c>
      <c r="R134" t="s">
        <v>7060</v>
      </c>
      <c r="S134" t="s">
        <v>20</v>
      </c>
    </row>
    <row r="135" spans="1:19" x14ac:dyDescent="0.45">
      <c r="A135" t="s">
        <v>362</v>
      </c>
      <c r="B135" t="s">
        <v>20</v>
      </c>
      <c r="C135" t="s">
        <v>7419</v>
      </c>
      <c r="D135" t="s">
        <v>5984</v>
      </c>
      <c r="E135" t="s">
        <v>57</v>
      </c>
      <c r="F135" t="s">
        <v>20</v>
      </c>
      <c r="G135" t="s">
        <v>23</v>
      </c>
      <c r="H135" t="s">
        <v>7420</v>
      </c>
      <c r="I135" t="s">
        <v>7421</v>
      </c>
      <c r="J135" t="s">
        <v>7422</v>
      </c>
      <c r="K135" t="s">
        <v>7423</v>
      </c>
      <c r="L135" t="s">
        <v>8094</v>
      </c>
      <c r="M135" t="s">
        <v>32</v>
      </c>
      <c r="N135" t="s">
        <v>62</v>
      </c>
      <c r="O135" t="s">
        <v>34</v>
      </c>
      <c r="P135" t="s">
        <v>20</v>
      </c>
      <c r="Q135" t="s">
        <v>20</v>
      </c>
      <c r="R135" t="s">
        <v>253</v>
      </c>
      <c r="S135" t="s">
        <v>20</v>
      </c>
    </row>
    <row r="136" spans="1:19" x14ac:dyDescent="0.45">
      <c r="A136" t="s">
        <v>943</v>
      </c>
      <c r="B136" t="s">
        <v>20</v>
      </c>
      <c r="C136" t="s">
        <v>3434</v>
      </c>
      <c r="D136" t="s">
        <v>3435</v>
      </c>
      <c r="E136" t="s">
        <v>57</v>
      </c>
      <c r="F136" t="s">
        <v>20</v>
      </c>
      <c r="G136" t="s">
        <v>23</v>
      </c>
      <c r="H136" t="s">
        <v>7333</v>
      </c>
      <c r="I136" t="s">
        <v>7334</v>
      </c>
      <c r="J136" t="s">
        <v>7335</v>
      </c>
      <c r="K136" t="s">
        <v>7336</v>
      </c>
      <c r="L136" t="s">
        <v>2769</v>
      </c>
      <c r="M136" t="s">
        <v>32</v>
      </c>
      <c r="N136" t="s">
        <v>62</v>
      </c>
      <c r="O136" t="s">
        <v>34</v>
      </c>
      <c r="P136" t="s">
        <v>20</v>
      </c>
      <c r="Q136" t="s">
        <v>20</v>
      </c>
      <c r="R136" t="s">
        <v>7070</v>
      </c>
      <c r="S136" t="s">
        <v>20</v>
      </c>
    </row>
    <row r="137" spans="1:19" x14ac:dyDescent="0.45">
      <c r="A137" t="s">
        <v>505</v>
      </c>
      <c r="B137" t="s">
        <v>20</v>
      </c>
      <c r="C137" t="s">
        <v>506</v>
      </c>
      <c r="D137" t="s">
        <v>507</v>
      </c>
      <c r="E137" t="s">
        <v>57</v>
      </c>
      <c r="F137" t="s">
        <v>20</v>
      </c>
      <c r="G137" t="s">
        <v>23</v>
      </c>
      <c r="H137" t="s">
        <v>6494</v>
      </c>
      <c r="I137" t="s">
        <v>6547</v>
      </c>
      <c r="J137" t="s">
        <v>6548</v>
      </c>
      <c r="K137" t="s">
        <v>6549</v>
      </c>
      <c r="L137" t="s">
        <v>722</v>
      </c>
      <c r="M137" t="s">
        <v>32</v>
      </c>
      <c r="N137" t="s">
        <v>62</v>
      </c>
      <c r="O137" t="s">
        <v>34</v>
      </c>
      <c r="P137" t="s">
        <v>20</v>
      </c>
      <c r="Q137" t="s">
        <v>20</v>
      </c>
      <c r="R137" t="s">
        <v>253</v>
      </c>
      <c r="S137" t="s">
        <v>20</v>
      </c>
    </row>
    <row r="138" spans="1:19" x14ac:dyDescent="0.45">
      <c r="A138" t="s">
        <v>79</v>
      </c>
      <c r="B138" t="s">
        <v>20</v>
      </c>
      <c r="C138" t="s">
        <v>857</v>
      </c>
      <c r="D138" t="s">
        <v>858</v>
      </c>
      <c r="E138" t="s">
        <v>38</v>
      </c>
      <c r="F138" t="s">
        <v>20</v>
      </c>
      <c r="G138" t="s">
        <v>23</v>
      </c>
      <c r="H138" t="s">
        <v>6815</v>
      </c>
      <c r="I138" t="s">
        <v>6816</v>
      </c>
      <c r="J138" t="s">
        <v>10876</v>
      </c>
      <c r="K138" t="s">
        <v>10814</v>
      </c>
      <c r="L138" t="s">
        <v>8109</v>
      </c>
      <c r="M138" t="s">
        <v>32</v>
      </c>
      <c r="N138" t="s">
        <v>33</v>
      </c>
      <c r="O138" t="s">
        <v>34</v>
      </c>
      <c r="P138" t="s">
        <v>20</v>
      </c>
      <c r="Q138" t="s">
        <v>20</v>
      </c>
      <c r="R138" t="s">
        <v>10877</v>
      </c>
      <c r="S138" t="s">
        <v>6817</v>
      </c>
    </row>
    <row r="139" spans="1:19" x14ac:dyDescent="0.45">
      <c r="A139" t="s">
        <v>79</v>
      </c>
      <c r="B139" t="s">
        <v>20</v>
      </c>
      <c r="C139" t="s">
        <v>857</v>
      </c>
      <c r="D139" t="s">
        <v>858</v>
      </c>
      <c r="E139" t="s">
        <v>38</v>
      </c>
      <c r="F139" t="s">
        <v>20</v>
      </c>
      <c r="G139" t="s">
        <v>23</v>
      </c>
      <c r="H139" t="s">
        <v>6918</v>
      </c>
      <c r="I139" t="s">
        <v>6919</v>
      </c>
      <c r="J139" t="s">
        <v>11157</v>
      </c>
      <c r="K139" t="s">
        <v>10950</v>
      </c>
      <c r="L139" t="s">
        <v>9570</v>
      </c>
      <c r="M139" t="s">
        <v>32</v>
      </c>
      <c r="N139" t="s">
        <v>33</v>
      </c>
      <c r="O139" t="s">
        <v>34</v>
      </c>
      <c r="P139" t="s">
        <v>20</v>
      </c>
      <c r="Q139" t="s">
        <v>20</v>
      </c>
      <c r="R139" t="s">
        <v>11158</v>
      </c>
      <c r="S139" t="s">
        <v>20</v>
      </c>
    </row>
    <row r="140" spans="1:19" x14ac:dyDescent="0.45">
      <c r="A140" t="s">
        <v>79</v>
      </c>
      <c r="B140" t="s">
        <v>20</v>
      </c>
      <c r="C140" t="s">
        <v>857</v>
      </c>
      <c r="D140" t="s">
        <v>858</v>
      </c>
      <c r="E140" t="s">
        <v>2487</v>
      </c>
      <c r="F140" t="s">
        <v>20</v>
      </c>
      <c r="G140" t="s">
        <v>23</v>
      </c>
      <c r="H140" t="s">
        <v>7343</v>
      </c>
      <c r="I140" t="s">
        <v>7344</v>
      </c>
      <c r="J140" t="s">
        <v>7345</v>
      </c>
      <c r="K140" t="s">
        <v>7346</v>
      </c>
      <c r="L140" t="s">
        <v>3418</v>
      </c>
      <c r="M140" t="s">
        <v>32</v>
      </c>
      <c r="N140" t="s">
        <v>62</v>
      </c>
      <c r="O140" t="s">
        <v>34</v>
      </c>
      <c r="P140" t="s">
        <v>20</v>
      </c>
      <c r="Q140" t="s">
        <v>20</v>
      </c>
      <c r="R140" t="s">
        <v>7347</v>
      </c>
      <c r="S140" t="s">
        <v>20</v>
      </c>
    </row>
    <row r="141" spans="1:19" x14ac:dyDescent="0.45">
      <c r="A141" t="s">
        <v>79</v>
      </c>
      <c r="B141" t="s">
        <v>20</v>
      </c>
      <c r="C141" t="s">
        <v>857</v>
      </c>
      <c r="D141" t="s">
        <v>858</v>
      </c>
      <c r="E141" t="s">
        <v>38</v>
      </c>
      <c r="F141" t="s">
        <v>20</v>
      </c>
      <c r="G141" t="s">
        <v>23</v>
      </c>
      <c r="H141" t="s">
        <v>6800</v>
      </c>
      <c r="I141" t="s">
        <v>6801</v>
      </c>
      <c r="J141" t="s">
        <v>10805</v>
      </c>
      <c r="K141" t="s">
        <v>10806</v>
      </c>
      <c r="L141" t="s">
        <v>8109</v>
      </c>
      <c r="M141" t="s">
        <v>32</v>
      </c>
      <c r="N141" t="s">
        <v>33</v>
      </c>
      <c r="O141" t="s">
        <v>34</v>
      </c>
      <c r="P141" t="s">
        <v>20</v>
      </c>
      <c r="Q141" t="s">
        <v>20</v>
      </c>
      <c r="R141" t="s">
        <v>10807</v>
      </c>
      <c r="S141" t="s">
        <v>6802</v>
      </c>
    </row>
    <row r="142" spans="1:19" x14ac:dyDescent="0.45">
      <c r="A142" t="s">
        <v>173</v>
      </c>
      <c r="B142" t="s">
        <v>20</v>
      </c>
      <c r="C142" t="s">
        <v>207</v>
      </c>
      <c r="D142" t="s">
        <v>208</v>
      </c>
      <c r="E142" t="s">
        <v>38</v>
      </c>
      <c r="F142" t="s">
        <v>20</v>
      </c>
      <c r="G142" t="s">
        <v>23</v>
      </c>
      <c r="H142" t="s">
        <v>13873</v>
      </c>
      <c r="I142" t="s">
        <v>13874</v>
      </c>
      <c r="J142" t="s">
        <v>13875</v>
      </c>
      <c r="K142" t="s">
        <v>13876</v>
      </c>
      <c r="L142" t="s">
        <v>8094</v>
      </c>
      <c r="M142" t="s">
        <v>112</v>
      </c>
      <c r="N142" t="s">
        <v>146</v>
      </c>
      <c r="O142" t="s">
        <v>34</v>
      </c>
      <c r="P142" t="s">
        <v>20</v>
      </c>
      <c r="Q142" t="s">
        <v>20</v>
      </c>
      <c r="R142" t="s">
        <v>14269</v>
      </c>
      <c r="S142" t="s">
        <v>20</v>
      </c>
    </row>
    <row r="143" spans="1:19" x14ac:dyDescent="0.45">
      <c r="A143" t="s">
        <v>26</v>
      </c>
      <c r="B143" t="s">
        <v>20</v>
      </c>
      <c r="C143" t="s">
        <v>371</v>
      </c>
      <c r="D143" t="s">
        <v>372</v>
      </c>
      <c r="E143" t="s">
        <v>57</v>
      </c>
      <c r="F143" t="s">
        <v>20</v>
      </c>
      <c r="G143" t="s">
        <v>23</v>
      </c>
      <c r="H143" t="s">
        <v>1237</v>
      </c>
      <c r="I143" t="s">
        <v>1238</v>
      </c>
      <c r="J143" t="s">
        <v>1239</v>
      </c>
      <c r="K143" t="s">
        <v>1240</v>
      </c>
      <c r="L143" t="s">
        <v>101</v>
      </c>
      <c r="M143" t="s">
        <v>205</v>
      </c>
      <c r="N143" t="s">
        <v>62</v>
      </c>
      <c r="O143" t="s">
        <v>34</v>
      </c>
      <c r="P143" t="s">
        <v>20</v>
      </c>
      <c r="Q143" t="s">
        <v>20</v>
      </c>
      <c r="R143" t="s">
        <v>206</v>
      </c>
      <c r="S143" t="s">
        <v>20</v>
      </c>
    </row>
    <row r="144" spans="1:19" x14ac:dyDescent="0.45">
      <c r="A144" t="s">
        <v>35</v>
      </c>
      <c r="B144" t="s">
        <v>20</v>
      </c>
      <c r="C144" t="s">
        <v>2599</v>
      </c>
      <c r="D144" t="s">
        <v>2600</v>
      </c>
      <c r="E144" t="s">
        <v>38</v>
      </c>
      <c r="F144" t="s">
        <v>20</v>
      </c>
      <c r="G144" t="s">
        <v>23</v>
      </c>
      <c r="H144" t="s">
        <v>7755</v>
      </c>
      <c r="I144" t="s">
        <v>7756</v>
      </c>
      <c r="J144" t="s">
        <v>7757</v>
      </c>
      <c r="K144" t="s">
        <v>7758</v>
      </c>
      <c r="L144" t="s">
        <v>6513</v>
      </c>
      <c r="M144" t="s">
        <v>32</v>
      </c>
      <c r="N144" t="s">
        <v>45</v>
      </c>
      <c r="O144" t="s">
        <v>34</v>
      </c>
      <c r="P144" t="s">
        <v>20</v>
      </c>
      <c r="Q144" t="s">
        <v>20</v>
      </c>
      <c r="R144" t="s">
        <v>7759</v>
      </c>
      <c r="S144" t="s">
        <v>20</v>
      </c>
    </row>
    <row r="145" spans="1:19" x14ac:dyDescent="0.45">
      <c r="A145" t="s">
        <v>6989</v>
      </c>
      <c r="B145" t="s">
        <v>20</v>
      </c>
      <c r="C145" t="s">
        <v>2414</v>
      </c>
      <c r="D145" t="s">
        <v>2415</v>
      </c>
      <c r="E145" t="s">
        <v>57</v>
      </c>
      <c r="F145" t="s">
        <v>20</v>
      </c>
      <c r="G145" t="s">
        <v>23</v>
      </c>
      <c r="H145" t="s">
        <v>2416</v>
      </c>
      <c r="I145" t="s">
        <v>2417</v>
      </c>
      <c r="J145" t="s">
        <v>2418</v>
      </c>
      <c r="K145" t="s">
        <v>2419</v>
      </c>
      <c r="L145" t="s">
        <v>43</v>
      </c>
      <c r="M145" t="s">
        <v>32</v>
      </c>
      <c r="N145" t="s">
        <v>62</v>
      </c>
      <c r="O145" t="s">
        <v>34</v>
      </c>
      <c r="P145" t="s">
        <v>20</v>
      </c>
      <c r="Q145" t="s">
        <v>20</v>
      </c>
      <c r="R145" t="s">
        <v>2420</v>
      </c>
      <c r="S145" t="s">
        <v>20</v>
      </c>
    </row>
    <row r="146" spans="1:19" x14ac:dyDescent="0.45">
      <c r="A146" t="s">
        <v>211</v>
      </c>
      <c r="B146" t="s">
        <v>20</v>
      </c>
      <c r="C146" t="s">
        <v>2176</v>
      </c>
      <c r="D146" t="s">
        <v>2177</v>
      </c>
      <c r="E146" t="s">
        <v>38</v>
      </c>
      <c r="F146" t="s">
        <v>20</v>
      </c>
      <c r="G146" t="s">
        <v>23</v>
      </c>
      <c r="H146" t="s">
        <v>2178</v>
      </c>
      <c r="I146" t="s">
        <v>2179</v>
      </c>
      <c r="J146" t="s">
        <v>2180</v>
      </c>
      <c r="K146" t="s">
        <v>2181</v>
      </c>
      <c r="L146" t="s">
        <v>43</v>
      </c>
      <c r="M146" t="s">
        <v>102</v>
      </c>
      <c r="N146" t="s">
        <v>62</v>
      </c>
      <c r="O146" t="s">
        <v>34</v>
      </c>
      <c r="P146" t="s">
        <v>20</v>
      </c>
      <c r="Q146" t="s">
        <v>20</v>
      </c>
      <c r="R146" t="s">
        <v>2182</v>
      </c>
      <c r="S146" t="s">
        <v>20</v>
      </c>
    </row>
    <row r="147" spans="1:19" x14ac:dyDescent="0.45">
      <c r="A147" t="s">
        <v>211</v>
      </c>
      <c r="B147" t="s">
        <v>20</v>
      </c>
      <c r="C147" t="s">
        <v>212</v>
      </c>
      <c r="D147" t="s">
        <v>213</v>
      </c>
      <c r="E147" t="s">
        <v>38</v>
      </c>
      <c r="F147" t="s">
        <v>20</v>
      </c>
      <c r="G147" t="s">
        <v>23</v>
      </c>
      <c r="H147" t="s">
        <v>11764</v>
      </c>
      <c r="I147" t="s">
        <v>11765</v>
      </c>
      <c r="J147" t="s">
        <v>12688</v>
      </c>
      <c r="K147" t="s">
        <v>12689</v>
      </c>
      <c r="L147" t="s">
        <v>6524</v>
      </c>
      <c r="M147" t="s">
        <v>12431</v>
      </c>
      <c r="N147" t="s">
        <v>33</v>
      </c>
      <c r="O147" t="s">
        <v>34</v>
      </c>
      <c r="P147" t="s">
        <v>20</v>
      </c>
      <c r="Q147" t="s">
        <v>20</v>
      </c>
      <c r="R147" t="s">
        <v>12690</v>
      </c>
      <c r="S147" t="s">
        <v>11766</v>
      </c>
    </row>
    <row r="148" spans="1:19" x14ac:dyDescent="0.45">
      <c r="A148" t="s">
        <v>211</v>
      </c>
      <c r="B148" t="s">
        <v>20</v>
      </c>
      <c r="C148" t="s">
        <v>212</v>
      </c>
      <c r="D148" t="s">
        <v>213</v>
      </c>
      <c r="E148" t="s">
        <v>38</v>
      </c>
      <c r="F148" t="s">
        <v>20</v>
      </c>
      <c r="G148" t="s">
        <v>23</v>
      </c>
      <c r="H148" t="s">
        <v>11598</v>
      </c>
      <c r="I148" t="s">
        <v>11599</v>
      </c>
      <c r="J148" t="s">
        <v>11600</v>
      </c>
      <c r="K148" t="s">
        <v>11601</v>
      </c>
      <c r="L148" t="s">
        <v>9683</v>
      </c>
      <c r="M148" t="s">
        <v>44</v>
      </c>
      <c r="N148" t="s">
        <v>33</v>
      </c>
      <c r="O148" t="s">
        <v>34</v>
      </c>
      <c r="P148" t="s">
        <v>20</v>
      </c>
      <c r="Q148" t="s">
        <v>20</v>
      </c>
      <c r="R148" t="s">
        <v>11602</v>
      </c>
      <c r="S148" t="s">
        <v>20</v>
      </c>
    </row>
    <row r="149" spans="1:19" x14ac:dyDescent="0.45">
      <c r="A149" t="s">
        <v>114</v>
      </c>
      <c r="B149" t="s">
        <v>20</v>
      </c>
      <c r="C149" t="s">
        <v>7387</v>
      </c>
      <c r="D149" t="s">
        <v>7388</v>
      </c>
      <c r="E149" t="s">
        <v>57</v>
      </c>
      <c r="F149" t="s">
        <v>20</v>
      </c>
      <c r="G149" t="s">
        <v>23</v>
      </c>
      <c r="H149" t="s">
        <v>10504</v>
      </c>
      <c r="I149" t="s">
        <v>10505</v>
      </c>
      <c r="J149" t="s">
        <v>10506</v>
      </c>
      <c r="K149" t="s">
        <v>10507</v>
      </c>
      <c r="L149" t="s">
        <v>3418</v>
      </c>
      <c r="M149" t="s">
        <v>32</v>
      </c>
      <c r="N149" t="s">
        <v>62</v>
      </c>
      <c r="O149" t="s">
        <v>34</v>
      </c>
      <c r="P149" t="s">
        <v>20</v>
      </c>
      <c r="Q149" t="s">
        <v>20</v>
      </c>
      <c r="R149" t="s">
        <v>10508</v>
      </c>
      <c r="S149" t="s">
        <v>20</v>
      </c>
    </row>
    <row r="150" spans="1:19" x14ac:dyDescent="0.45">
      <c r="A150" t="s">
        <v>1613</v>
      </c>
      <c r="B150" t="s">
        <v>20</v>
      </c>
      <c r="C150" t="s">
        <v>2234</v>
      </c>
      <c r="D150" t="s">
        <v>2235</v>
      </c>
      <c r="E150" t="s">
        <v>57</v>
      </c>
      <c r="F150" t="s">
        <v>20</v>
      </c>
      <c r="G150" t="s">
        <v>23</v>
      </c>
      <c r="H150" t="s">
        <v>9047</v>
      </c>
      <c r="I150" t="s">
        <v>9091</v>
      </c>
      <c r="J150" t="s">
        <v>9092</v>
      </c>
      <c r="K150" t="s">
        <v>9093</v>
      </c>
      <c r="L150" t="s">
        <v>3418</v>
      </c>
      <c r="M150" t="s">
        <v>6932</v>
      </c>
      <c r="N150" t="s">
        <v>62</v>
      </c>
      <c r="O150" t="s">
        <v>34</v>
      </c>
      <c r="P150" t="s">
        <v>20</v>
      </c>
      <c r="Q150" t="s">
        <v>20</v>
      </c>
      <c r="R150" t="s">
        <v>9094</v>
      </c>
      <c r="S150" t="s">
        <v>20</v>
      </c>
    </row>
    <row r="151" spans="1:19" x14ac:dyDescent="0.45">
      <c r="A151" t="s">
        <v>1613</v>
      </c>
      <c r="B151" t="s">
        <v>20</v>
      </c>
      <c r="C151" t="s">
        <v>2234</v>
      </c>
      <c r="D151" t="s">
        <v>2235</v>
      </c>
      <c r="E151" t="s">
        <v>38</v>
      </c>
      <c r="F151" t="s">
        <v>20</v>
      </c>
      <c r="G151" t="s">
        <v>23</v>
      </c>
      <c r="H151" t="s">
        <v>6809</v>
      </c>
      <c r="I151" t="s">
        <v>6810</v>
      </c>
      <c r="J151" t="s">
        <v>10829</v>
      </c>
      <c r="K151" t="s">
        <v>10830</v>
      </c>
      <c r="L151" t="s">
        <v>8109</v>
      </c>
      <c r="M151" t="s">
        <v>32</v>
      </c>
      <c r="N151" t="s">
        <v>33</v>
      </c>
      <c r="O151" t="s">
        <v>34</v>
      </c>
      <c r="P151" t="s">
        <v>20</v>
      </c>
      <c r="Q151" t="s">
        <v>20</v>
      </c>
      <c r="R151" t="s">
        <v>10831</v>
      </c>
      <c r="S151" t="s">
        <v>6811</v>
      </c>
    </row>
    <row r="152" spans="1:19" x14ac:dyDescent="0.45">
      <c r="A152" t="s">
        <v>35</v>
      </c>
      <c r="B152" t="s">
        <v>20</v>
      </c>
      <c r="C152" t="s">
        <v>36</v>
      </c>
      <c r="D152" t="s">
        <v>37</v>
      </c>
      <c r="E152" t="s">
        <v>57</v>
      </c>
      <c r="F152" t="s">
        <v>20</v>
      </c>
      <c r="G152" t="s">
        <v>23</v>
      </c>
      <c r="H152" t="s">
        <v>8921</v>
      </c>
      <c r="I152" t="s">
        <v>9213</v>
      </c>
      <c r="J152" t="s">
        <v>9214</v>
      </c>
      <c r="K152" t="s">
        <v>9215</v>
      </c>
      <c r="L152" t="s">
        <v>2769</v>
      </c>
      <c r="M152" t="s">
        <v>32</v>
      </c>
      <c r="N152" t="s">
        <v>62</v>
      </c>
      <c r="O152" t="s">
        <v>34</v>
      </c>
      <c r="P152" t="s">
        <v>20</v>
      </c>
      <c r="Q152" t="s">
        <v>20</v>
      </c>
      <c r="R152" t="s">
        <v>9216</v>
      </c>
      <c r="S152" t="s">
        <v>20</v>
      </c>
    </row>
    <row r="153" spans="1:19" x14ac:dyDescent="0.45">
      <c r="A153" t="s">
        <v>35</v>
      </c>
      <c r="B153" t="s">
        <v>20</v>
      </c>
      <c r="C153" t="s">
        <v>36</v>
      </c>
      <c r="D153" t="s">
        <v>37</v>
      </c>
      <c r="E153" t="s">
        <v>38</v>
      </c>
      <c r="F153" t="s">
        <v>20</v>
      </c>
      <c r="G153" t="s">
        <v>23</v>
      </c>
      <c r="H153" t="s">
        <v>12455</v>
      </c>
      <c r="I153" t="s">
        <v>12456</v>
      </c>
      <c r="J153" t="s">
        <v>12457</v>
      </c>
      <c r="K153" t="s">
        <v>12458</v>
      </c>
      <c r="L153" t="s">
        <v>8094</v>
      </c>
      <c r="M153" t="s">
        <v>112</v>
      </c>
      <c r="N153" t="s">
        <v>119</v>
      </c>
      <c r="O153" t="s">
        <v>34</v>
      </c>
      <c r="P153" t="s">
        <v>20</v>
      </c>
      <c r="Q153" t="s">
        <v>20</v>
      </c>
      <c r="R153" t="s">
        <v>12459</v>
      </c>
      <c r="S153" t="s">
        <v>20</v>
      </c>
    </row>
    <row r="154" spans="1:19" x14ac:dyDescent="0.45">
      <c r="A154" t="s">
        <v>1027</v>
      </c>
      <c r="B154" t="s">
        <v>20</v>
      </c>
      <c r="C154" t="s">
        <v>2373</v>
      </c>
      <c r="D154" t="s">
        <v>2374</v>
      </c>
      <c r="E154" t="s">
        <v>38</v>
      </c>
      <c r="F154" t="s">
        <v>20</v>
      </c>
      <c r="G154" t="s">
        <v>23</v>
      </c>
      <c r="H154" t="s">
        <v>2375</v>
      </c>
      <c r="I154" t="s">
        <v>2376</v>
      </c>
      <c r="J154" t="s">
        <v>2377</v>
      </c>
      <c r="K154" t="s">
        <v>1595</v>
      </c>
      <c r="L154" t="s">
        <v>209</v>
      </c>
      <c r="M154" t="s">
        <v>32</v>
      </c>
      <c r="N154" t="s">
        <v>33</v>
      </c>
      <c r="O154" t="s">
        <v>34</v>
      </c>
      <c r="P154" t="s">
        <v>20</v>
      </c>
      <c r="Q154" t="s">
        <v>20</v>
      </c>
      <c r="R154" t="s">
        <v>2378</v>
      </c>
      <c r="S154" t="s">
        <v>20</v>
      </c>
    </row>
    <row r="155" spans="1:19" x14ac:dyDescent="0.45">
      <c r="A155" t="s">
        <v>54</v>
      </c>
      <c r="B155" t="s">
        <v>20</v>
      </c>
      <c r="C155" t="s">
        <v>947</v>
      </c>
      <c r="D155" t="s">
        <v>948</v>
      </c>
      <c r="E155" t="s">
        <v>2487</v>
      </c>
      <c r="F155" t="s">
        <v>20</v>
      </c>
      <c r="G155" t="s">
        <v>23</v>
      </c>
      <c r="H155" t="s">
        <v>7372</v>
      </c>
      <c r="I155" t="s">
        <v>7373</v>
      </c>
      <c r="J155" t="s">
        <v>7374</v>
      </c>
      <c r="K155" t="s">
        <v>7375</v>
      </c>
      <c r="L155" t="s">
        <v>3418</v>
      </c>
      <c r="M155" t="s">
        <v>32</v>
      </c>
      <c r="N155" t="s">
        <v>62</v>
      </c>
      <c r="O155" t="s">
        <v>34</v>
      </c>
      <c r="P155" t="s">
        <v>20</v>
      </c>
      <c r="Q155" t="s">
        <v>20</v>
      </c>
      <c r="R155" t="s">
        <v>7376</v>
      </c>
      <c r="S155" t="s">
        <v>20</v>
      </c>
    </row>
    <row r="156" spans="1:19" x14ac:dyDescent="0.45">
      <c r="A156" t="s">
        <v>54</v>
      </c>
      <c r="B156" t="s">
        <v>20</v>
      </c>
      <c r="C156" t="s">
        <v>947</v>
      </c>
      <c r="D156" t="s">
        <v>948</v>
      </c>
      <c r="E156" t="s">
        <v>57</v>
      </c>
      <c r="F156" t="s">
        <v>20</v>
      </c>
      <c r="G156" t="s">
        <v>23</v>
      </c>
      <c r="H156" t="s">
        <v>949</v>
      </c>
      <c r="I156" t="s">
        <v>950</v>
      </c>
      <c r="J156" t="s">
        <v>951</v>
      </c>
      <c r="K156" t="s">
        <v>952</v>
      </c>
      <c r="L156" t="s">
        <v>43</v>
      </c>
      <c r="M156" t="s">
        <v>32</v>
      </c>
      <c r="N156" t="s">
        <v>62</v>
      </c>
      <c r="O156" t="s">
        <v>34</v>
      </c>
      <c r="P156" t="s">
        <v>20</v>
      </c>
      <c r="Q156" t="s">
        <v>20</v>
      </c>
      <c r="R156" t="s">
        <v>63</v>
      </c>
      <c r="S156" t="s">
        <v>20</v>
      </c>
    </row>
    <row r="157" spans="1:19" x14ac:dyDescent="0.45">
      <c r="A157" t="s">
        <v>379</v>
      </c>
      <c r="B157" t="s">
        <v>20</v>
      </c>
      <c r="C157" t="s">
        <v>1468</v>
      </c>
      <c r="D157" t="s">
        <v>1469</v>
      </c>
      <c r="E157" t="s">
        <v>38</v>
      </c>
      <c r="F157" t="s">
        <v>20</v>
      </c>
      <c r="G157" t="s">
        <v>23</v>
      </c>
      <c r="H157" t="s">
        <v>11722</v>
      </c>
      <c r="I157" t="s">
        <v>11723</v>
      </c>
      <c r="J157" t="s">
        <v>12383</v>
      </c>
      <c r="K157" t="s">
        <v>12384</v>
      </c>
      <c r="L157" t="s">
        <v>6525</v>
      </c>
      <c r="M157" t="s">
        <v>112</v>
      </c>
      <c r="N157" t="s">
        <v>146</v>
      </c>
      <c r="O157" t="s">
        <v>34</v>
      </c>
      <c r="P157" t="s">
        <v>20</v>
      </c>
      <c r="Q157" t="s">
        <v>20</v>
      </c>
      <c r="R157" t="s">
        <v>12385</v>
      </c>
      <c r="S157" t="s">
        <v>11724</v>
      </c>
    </row>
    <row r="158" spans="1:19" x14ac:dyDescent="0.45">
      <c r="A158" t="s">
        <v>379</v>
      </c>
      <c r="B158" t="s">
        <v>20</v>
      </c>
      <c r="C158" t="s">
        <v>1468</v>
      </c>
      <c r="D158" t="s">
        <v>1469</v>
      </c>
      <c r="E158" t="s">
        <v>38</v>
      </c>
      <c r="F158" t="s">
        <v>20</v>
      </c>
      <c r="G158" t="s">
        <v>23</v>
      </c>
      <c r="H158" t="s">
        <v>12150</v>
      </c>
      <c r="I158" t="s">
        <v>12151</v>
      </c>
      <c r="J158" t="s">
        <v>12460</v>
      </c>
      <c r="K158" t="s">
        <v>12461</v>
      </c>
      <c r="L158" t="s">
        <v>6533</v>
      </c>
      <c r="M158" t="s">
        <v>12431</v>
      </c>
      <c r="N158" t="s">
        <v>33</v>
      </c>
      <c r="O158" t="s">
        <v>34</v>
      </c>
      <c r="P158" t="s">
        <v>20</v>
      </c>
      <c r="Q158" t="s">
        <v>20</v>
      </c>
      <c r="R158" t="s">
        <v>12462</v>
      </c>
      <c r="S158" t="s">
        <v>12152</v>
      </c>
    </row>
    <row r="159" spans="1:19" x14ac:dyDescent="0.45">
      <c r="A159" t="s">
        <v>81</v>
      </c>
      <c r="B159" t="s">
        <v>20</v>
      </c>
      <c r="C159" t="s">
        <v>1499</v>
      </c>
      <c r="D159" t="s">
        <v>1500</v>
      </c>
      <c r="E159" t="s">
        <v>57</v>
      </c>
      <c r="F159" t="s">
        <v>20</v>
      </c>
      <c r="G159" t="s">
        <v>23</v>
      </c>
      <c r="H159" t="s">
        <v>1501</v>
      </c>
      <c r="I159" t="s">
        <v>1502</v>
      </c>
      <c r="J159" t="s">
        <v>1503</v>
      </c>
      <c r="K159" t="s">
        <v>1504</v>
      </c>
      <c r="L159" t="s">
        <v>43</v>
      </c>
      <c r="M159" t="s">
        <v>32</v>
      </c>
      <c r="N159" t="s">
        <v>62</v>
      </c>
      <c r="O159" t="s">
        <v>34</v>
      </c>
      <c r="P159" t="s">
        <v>20</v>
      </c>
      <c r="Q159" t="s">
        <v>20</v>
      </c>
      <c r="R159" t="s">
        <v>776</v>
      </c>
      <c r="S159" t="s">
        <v>20</v>
      </c>
    </row>
    <row r="160" spans="1:19" x14ac:dyDescent="0.45">
      <c r="A160" t="s">
        <v>211</v>
      </c>
      <c r="B160" t="s">
        <v>20</v>
      </c>
      <c r="C160" t="s">
        <v>636</v>
      </c>
      <c r="D160" t="s">
        <v>637</v>
      </c>
      <c r="E160" t="s">
        <v>38</v>
      </c>
      <c r="F160" t="s">
        <v>20</v>
      </c>
      <c r="G160" t="s">
        <v>23</v>
      </c>
      <c r="H160" t="s">
        <v>11747</v>
      </c>
      <c r="I160" t="s">
        <v>11748</v>
      </c>
      <c r="J160" t="s">
        <v>20</v>
      </c>
      <c r="K160" t="s">
        <v>12463</v>
      </c>
      <c r="L160" t="s">
        <v>3998</v>
      </c>
      <c r="M160" t="s">
        <v>12431</v>
      </c>
      <c r="N160" t="s">
        <v>33</v>
      </c>
      <c r="O160" t="s">
        <v>34</v>
      </c>
      <c r="P160" t="s">
        <v>20</v>
      </c>
      <c r="Q160" t="s">
        <v>20</v>
      </c>
      <c r="R160" t="s">
        <v>20</v>
      </c>
      <c r="S160" t="s">
        <v>20</v>
      </c>
    </row>
    <row r="161" spans="1:19" x14ac:dyDescent="0.45">
      <c r="A161" t="s">
        <v>211</v>
      </c>
      <c r="B161" t="s">
        <v>20</v>
      </c>
      <c r="C161" t="s">
        <v>636</v>
      </c>
      <c r="D161" t="s">
        <v>637</v>
      </c>
      <c r="E161" t="s">
        <v>38</v>
      </c>
      <c r="F161" t="s">
        <v>20</v>
      </c>
      <c r="G161" t="s">
        <v>23</v>
      </c>
      <c r="H161" t="s">
        <v>638</v>
      </c>
      <c r="I161" t="s">
        <v>639</v>
      </c>
      <c r="J161" t="s">
        <v>640</v>
      </c>
      <c r="K161" t="s">
        <v>641</v>
      </c>
      <c r="L161" t="s">
        <v>101</v>
      </c>
      <c r="M161" t="s">
        <v>102</v>
      </c>
      <c r="N161" t="s">
        <v>62</v>
      </c>
      <c r="O161" t="s">
        <v>34</v>
      </c>
      <c r="P161" t="s">
        <v>20</v>
      </c>
      <c r="Q161" t="s">
        <v>20</v>
      </c>
      <c r="R161" t="s">
        <v>556</v>
      </c>
      <c r="S161" t="s">
        <v>20</v>
      </c>
    </row>
    <row r="162" spans="1:19" x14ac:dyDescent="0.45">
      <c r="A162" t="s">
        <v>239</v>
      </c>
      <c r="B162" t="s">
        <v>20</v>
      </c>
      <c r="C162" t="s">
        <v>2866</v>
      </c>
      <c r="D162" t="s">
        <v>2867</v>
      </c>
      <c r="E162" t="s">
        <v>57</v>
      </c>
      <c r="F162" t="s">
        <v>20</v>
      </c>
      <c r="G162" t="s">
        <v>23</v>
      </c>
      <c r="H162" t="s">
        <v>9006</v>
      </c>
      <c r="I162" t="s">
        <v>9607</v>
      </c>
      <c r="J162" t="s">
        <v>9608</v>
      </c>
      <c r="K162" t="s">
        <v>9609</v>
      </c>
      <c r="L162" t="s">
        <v>3418</v>
      </c>
      <c r="M162" t="s">
        <v>32</v>
      </c>
      <c r="N162" t="s">
        <v>62</v>
      </c>
      <c r="O162" t="s">
        <v>34</v>
      </c>
      <c r="P162" t="s">
        <v>20</v>
      </c>
      <c r="Q162" t="s">
        <v>20</v>
      </c>
      <c r="R162" t="s">
        <v>9610</v>
      </c>
      <c r="S162" t="s">
        <v>20</v>
      </c>
    </row>
    <row r="163" spans="1:19" x14ac:dyDescent="0.45">
      <c r="A163" t="s">
        <v>64</v>
      </c>
      <c r="B163" t="s">
        <v>20</v>
      </c>
      <c r="C163" t="s">
        <v>148</v>
      </c>
      <c r="D163" t="s">
        <v>149</v>
      </c>
      <c r="E163" t="s">
        <v>38</v>
      </c>
      <c r="F163" t="s">
        <v>20</v>
      </c>
      <c r="G163" t="s">
        <v>23</v>
      </c>
      <c r="H163" t="s">
        <v>6818</v>
      </c>
      <c r="I163" t="s">
        <v>6819</v>
      </c>
      <c r="J163" t="s">
        <v>10845</v>
      </c>
      <c r="K163" t="s">
        <v>10846</v>
      </c>
      <c r="L163" t="s">
        <v>8094</v>
      </c>
      <c r="M163" t="s">
        <v>32</v>
      </c>
      <c r="N163" t="s">
        <v>33</v>
      </c>
      <c r="O163" t="s">
        <v>34</v>
      </c>
      <c r="P163" t="s">
        <v>20</v>
      </c>
      <c r="Q163" t="s">
        <v>20</v>
      </c>
      <c r="R163" t="s">
        <v>11230</v>
      </c>
      <c r="S163" t="s">
        <v>6820</v>
      </c>
    </row>
    <row r="164" spans="1:19" x14ac:dyDescent="0.45">
      <c r="A164" t="s">
        <v>64</v>
      </c>
      <c r="B164" t="s">
        <v>20</v>
      </c>
      <c r="C164" t="s">
        <v>148</v>
      </c>
      <c r="D164" t="s">
        <v>149</v>
      </c>
      <c r="E164" t="s">
        <v>57</v>
      </c>
      <c r="F164" t="s">
        <v>20</v>
      </c>
      <c r="G164" t="s">
        <v>23</v>
      </c>
      <c r="H164" t="s">
        <v>150</v>
      </c>
      <c r="I164" t="s">
        <v>151</v>
      </c>
      <c r="J164" t="s">
        <v>152</v>
      </c>
      <c r="K164" t="s">
        <v>153</v>
      </c>
      <c r="L164" t="s">
        <v>43</v>
      </c>
      <c r="M164" t="s">
        <v>32</v>
      </c>
      <c r="N164" t="s">
        <v>62</v>
      </c>
      <c r="O164" t="s">
        <v>34</v>
      </c>
      <c r="P164" t="s">
        <v>20</v>
      </c>
      <c r="Q164" t="s">
        <v>20</v>
      </c>
      <c r="R164" t="s">
        <v>154</v>
      </c>
      <c r="S164" t="s">
        <v>20</v>
      </c>
    </row>
    <row r="165" spans="1:19" x14ac:dyDescent="0.45">
      <c r="A165" t="s">
        <v>173</v>
      </c>
      <c r="B165" t="s">
        <v>20</v>
      </c>
      <c r="C165" t="s">
        <v>1103</v>
      </c>
      <c r="D165" t="s">
        <v>1104</v>
      </c>
      <c r="E165" t="s">
        <v>38</v>
      </c>
      <c r="F165" t="s">
        <v>20</v>
      </c>
      <c r="G165" t="s">
        <v>23</v>
      </c>
      <c r="H165" t="s">
        <v>7358</v>
      </c>
      <c r="I165" t="s">
        <v>7359</v>
      </c>
      <c r="J165" t="s">
        <v>7360</v>
      </c>
      <c r="K165" t="s">
        <v>7361</v>
      </c>
      <c r="L165" t="s">
        <v>6521</v>
      </c>
      <c r="M165" t="s">
        <v>112</v>
      </c>
      <c r="N165" t="s">
        <v>146</v>
      </c>
      <c r="O165" t="s">
        <v>34</v>
      </c>
      <c r="P165" t="s">
        <v>20</v>
      </c>
      <c r="Q165" t="s">
        <v>20</v>
      </c>
      <c r="R165" t="s">
        <v>7362</v>
      </c>
      <c r="S165" t="s">
        <v>20</v>
      </c>
    </row>
    <row r="166" spans="1:19" x14ac:dyDescent="0.45">
      <c r="A166" t="s">
        <v>1027</v>
      </c>
      <c r="B166" t="s">
        <v>20</v>
      </c>
      <c r="C166" t="s">
        <v>1028</v>
      </c>
      <c r="D166" t="s">
        <v>1029</v>
      </c>
      <c r="E166" t="s">
        <v>57</v>
      </c>
      <c r="F166" t="s">
        <v>20</v>
      </c>
      <c r="G166" t="s">
        <v>23</v>
      </c>
      <c r="H166" t="s">
        <v>6500</v>
      </c>
      <c r="I166" t="s">
        <v>6554</v>
      </c>
      <c r="J166" t="s">
        <v>6555</v>
      </c>
      <c r="K166" t="s">
        <v>6556</v>
      </c>
      <c r="L166" t="s">
        <v>722</v>
      </c>
      <c r="M166" t="s">
        <v>32</v>
      </c>
      <c r="N166" t="s">
        <v>62</v>
      </c>
      <c r="O166" t="s">
        <v>34</v>
      </c>
      <c r="P166" t="s">
        <v>20</v>
      </c>
      <c r="Q166" t="s">
        <v>20</v>
      </c>
      <c r="R166" t="s">
        <v>253</v>
      </c>
      <c r="S166" t="s">
        <v>20</v>
      </c>
    </row>
    <row r="167" spans="1:19" x14ac:dyDescent="0.45">
      <c r="A167" t="s">
        <v>802</v>
      </c>
      <c r="B167" t="s">
        <v>20</v>
      </c>
      <c r="C167" t="s">
        <v>803</v>
      </c>
      <c r="D167" t="s">
        <v>804</v>
      </c>
      <c r="E167" t="s">
        <v>57</v>
      </c>
      <c r="F167" t="s">
        <v>20</v>
      </c>
      <c r="G167" t="s">
        <v>23</v>
      </c>
      <c r="H167" t="s">
        <v>1724</v>
      </c>
      <c r="I167" t="s">
        <v>1725</v>
      </c>
      <c r="J167" t="s">
        <v>1726</v>
      </c>
      <c r="K167" t="s">
        <v>1727</v>
      </c>
      <c r="L167" t="s">
        <v>43</v>
      </c>
      <c r="M167" t="s">
        <v>32</v>
      </c>
      <c r="N167" t="s">
        <v>62</v>
      </c>
      <c r="O167" t="s">
        <v>34</v>
      </c>
      <c r="P167" t="s">
        <v>20</v>
      </c>
      <c r="Q167" t="s">
        <v>20</v>
      </c>
      <c r="R167" t="s">
        <v>1728</v>
      </c>
      <c r="S167" t="s">
        <v>20</v>
      </c>
    </row>
    <row r="168" spans="1:19" x14ac:dyDescent="0.45">
      <c r="A168" t="s">
        <v>173</v>
      </c>
      <c r="B168" t="s">
        <v>20</v>
      </c>
      <c r="C168" t="s">
        <v>885</v>
      </c>
      <c r="D168" t="s">
        <v>886</v>
      </c>
      <c r="E168" t="s">
        <v>38</v>
      </c>
      <c r="F168" t="s">
        <v>20</v>
      </c>
      <c r="G168" t="s">
        <v>23</v>
      </c>
      <c r="H168" t="s">
        <v>8923</v>
      </c>
      <c r="I168" t="s">
        <v>9098</v>
      </c>
      <c r="J168" t="s">
        <v>9099</v>
      </c>
      <c r="K168" t="s">
        <v>9100</v>
      </c>
      <c r="L168" t="s">
        <v>6533</v>
      </c>
      <c r="M168" t="s">
        <v>2953</v>
      </c>
      <c r="N168" t="s">
        <v>146</v>
      </c>
      <c r="O168" t="s">
        <v>34</v>
      </c>
      <c r="P168" t="s">
        <v>20</v>
      </c>
      <c r="Q168" t="s">
        <v>20</v>
      </c>
      <c r="R168" t="s">
        <v>9101</v>
      </c>
      <c r="S168" t="s">
        <v>20</v>
      </c>
    </row>
    <row r="169" spans="1:19" x14ac:dyDescent="0.45">
      <c r="A169" t="s">
        <v>358</v>
      </c>
      <c r="B169" t="s">
        <v>20</v>
      </c>
      <c r="C169" t="s">
        <v>6601</v>
      </c>
      <c r="D169" t="s">
        <v>5914</v>
      </c>
      <c r="E169" t="s">
        <v>38</v>
      </c>
      <c r="F169" t="s">
        <v>20</v>
      </c>
      <c r="G169" t="s">
        <v>23</v>
      </c>
      <c r="H169" t="s">
        <v>11563</v>
      </c>
      <c r="I169" t="s">
        <v>11564</v>
      </c>
      <c r="J169" t="s">
        <v>11565</v>
      </c>
      <c r="K169" t="s">
        <v>11566</v>
      </c>
      <c r="L169" t="s">
        <v>8094</v>
      </c>
      <c r="M169" t="s">
        <v>32</v>
      </c>
      <c r="N169" t="s">
        <v>33</v>
      </c>
      <c r="O169" t="s">
        <v>34</v>
      </c>
      <c r="P169" t="s">
        <v>20</v>
      </c>
      <c r="Q169" t="s">
        <v>20</v>
      </c>
      <c r="R169" t="s">
        <v>11567</v>
      </c>
      <c r="S169" t="s">
        <v>20</v>
      </c>
    </row>
    <row r="170" spans="1:19" x14ac:dyDescent="0.45">
      <c r="A170" t="s">
        <v>358</v>
      </c>
      <c r="B170" t="s">
        <v>20</v>
      </c>
      <c r="C170" t="s">
        <v>6601</v>
      </c>
      <c r="D170" t="s">
        <v>5914</v>
      </c>
      <c r="E170" t="s">
        <v>38</v>
      </c>
      <c r="F170" t="s">
        <v>20</v>
      </c>
      <c r="G170" t="s">
        <v>23</v>
      </c>
      <c r="H170" t="s">
        <v>11681</v>
      </c>
      <c r="I170" t="s">
        <v>11682</v>
      </c>
      <c r="J170" t="s">
        <v>20</v>
      </c>
      <c r="K170" t="s">
        <v>12467</v>
      </c>
      <c r="L170" t="s">
        <v>6524</v>
      </c>
      <c r="M170" t="s">
        <v>12431</v>
      </c>
      <c r="N170" t="s">
        <v>33</v>
      </c>
      <c r="O170" t="s">
        <v>34</v>
      </c>
      <c r="P170" t="s">
        <v>20</v>
      </c>
      <c r="Q170" t="s">
        <v>20</v>
      </c>
      <c r="R170" t="s">
        <v>20</v>
      </c>
      <c r="S170" t="s">
        <v>11683</v>
      </c>
    </row>
    <row r="171" spans="1:19" x14ac:dyDescent="0.45">
      <c r="A171" t="s">
        <v>85</v>
      </c>
      <c r="B171" t="s">
        <v>20</v>
      </c>
      <c r="C171" t="s">
        <v>2616</v>
      </c>
      <c r="D171" t="s">
        <v>2617</v>
      </c>
      <c r="E171" t="s">
        <v>38</v>
      </c>
      <c r="F171" t="s">
        <v>20</v>
      </c>
      <c r="G171" t="s">
        <v>23</v>
      </c>
      <c r="H171" t="s">
        <v>12697</v>
      </c>
      <c r="I171" t="s">
        <v>12698</v>
      </c>
      <c r="J171" t="s">
        <v>12699</v>
      </c>
      <c r="K171" t="s">
        <v>12700</v>
      </c>
      <c r="L171" t="s">
        <v>9155</v>
      </c>
      <c r="M171" t="s">
        <v>12431</v>
      </c>
      <c r="N171" t="s">
        <v>33</v>
      </c>
      <c r="O171" t="s">
        <v>34</v>
      </c>
      <c r="P171" t="s">
        <v>20</v>
      </c>
      <c r="Q171" t="s">
        <v>20</v>
      </c>
      <c r="R171" t="s">
        <v>12701</v>
      </c>
      <c r="S171" t="s">
        <v>20</v>
      </c>
    </row>
    <row r="172" spans="1:19" x14ac:dyDescent="0.45">
      <c r="A172" t="s">
        <v>1027</v>
      </c>
      <c r="B172" t="s">
        <v>20</v>
      </c>
      <c r="C172" t="s">
        <v>1590</v>
      </c>
      <c r="D172" t="s">
        <v>1591</v>
      </c>
      <c r="E172" t="s">
        <v>57</v>
      </c>
      <c r="F172" t="s">
        <v>20</v>
      </c>
      <c r="G172" t="s">
        <v>23</v>
      </c>
      <c r="H172" t="s">
        <v>6502</v>
      </c>
      <c r="I172" t="s">
        <v>6557</v>
      </c>
      <c r="J172" t="s">
        <v>6558</v>
      </c>
      <c r="K172" t="s">
        <v>6559</v>
      </c>
      <c r="L172" t="s">
        <v>722</v>
      </c>
      <c r="M172" t="s">
        <v>32</v>
      </c>
      <c r="N172" t="s">
        <v>62</v>
      </c>
      <c r="O172" t="s">
        <v>34</v>
      </c>
      <c r="P172" t="s">
        <v>20</v>
      </c>
      <c r="Q172" t="s">
        <v>20</v>
      </c>
      <c r="R172" t="s">
        <v>253</v>
      </c>
      <c r="S172" t="s">
        <v>20</v>
      </c>
    </row>
    <row r="173" spans="1:19" x14ac:dyDescent="0.45">
      <c r="A173" t="s">
        <v>231</v>
      </c>
      <c r="B173" t="s">
        <v>20</v>
      </c>
      <c r="C173" t="s">
        <v>432</v>
      </c>
      <c r="D173" t="s">
        <v>433</v>
      </c>
      <c r="E173" t="s">
        <v>38</v>
      </c>
      <c r="F173" t="s">
        <v>20</v>
      </c>
      <c r="G173" t="s">
        <v>23</v>
      </c>
      <c r="H173" t="s">
        <v>8937</v>
      </c>
      <c r="I173" t="s">
        <v>12386</v>
      </c>
      <c r="J173" t="s">
        <v>11093</v>
      </c>
      <c r="K173" t="s">
        <v>11082</v>
      </c>
      <c r="L173" t="s">
        <v>3418</v>
      </c>
      <c r="M173" t="s">
        <v>32</v>
      </c>
      <c r="N173" t="s">
        <v>33</v>
      </c>
      <c r="O173" t="s">
        <v>34</v>
      </c>
      <c r="P173" t="s">
        <v>6527</v>
      </c>
      <c r="Q173" t="s">
        <v>20</v>
      </c>
      <c r="R173" t="s">
        <v>11094</v>
      </c>
      <c r="S173" t="s">
        <v>9054</v>
      </c>
    </row>
    <row r="174" spans="1:19" x14ac:dyDescent="0.45">
      <c r="A174" t="s">
        <v>231</v>
      </c>
      <c r="B174" t="s">
        <v>20</v>
      </c>
      <c r="C174" t="s">
        <v>432</v>
      </c>
      <c r="D174" t="s">
        <v>433</v>
      </c>
      <c r="E174" t="s">
        <v>38</v>
      </c>
      <c r="F174" t="s">
        <v>20</v>
      </c>
      <c r="G174" t="s">
        <v>23</v>
      </c>
      <c r="H174" t="s">
        <v>434</v>
      </c>
      <c r="I174" t="s">
        <v>435</v>
      </c>
      <c r="J174" t="s">
        <v>436</v>
      </c>
      <c r="K174" t="s">
        <v>437</v>
      </c>
      <c r="L174" t="s">
        <v>6513</v>
      </c>
      <c r="M174" t="s">
        <v>438</v>
      </c>
      <c r="N174" t="s">
        <v>62</v>
      </c>
      <c r="O174" t="s">
        <v>34</v>
      </c>
      <c r="P174" t="s">
        <v>6527</v>
      </c>
      <c r="Q174" t="s">
        <v>20</v>
      </c>
      <c r="R174" t="s">
        <v>439</v>
      </c>
      <c r="S174" t="s">
        <v>20</v>
      </c>
    </row>
    <row r="175" spans="1:19" x14ac:dyDescent="0.45">
      <c r="A175" t="s">
        <v>869</v>
      </c>
      <c r="B175" t="s">
        <v>20</v>
      </c>
      <c r="C175" t="s">
        <v>1073</v>
      </c>
      <c r="D175" t="s">
        <v>1074</v>
      </c>
      <c r="E175" t="s">
        <v>57</v>
      </c>
      <c r="F175" t="s">
        <v>20</v>
      </c>
      <c r="G175" t="s">
        <v>23</v>
      </c>
      <c r="H175" t="s">
        <v>1075</v>
      </c>
      <c r="I175" t="s">
        <v>1076</v>
      </c>
      <c r="J175" t="s">
        <v>1077</v>
      </c>
      <c r="K175" t="s">
        <v>1078</v>
      </c>
      <c r="L175" t="s">
        <v>43</v>
      </c>
      <c r="M175" t="s">
        <v>32</v>
      </c>
      <c r="N175" t="s">
        <v>62</v>
      </c>
      <c r="O175" t="s">
        <v>34</v>
      </c>
      <c r="P175" t="s">
        <v>20</v>
      </c>
      <c r="Q175" t="s">
        <v>20</v>
      </c>
      <c r="R175" t="s">
        <v>876</v>
      </c>
      <c r="S175" t="s">
        <v>20</v>
      </c>
    </row>
    <row r="176" spans="1:19" x14ac:dyDescent="0.45">
      <c r="A176" t="s">
        <v>572</v>
      </c>
      <c r="B176" t="s">
        <v>20</v>
      </c>
      <c r="C176" t="s">
        <v>806</v>
      </c>
      <c r="D176" t="s">
        <v>807</v>
      </c>
      <c r="E176" t="s">
        <v>2487</v>
      </c>
      <c r="F176" t="s">
        <v>20</v>
      </c>
      <c r="G176" t="s">
        <v>23</v>
      </c>
      <c r="H176" t="s">
        <v>7580</v>
      </c>
      <c r="I176" t="s">
        <v>7581</v>
      </c>
      <c r="J176" t="s">
        <v>7582</v>
      </c>
      <c r="K176" t="s">
        <v>7583</v>
      </c>
      <c r="L176" t="s">
        <v>3418</v>
      </c>
      <c r="M176" t="s">
        <v>102</v>
      </c>
      <c r="N176" t="s">
        <v>62</v>
      </c>
      <c r="O176" t="s">
        <v>34</v>
      </c>
      <c r="P176" t="s">
        <v>20</v>
      </c>
      <c r="Q176" t="s">
        <v>20</v>
      </c>
      <c r="R176" t="s">
        <v>7584</v>
      </c>
      <c r="S176" t="s">
        <v>20</v>
      </c>
    </row>
    <row r="177" spans="1:19" x14ac:dyDescent="0.45">
      <c r="A177" t="s">
        <v>729</v>
      </c>
      <c r="B177" t="s">
        <v>20</v>
      </c>
      <c r="C177" t="s">
        <v>2522</v>
      </c>
      <c r="D177" t="s">
        <v>2523</v>
      </c>
      <c r="E177" t="s">
        <v>57</v>
      </c>
      <c r="F177" t="s">
        <v>20</v>
      </c>
      <c r="G177" t="s">
        <v>23</v>
      </c>
      <c r="H177" t="s">
        <v>12468</v>
      </c>
      <c r="I177" t="s">
        <v>12469</v>
      </c>
      <c r="J177" t="s">
        <v>12470</v>
      </c>
      <c r="K177" t="s">
        <v>12471</v>
      </c>
      <c r="L177" t="s">
        <v>3418</v>
      </c>
      <c r="M177" t="s">
        <v>102</v>
      </c>
      <c r="N177" t="s">
        <v>62</v>
      </c>
      <c r="O177" t="s">
        <v>34</v>
      </c>
      <c r="P177" t="s">
        <v>20</v>
      </c>
      <c r="Q177" t="s">
        <v>20</v>
      </c>
      <c r="R177" t="s">
        <v>12472</v>
      </c>
      <c r="S177" t="s">
        <v>20</v>
      </c>
    </row>
    <row r="178" spans="1:19" x14ac:dyDescent="0.45">
      <c r="A178" t="s">
        <v>729</v>
      </c>
      <c r="B178" t="s">
        <v>20</v>
      </c>
      <c r="C178" t="s">
        <v>2522</v>
      </c>
      <c r="D178" t="s">
        <v>2523</v>
      </c>
      <c r="E178" t="s">
        <v>2487</v>
      </c>
      <c r="F178" t="s">
        <v>20</v>
      </c>
      <c r="G178" t="s">
        <v>23</v>
      </c>
      <c r="H178" t="s">
        <v>7285</v>
      </c>
      <c r="I178" t="s">
        <v>7286</v>
      </c>
      <c r="J178" t="s">
        <v>7287</v>
      </c>
      <c r="K178" t="s">
        <v>7288</v>
      </c>
      <c r="L178" t="s">
        <v>3418</v>
      </c>
      <c r="M178" t="s">
        <v>102</v>
      </c>
      <c r="N178" t="s">
        <v>62</v>
      </c>
      <c r="O178" t="s">
        <v>34</v>
      </c>
      <c r="P178" t="s">
        <v>20</v>
      </c>
      <c r="Q178" t="s">
        <v>20</v>
      </c>
      <c r="R178" t="s">
        <v>7289</v>
      </c>
      <c r="S178" t="s">
        <v>20</v>
      </c>
    </row>
    <row r="179" spans="1:19" x14ac:dyDescent="0.45">
      <c r="A179" t="s">
        <v>310</v>
      </c>
      <c r="B179" t="s">
        <v>20</v>
      </c>
      <c r="C179" t="s">
        <v>1225</v>
      </c>
      <c r="D179" t="s">
        <v>1226</v>
      </c>
      <c r="E179" t="s">
        <v>38</v>
      </c>
      <c r="F179" t="s">
        <v>20</v>
      </c>
      <c r="G179" t="s">
        <v>23</v>
      </c>
      <c r="H179" t="s">
        <v>1227</v>
      </c>
      <c r="I179" t="s">
        <v>1228</v>
      </c>
      <c r="J179" t="s">
        <v>1229</v>
      </c>
      <c r="K179" t="s">
        <v>909</v>
      </c>
      <c r="L179" t="s">
        <v>31</v>
      </c>
      <c r="M179" t="s">
        <v>32</v>
      </c>
      <c r="N179" t="s">
        <v>33</v>
      </c>
      <c r="O179" t="s">
        <v>34</v>
      </c>
      <c r="P179" t="s">
        <v>20</v>
      </c>
      <c r="Q179" t="s">
        <v>20</v>
      </c>
      <c r="R179" t="s">
        <v>1230</v>
      </c>
      <c r="S179" t="s">
        <v>1231</v>
      </c>
    </row>
    <row r="180" spans="1:19" x14ac:dyDescent="0.45">
      <c r="A180" t="s">
        <v>104</v>
      </c>
      <c r="B180" t="s">
        <v>20</v>
      </c>
      <c r="C180" t="s">
        <v>7178</v>
      </c>
      <c r="D180" t="s">
        <v>5695</v>
      </c>
      <c r="E180" t="s">
        <v>38</v>
      </c>
      <c r="F180" t="s">
        <v>20</v>
      </c>
      <c r="G180" t="s">
        <v>23</v>
      </c>
      <c r="H180" t="s">
        <v>13184</v>
      </c>
      <c r="I180" t="s">
        <v>13185</v>
      </c>
      <c r="J180" t="s">
        <v>13186</v>
      </c>
      <c r="K180" t="s">
        <v>13187</v>
      </c>
      <c r="L180" t="s">
        <v>3418</v>
      </c>
      <c r="M180" t="s">
        <v>132</v>
      </c>
      <c r="N180" t="s">
        <v>45</v>
      </c>
      <c r="O180" t="s">
        <v>34</v>
      </c>
      <c r="P180" t="s">
        <v>20</v>
      </c>
      <c r="Q180" t="s">
        <v>20</v>
      </c>
      <c r="R180" t="s">
        <v>13188</v>
      </c>
      <c r="S180" t="s">
        <v>20</v>
      </c>
    </row>
    <row r="181" spans="1:19" x14ac:dyDescent="0.45">
      <c r="A181" t="s">
        <v>104</v>
      </c>
      <c r="B181" t="s">
        <v>20</v>
      </c>
      <c r="C181" t="s">
        <v>7178</v>
      </c>
      <c r="D181" t="s">
        <v>5695</v>
      </c>
      <c r="E181" t="s">
        <v>38</v>
      </c>
      <c r="F181" t="s">
        <v>20</v>
      </c>
      <c r="G181" t="s">
        <v>23</v>
      </c>
      <c r="H181" t="s">
        <v>12702</v>
      </c>
      <c r="I181" t="s">
        <v>12703</v>
      </c>
      <c r="J181" t="s">
        <v>12704</v>
      </c>
      <c r="K181" t="s">
        <v>12705</v>
      </c>
      <c r="L181" t="s">
        <v>3418</v>
      </c>
      <c r="M181" t="s">
        <v>2953</v>
      </c>
      <c r="N181" t="s">
        <v>33</v>
      </c>
      <c r="O181" t="s">
        <v>34</v>
      </c>
      <c r="P181" t="s">
        <v>20</v>
      </c>
      <c r="Q181" t="s">
        <v>20</v>
      </c>
      <c r="R181" t="s">
        <v>12706</v>
      </c>
      <c r="S181" t="s">
        <v>12707</v>
      </c>
    </row>
    <row r="182" spans="1:19" x14ac:dyDescent="0.45">
      <c r="A182" t="s">
        <v>1598</v>
      </c>
      <c r="B182" t="s">
        <v>20</v>
      </c>
      <c r="C182" t="s">
        <v>2145</v>
      </c>
      <c r="D182" t="s">
        <v>2146</v>
      </c>
      <c r="E182" t="s">
        <v>57</v>
      </c>
      <c r="F182" t="s">
        <v>20</v>
      </c>
      <c r="G182" t="s">
        <v>23</v>
      </c>
      <c r="H182" t="s">
        <v>7409</v>
      </c>
      <c r="I182" t="s">
        <v>7410</v>
      </c>
      <c r="J182" t="s">
        <v>7411</v>
      </c>
      <c r="K182" t="s">
        <v>7412</v>
      </c>
      <c r="L182" t="s">
        <v>2769</v>
      </c>
      <c r="M182" t="s">
        <v>32</v>
      </c>
      <c r="N182" t="s">
        <v>62</v>
      </c>
      <c r="O182" t="s">
        <v>34</v>
      </c>
      <c r="P182" t="s">
        <v>20</v>
      </c>
      <c r="Q182" t="s">
        <v>20</v>
      </c>
      <c r="R182" t="s">
        <v>7070</v>
      </c>
      <c r="S182" t="s">
        <v>20</v>
      </c>
    </row>
    <row r="183" spans="1:19" x14ac:dyDescent="0.45">
      <c r="A183" t="s">
        <v>19</v>
      </c>
      <c r="B183" t="s">
        <v>20</v>
      </c>
      <c r="C183" t="s">
        <v>1889</v>
      </c>
      <c r="D183" t="s">
        <v>1890</v>
      </c>
      <c r="E183" t="s">
        <v>38</v>
      </c>
      <c r="F183" t="s">
        <v>20</v>
      </c>
      <c r="G183" t="s">
        <v>23</v>
      </c>
      <c r="H183" t="s">
        <v>1891</v>
      </c>
      <c r="I183" t="s">
        <v>1892</v>
      </c>
      <c r="J183" t="s">
        <v>1893</v>
      </c>
      <c r="K183" t="s">
        <v>1894</v>
      </c>
      <c r="L183" t="s">
        <v>43</v>
      </c>
      <c r="M183" t="s">
        <v>32</v>
      </c>
      <c r="N183" t="s">
        <v>33</v>
      </c>
      <c r="O183" t="s">
        <v>34</v>
      </c>
      <c r="P183" t="s">
        <v>20</v>
      </c>
      <c r="Q183" t="s">
        <v>20</v>
      </c>
      <c r="R183" t="s">
        <v>1895</v>
      </c>
      <c r="S183" t="s">
        <v>1896</v>
      </c>
    </row>
    <row r="184" spans="1:19" x14ac:dyDescent="0.45">
      <c r="A184" t="s">
        <v>94</v>
      </c>
      <c r="B184" t="s">
        <v>20</v>
      </c>
      <c r="C184" t="s">
        <v>1948</v>
      </c>
      <c r="D184" t="s">
        <v>1949</v>
      </c>
      <c r="E184" t="s">
        <v>38</v>
      </c>
      <c r="F184" t="s">
        <v>20</v>
      </c>
      <c r="G184" t="s">
        <v>23</v>
      </c>
      <c r="H184" t="s">
        <v>1950</v>
      </c>
      <c r="I184" t="s">
        <v>1951</v>
      </c>
      <c r="J184" t="s">
        <v>1952</v>
      </c>
      <c r="K184" t="s">
        <v>1953</v>
      </c>
      <c r="L184" t="s">
        <v>6513</v>
      </c>
      <c r="M184" t="s">
        <v>102</v>
      </c>
      <c r="N184" t="s">
        <v>62</v>
      </c>
      <c r="O184" t="s">
        <v>34</v>
      </c>
      <c r="P184" t="s">
        <v>20</v>
      </c>
      <c r="Q184" t="s">
        <v>20</v>
      </c>
      <c r="R184" t="s">
        <v>103</v>
      </c>
      <c r="S184" t="s">
        <v>20</v>
      </c>
    </row>
    <row r="185" spans="1:19" x14ac:dyDescent="0.45">
      <c r="A185" t="s">
        <v>94</v>
      </c>
      <c r="B185" t="s">
        <v>20</v>
      </c>
      <c r="C185" t="s">
        <v>95</v>
      </c>
      <c r="D185" t="s">
        <v>96</v>
      </c>
      <c r="E185" t="s">
        <v>38</v>
      </c>
      <c r="F185" t="s">
        <v>20</v>
      </c>
      <c r="G185" t="s">
        <v>23</v>
      </c>
      <c r="H185" t="s">
        <v>97</v>
      </c>
      <c r="I185" t="s">
        <v>98</v>
      </c>
      <c r="J185" t="s">
        <v>99</v>
      </c>
      <c r="K185" t="s">
        <v>100</v>
      </c>
      <c r="L185" t="s">
        <v>6513</v>
      </c>
      <c r="M185" t="s">
        <v>102</v>
      </c>
      <c r="N185" t="s">
        <v>62</v>
      </c>
      <c r="O185" t="s">
        <v>34</v>
      </c>
      <c r="P185" t="s">
        <v>20</v>
      </c>
      <c r="Q185" t="s">
        <v>20</v>
      </c>
      <c r="R185" t="s">
        <v>103</v>
      </c>
      <c r="S185" t="s">
        <v>20</v>
      </c>
    </row>
    <row r="186" spans="1:19" x14ac:dyDescent="0.45">
      <c r="A186" t="s">
        <v>508</v>
      </c>
      <c r="B186" t="s">
        <v>20</v>
      </c>
      <c r="C186" t="s">
        <v>586</v>
      </c>
      <c r="D186" t="s">
        <v>587</v>
      </c>
      <c r="E186" t="s">
        <v>2487</v>
      </c>
      <c r="F186" t="s">
        <v>20</v>
      </c>
      <c r="G186" t="s">
        <v>23</v>
      </c>
      <c r="H186" t="s">
        <v>7655</v>
      </c>
      <c r="I186" t="s">
        <v>7656</v>
      </c>
      <c r="J186" t="s">
        <v>7657</v>
      </c>
      <c r="K186" t="s">
        <v>7658</v>
      </c>
      <c r="L186" t="s">
        <v>3418</v>
      </c>
      <c r="M186" t="s">
        <v>6932</v>
      </c>
      <c r="N186" t="s">
        <v>62</v>
      </c>
      <c r="O186" t="s">
        <v>34</v>
      </c>
      <c r="P186" t="s">
        <v>20</v>
      </c>
      <c r="Q186" t="s">
        <v>20</v>
      </c>
      <c r="R186" t="s">
        <v>7659</v>
      </c>
      <c r="S186" t="s">
        <v>20</v>
      </c>
    </row>
    <row r="187" spans="1:19" x14ac:dyDescent="0.45">
      <c r="A187" t="s">
        <v>729</v>
      </c>
      <c r="B187" t="s">
        <v>20</v>
      </c>
      <c r="C187" t="s">
        <v>6540</v>
      </c>
      <c r="D187" t="s">
        <v>5768</v>
      </c>
      <c r="E187" t="s">
        <v>57</v>
      </c>
      <c r="F187" t="s">
        <v>20</v>
      </c>
      <c r="G187" t="s">
        <v>23</v>
      </c>
      <c r="H187" t="s">
        <v>12708</v>
      </c>
      <c r="I187" t="s">
        <v>12709</v>
      </c>
      <c r="J187" t="s">
        <v>12710</v>
      </c>
      <c r="K187" t="s">
        <v>12711</v>
      </c>
      <c r="L187" t="s">
        <v>3418</v>
      </c>
      <c r="M187" t="s">
        <v>102</v>
      </c>
      <c r="N187" t="s">
        <v>62</v>
      </c>
      <c r="O187" t="s">
        <v>34</v>
      </c>
      <c r="P187" t="s">
        <v>20</v>
      </c>
      <c r="Q187" t="s">
        <v>20</v>
      </c>
      <c r="R187" t="s">
        <v>12712</v>
      </c>
      <c r="S187" t="s">
        <v>20</v>
      </c>
    </row>
    <row r="188" spans="1:19" x14ac:dyDescent="0.45">
      <c r="A188" t="s">
        <v>729</v>
      </c>
      <c r="B188" t="s">
        <v>20</v>
      </c>
      <c r="C188" t="s">
        <v>6540</v>
      </c>
      <c r="D188" t="s">
        <v>5768</v>
      </c>
      <c r="E188" t="s">
        <v>38</v>
      </c>
      <c r="F188" t="s">
        <v>20</v>
      </c>
      <c r="G188" t="s">
        <v>23</v>
      </c>
      <c r="H188" t="s">
        <v>6484</v>
      </c>
      <c r="I188" t="s">
        <v>6541</v>
      </c>
      <c r="J188" t="s">
        <v>10931</v>
      </c>
      <c r="K188" t="s">
        <v>10932</v>
      </c>
      <c r="L188" t="s">
        <v>3998</v>
      </c>
      <c r="M188" t="s">
        <v>32</v>
      </c>
      <c r="N188" t="s">
        <v>33</v>
      </c>
      <c r="O188" t="s">
        <v>34</v>
      </c>
      <c r="P188" t="s">
        <v>20</v>
      </c>
      <c r="Q188" t="s">
        <v>20</v>
      </c>
      <c r="R188" t="s">
        <v>10933</v>
      </c>
      <c r="S188" t="s">
        <v>20</v>
      </c>
    </row>
    <row r="189" spans="1:19" x14ac:dyDescent="0.45">
      <c r="A189" t="s">
        <v>777</v>
      </c>
      <c r="B189" t="s">
        <v>20</v>
      </c>
      <c r="C189" t="s">
        <v>6934</v>
      </c>
      <c r="D189" t="s">
        <v>6007</v>
      </c>
      <c r="E189" t="s">
        <v>57</v>
      </c>
      <c r="F189" t="s">
        <v>20</v>
      </c>
      <c r="G189" t="s">
        <v>23</v>
      </c>
      <c r="H189" t="s">
        <v>11425</v>
      </c>
      <c r="I189" t="s">
        <v>11426</v>
      </c>
      <c r="J189" t="s">
        <v>11427</v>
      </c>
      <c r="K189" t="s">
        <v>11428</v>
      </c>
      <c r="L189" t="s">
        <v>3418</v>
      </c>
      <c r="M189" t="s">
        <v>32</v>
      </c>
      <c r="N189" t="s">
        <v>62</v>
      </c>
      <c r="O189" t="s">
        <v>34</v>
      </c>
      <c r="P189" t="s">
        <v>20</v>
      </c>
      <c r="Q189" t="s">
        <v>20</v>
      </c>
      <c r="R189" t="s">
        <v>11429</v>
      </c>
      <c r="S189" t="s">
        <v>20</v>
      </c>
    </row>
    <row r="190" spans="1:19" x14ac:dyDescent="0.45">
      <c r="A190" t="s">
        <v>246</v>
      </c>
      <c r="B190" t="s">
        <v>20</v>
      </c>
      <c r="C190" t="s">
        <v>1312</v>
      </c>
      <c r="D190" t="s">
        <v>1313</v>
      </c>
      <c r="E190" t="s">
        <v>38</v>
      </c>
      <c r="F190" t="s">
        <v>20</v>
      </c>
      <c r="G190" t="s">
        <v>23</v>
      </c>
      <c r="H190" t="s">
        <v>6833</v>
      </c>
      <c r="I190" t="s">
        <v>6834</v>
      </c>
      <c r="J190" t="s">
        <v>10901</v>
      </c>
      <c r="K190" t="s">
        <v>10902</v>
      </c>
      <c r="L190" t="s">
        <v>8109</v>
      </c>
      <c r="M190" t="s">
        <v>32</v>
      </c>
      <c r="N190" t="s">
        <v>33</v>
      </c>
      <c r="O190" t="s">
        <v>34</v>
      </c>
      <c r="P190" t="s">
        <v>20</v>
      </c>
      <c r="Q190" t="s">
        <v>20</v>
      </c>
      <c r="R190" t="s">
        <v>10903</v>
      </c>
      <c r="S190" t="s">
        <v>6835</v>
      </c>
    </row>
    <row r="191" spans="1:19" x14ac:dyDescent="0.45">
      <c r="A191" t="s">
        <v>54</v>
      </c>
      <c r="B191" t="s">
        <v>20</v>
      </c>
      <c r="C191" t="s">
        <v>55</v>
      </c>
      <c r="D191" t="s">
        <v>56</v>
      </c>
      <c r="E191" t="s">
        <v>38</v>
      </c>
      <c r="F191" t="s">
        <v>20</v>
      </c>
      <c r="G191" t="s">
        <v>23</v>
      </c>
      <c r="H191" t="s">
        <v>12713</v>
      </c>
      <c r="I191" t="s">
        <v>12714</v>
      </c>
      <c r="J191" t="s">
        <v>12715</v>
      </c>
      <c r="K191" t="s">
        <v>12716</v>
      </c>
      <c r="L191" t="s">
        <v>9126</v>
      </c>
      <c r="M191" t="s">
        <v>12431</v>
      </c>
      <c r="N191" t="s">
        <v>33</v>
      </c>
      <c r="O191" t="s">
        <v>34</v>
      </c>
      <c r="P191" t="s">
        <v>20</v>
      </c>
      <c r="Q191" t="s">
        <v>20</v>
      </c>
      <c r="R191" t="s">
        <v>12717</v>
      </c>
      <c r="S191" t="s">
        <v>20</v>
      </c>
    </row>
    <row r="192" spans="1:19" x14ac:dyDescent="0.45">
      <c r="A192" t="s">
        <v>173</v>
      </c>
      <c r="B192" t="s">
        <v>20</v>
      </c>
      <c r="C192" t="s">
        <v>4429</v>
      </c>
      <c r="D192" t="s">
        <v>4430</v>
      </c>
      <c r="E192" t="s">
        <v>38</v>
      </c>
      <c r="F192" t="s">
        <v>20</v>
      </c>
      <c r="G192" t="s">
        <v>23</v>
      </c>
      <c r="H192" t="s">
        <v>6916</v>
      </c>
      <c r="I192" t="s">
        <v>6917</v>
      </c>
      <c r="J192" t="s">
        <v>11173</v>
      </c>
      <c r="K192" t="s">
        <v>11174</v>
      </c>
      <c r="L192" t="s">
        <v>6523</v>
      </c>
      <c r="M192" t="s">
        <v>32</v>
      </c>
      <c r="N192" t="s">
        <v>33</v>
      </c>
      <c r="O192" t="s">
        <v>34</v>
      </c>
      <c r="P192" t="s">
        <v>20</v>
      </c>
      <c r="Q192" t="s">
        <v>20</v>
      </c>
      <c r="R192" t="s">
        <v>11175</v>
      </c>
      <c r="S192" t="s">
        <v>20</v>
      </c>
    </row>
    <row r="193" spans="1:19" x14ac:dyDescent="0.45">
      <c r="A193" t="s">
        <v>173</v>
      </c>
      <c r="B193" t="s">
        <v>20</v>
      </c>
      <c r="C193" t="s">
        <v>4429</v>
      </c>
      <c r="D193" t="s">
        <v>4430</v>
      </c>
      <c r="E193" t="s">
        <v>57</v>
      </c>
      <c r="F193" t="s">
        <v>20</v>
      </c>
      <c r="G193" t="s">
        <v>23</v>
      </c>
      <c r="H193" t="s">
        <v>7031</v>
      </c>
      <c r="I193" t="s">
        <v>7032</v>
      </c>
      <c r="J193" t="s">
        <v>7033</v>
      </c>
      <c r="K193" t="s">
        <v>7034</v>
      </c>
      <c r="L193" t="s">
        <v>2769</v>
      </c>
      <c r="M193" t="s">
        <v>102</v>
      </c>
      <c r="N193" t="s">
        <v>62</v>
      </c>
      <c r="O193" t="s">
        <v>34</v>
      </c>
      <c r="P193" t="s">
        <v>20</v>
      </c>
      <c r="Q193" t="s">
        <v>20</v>
      </c>
      <c r="R193" t="s">
        <v>7035</v>
      </c>
      <c r="S193" t="s">
        <v>20</v>
      </c>
    </row>
    <row r="194" spans="1:19" x14ac:dyDescent="0.45">
      <c r="A194" t="s">
        <v>511</v>
      </c>
      <c r="B194" t="s">
        <v>20</v>
      </c>
      <c r="C194" t="s">
        <v>512</v>
      </c>
      <c r="D194" t="s">
        <v>513</v>
      </c>
      <c r="E194" t="s">
        <v>57</v>
      </c>
      <c r="F194" t="s">
        <v>20</v>
      </c>
      <c r="G194" t="s">
        <v>23</v>
      </c>
      <c r="H194" t="s">
        <v>8930</v>
      </c>
      <c r="I194" t="s">
        <v>9102</v>
      </c>
      <c r="J194" t="s">
        <v>9103</v>
      </c>
      <c r="K194" t="s">
        <v>9104</v>
      </c>
      <c r="L194" t="s">
        <v>7506</v>
      </c>
      <c r="M194" t="s">
        <v>3105</v>
      </c>
      <c r="N194" t="s">
        <v>62</v>
      </c>
      <c r="O194" t="s">
        <v>34</v>
      </c>
      <c r="P194" t="s">
        <v>20</v>
      </c>
      <c r="Q194" t="s">
        <v>20</v>
      </c>
      <c r="R194" t="s">
        <v>9105</v>
      </c>
      <c r="S194" t="s">
        <v>20</v>
      </c>
    </row>
    <row r="195" spans="1:19" x14ac:dyDescent="0.45">
      <c r="A195" t="s">
        <v>211</v>
      </c>
      <c r="B195" t="s">
        <v>20</v>
      </c>
      <c r="C195" t="s">
        <v>723</v>
      </c>
      <c r="D195" t="s">
        <v>724</v>
      </c>
      <c r="E195" t="s">
        <v>38</v>
      </c>
      <c r="F195" t="s">
        <v>20</v>
      </c>
      <c r="G195" t="s">
        <v>23</v>
      </c>
      <c r="H195" t="s">
        <v>12476</v>
      </c>
      <c r="I195" t="s">
        <v>12477</v>
      </c>
      <c r="J195" t="s">
        <v>12478</v>
      </c>
      <c r="K195" t="s">
        <v>12479</v>
      </c>
      <c r="L195" t="s">
        <v>3418</v>
      </c>
      <c r="M195" t="s">
        <v>102</v>
      </c>
      <c r="N195" t="s">
        <v>146</v>
      </c>
      <c r="O195" t="s">
        <v>34</v>
      </c>
      <c r="P195" t="s">
        <v>20</v>
      </c>
      <c r="Q195" t="s">
        <v>20</v>
      </c>
      <c r="R195" t="s">
        <v>12480</v>
      </c>
      <c r="S195" t="s">
        <v>20</v>
      </c>
    </row>
    <row r="196" spans="1:19" x14ac:dyDescent="0.45">
      <c r="A196" t="s">
        <v>211</v>
      </c>
      <c r="B196" t="s">
        <v>20</v>
      </c>
      <c r="C196" t="s">
        <v>723</v>
      </c>
      <c r="D196" t="s">
        <v>724</v>
      </c>
      <c r="E196" t="s">
        <v>38</v>
      </c>
      <c r="F196" t="s">
        <v>20</v>
      </c>
      <c r="G196" t="s">
        <v>23</v>
      </c>
      <c r="H196" t="s">
        <v>11711</v>
      </c>
      <c r="I196" t="s">
        <v>11712</v>
      </c>
      <c r="J196" t="s">
        <v>12473</v>
      </c>
      <c r="K196" t="s">
        <v>12474</v>
      </c>
      <c r="L196" t="s">
        <v>6524</v>
      </c>
      <c r="M196" t="s">
        <v>12431</v>
      </c>
      <c r="N196" t="s">
        <v>33</v>
      </c>
      <c r="O196" t="s">
        <v>34</v>
      </c>
      <c r="P196" t="s">
        <v>20</v>
      </c>
      <c r="Q196" t="s">
        <v>20</v>
      </c>
      <c r="R196" t="s">
        <v>12475</v>
      </c>
      <c r="S196" t="s">
        <v>11713</v>
      </c>
    </row>
    <row r="197" spans="1:19" x14ac:dyDescent="0.45">
      <c r="A197" t="s">
        <v>64</v>
      </c>
      <c r="B197" t="s">
        <v>20</v>
      </c>
      <c r="C197" t="s">
        <v>1767</v>
      </c>
      <c r="D197" t="s">
        <v>1768</v>
      </c>
      <c r="E197" t="s">
        <v>38</v>
      </c>
      <c r="F197" t="s">
        <v>20</v>
      </c>
      <c r="G197" t="s">
        <v>23</v>
      </c>
      <c r="H197" t="s">
        <v>6506</v>
      </c>
      <c r="I197" t="s">
        <v>6535</v>
      </c>
      <c r="J197" t="s">
        <v>10953</v>
      </c>
      <c r="K197" t="s">
        <v>10954</v>
      </c>
      <c r="L197" t="s">
        <v>3998</v>
      </c>
      <c r="M197" t="s">
        <v>32</v>
      </c>
      <c r="N197" t="s">
        <v>33</v>
      </c>
      <c r="O197" t="s">
        <v>34</v>
      </c>
      <c r="P197" t="s">
        <v>20</v>
      </c>
      <c r="Q197" t="s">
        <v>20</v>
      </c>
      <c r="R197" t="s">
        <v>10955</v>
      </c>
      <c r="S197" t="s">
        <v>6536</v>
      </c>
    </row>
    <row r="198" spans="1:19" x14ac:dyDescent="0.45">
      <c r="A198" t="s">
        <v>525</v>
      </c>
      <c r="B198" t="s">
        <v>20</v>
      </c>
      <c r="C198" t="s">
        <v>1055</v>
      </c>
      <c r="D198" t="s">
        <v>1056</v>
      </c>
      <c r="E198" t="s">
        <v>57</v>
      </c>
      <c r="F198" t="s">
        <v>20</v>
      </c>
      <c r="G198" t="s">
        <v>23</v>
      </c>
      <c r="H198" t="s">
        <v>1057</v>
      </c>
      <c r="I198" t="s">
        <v>1058</v>
      </c>
      <c r="J198" t="s">
        <v>1059</v>
      </c>
      <c r="K198" t="s">
        <v>1060</v>
      </c>
      <c r="L198" t="s">
        <v>43</v>
      </c>
      <c r="M198" t="s">
        <v>32</v>
      </c>
      <c r="N198" t="s">
        <v>62</v>
      </c>
      <c r="O198" t="s">
        <v>34</v>
      </c>
      <c r="P198" t="s">
        <v>20</v>
      </c>
      <c r="Q198" t="s">
        <v>20</v>
      </c>
      <c r="R198" t="s">
        <v>253</v>
      </c>
      <c r="S198" t="s">
        <v>20</v>
      </c>
    </row>
    <row r="199" spans="1:19" x14ac:dyDescent="0.45">
      <c r="A199" t="s">
        <v>54</v>
      </c>
      <c r="B199" t="s">
        <v>20</v>
      </c>
      <c r="C199" t="s">
        <v>1701</v>
      </c>
      <c r="D199" t="s">
        <v>1702</v>
      </c>
      <c r="E199" t="s">
        <v>57</v>
      </c>
      <c r="F199" t="s">
        <v>20</v>
      </c>
      <c r="G199" t="s">
        <v>23</v>
      </c>
      <c r="H199" t="s">
        <v>1703</v>
      </c>
      <c r="I199" t="s">
        <v>1704</v>
      </c>
      <c r="J199" t="s">
        <v>1705</v>
      </c>
      <c r="K199" t="s">
        <v>1706</v>
      </c>
      <c r="L199" t="s">
        <v>43</v>
      </c>
      <c r="M199" t="s">
        <v>32</v>
      </c>
      <c r="N199" t="s">
        <v>62</v>
      </c>
      <c r="O199" t="s">
        <v>34</v>
      </c>
      <c r="P199" t="s">
        <v>20</v>
      </c>
      <c r="Q199" t="s">
        <v>20</v>
      </c>
      <c r="R199" t="s">
        <v>63</v>
      </c>
      <c r="S199" t="s">
        <v>20</v>
      </c>
    </row>
    <row r="200" spans="1:19" x14ac:dyDescent="0.45">
      <c r="A200" t="s">
        <v>120</v>
      </c>
      <c r="B200" t="s">
        <v>20</v>
      </c>
      <c r="C200" t="s">
        <v>2183</v>
      </c>
      <c r="D200" t="s">
        <v>2184</v>
      </c>
      <c r="E200" t="s">
        <v>38</v>
      </c>
      <c r="F200" t="s">
        <v>20</v>
      </c>
      <c r="G200" t="s">
        <v>23</v>
      </c>
      <c r="H200" t="s">
        <v>2185</v>
      </c>
      <c r="I200" t="s">
        <v>2186</v>
      </c>
      <c r="J200" t="s">
        <v>2187</v>
      </c>
      <c r="K200" t="s">
        <v>1400</v>
      </c>
      <c r="L200" t="s">
        <v>6527</v>
      </c>
      <c r="M200" t="s">
        <v>32</v>
      </c>
      <c r="N200" t="s">
        <v>33</v>
      </c>
      <c r="O200" t="s">
        <v>34</v>
      </c>
      <c r="P200" t="s">
        <v>20</v>
      </c>
      <c r="Q200" t="s">
        <v>20</v>
      </c>
      <c r="R200" t="s">
        <v>10465</v>
      </c>
      <c r="S200" t="s">
        <v>20</v>
      </c>
    </row>
    <row r="201" spans="1:19" x14ac:dyDescent="0.45">
      <c r="A201" t="s">
        <v>358</v>
      </c>
      <c r="B201" t="s">
        <v>20</v>
      </c>
      <c r="C201" t="s">
        <v>2214</v>
      </c>
      <c r="D201" t="s">
        <v>2215</v>
      </c>
      <c r="E201" t="s">
        <v>38</v>
      </c>
      <c r="F201" t="s">
        <v>20</v>
      </c>
      <c r="G201" t="s">
        <v>23</v>
      </c>
      <c r="H201" t="s">
        <v>13177</v>
      </c>
      <c r="I201" t="s">
        <v>13178</v>
      </c>
      <c r="J201" t="s">
        <v>13817</v>
      </c>
      <c r="K201" t="s">
        <v>13818</v>
      </c>
      <c r="L201" t="s">
        <v>3418</v>
      </c>
      <c r="M201" t="s">
        <v>112</v>
      </c>
      <c r="N201" t="s">
        <v>146</v>
      </c>
      <c r="O201" t="s">
        <v>34</v>
      </c>
      <c r="P201" t="s">
        <v>20</v>
      </c>
      <c r="Q201" t="s">
        <v>20</v>
      </c>
      <c r="R201" t="s">
        <v>13819</v>
      </c>
      <c r="S201" t="s">
        <v>20</v>
      </c>
    </row>
    <row r="202" spans="1:19" x14ac:dyDescent="0.45">
      <c r="A202" t="s">
        <v>358</v>
      </c>
      <c r="B202" t="s">
        <v>20</v>
      </c>
      <c r="C202" t="s">
        <v>1241</v>
      </c>
      <c r="D202" t="s">
        <v>1242</v>
      </c>
      <c r="E202" t="s">
        <v>38</v>
      </c>
      <c r="F202" t="s">
        <v>20</v>
      </c>
      <c r="G202" t="s">
        <v>23</v>
      </c>
      <c r="H202" t="s">
        <v>13189</v>
      </c>
      <c r="I202" t="s">
        <v>13190</v>
      </c>
      <c r="J202" t="s">
        <v>13191</v>
      </c>
      <c r="K202" t="s">
        <v>13192</v>
      </c>
      <c r="L202" t="s">
        <v>3418</v>
      </c>
      <c r="M202" t="s">
        <v>112</v>
      </c>
      <c r="N202" t="s">
        <v>146</v>
      </c>
      <c r="O202" t="s">
        <v>34</v>
      </c>
      <c r="P202" t="s">
        <v>20</v>
      </c>
      <c r="Q202" t="s">
        <v>20</v>
      </c>
      <c r="R202" t="s">
        <v>13193</v>
      </c>
      <c r="S202" t="s">
        <v>20</v>
      </c>
    </row>
    <row r="203" spans="1:19" x14ac:dyDescent="0.45">
      <c r="A203" t="s">
        <v>358</v>
      </c>
      <c r="B203" t="s">
        <v>20</v>
      </c>
      <c r="C203" t="s">
        <v>1241</v>
      </c>
      <c r="D203" t="s">
        <v>1242</v>
      </c>
      <c r="E203" t="s">
        <v>38</v>
      </c>
      <c r="F203" t="s">
        <v>20</v>
      </c>
      <c r="G203" t="s">
        <v>23</v>
      </c>
      <c r="H203" t="s">
        <v>11684</v>
      </c>
      <c r="I203" t="s">
        <v>11685</v>
      </c>
      <c r="J203" t="s">
        <v>12721</v>
      </c>
      <c r="K203" t="s">
        <v>12722</v>
      </c>
      <c r="L203" t="s">
        <v>6524</v>
      </c>
      <c r="M203" t="s">
        <v>12431</v>
      </c>
      <c r="N203" t="s">
        <v>33</v>
      </c>
      <c r="O203" t="s">
        <v>34</v>
      </c>
      <c r="P203" t="s">
        <v>20</v>
      </c>
      <c r="Q203" t="s">
        <v>20</v>
      </c>
      <c r="R203" t="s">
        <v>12723</v>
      </c>
      <c r="S203" t="s">
        <v>11686</v>
      </c>
    </row>
    <row r="204" spans="1:19" x14ac:dyDescent="0.45">
      <c r="A204" t="s">
        <v>535</v>
      </c>
      <c r="B204" t="s">
        <v>20</v>
      </c>
      <c r="C204" t="s">
        <v>536</v>
      </c>
      <c r="D204" t="s">
        <v>537</v>
      </c>
      <c r="E204" t="s">
        <v>117</v>
      </c>
      <c r="F204" t="s">
        <v>20</v>
      </c>
      <c r="G204" t="s">
        <v>23</v>
      </c>
      <c r="H204" t="s">
        <v>8980</v>
      </c>
      <c r="I204" t="s">
        <v>9055</v>
      </c>
      <c r="J204" t="s">
        <v>9639</v>
      </c>
      <c r="K204" t="s">
        <v>9640</v>
      </c>
      <c r="L204" t="s">
        <v>6533</v>
      </c>
      <c r="M204" t="s">
        <v>32</v>
      </c>
      <c r="N204" t="s">
        <v>33</v>
      </c>
      <c r="O204" t="s">
        <v>34</v>
      </c>
      <c r="P204" t="s">
        <v>20</v>
      </c>
      <c r="Q204" t="s">
        <v>20</v>
      </c>
      <c r="R204" t="s">
        <v>14436</v>
      </c>
      <c r="S204" t="s">
        <v>20</v>
      </c>
    </row>
    <row r="205" spans="1:19" x14ac:dyDescent="0.45">
      <c r="A205" t="s">
        <v>26</v>
      </c>
      <c r="B205" t="s">
        <v>20</v>
      </c>
      <c r="C205" t="s">
        <v>2291</v>
      </c>
      <c r="D205" t="s">
        <v>2292</v>
      </c>
      <c r="E205" t="s">
        <v>38</v>
      </c>
      <c r="F205" t="s">
        <v>20</v>
      </c>
      <c r="G205" t="s">
        <v>23</v>
      </c>
      <c r="H205" t="s">
        <v>2293</v>
      </c>
      <c r="I205" t="s">
        <v>2294</v>
      </c>
      <c r="J205" t="s">
        <v>2295</v>
      </c>
      <c r="K205" t="s">
        <v>2296</v>
      </c>
      <c r="L205" t="s">
        <v>101</v>
      </c>
      <c r="M205" t="s">
        <v>205</v>
      </c>
      <c r="N205" t="s">
        <v>62</v>
      </c>
      <c r="O205" t="s">
        <v>34</v>
      </c>
      <c r="P205" t="s">
        <v>20</v>
      </c>
      <c r="Q205" t="s">
        <v>20</v>
      </c>
      <c r="R205" t="s">
        <v>206</v>
      </c>
      <c r="S205" t="s">
        <v>20</v>
      </c>
    </row>
    <row r="206" spans="1:19" x14ac:dyDescent="0.45">
      <c r="A206" t="s">
        <v>211</v>
      </c>
      <c r="B206" t="s">
        <v>20</v>
      </c>
      <c r="C206" t="s">
        <v>1402</v>
      </c>
      <c r="D206" t="s">
        <v>1403</v>
      </c>
      <c r="E206" t="s">
        <v>38</v>
      </c>
      <c r="F206" t="s">
        <v>20</v>
      </c>
      <c r="G206" t="s">
        <v>23</v>
      </c>
      <c r="H206" t="s">
        <v>11714</v>
      </c>
      <c r="I206" t="s">
        <v>11715</v>
      </c>
      <c r="J206" t="s">
        <v>12724</v>
      </c>
      <c r="K206" t="s">
        <v>12725</v>
      </c>
      <c r="L206" t="s">
        <v>3998</v>
      </c>
      <c r="M206" t="s">
        <v>12431</v>
      </c>
      <c r="N206" t="s">
        <v>33</v>
      </c>
      <c r="O206" t="s">
        <v>34</v>
      </c>
      <c r="P206" t="s">
        <v>20</v>
      </c>
      <c r="Q206" t="s">
        <v>20</v>
      </c>
      <c r="R206" t="s">
        <v>12726</v>
      </c>
      <c r="S206" t="s">
        <v>20</v>
      </c>
    </row>
    <row r="207" spans="1:19" x14ac:dyDescent="0.45">
      <c r="A207" t="s">
        <v>1980</v>
      </c>
      <c r="B207" t="s">
        <v>20</v>
      </c>
      <c r="C207" t="s">
        <v>7229</v>
      </c>
      <c r="D207" t="s">
        <v>6294</v>
      </c>
      <c r="E207" t="s">
        <v>57</v>
      </c>
      <c r="F207" t="s">
        <v>20</v>
      </c>
      <c r="G207" t="s">
        <v>23</v>
      </c>
      <c r="H207" t="s">
        <v>7991</v>
      </c>
      <c r="I207" t="s">
        <v>7992</v>
      </c>
      <c r="J207" t="s">
        <v>7993</v>
      </c>
      <c r="K207" t="s">
        <v>7994</v>
      </c>
      <c r="L207" t="s">
        <v>2769</v>
      </c>
      <c r="M207" t="s">
        <v>102</v>
      </c>
      <c r="N207" t="s">
        <v>62</v>
      </c>
      <c r="O207" t="s">
        <v>34</v>
      </c>
      <c r="P207" t="s">
        <v>20</v>
      </c>
      <c r="Q207" t="s">
        <v>20</v>
      </c>
      <c r="R207" t="s">
        <v>7995</v>
      </c>
      <c r="S207" t="s">
        <v>20</v>
      </c>
    </row>
    <row r="208" spans="1:19" x14ac:dyDescent="0.45">
      <c r="A208" t="s">
        <v>869</v>
      </c>
      <c r="B208" t="s">
        <v>20</v>
      </c>
      <c r="C208" t="s">
        <v>2249</v>
      </c>
      <c r="D208" t="s">
        <v>2250</v>
      </c>
      <c r="E208" t="s">
        <v>38</v>
      </c>
      <c r="F208" t="s">
        <v>20</v>
      </c>
      <c r="G208" t="s">
        <v>23</v>
      </c>
      <c r="H208" t="s">
        <v>10322</v>
      </c>
      <c r="I208" t="s">
        <v>10323</v>
      </c>
      <c r="J208" t="s">
        <v>10832</v>
      </c>
      <c r="K208" t="s">
        <v>10833</v>
      </c>
      <c r="L208" t="s">
        <v>8094</v>
      </c>
      <c r="M208" t="s">
        <v>32</v>
      </c>
      <c r="N208" t="s">
        <v>33</v>
      </c>
      <c r="O208" t="s">
        <v>34</v>
      </c>
      <c r="P208" t="s">
        <v>20</v>
      </c>
      <c r="Q208" t="s">
        <v>20</v>
      </c>
      <c r="R208" t="s">
        <v>10834</v>
      </c>
      <c r="S208" t="s">
        <v>10324</v>
      </c>
    </row>
    <row r="209" spans="1:19" x14ac:dyDescent="0.45">
      <c r="A209" t="s">
        <v>869</v>
      </c>
      <c r="B209" t="s">
        <v>20</v>
      </c>
      <c r="C209" t="s">
        <v>2249</v>
      </c>
      <c r="D209" t="s">
        <v>2250</v>
      </c>
      <c r="E209" t="s">
        <v>2487</v>
      </c>
      <c r="F209" t="s">
        <v>20</v>
      </c>
      <c r="G209" t="s">
        <v>23</v>
      </c>
      <c r="H209" t="s">
        <v>8066</v>
      </c>
      <c r="I209" t="s">
        <v>8067</v>
      </c>
      <c r="J209" t="s">
        <v>8068</v>
      </c>
      <c r="K209" t="s">
        <v>8069</v>
      </c>
      <c r="L209" t="s">
        <v>3418</v>
      </c>
      <c r="M209" t="s">
        <v>32</v>
      </c>
      <c r="N209" t="s">
        <v>62</v>
      </c>
      <c r="O209" t="s">
        <v>34</v>
      </c>
      <c r="P209" t="s">
        <v>20</v>
      </c>
      <c r="Q209" t="s">
        <v>20</v>
      </c>
      <c r="R209" t="s">
        <v>8070</v>
      </c>
      <c r="S209" t="s">
        <v>20</v>
      </c>
    </row>
    <row r="210" spans="1:19" x14ac:dyDescent="0.45">
      <c r="A210" t="s">
        <v>114</v>
      </c>
      <c r="B210" t="s">
        <v>20</v>
      </c>
      <c r="C210" t="s">
        <v>3394</v>
      </c>
      <c r="D210" t="s">
        <v>3395</v>
      </c>
      <c r="E210" t="s">
        <v>57</v>
      </c>
      <c r="F210" t="s">
        <v>20</v>
      </c>
      <c r="G210" t="s">
        <v>23</v>
      </c>
      <c r="H210" t="s">
        <v>10455</v>
      </c>
      <c r="I210" t="s">
        <v>10456</v>
      </c>
      <c r="J210" t="s">
        <v>10457</v>
      </c>
      <c r="K210" t="s">
        <v>10458</v>
      </c>
      <c r="L210" t="s">
        <v>3418</v>
      </c>
      <c r="M210" t="s">
        <v>32</v>
      </c>
      <c r="N210" t="s">
        <v>62</v>
      </c>
      <c r="O210" t="s">
        <v>34</v>
      </c>
      <c r="P210" t="s">
        <v>20</v>
      </c>
      <c r="Q210" t="s">
        <v>20</v>
      </c>
      <c r="R210" t="s">
        <v>10459</v>
      </c>
      <c r="S210" t="s">
        <v>20</v>
      </c>
    </row>
    <row r="211" spans="1:19" x14ac:dyDescent="0.45">
      <c r="A211" t="s">
        <v>114</v>
      </c>
      <c r="B211" t="s">
        <v>20</v>
      </c>
      <c r="C211" t="s">
        <v>3394</v>
      </c>
      <c r="D211" t="s">
        <v>3395</v>
      </c>
      <c r="E211" t="s">
        <v>38</v>
      </c>
      <c r="F211" t="s">
        <v>20</v>
      </c>
      <c r="G211" t="s">
        <v>23</v>
      </c>
      <c r="H211" t="s">
        <v>13746</v>
      </c>
      <c r="I211" t="s">
        <v>13747</v>
      </c>
      <c r="J211" t="s">
        <v>14143</v>
      </c>
      <c r="K211" t="s">
        <v>14144</v>
      </c>
      <c r="L211" t="s">
        <v>3418</v>
      </c>
      <c r="M211" t="s">
        <v>112</v>
      </c>
      <c r="N211" t="s">
        <v>62</v>
      </c>
      <c r="O211" t="s">
        <v>34</v>
      </c>
      <c r="P211" t="s">
        <v>20</v>
      </c>
      <c r="Q211" t="s">
        <v>20</v>
      </c>
      <c r="R211" t="s">
        <v>14145</v>
      </c>
      <c r="S211" t="s">
        <v>20</v>
      </c>
    </row>
    <row r="212" spans="1:19" x14ac:dyDescent="0.45">
      <c r="A212" t="s">
        <v>358</v>
      </c>
      <c r="B212" t="s">
        <v>20</v>
      </c>
      <c r="C212" t="s">
        <v>359</v>
      </c>
      <c r="D212" t="s">
        <v>360</v>
      </c>
      <c r="E212" t="s">
        <v>38</v>
      </c>
      <c r="F212" t="s">
        <v>20</v>
      </c>
      <c r="G212" t="s">
        <v>23</v>
      </c>
      <c r="H212" t="s">
        <v>13194</v>
      </c>
      <c r="I212" t="s">
        <v>13195</v>
      </c>
      <c r="J212" t="s">
        <v>13196</v>
      </c>
      <c r="K212" t="s">
        <v>13197</v>
      </c>
      <c r="L212" t="s">
        <v>3418</v>
      </c>
      <c r="M212" t="s">
        <v>112</v>
      </c>
      <c r="N212" t="s">
        <v>146</v>
      </c>
      <c r="O212" t="s">
        <v>34</v>
      </c>
      <c r="P212" t="s">
        <v>20</v>
      </c>
      <c r="Q212" t="s">
        <v>20</v>
      </c>
      <c r="R212" t="s">
        <v>13198</v>
      </c>
      <c r="S212" t="s">
        <v>20</v>
      </c>
    </row>
    <row r="213" spans="1:19" x14ac:dyDescent="0.45">
      <c r="A213" t="s">
        <v>358</v>
      </c>
      <c r="B213" t="s">
        <v>20</v>
      </c>
      <c r="C213" t="s">
        <v>359</v>
      </c>
      <c r="D213" t="s">
        <v>360</v>
      </c>
      <c r="E213" t="s">
        <v>38</v>
      </c>
      <c r="F213" t="s">
        <v>20</v>
      </c>
      <c r="G213" t="s">
        <v>23</v>
      </c>
      <c r="H213" t="s">
        <v>12156</v>
      </c>
      <c r="I213" t="s">
        <v>12157</v>
      </c>
      <c r="J213" t="s">
        <v>12727</v>
      </c>
      <c r="K213" t="s">
        <v>12728</v>
      </c>
      <c r="L213" t="s">
        <v>6524</v>
      </c>
      <c r="M213" t="s">
        <v>12431</v>
      </c>
      <c r="N213" t="s">
        <v>33</v>
      </c>
      <c r="O213" t="s">
        <v>34</v>
      </c>
      <c r="P213" t="s">
        <v>20</v>
      </c>
      <c r="Q213" t="s">
        <v>20</v>
      </c>
      <c r="R213" t="s">
        <v>12729</v>
      </c>
      <c r="S213" t="s">
        <v>12158</v>
      </c>
    </row>
    <row r="214" spans="1:19" x14ac:dyDescent="0.45">
      <c r="A214" t="s">
        <v>928</v>
      </c>
      <c r="B214" t="s">
        <v>20</v>
      </c>
      <c r="C214" t="s">
        <v>6615</v>
      </c>
      <c r="D214" t="s">
        <v>6110</v>
      </c>
      <c r="E214" t="s">
        <v>2487</v>
      </c>
      <c r="F214" t="s">
        <v>20</v>
      </c>
      <c r="G214" t="s">
        <v>23</v>
      </c>
      <c r="H214" t="s">
        <v>7535</v>
      </c>
      <c r="I214" t="s">
        <v>7536</v>
      </c>
      <c r="J214" t="s">
        <v>7537</v>
      </c>
      <c r="K214" t="s">
        <v>7538</v>
      </c>
      <c r="L214" t="s">
        <v>3418</v>
      </c>
      <c r="M214" t="s">
        <v>32</v>
      </c>
      <c r="N214" t="s">
        <v>62</v>
      </c>
      <c r="O214" t="s">
        <v>34</v>
      </c>
      <c r="P214" t="s">
        <v>20</v>
      </c>
      <c r="Q214" t="s">
        <v>20</v>
      </c>
      <c r="R214" t="s">
        <v>7539</v>
      </c>
      <c r="S214" t="s">
        <v>20</v>
      </c>
    </row>
    <row r="215" spans="1:19" x14ac:dyDescent="0.45">
      <c r="A215" t="s">
        <v>79</v>
      </c>
      <c r="B215" t="s">
        <v>20</v>
      </c>
      <c r="C215" t="s">
        <v>1883</v>
      </c>
      <c r="D215" t="s">
        <v>1884</v>
      </c>
      <c r="E215" t="s">
        <v>38</v>
      </c>
      <c r="F215" t="s">
        <v>20</v>
      </c>
      <c r="G215" t="s">
        <v>23</v>
      </c>
      <c r="H215" t="s">
        <v>6842</v>
      </c>
      <c r="I215" t="s">
        <v>6843</v>
      </c>
      <c r="J215" t="s">
        <v>10949</v>
      </c>
      <c r="K215" t="s">
        <v>10950</v>
      </c>
      <c r="L215" t="s">
        <v>9570</v>
      </c>
      <c r="M215" t="s">
        <v>32</v>
      </c>
      <c r="N215" t="s">
        <v>33</v>
      </c>
      <c r="O215" t="s">
        <v>34</v>
      </c>
      <c r="P215" t="s">
        <v>20</v>
      </c>
      <c r="Q215" t="s">
        <v>20</v>
      </c>
      <c r="R215" t="s">
        <v>10951</v>
      </c>
      <c r="S215" t="s">
        <v>20</v>
      </c>
    </row>
    <row r="216" spans="1:19" x14ac:dyDescent="0.45">
      <c r="A216" t="s">
        <v>79</v>
      </c>
      <c r="B216" t="s">
        <v>20</v>
      </c>
      <c r="C216" t="s">
        <v>1883</v>
      </c>
      <c r="D216" t="s">
        <v>1884</v>
      </c>
      <c r="E216" t="s">
        <v>2487</v>
      </c>
      <c r="F216" t="s">
        <v>20</v>
      </c>
      <c r="G216" t="s">
        <v>23</v>
      </c>
      <c r="H216" t="s">
        <v>6923</v>
      </c>
      <c r="I216" t="s">
        <v>6924</v>
      </c>
      <c r="J216" t="s">
        <v>6925</v>
      </c>
      <c r="K216" t="s">
        <v>6926</v>
      </c>
      <c r="L216" t="s">
        <v>3418</v>
      </c>
      <c r="M216" t="s">
        <v>32</v>
      </c>
      <c r="N216" t="s">
        <v>62</v>
      </c>
      <c r="O216" t="s">
        <v>34</v>
      </c>
      <c r="P216" t="s">
        <v>20</v>
      </c>
      <c r="Q216" t="s">
        <v>20</v>
      </c>
      <c r="R216" t="s">
        <v>6927</v>
      </c>
      <c r="S216" t="s">
        <v>20</v>
      </c>
    </row>
    <row r="217" spans="1:19" x14ac:dyDescent="0.45">
      <c r="A217" t="s">
        <v>335</v>
      </c>
      <c r="B217" t="s">
        <v>20</v>
      </c>
      <c r="C217" t="s">
        <v>336</v>
      </c>
      <c r="D217" t="s">
        <v>337</v>
      </c>
      <c r="E217" t="s">
        <v>38</v>
      </c>
      <c r="F217" t="s">
        <v>20</v>
      </c>
      <c r="G217" t="s">
        <v>23</v>
      </c>
      <c r="H217" t="s">
        <v>6876</v>
      </c>
      <c r="I217" t="s">
        <v>6877</v>
      </c>
      <c r="J217" t="s">
        <v>11000</v>
      </c>
      <c r="K217" t="s">
        <v>11001</v>
      </c>
      <c r="L217" t="s">
        <v>13871</v>
      </c>
      <c r="M217" t="s">
        <v>32</v>
      </c>
      <c r="N217" t="s">
        <v>33</v>
      </c>
      <c r="O217" t="s">
        <v>34</v>
      </c>
      <c r="P217" t="s">
        <v>20</v>
      </c>
      <c r="Q217" t="s">
        <v>20</v>
      </c>
      <c r="R217" t="s">
        <v>11002</v>
      </c>
      <c r="S217" t="s">
        <v>20</v>
      </c>
    </row>
    <row r="218" spans="1:19" x14ac:dyDescent="0.45">
      <c r="A218" t="s">
        <v>335</v>
      </c>
      <c r="B218" t="s">
        <v>20</v>
      </c>
      <c r="C218" t="s">
        <v>336</v>
      </c>
      <c r="D218" t="s">
        <v>337</v>
      </c>
      <c r="E218" t="s">
        <v>29</v>
      </c>
      <c r="F218" t="s">
        <v>20</v>
      </c>
      <c r="G218" t="s">
        <v>23</v>
      </c>
      <c r="H218" t="s">
        <v>338</v>
      </c>
      <c r="I218" t="s">
        <v>339</v>
      </c>
      <c r="J218" t="s">
        <v>340</v>
      </c>
      <c r="K218" t="s">
        <v>341</v>
      </c>
      <c r="L218" t="s">
        <v>6513</v>
      </c>
      <c r="M218" t="s">
        <v>102</v>
      </c>
      <c r="N218" t="s">
        <v>62</v>
      </c>
      <c r="O218" t="s">
        <v>34</v>
      </c>
      <c r="P218" t="s">
        <v>20</v>
      </c>
      <c r="Q218" t="s">
        <v>20</v>
      </c>
      <c r="R218" t="s">
        <v>342</v>
      </c>
      <c r="S218" t="s">
        <v>20</v>
      </c>
    </row>
    <row r="219" spans="1:19" x14ac:dyDescent="0.45">
      <c r="A219" t="s">
        <v>26</v>
      </c>
      <c r="B219" t="s">
        <v>20</v>
      </c>
      <c r="C219" t="s">
        <v>1476</v>
      </c>
      <c r="D219" t="s">
        <v>1477</v>
      </c>
      <c r="E219" t="s">
        <v>38</v>
      </c>
      <c r="F219" t="s">
        <v>20</v>
      </c>
      <c r="G219" t="s">
        <v>23</v>
      </c>
      <c r="H219" t="s">
        <v>1478</v>
      </c>
      <c r="I219" t="s">
        <v>1479</v>
      </c>
      <c r="J219" t="s">
        <v>1480</v>
      </c>
      <c r="K219" t="s">
        <v>1481</v>
      </c>
      <c r="L219" t="s">
        <v>101</v>
      </c>
      <c r="M219" t="s">
        <v>205</v>
      </c>
      <c r="N219" t="s">
        <v>62</v>
      </c>
      <c r="O219" t="s">
        <v>34</v>
      </c>
      <c r="P219" t="s">
        <v>20</v>
      </c>
      <c r="Q219" t="s">
        <v>20</v>
      </c>
      <c r="R219" t="s">
        <v>206</v>
      </c>
      <c r="S219" t="s">
        <v>20</v>
      </c>
    </row>
    <row r="220" spans="1:19" x14ac:dyDescent="0.45">
      <c r="A220" t="s">
        <v>104</v>
      </c>
      <c r="B220" t="s">
        <v>20</v>
      </c>
      <c r="C220" t="s">
        <v>4098</v>
      </c>
      <c r="D220" t="s">
        <v>4099</v>
      </c>
      <c r="E220" t="s">
        <v>38</v>
      </c>
      <c r="F220" t="s">
        <v>20</v>
      </c>
      <c r="G220" t="s">
        <v>23</v>
      </c>
      <c r="H220" t="s">
        <v>12730</v>
      </c>
      <c r="I220" t="s">
        <v>12731</v>
      </c>
      <c r="J220" t="s">
        <v>12732</v>
      </c>
      <c r="K220" t="s">
        <v>12733</v>
      </c>
      <c r="L220" t="s">
        <v>6524</v>
      </c>
      <c r="M220" t="s">
        <v>2953</v>
      </c>
      <c r="N220" t="s">
        <v>33</v>
      </c>
      <c r="O220" t="s">
        <v>34</v>
      </c>
      <c r="P220" t="s">
        <v>20</v>
      </c>
      <c r="Q220" t="s">
        <v>20</v>
      </c>
      <c r="R220" t="s">
        <v>12734</v>
      </c>
      <c r="S220" t="s">
        <v>12735</v>
      </c>
    </row>
    <row r="221" spans="1:19" x14ac:dyDescent="0.45">
      <c r="A221" t="s">
        <v>54</v>
      </c>
      <c r="B221" t="s">
        <v>20</v>
      </c>
      <c r="C221" t="s">
        <v>1781</v>
      </c>
      <c r="D221" t="s">
        <v>1782</v>
      </c>
      <c r="E221" t="s">
        <v>2487</v>
      </c>
      <c r="F221" t="s">
        <v>20</v>
      </c>
      <c r="G221" t="s">
        <v>23</v>
      </c>
      <c r="H221" t="s">
        <v>7639</v>
      </c>
      <c r="I221" t="s">
        <v>7640</v>
      </c>
      <c r="J221" t="s">
        <v>7641</v>
      </c>
      <c r="K221" t="s">
        <v>7642</v>
      </c>
      <c r="L221" t="s">
        <v>3418</v>
      </c>
      <c r="M221" t="s">
        <v>32</v>
      </c>
      <c r="N221" t="s">
        <v>62</v>
      </c>
      <c r="O221" t="s">
        <v>34</v>
      </c>
      <c r="P221" t="s">
        <v>20</v>
      </c>
      <c r="Q221" t="s">
        <v>20</v>
      </c>
      <c r="R221" t="s">
        <v>7643</v>
      </c>
      <c r="S221" t="s">
        <v>20</v>
      </c>
    </row>
    <row r="222" spans="1:19" x14ac:dyDescent="0.45">
      <c r="A222" t="s">
        <v>54</v>
      </c>
      <c r="B222" t="s">
        <v>20</v>
      </c>
      <c r="C222" t="s">
        <v>1781</v>
      </c>
      <c r="D222" t="s">
        <v>1782</v>
      </c>
      <c r="E222" t="s">
        <v>57</v>
      </c>
      <c r="F222" t="s">
        <v>20</v>
      </c>
      <c r="G222" t="s">
        <v>23</v>
      </c>
      <c r="H222" t="s">
        <v>1783</v>
      </c>
      <c r="I222" t="s">
        <v>1784</v>
      </c>
      <c r="J222" t="s">
        <v>1785</v>
      </c>
      <c r="K222" t="s">
        <v>1786</v>
      </c>
      <c r="L222" t="s">
        <v>43</v>
      </c>
      <c r="M222" t="s">
        <v>32</v>
      </c>
      <c r="N222" t="s">
        <v>62</v>
      </c>
      <c r="O222" t="s">
        <v>34</v>
      </c>
      <c r="P222" t="s">
        <v>20</v>
      </c>
      <c r="Q222" t="s">
        <v>20</v>
      </c>
      <c r="R222" t="s">
        <v>63</v>
      </c>
      <c r="S222" t="s">
        <v>20</v>
      </c>
    </row>
    <row r="223" spans="1:19" x14ac:dyDescent="0.45">
      <c r="A223" t="s">
        <v>379</v>
      </c>
      <c r="B223" t="s">
        <v>20</v>
      </c>
      <c r="C223" t="s">
        <v>4316</v>
      </c>
      <c r="D223" t="s">
        <v>4317</v>
      </c>
      <c r="E223" t="s">
        <v>4007</v>
      </c>
      <c r="F223" t="s">
        <v>20</v>
      </c>
      <c r="G223" t="s">
        <v>23</v>
      </c>
      <c r="H223" t="s">
        <v>13820</v>
      </c>
      <c r="I223" t="s">
        <v>13821</v>
      </c>
      <c r="J223" t="s">
        <v>13822</v>
      </c>
      <c r="K223" t="s">
        <v>13823</v>
      </c>
      <c r="L223" t="s">
        <v>3418</v>
      </c>
      <c r="M223" t="s">
        <v>112</v>
      </c>
      <c r="N223" t="s">
        <v>146</v>
      </c>
      <c r="O223" t="s">
        <v>34</v>
      </c>
      <c r="P223" t="s">
        <v>20</v>
      </c>
      <c r="Q223" t="s">
        <v>20</v>
      </c>
      <c r="R223" t="s">
        <v>13824</v>
      </c>
      <c r="S223" t="s">
        <v>20</v>
      </c>
    </row>
    <row r="224" spans="1:19" x14ac:dyDescent="0.45">
      <c r="A224" t="s">
        <v>46</v>
      </c>
      <c r="B224" t="s">
        <v>20</v>
      </c>
      <c r="C224" t="s">
        <v>1414</v>
      </c>
      <c r="D224" t="s">
        <v>1415</v>
      </c>
      <c r="E224" t="s">
        <v>38</v>
      </c>
      <c r="F224" t="s">
        <v>20</v>
      </c>
      <c r="G224" t="s">
        <v>23</v>
      </c>
      <c r="H224" t="s">
        <v>1416</v>
      </c>
      <c r="I224" t="s">
        <v>1417</v>
      </c>
      <c r="J224" t="s">
        <v>1418</v>
      </c>
      <c r="K224" t="s">
        <v>1419</v>
      </c>
      <c r="L224" t="s">
        <v>6533</v>
      </c>
      <c r="M224" t="s">
        <v>112</v>
      </c>
      <c r="N224" t="s">
        <v>146</v>
      </c>
      <c r="O224" t="s">
        <v>34</v>
      </c>
      <c r="P224" t="s">
        <v>20</v>
      </c>
      <c r="Q224" t="s">
        <v>20</v>
      </c>
      <c r="R224" t="s">
        <v>6620</v>
      </c>
      <c r="S224" t="s">
        <v>20</v>
      </c>
    </row>
    <row r="225" spans="1:19" x14ac:dyDescent="0.45">
      <c r="A225" t="s">
        <v>310</v>
      </c>
      <c r="B225" t="s">
        <v>20</v>
      </c>
      <c r="C225" t="s">
        <v>1717</v>
      </c>
      <c r="D225" t="s">
        <v>1718</v>
      </c>
      <c r="E225" t="s">
        <v>38</v>
      </c>
      <c r="F225" t="s">
        <v>20</v>
      </c>
      <c r="G225" t="s">
        <v>23</v>
      </c>
      <c r="H225" t="s">
        <v>11816</v>
      </c>
      <c r="I225" t="s">
        <v>11817</v>
      </c>
      <c r="J225" t="s">
        <v>11818</v>
      </c>
      <c r="K225" t="s">
        <v>11819</v>
      </c>
      <c r="L225" t="s">
        <v>9126</v>
      </c>
      <c r="M225" t="s">
        <v>112</v>
      </c>
      <c r="N225" t="s">
        <v>146</v>
      </c>
      <c r="O225" t="s">
        <v>34</v>
      </c>
      <c r="P225" t="s">
        <v>20</v>
      </c>
      <c r="Q225" t="s">
        <v>20</v>
      </c>
      <c r="R225" t="s">
        <v>11820</v>
      </c>
      <c r="S225" t="s">
        <v>20</v>
      </c>
    </row>
    <row r="226" spans="1:19" x14ac:dyDescent="0.45">
      <c r="A226" t="s">
        <v>19</v>
      </c>
      <c r="B226" t="s">
        <v>20</v>
      </c>
      <c r="C226" t="s">
        <v>4476</v>
      </c>
      <c r="D226" t="s">
        <v>4477</v>
      </c>
      <c r="E226" t="s">
        <v>38</v>
      </c>
      <c r="F226" t="s">
        <v>20</v>
      </c>
      <c r="G226" t="s">
        <v>23</v>
      </c>
      <c r="H226" t="s">
        <v>7952</v>
      </c>
      <c r="I226" t="s">
        <v>7953</v>
      </c>
      <c r="J226" t="s">
        <v>7954</v>
      </c>
      <c r="K226" t="s">
        <v>7955</v>
      </c>
      <c r="L226" t="s">
        <v>3418</v>
      </c>
      <c r="M226" t="s">
        <v>112</v>
      </c>
      <c r="N226" t="s">
        <v>146</v>
      </c>
      <c r="O226" t="s">
        <v>34</v>
      </c>
      <c r="P226" t="s">
        <v>20</v>
      </c>
      <c r="Q226" t="s">
        <v>20</v>
      </c>
      <c r="R226" t="s">
        <v>7956</v>
      </c>
      <c r="S226" t="s">
        <v>20</v>
      </c>
    </row>
    <row r="227" spans="1:19" x14ac:dyDescent="0.45">
      <c r="A227" t="s">
        <v>572</v>
      </c>
      <c r="B227" t="s">
        <v>20</v>
      </c>
      <c r="C227" t="s">
        <v>1398</v>
      </c>
      <c r="D227" t="s">
        <v>1399</v>
      </c>
      <c r="E227" t="s">
        <v>38</v>
      </c>
      <c r="F227" t="s">
        <v>20</v>
      </c>
      <c r="G227" t="s">
        <v>23</v>
      </c>
      <c r="H227" t="s">
        <v>6868</v>
      </c>
      <c r="I227" t="s">
        <v>6869</v>
      </c>
      <c r="J227" t="s">
        <v>10288</v>
      </c>
      <c r="K227" t="s">
        <v>10289</v>
      </c>
      <c r="L227" t="s">
        <v>10290</v>
      </c>
      <c r="M227" t="s">
        <v>32</v>
      </c>
      <c r="N227" t="s">
        <v>9484</v>
      </c>
      <c r="O227" t="s">
        <v>34</v>
      </c>
      <c r="P227" t="s">
        <v>20</v>
      </c>
      <c r="Q227" t="s">
        <v>20</v>
      </c>
      <c r="R227" t="s">
        <v>10291</v>
      </c>
      <c r="S227" t="s">
        <v>6870</v>
      </c>
    </row>
    <row r="228" spans="1:19" x14ac:dyDescent="0.45">
      <c r="A228" t="s">
        <v>114</v>
      </c>
      <c r="B228" t="s">
        <v>20</v>
      </c>
      <c r="C228" t="s">
        <v>115</v>
      </c>
      <c r="D228" t="s">
        <v>116</v>
      </c>
      <c r="E228" t="s">
        <v>57</v>
      </c>
      <c r="F228" t="s">
        <v>20</v>
      </c>
      <c r="G228" t="s">
        <v>23</v>
      </c>
      <c r="H228" t="s">
        <v>10450</v>
      </c>
      <c r="I228" t="s">
        <v>10451</v>
      </c>
      <c r="J228" t="s">
        <v>10452</v>
      </c>
      <c r="K228" t="s">
        <v>10453</v>
      </c>
      <c r="L228" t="s">
        <v>3418</v>
      </c>
      <c r="M228" t="s">
        <v>32</v>
      </c>
      <c r="N228" t="s">
        <v>62</v>
      </c>
      <c r="O228" t="s">
        <v>34</v>
      </c>
      <c r="P228" t="s">
        <v>20</v>
      </c>
      <c r="Q228" t="s">
        <v>20</v>
      </c>
      <c r="R228" t="s">
        <v>10454</v>
      </c>
      <c r="S228" t="s">
        <v>20</v>
      </c>
    </row>
    <row r="229" spans="1:19" x14ac:dyDescent="0.45">
      <c r="A229" t="s">
        <v>809</v>
      </c>
      <c r="B229" t="s">
        <v>20</v>
      </c>
      <c r="C229" t="s">
        <v>1259</v>
      </c>
      <c r="D229" t="s">
        <v>1260</v>
      </c>
      <c r="E229" t="s">
        <v>2487</v>
      </c>
      <c r="F229" t="s">
        <v>20</v>
      </c>
      <c r="G229" t="s">
        <v>23</v>
      </c>
      <c r="H229" t="s">
        <v>6955</v>
      </c>
      <c r="I229" t="s">
        <v>6956</v>
      </c>
      <c r="J229" t="s">
        <v>6957</v>
      </c>
      <c r="K229" t="s">
        <v>6958</v>
      </c>
      <c r="L229" t="s">
        <v>3418</v>
      </c>
      <c r="M229" t="s">
        <v>32</v>
      </c>
      <c r="N229" t="s">
        <v>62</v>
      </c>
      <c r="O229" t="s">
        <v>34</v>
      </c>
      <c r="P229" t="s">
        <v>20</v>
      </c>
      <c r="Q229" t="s">
        <v>20</v>
      </c>
      <c r="R229" t="s">
        <v>6959</v>
      </c>
      <c r="S229" t="s">
        <v>20</v>
      </c>
    </row>
    <row r="230" spans="1:19" x14ac:dyDescent="0.45">
      <c r="A230" t="s">
        <v>706</v>
      </c>
      <c r="B230" t="s">
        <v>20</v>
      </c>
      <c r="C230" t="s">
        <v>2242</v>
      </c>
      <c r="D230" t="s">
        <v>2243</v>
      </c>
      <c r="E230" t="s">
        <v>4007</v>
      </c>
      <c r="F230" t="s">
        <v>20</v>
      </c>
      <c r="G230" t="s">
        <v>23</v>
      </c>
      <c r="H230" t="s">
        <v>2244</v>
      </c>
      <c r="I230" t="s">
        <v>2245</v>
      </c>
      <c r="J230" t="s">
        <v>2246</v>
      </c>
      <c r="K230" t="s">
        <v>2247</v>
      </c>
      <c r="L230" t="s">
        <v>31</v>
      </c>
      <c r="M230" t="s">
        <v>32</v>
      </c>
      <c r="N230" t="s">
        <v>33</v>
      </c>
      <c r="O230" t="s">
        <v>34</v>
      </c>
      <c r="P230" t="s">
        <v>6524</v>
      </c>
      <c r="Q230" t="s">
        <v>20</v>
      </c>
      <c r="R230" t="s">
        <v>2248</v>
      </c>
      <c r="S230" t="s">
        <v>20</v>
      </c>
    </row>
    <row r="231" spans="1:19" x14ac:dyDescent="0.45">
      <c r="A231" t="s">
        <v>64</v>
      </c>
      <c r="B231" t="s">
        <v>20</v>
      </c>
      <c r="C231" t="s">
        <v>1833</v>
      </c>
      <c r="D231" t="s">
        <v>1834</v>
      </c>
      <c r="E231" t="s">
        <v>2487</v>
      </c>
      <c r="F231" t="s">
        <v>20</v>
      </c>
      <c r="G231" t="s">
        <v>23</v>
      </c>
      <c r="H231" t="s">
        <v>7585</v>
      </c>
      <c r="I231" t="s">
        <v>7586</v>
      </c>
      <c r="J231" t="s">
        <v>7587</v>
      </c>
      <c r="K231" t="s">
        <v>7588</v>
      </c>
      <c r="L231" t="s">
        <v>3418</v>
      </c>
      <c r="M231" t="s">
        <v>32</v>
      </c>
      <c r="N231" t="s">
        <v>62</v>
      </c>
      <c r="O231" t="s">
        <v>34</v>
      </c>
      <c r="P231" t="s">
        <v>20</v>
      </c>
      <c r="Q231" t="s">
        <v>20</v>
      </c>
      <c r="R231" t="s">
        <v>7589</v>
      </c>
      <c r="S231" t="s">
        <v>20</v>
      </c>
    </row>
    <row r="232" spans="1:19" x14ac:dyDescent="0.45">
      <c r="A232" t="s">
        <v>64</v>
      </c>
      <c r="B232" t="s">
        <v>20</v>
      </c>
      <c r="C232" t="s">
        <v>1833</v>
      </c>
      <c r="D232" t="s">
        <v>1834</v>
      </c>
      <c r="E232" t="s">
        <v>38</v>
      </c>
      <c r="F232" t="s">
        <v>20</v>
      </c>
      <c r="G232" t="s">
        <v>23</v>
      </c>
      <c r="H232" t="s">
        <v>10311</v>
      </c>
      <c r="I232" t="s">
        <v>10312</v>
      </c>
      <c r="J232" t="s">
        <v>10774</v>
      </c>
      <c r="K232" t="s">
        <v>10775</v>
      </c>
      <c r="L232" t="s">
        <v>8094</v>
      </c>
      <c r="M232" t="s">
        <v>32</v>
      </c>
      <c r="N232" t="s">
        <v>33</v>
      </c>
      <c r="O232" t="s">
        <v>34</v>
      </c>
      <c r="P232" t="s">
        <v>20</v>
      </c>
      <c r="Q232" t="s">
        <v>20</v>
      </c>
      <c r="R232" t="s">
        <v>10776</v>
      </c>
      <c r="S232" t="s">
        <v>10313</v>
      </c>
    </row>
    <row r="233" spans="1:19" x14ac:dyDescent="0.45">
      <c r="A233" t="s">
        <v>64</v>
      </c>
      <c r="B233" t="s">
        <v>20</v>
      </c>
      <c r="C233" t="s">
        <v>1833</v>
      </c>
      <c r="D233" t="s">
        <v>1834</v>
      </c>
      <c r="E233" t="s">
        <v>57</v>
      </c>
      <c r="F233" t="s">
        <v>20</v>
      </c>
      <c r="G233" t="s">
        <v>23</v>
      </c>
      <c r="H233" t="s">
        <v>1835</v>
      </c>
      <c r="I233" t="s">
        <v>1836</v>
      </c>
      <c r="J233" t="s">
        <v>1837</v>
      </c>
      <c r="K233" t="s">
        <v>1838</v>
      </c>
      <c r="L233" t="s">
        <v>11782</v>
      </c>
      <c r="M233" t="s">
        <v>32</v>
      </c>
      <c r="N233" t="s">
        <v>62</v>
      </c>
      <c r="O233" t="s">
        <v>34</v>
      </c>
      <c r="P233" t="s">
        <v>20</v>
      </c>
      <c r="Q233" t="s">
        <v>20</v>
      </c>
      <c r="R233" t="s">
        <v>154</v>
      </c>
      <c r="S233" t="s">
        <v>20</v>
      </c>
    </row>
    <row r="234" spans="1:19" x14ac:dyDescent="0.45">
      <c r="A234" t="s">
        <v>511</v>
      </c>
      <c r="B234" t="s">
        <v>20</v>
      </c>
      <c r="C234" t="s">
        <v>3522</v>
      </c>
      <c r="D234" t="s">
        <v>3523</v>
      </c>
      <c r="E234" t="s">
        <v>57</v>
      </c>
      <c r="F234" t="s">
        <v>20</v>
      </c>
      <c r="G234" t="s">
        <v>23</v>
      </c>
      <c r="H234" t="s">
        <v>9106</v>
      </c>
      <c r="I234" t="s">
        <v>9107</v>
      </c>
      <c r="J234" t="s">
        <v>9108</v>
      </c>
      <c r="K234" t="s">
        <v>9109</v>
      </c>
      <c r="L234" t="s">
        <v>9155</v>
      </c>
      <c r="M234" t="s">
        <v>3105</v>
      </c>
      <c r="N234" t="s">
        <v>62</v>
      </c>
      <c r="O234" t="s">
        <v>34</v>
      </c>
      <c r="P234" t="s">
        <v>20</v>
      </c>
      <c r="Q234" t="s">
        <v>20</v>
      </c>
      <c r="R234" t="s">
        <v>9110</v>
      </c>
      <c r="S234" t="s">
        <v>20</v>
      </c>
    </row>
    <row r="235" spans="1:19" x14ac:dyDescent="0.45">
      <c r="A235" t="s">
        <v>211</v>
      </c>
      <c r="B235" t="s">
        <v>20</v>
      </c>
      <c r="C235" t="s">
        <v>2466</v>
      </c>
      <c r="D235" t="s">
        <v>2467</v>
      </c>
      <c r="E235" t="s">
        <v>38</v>
      </c>
      <c r="F235" t="s">
        <v>20</v>
      </c>
      <c r="G235" t="s">
        <v>23</v>
      </c>
      <c r="H235" t="s">
        <v>11244</v>
      </c>
      <c r="I235" t="s">
        <v>11245</v>
      </c>
      <c r="J235" t="s">
        <v>11654</v>
      </c>
      <c r="K235" t="s">
        <v>11655</v>
      </c>
      <c r="L235" t="s">
        <v>3998</v>
      </c>
      <c r="M235" t="s">
        <v>112</v>
      </c>
      <c r="N235" t="s">
        <v>146</v>
      </c>
      <c r="O235" t="s">
        <v>34</v>
      </c>
      <c r="P235" t="s">
        <v>20</v>
      </c>
      <c r="Q235" t="s">
        <v>20</v>
      </c>
      <c r="R235" t="s">
        <v>11656</v>
      </c>
      <c r="S235" t="s">
        <v>11246</v>
      </c>
    </row>
    <row r="236" spans="1:19" x14ac:dyDescent="0.45">
      <c r="A236" t="s">
        <v>211</v>
      </c>
      <c r="B236" t="s">
        <v>20</v>
      </c>
      <c r="C236" t="s">
        <v>2466</v>
      </c>
      <c r="D236" t="s">
        <v>2467</v>
      </c>
      <c r="E236" t="s">
        <v>38</v>
      </c>
      <c r="F236" t="s">
        <v>20</v>
      </c>
      <c r="G236" t="s">
        <v>23</v>
      </c>
      <c r="H236" t="s">
        <v>10331</v>
      </c>
      <c r="I236" t="s">
        <v>10332</v>
      </c>
      <c r="J236" t="s">
        <v>10887</v>
      </c>
      <c r="K236" t="s">
        <v>10758</v>
      </c>
      <c r="L236" t="s">
        <v>9619</v>
      </c>
      <c r="M236" t="s">
        <v>32</v>
      </c>
      <c r="N236" t="s">
        <v>33</v>
      </c>
      <c r="O236" t="s">
        <v>34</v>
      </c>
      <c r="P236" t="s">
        <v>20</v>
      </c>
      <c r="Q236" t="s">
        <v>20</v>
      </c>
      <c r="R236" t="s">
        <v>10888</v>
      </c>
      <c r="S236" t="s">
        <v>20</v>
      </c>
    </row>
    <row r="237" spans="1:19" x14ac:dyDescent="0.45">
      <c r="A237" t="s">
        <v>505</v>
      </c>
      <c r="B237" t="s">
        <v>20</v>
      </c>
      <c r="C237" t="s">
        <v>2707</v>
      </c>
      <c r="D237" t="s">
        <v>2708</v>
      </c>
      <c r="E237" t="s">
        <v>29</v>
      </c>
      <c r="F237" t="s">
        <v>20</v>
      </c>
      <c r="G237" t="s">
        <v>23</v>
      </c>
      <c r="H237" t="s">
        <v>6467</v>
      </c>
      <c r="I237" t="s">
        <v>6621</v>
      </c>
      <c r="J237" t="s">
        <v>6622</v>
      </c>
      <c r="K237" t="s">
        <v>6623</v>
      </c>
      <c r="L237" t="s">
        <v>722</v>
      </c>
      <c r="M237" t="s">
        <v>32</v>
      </c>
      <c r="N237" t="s">
        <v>62</v>
      </c>
      <c r="O237" t="s">
        <v>34</v>
      </c>
      <c r="P237" t="s">
        <v>20</v>
      </c>
      <c r="Q237" t="s">
        <v>20</v>
      </c>
      <c r="R237" t="s">
        <v>253</v>
      </c>
      <c r="S237" t="s">
        <v>20</v>
      </c>
    </row>
    <row r="238" spans="1:19" x14ac:dyDescent="0.45">
      <c r="A238" t="s">
        <v>85</v>
      </c>
      <c r="B238" t="s">
        <v>20</v>
      </c>
      <c r="C238" t="s">
        <v>86</v>
      </c>
      <c r="D238" t="s">
        <v>87</v>
      </c>
      <c r="E238" t="s">
        <v>57</v>
      </c>
      <c r="F238" t="s">
        <v>20</v>
      </c>
      <c r="G238" t="s">
        <v>23</v>
      </c>
      <c r="H238" t="s">
        <v>88</v>
      </c>
      <c r="I238" t="s">
        <v>89</v>
      </c>
      <c r="J238" t="s">
        <v>90</v>
      </c>
      <c r="K238" t="s">
        <v>91</v>
      </c>
      <c r="L238" t="s">
        <v>43</v>
      </c>
      <c r="M238" t="s">
        <v>92</v>
      </c>
      <c r="N238" t="s">
        <v>62</v>
      </c>
      <c r="O238" t="s">
        <v>34</v>
      </c>
      <c r="P238" t="s">
        <v>20</v>
      </c>
      <c r="Q238" t="s">
        <v>20</v>
      </c>
      <c r="R238" t="s">
        <v>93</v>
      </c>
      <c r="S238" t="s">
        <v>20</v>
      </c>
    </row>
    <row r="239" spans="1:19" x14ac:dyDescent="0.45">
      <c r="A239" t="s">
        <v>85</v>
      </c>
      <c r="B239" t="s">
        <v>20</v>
      </c>
      <c r="C239" t="s">
        <v>86</v>
      </c>
      <c r="D239" t="s">
        <v>87</v>
      </c>
      <c r="E239" t="s">
        <v>21</v>
      </c>
      <c r="F239" t="s">
        <v>20</v>
      </c>
      <c r="G239" t="s">
        <v>23</v>
      </c>
      <c r="H239" t="s">
        <v>9549</v>
      </c>
      <c r="I239" t="s">
        <v>9555</v>
      </c>
      <c r="J239" t="s">
        <v>10989</v>
      </c>
      <c r="K239" t="s">
        <v>10990</v>
      </c>
      <c r="L239" t="s">
        <v>3998</v>
      </c>
      <c r="M239" t="s">
        <v>32</v>
      </c>
      <c r="N239" t="s">
        <v>33</v>
      </c>
      <c r="O239" t="s">
        <v>34</v>
      </c>
      <c r="P239" t="s">
        <v>20</v>
      </c>
      <c r="Q239" t="s">
        <v>20</v>
      </c>
      <c r="R239" t="s">
        <v>10991</v>
      </c>
      <c r="S239" t="s">
        <v>20</v>
      </c>
    </row>
    <row r="240" spans="1:19" x14ac:dyDescent="0.45">
      <c r="A240" t="s">
        <v>85</v>
      </c>
      <c r="B240" t="s">
        <v>20</v>
      </c>
      <c r="C240" t="s">
        <v>86</v>
      </c>
      <c r="D240" t="s">
        <v>87</v>
      </c>
      <c r="E240" t="s">
        <v>2487</v>
      </c>
      <c r="F240" t="s">
        <v>20</v>
      </c>
      <c r="G240" t="s">
        <v>23</v>
      </c>
      <c r="H240" t="s">
        <v>8017</v>
      </c>
      <c r="I240" t="s">
        <v>8018</v>
      </c>
      <c r="J240" t="s">
        <v>8019</v>
      </c>
      <c r="K240" t="s">
        <v>8020</v>
      </c>
      <c r="L240" t="s">
        <v>3418</v>
      </c>
      <c r="M240" t="s">
        <v>32</v>
      </c>
      <c r="N240" t="s">
        <v>62</v>
      </c>
      <c r="O240" t="s">
        <v>34</v>
      </c>
      <c r="P240" t="s">
        <v>20</v>
      </c>
      <c r="Q240" t="s">
        <v>20</v>
      </c>
      <c r="R240" t="s">
        <v>8021</v>
      </c>
      <c r="S240" t="s">
        <v>20</v>
      </c>
    </row>
    <row r="241" spans="1:19" x14ac:dyDescent="0.45">
      <c r="A241" t="s">
        <v>85</v>
      </c>
      <c r="B241" t="s">
        <v>20</v>
      </c>
      <c r="C241" t="s">
        <v>86</v>
      </c>
      <c r="D241" t="s">
        <v>87</v>
      </c>
      <c r="E241" t="s">
        <v>38</v>
      </c>
      <c r="F241" t="s">
        <v>20</v>
      </c>
      <c r="G241" t="s">
        <v>23</v>
      </c>
      <c r="H241" t="s">
        <v>1960</v>
      </c>
      <c r="I241" t="s">
        <v>1961</v>
      </c>
      <c r="J241" t="s">
        <v>1962</v>
      </c>
      <c r="K241" t="s">
        <v>514</v>
      </c>
      <c r="L241" t="s">
        <v>31</v>
      </c>
      <c r="M241" t="s">
        <v>32</v>
      </c>
      <c r="N241" t="s">
        <v>33</v>
      </c>
      <c r="O241" t="s">
        <v>34</v>
      </c>
      <c r="P241" t="s">
        <v>20</v>
      </c>
      <c r="Q241" t="s">
        <v>20</v>
      </c>
      <c r="R241" t="s">
        <v>1963</v>
      </c>
      <c r="S241" t="s">
        <v>1964</v>
      </c>
    </row>
    <row r="242" spans="1:19" x14ac:dyDescent="0.45">
      <c r="A242" t="s">
        <v>525</v>
      </c>
      <c r="B242" t="s">
        <v>20</v>
      </c>
      <c r="C242" t="s">
        <v>1326</v>
      </c>
      <c r="D242" t="s">
        <v>1327</v>
      </c>
      <c r="E242" t="s">
        <v>57</v>
      </c>
      <c r="F242" t="s">
        <v>20</v>
      </c>
      <c r="G242" t="s">
        <v>23</v>
      </c>
      <c r="H242" t="s">
        <v>1328</v>
      </c>
      <c r="I242" t="s">
        <v>1329</v>
      </c>
      <c r="J242" t="s">
        <v>1330</v>
      </c>
      <c r="K242" t="s">
        <v>1331</v>
      </c>
      <c r="L242" t="s">
        <v>43</v>
      </c>
      <c r="M242" t="s">
        <v>32</v>
      </c>
      <c r="N242" t="s">
        <v>62</v>
      </c>
      <c r="O242" t="s">
        <v>34</v>
      </c>
      <c r="P242" t="s">
        <v>20</v>
      </c>
      <c r="Q242" t="s">
        <v>20</v>
      </c>
      <c r="R242" t="s">
        <v>253</v>
      </c>
      <c r="S242" t="s">
        <v>20</v>
      </c>
    </row>
    <row r="243" spans="1:19" x14ac:dyDescent="0.45">
      <c r="A243" t="s">
        <v>139</v>
      </c>
      <c r="B243" t="s">
        <v>20</v>
      </c>
      <c r="C243" t="s">
        <v>577</v>
      </c>
      <c r="D243" t="s">
        <v>578</v>
      </c>
      <c r="E243" t="s">
        <v>2487</v>
      </c>
      <c r="F243" t="s">
        <v>20</v>
      </c>
      <c r="G243" t="s">
        <v>23</v>
      </c>
      <c r="H243" t="s">
        <v>7207</v>
      </c>
      <c r="I243" t="s">
        <v>7208</v>
      </c>
      <c r="J243" t="s">
        <v>7209</v>
      </c>
      <c r="K243" t="s">
        <v>7210</v>
      </c>
      <c r="L243" t="s">
        <v>3418</v>
      </c>
      <c r="M243" t="s">
        <v>32</v>
      </c>
      <c r="N243" t="s">
        <v>62</v>
      </c>
      <c r="O243" t="s">
        <v>34</v>
      </c>
      <c r="P243" t="s">
        <v>20</v>
      </c>
      <c r="Q243" t="s">
        <v>20</v>
      </c>
      <c r="R243" t="s">
        <v>7211</v>
      </c>
      <c r="S243" t="s">
        <v>20</v>
      </c>
    </row>
    <row r="244" spans="1:19" x14ac:dyDescent="0.45">
      <c r="A244" t="s">
        <v>139</v>
      </c>
      <c r="B244" t="s">
        <v>20</v>
      </c>
      <c r="C244" t="s">
        <v>577</v>
      </c>
      <c r="D244" t="s">
        <v>578</v>
      </c>
      <c r="E244" t="s">
        <v>57</v>
      </c>
      <c r="F244" t="s">
        <v>20</v>
      </c>
      <c r="G244" t="s">
        <v>23</v>
      </c>
      <c r="H244" t="s">
        <v>579</v>
      </c>
      <c r="I244" t="s">
        <v>580</v>
      </c>
      <c r="J244" t="s">
        <v>581</v>
      </c>
      <c r="K244" t="s">
        <v>582</v>
      </c>
      <c r="L244" t="s">
        <v>3418</v>
      </c>
      <c r="M244" t="s">
        <v>32</v>
      </c>
      <c r="N244" t="s">
        <v>62</v>
      </c>
      <c r="O244" t="s">
        <v>34</v>
      </c>
      <c r="P244" t="s">
        <v>20</v>
      </c>
      <c r="Q244" t="s">
        <v>20</v>
      </c>
      <c r="R244" t="s">
        <v>583</v>
      </c>
      <c r="S244" t="s">
        <v>20</v>
      </c>
    </row>
    <row r="245" spans="1:19" x14ac:dyDescent="0.45">
      <c r="A245" t="s">
        <v>35</v>
      </c>
      <c r="B245" t="s">
        <v>20</v>
      </c>
      <c r="C245" t="s">
        <v>1868</v>
      </c>
      <c r="D245" t="s">
        <v>1869</v>
      </c>
      <c r="E245" t="s">
        <v>38</v>
      </c>
      <c r="F245" t="s">
        <v>20</v>
      </c>
      <c r="G245" t="s">
        <v>23</v>
      </c>
      <c r="H245" t="s">
        <v>14437</v>
      </c>
      <c r="I245" t="s">
        <v>14438</v>
      </c>
      <c r="J245" t="s">
        <v>14439</v>
      </c>
      <c r="K245" t="s">
        <v>14440</v>
      </c>
      <c r="L245" t="s">
        <v>6525</v>
      </c>
      <c r="M245" t="s">
        <v>32</v>
      </c>
      <c r="N245" t="s">
        <v>62</v>
      </c>
      <c r="O245" t="s">
        <v>34</v>
      </c>
      <c r="P245" t="s">
        <v>20</v>
      </c>
      <c r="Q245" t="s">
        <v>20</v>
      </c>
      <c r="R245" t="s">
        <v>14441</v>
      </c>
      <c r="S245" t="s">
        <v>20</v>
      </c>
    </row>
    <row r="246" spans="1:19" x14ac:dyDescent="0.45">
      <c r="A246" t="s">
        <v>572</v>
      </c>
      <c r="B246" t="s">
        <v>20</v>
      </c>
      <c r="C246" t="s">
        <v>2407</v>
      </c>
      <c r="D246" t="s">
        <v>2408</v>
      </c>
      <c r="E246" t="s">
        <v>29</v>
      </c>
      <c r="F246" t="s">
        <v>20</v>
      </c>
      <c r="G246" t="s">
        <v>23</v>
      </c>
      <c r="H246" t="s">
        <v>11821</v>
      </c>
      <c r="I246" t="s">
        <v>11822</v>
      </c>
      <c r="J246" t="s">
        <v>11823</v>
      </c>
      <c r="K246" t="s">
        <v>11824</v>
      </c>
      <c r="L246" t="s">
        <v>8094</v>
      </c>
      <c r="M246" t="s">
        <v>32</v>
      </c>
      <c r="N246" t="s">
        <v>45</v>
      </c>
      <c r="O246" t="s">
        <v>34</v>
      </c>
      <c r="P246" t="s">
        <v>20</v>
      </c>
      <c r="Q246" t="s">
        <v>20</v>
      </c>
      <c r="R246" t="s">
        <v>11825</v>
      </c>
      <c r="S246" t="s">
        <v>20</v>
      </c>
    </row>
    <row r="247" spans="1:19" x14ac:dyDescent="0.45">
      <c r="A247" t="s">
        <v>943</v>
      </c>
      <c r="B247" t="s">
        <v>20</v>
      </c>
      <c r="C247" t="s">
        <v>2562</v>
      </c>
      <c r="D247" t="s">
        <v>2563</v>
      </c>
      <c r="E247" t="s">
        <v>38</v>
      </c>
      <c r="F247" t="s">
        <v>20</v>
      </c>
      <c r="G247" t="s">
        <v>23</v>
      </c>
      <c r="H247" t="s">
        <v>12495</v>
      </c>
      <c r="I247" t="s">
        <v>12496</v>
      </c>
      <c r="J247" t="s">
        <v>12497</v>
      </c>
      <c r="K247" t="s">
        <v>12498</v>
      </c>
      <c r="L247" t="s">
        <v>6524</v>
      </c>
      <c r="M247" t="s">
        <v>12431</v>
      </c>
      <c r="N247" t="s">
        <v>33</v>
      </c>
      <c r="O247" t="s">
        <v>34</v>
      </c>
      <c r="P247" t="s">
        <v>20</v>
      </c>
      <c r="Q247" t="s">
        <v>20</v>
      </c>
      <c r="R247" t="s">
        <v>12499</v>
      </c>
      <c r="S247" t="s">
        <v>20</v>
      </c>
    </row>
    <row r="248" spans="1:19" x14ac:dyDescent="0.45">
      <c r="A248" t="s">
        <v>943</v>
      </c>
      <c r="B248" t="s">
        <v>20</v>
      </c>
      <c r="C248" t="s">
        <v>2562</v>
      </c>
      <c r="D248" t="s">
        <v>2563</v>
      </c>
      <c r="E248" t="s">
        <v>29</v>
      </c>
      <c r="F248" t="s">
        <v>20</v>
      </c>
      <c r="G248" t="s">
        <v>23</v>
      </c>
      <c r="H248" t="s">
        <v>12500</v>
      </c>
      <c r="I248" t="s">
        <v>12501</v>
      </c>
      <c r="J248" t="s">
        <v>12502</v>
      </c>
      <c r="K248" t="s">
        <v>12503</v>
      </c>
      <c r="L248" t="s">
        <v>3418</v>
      </c>
      <c r="M248" t="s">
        <v>102</v>
      </c>
      <c r="N248" t="s">
        <v>146</v>
      </c>
      <c r="O248" t="s">
        <v>34</v>
      </c>
      <c r="P248" t="s">
        <v>20</v>
      </c>
      <c r="Q248" t="s">
        <v>20</v>
      </c>
      <c r="R248" t="s">
        <v>12504</v>
      </c>
      <c r="S248" t="s">
        <v>20</v>
      </c>
    </row>
    <row r="249" spans="1:19" x14ac:dyDescent="0.45">
      <c r="A249" t="s">
        <v>425</v>
      </c>
      <c r="B249" t="s">
        <v>20</v>
      </c>
      <c r="C249" t="s">
        <v>764</v>
      </c>
      <c r="D249" t="s">
        <v>765</v>
      </c>
      <c r="E249" t="s">
        <v>38</v>
      </c>
      <c r="F249" t="s">
        <v>20</v>
      </c>
      <c r="G249" t="s">
        <v>23</v>
      </c>
      <c r="H249" t="s">
        <v>1915</v>
      </c>
      <c r="I249" t="s">
        <v>1916</v>
      </c>
      <c r="J249" t="s">
        <v>1917</v>
      </c>
      <c r="K249" t="s">
        <v>1918</v>
      </c>
      <c r="L249" t="s">
        <v>209</v>
      </c>
      <c r="M249" t="s">
        <v>32</v>
      </c>
      <c r="N249" t="s">
        <v>33</v>
      </c>
      <c r="O249" t="s">
        <v>34</v>
      </c>
      <c r="P249" t="s">
        <v>20</v>
      </c>
      <c r="Q249" t="s">
        <v>20</v>
      </c>
      <c r="R249" t="s">
        <v>1919</v>
      </c>
      <c r="S249" t="s">
        <v>20</v>
      </c>
    </row>
    <row r="250" spans="1:19" x14ac:dyDescent="0.45">
      <c r="A250" t="s">
        <v>425</v>
      </c>
      <c r="B250" t="s">
        <v>20</v>
      </c>
      <c r="C250" t="s">
        <v>764</v>
      </c>
      <c r="D250" t="s">
        <v>765</v>
      </c>
      <c r="E250" t="s">
        <v>57</v>
      </c>
      <c r="F250" t="s">
        <v>20</v>
      </c>
      <c r="G250" t="s">
        <v>23</v>
      </c>
      <c r="H250" t="s">
        <v>2053</v>
      </c>
      <c r="I250" t="s">
        <v>2054</v>
      </c>
      <c r="J250" t="s">
        <v>2055</v>
      </c>
      <c r="K250" t="s">
        <v>2056</v>
      </c>
      <c r="L250" t="s">
        <v>43</v>
      </c>
      <c r="M250" t="s">
        <v>32</v>
      </c>
      <c r="N250" t="s">
        <v>62</v>
      </c>
      <c r="O250" t="s">
        <v>34</v>
      </c>
      <c r="P250" t="s">
        <v>20</v>
      </c>
      <c r="Q250" t="s">
        <v>20</v>
      </c>
      <c r="R250" t="s">
        <v>253</v>
      </c>
      <c r="S250" t="s">
        <v>20</v>
      </c>
    </row>
    <row r="251" spans="1:19" x14ac:dyDescent="0.45">
      <c r="A251" t="s">
        <v>425</v>
      </c>
      <c r="B251" t="s">
        <v>20</v>
      </c>
      <c r="C251" t="s">
        <v>764</v>
      </c>
      <c r="D251" t="s">
        <v>765</v>
      </c>
      <c r="E251" t="s">
        <v>38</v>
      </c>
      <c r="F251" t="s">
        <v>20</v>
      </c>
      <c r="G251" t="s">
        <v>23</v>
      </c>
      <c r="H251" t="s">
        <v>12742</v>
      </c>
      <c r="I251" t="s">
        <v>12743</v>
      </c>
      <c r="J251" t="s">
        <v>12744</v>
      </c>
      <c r="K251" t="s">
        <v>12745</v>
      </c>
      <c r="L251" t="s">
        <v>6524</v>
      </c>
      <c r="M251" t="s">
        <v>12431</v>
      </c>
      <c r="N251" t="s">
        <v>33</v>
      </c>
      <c r="O251" t="s">
        <v>34</v>
      </c>
      <c r="P251" t="s">
        <v>20</v>
      </c>
      <c r="Q251" t="s">
        <v>20</v>
      </c>
      <c r="R251" t="s">
        <v>12746</v>
      </c>
      <c r="S251" t="s">
        <v>20</v>
      </c>
    </row>
    <row r="252" spans="1:19" x14ac:dyDescent="0.45">
      <c r="A252" t="s">
        <v>508</v>
      </c>
      <c r="B252" t="s">
        <v>20</v>
      </c>
      <c r="C252" t="s">
        <v>2094</v>
      </c>
      <c r="D252" t="s">
        <v>2095</v>
      </c>
      <c r="E252" t="s">
        <v>57</v>
      </c>
      <c r="F252" t="s">
        <v>20</v>
      </c>
      <c r="G252" t="s">
        <v>23</v>
      </c>
      <c r="H252" t="s">
        <v>2096</v>
      </c>
      <c r="I252" t="s">
        <v>2097</v>
      </c>
      <c r="J252" t="s">
        <v>2098</v>
      </c>
      <c r="K252" t="s">
        <v>2099</v>
      </c>
      <c r="L252" t="s">
        <v>43</v>
      </c>
      <c r="M252" t="s">
        <v>32</v>
      </c>
      <c r="N252" t="s">
        <v>62</v>
      </c>
      <c r="O252" t="s">
        <v>34</v>
      </c>
      <c r="P252" t="s">
        <v>20</v>
      </c>
      <c r="Q252" t="s">
        <v>20</v>
      </c>
      <c r="R252" t="s">
        <v>253</v>
      </c>
      <c r="S252" t="s">
        <v>20</v>
      </c>
    </row>
    <row r="253" spans="1:19" x14ac:dyDescent="0.45">
      <c r="A253" t="s">
        <v>85</v>
      </c>
      <c r="B253" t="s">
        <v>20</v>
      </c>
      <c r="C253" t="s">
        <v>488</v>
      </c>
      <c r="D253" t="s">
        <v>489</v>
      </c>
      <c r="E253" t="s">
        <v>57</v>
      </c>
      <c r="F253" t="s">
        <v>20</v>
      </c>
      <c r="G253" t="s">
        <v>23</v>
      </c>
      <c r="H253" t="s">
        <v>1247</v>
      </c>
      <c r="I253" t="s">
        <v>1248</v>
      </c>
      <c r="J253" t="s">
        <v>1249</v>
      </c>
      <c r="K253" t="s">
        <v>1250</v>
      </c>
      <c r="L253" t="s">
        <v>9126</v>
      </c>
      <c r="M253" t="s">
        <v>92</v>
      </c>
      <c r="N253" t="s">
        <v>62</v>
      </c>
      <c r="O253" t="s">
        <v>34</v>
      </c>
      <c r="P253" t="s">
        <v>20</v>
      </c>
      <c r="Q253" t="s">
        <v>20</v>
      </c>
      <c r="R253" t="s">
        <v>93</v>
      </c>
      <c r="S253" t="s">
        <v>20</v>
      </c>
    </row>
    <row r="254" spans="1:19" x14ac:dyDescent="0.45">
      <c r="A254" t="s">
        <v>239</v>
      </c>
      <c r="B254" t="s">
        <v>20</v>
      </c>
      <c r="C254" t="s">
        <v>649</v>
      </c>
      <c r="D254" t="s">
        <v>650</v>
      </c>
      <c r="E254" t="s">
        <v>2487</v>
      </c>
      <c r="F254" t="s">
        <v>20</v>
      </c>
      <c r="G254" t="s">
        <v>23</v>
      </c>
      <c r="H254" t="s">
        <v>7833</v>
      </c>
      <c r="I254" t="s">
        <v>7834</v>
      </c>
      <c r="J254" t="s">
        <v>7835</v>
      </c>
      <c r="K254" t="s">
        <v>7836</v>
      </c>
      <c r="L254" t="s">
        <v>3418</v>
      </c>
      <c r="M254" t="s">
        <v>32</v>
      </c>
      <c r="N254" t="s">
        <v>62</v>
      </c>
      <c r="O254" t="s">
        <v>34</v>
      </c>
      <c r="P254" t="s">
        <v>20</v>
      </c>
      <c r="Q254" t="s">
        <v>20</v>
      </c>
      <c r="R254" t="s">
        <v>7837</v>
      </c>
      <c r="S254" t="s">
        <v>20</v>
      </c>
    </row>
    <row r="255" spans="1:19" x14ac:dyDescent="0.45">
      <c r="A255" t="s">
        <v>1598</v>
      </c>
      <c r="B255" t="s">
        <v>20</v>
      </c>
      <c r="C255" t="s">
        <v>7192</v>
      </c>
      <c r="D255" t="s">
        <v>6015</v>
      </c>
      <c r="E255" t="s">
        <v>57</v>
      </c>
      <c r="F255" t="s">
        <v>20</v>
      </c>
      <c r="G255" t="s">
        <v>23</v>
      </c>
      <c r="H255" t="s">
        <v>7193</v>
      </c>
      <c r="I255" t="s">
        <v>7194</v>
      </c>
      <c r="J255" t="s">
        <v>7195</v>
      </c>
      <c r="K255" t="s">
        <v>7196</v>
      </c>
      <c r="L255" t="s">
        <v>13871</v>
      </c>
      <c r="M255" t="s">
        <v>32</v>
      </c>
      <c r="N255" t="s">
        <v>62</v>
      </c>
      <c r="O255" t="s">
        <v>34</v>
      </c>
      <c r="P255" t="s">
        <v>20</v>
      </c>
      <c r="Q255" t="s">
        <v>20</v>
      </c>
      <c r="R255" t="s">
        <v>7070</v>
      </c>
      <c r="S255" t="s">
        <v>20</v>
      </c>
    </row>
    <row r="256" spans="1:19" x14ac:dyDescent="0.45">
      <c r="A256" t="s">
        <v>1598</v>
      </c>
      <c r="B256" t="s">
        <v>20</v>
      </c>
      <c r="C256" t="s">
        <v>7192</v>
      </c>
      <c r="D256" t="s">
        <v>6015</v>
      </c>
      <c r="E256" t="s">
        <v>38</v>
      </c>
      <c r="F256" t="s">
        <v>20</v>
      </c>
      <c r="G256" t="s">
        <v>23</v>
      </c>
      <c r="H256" t="s">
        <v>10394</v>
      </c>
      <c r="I256" t="s">
        <v>10395</v>
      </c>
      <c r="J256" t="s">
        <v>10396</v>
      </c>
      <c r="K256" t="s">
        <v>10397</v>
      </c>
      <c r="L256" t="s">
        <v>6527</v>
      </c>
      <c r="M256" t="s">
        <v>44</v>
      </c>
      <c r="N256" t="s">
        <v>119</v>
      </c>
      <c r="O256" t="s">
        <v>34</v>
      </c>
      <c r="P256" t="s">
        <v>20</v>
      </c>
      <c r="Q256" t="s">
        <v>20</v>
      </c>
      <c r="R256" t="s">
        <v>10398</v>
      </c>
      <c r="S256" t="s">
        <v>20</v>
      </c>
    </row>
    <row r="257" spans="1:19" x14ac:dyDescent="0.45">
      <c r="A257" t="s">
        <v>261</v>
      </c>
      <c r="B257" t="s">
        <v>20</v>
      </c>
      <c r="C257" t="s">
        <v>2354</v>
      </c>
      <c r="D257" t="s">
        <v>2355</v>
      </c>
      <c r="E257" t="s">
        <v>2487</v>
      </c>
      <c r="F257" t="s">
        <v>20</v>
      </c>
      <c r="G257" t="s">
        <v>23</v>
      </c>
      <c r="H257" t="s">
        <v>7061</v>
      </c>
      <c r="I257" t="s">
        <v>7062</v>
      </c>
      <c r="J257" t="s">
        <v>7063</v>
      </c>
      <c r="K257" t="s">
        <v>7064</v>
      </c>
      <c r="L257" t="s">
        <v>3418</v>
      </c>
      <c r="M257" t="s">
        <v>32</v>
      </c>
      <c r="N257" t="s">
        <v>62</v>
      </c>
      <c r="O257" t="s">
        <v>34</v>
      </c>
      <c r="P257" t="s">
        <v>20</v>
      </c>
      <c r="Q257" t="s">
        <v>20</v>
      </c>
      <c r="R257" t="s">
        <v>7065</v>
      </c>
      <c r="S257" t="s">
        <v>20</v>
      </c>
    </row>
    <row r="258" spans="1:19" x14ac:dyDescent="0.45">
      <c r="A258" t="s">
        <v>46</v>
      </c>
      <c r="B258" t="s">
        <v>20</v>
      </c>
      <c r="C258" t="s">
        <v>889</v>
      </c>
      <c r="D258" t="s">
        <v>890</v>
      </c>
      <c r="E258" t="s">
        <v>38</v>
      </c>
      <c r="F258" t="s">
        <v>20</v>
      </c>
      <c r="G258" t="s">
        <v>23</v>
      </c>
      <c r="H258" t="s">
        <v>13199</v>
      </c>
      <c r="I258" t="s">
        <v>13200</v>
      </c>
      <c r="J258" t="s">
        <v>13201</v>
      </c>
      <c r="K258" t="s">
        <v>13202</v>
      </c>
      <c r="L258" t="s">
        <v>6524</v>
      </c>
      <c r="M258" t="s">
        <v>2100</v>
      </c>
      <c r="N258" t="s">
        <v>119</v>
      </c>
      <c r="O258" t="s">
        <v>34</v>
      </c>
      <c r="P258" t="s">
        <v>20</v>
      </c>
      <c r="Q258" t="s">
        <v>20</v>
      </c>
      <c r="R258" t="s">
        <v>13203</v>
      </c>
      <c r="S258" t="s">
        <v>20</v>
      </c>
    </row>
    <row r="259" spans="1:19" x14ac:dyDescent="0.45">
      <c r="A259" t="s">
        <v>81</v>
      </c>
      <c r="B259" t="s">
        <v>20</v>
      </c>
      <c r="C259" t="s">
        <v>770</v>
      </c>
      <c r="D259" t="s">
        <v>771</v>
      </c>
      <c r="E259" t="s">
        <v>57</v>
      </c>
      <c r="F259" t="s">
        <v>20</v>
      </c>
      <c r="G259" t="s">
        <v>23</v>
      </c>
      <c r="H259" t="s">
        <v>772</v>
      </c>
      <c r="I259" t="s">
        <v>773</v>
      </c>
      <c r="J259" t="s">
        <v>774</v>
      </c>
      <c r="K259" t="s">
        <v>775</v>
      </c>
      <c r="L259" t="s">
        <v>43</v>
      </c>
      <c r="M259" t="s">
        <v>32</v>
      </c>
      <c r="N259" t="s">
        <v>62</v>
      </c>
      <c r="O259" t="s">
        <v>34</v>
      </c>
      <c r="P259" t="s">
        <v>20</v>
      </c>
      <c r="Q259" t="s">
        <v>20</v>
      </c>
      <c r="R259" t="s">
        <v>776</v>
      </c>
      <c r="S259" t="s">
        <v>20</v>
      </c>
    </row>
    <row r="260" spans="1:19" x14ac:dyDescent="0.45">
      <c r="A260" t="s">
        <v>81</v>
      </c>
      <c r="B260" t="s">
        <v>20</v>
      </c>
      <c r="C260" t="s">
        <v>770</v>
      </c>
      <c r="D260" t="s">
        <v>771</v>
      </c>
      <c r="E260" t="s">
        <v>38</v>
      </c>
      <c r="F260" t="s">
        <v>20</v>
      </c>
      <c r="G260" t="s">
        <v>23</v>
      </c>
      <c r="H260" t="s">
        <v>7651</v>
      </c>
      <c r="I260" t="s">
        <v>7652</v>
      </c>
      <c r="J260" t="s">
        <v>7653</v>
      </c>
      <c r="K260" t="s">
        <v>7654</v>
      </c>
      <c r="L260" t="s">
        <v>3998</v>
      </c>
      <c r="M260" t="s">
        <v>112</v>
      </c>
      <c r="N260" t="s">
        <v>62</v>
      </c>
      <c r="O260" t="s">
        <v>34</v>
      </c>
      <c r="P260" t="s">
        <v>20</v>
      </c>
      <c r="Q260" t="s">
        <v>20</v>
      </c>
      <c r="R260" t="s">
        <v>7050</v>
      </c>
      <c r="S260" t="s">
        <v>20</v>
      </c>
    </row>
    <row r="261" spans="1:19" x14ac:dyDescent="0.45">
      <c r="A261" t="s">
        <v>79</v>
      </c>
      <c r="B261" t="s">
        <v>20</v>
      </c>
      <c r="C261" t="s">
        <v>694</v>
      </c>
      <c r="D261" t="s">
        <v>695</v>
      </c>
      <c r="E261" t="s">
        <v>29</v>
      </c>
      <c r="F261" t="s">
        <v>20</v>
      </c>
      <c r="G261" t="s">
        <v>23</v>
      </c>
      <c r="H261" t="s">
        <v>696</v>
      </c>
      <c r="I261" t="s">
        <v>541</v>
      </c>
      <c r="J261" t="s">
        <v>697</v>
      </c>
      <c r="K261" t="s">
        <v>698</v>
      </c>
      <c r="L261" t="s">
        <v>31</v>
      </c>
      <c r="M261" t="s">
        <v>32</v>
      </c>
      <c r="N261" t="s">
        <v>33</v>
      </c>
      <c r="O261" t="s">
        <v>34</v>
      </c>
      <c r="P261" t="s">
        <v>20</v>
      </c>
      <c r="Q261" t="s">
        <v>20</v>
      </c>
      <c r="R261" t="s">
        <v>699</v>
      </c>
      <c r="S261" t="s">
        <v>20</v>
      </c>
    </row>
    <row r="262" spans="1:19" x14ac:dyDescent="0.45">
      <c r="A262" t="s">
        <v>79</v>
      </c>
      <c r="B262" t="s">
        <v>20</v>
      </c>
      <c r="C262" t="s">
        <v>694</v>
      </c>
      <c r="D262" t="s">
        <v>695</v>
      </c>
      <c r="E262" t="s">
        <v>57</v>
      </c>
      <c r="F262" t="s">
        <v>20</v>
      </c>
      <c r="G262" t="s">
        <v>23</v>
      </c>
      <c r="H262" t="s">
        <v>11436</v>
      </c>
      <c r="I262" t="s">
        <v>11437</v>
      </c>
      <c r="J262" t="s">
        <v>11438</v>
      </c>
      <c r="K262" t="s">
        <v>11439</v>
      </c>
      <c r="L262" t="s">
        <v>3418</v>
      </c>
      <c r="M262" t="s">
        <v>32</v>
      </c>
      <c r="N262" t="s">
        <v>62</v>
      </c>
      <c r="O262" t="s">
        <v>34</v>
      </c>
      <c r="P262" t="s">
        <v>20</v>
      </c>
      <c r="Q262" t="s">
        <v>20</v>
      </c>
      <c r="R262" t="s">
        <v>11440</v>
      </c>
      <c r="S262" t="s">
        <v>20</v>
      </c>
    </row>
    <row r="263" spans="1:19" x14ac:dyDescent="0.45">
      <c r="A263" t="s">
        <v>1278</v>
      </c>
      <c r="B263" t="s">
        <v>20</v>
      </c>
      <c r="C263" t="s">
        <v>2127</v>
      </c>
      <c r="D263" t="s">
        <v>2128</v>
      </c>
      <c r="E263" t="s">
        <v>38</v>
      </c>
      <c r="F263" t="s">
        <v>20</v>
      </c>
      <c r="G263" t="s">
        <v>23</v>
      </c>
      <c r="H263" t="s">
        <v>9935</v>
      </c>
      <c r="I263" t="s">
        <v>9936</v>
      </c>
      <c r="J263" t="s">
        <v>10976</v>
      </c>
      <c r="K263" t="s">
        <v>10977</v>
      </c>
      <c r="L263" t="s">
        <v>9570</v>
      </c>
      <c r="M263" t="s">
        <v>32</v>
      </c>
      <c r="N263" t="s">
        <v>33</v>
      </c>
      <c r="O263" t="s">
        <v>34</v>
      </c>
      <c r="P263" t="s">
        <v>20</v>
      </c>
      <c r="Q263" t="s">
        <v>20</v>
      </c>
      <c r="R263" t="s">
        <v>10978</v>
      </c>
      <c r="S263" t="s">
        <v>9937</v>
      </c>
    </row>
    <row r="264" spans="1:19" x14ac:dyDescent="0.45">
      <c r="A264" t="s">
        <v>1278</v>
      </c>
      <c r="B264" t="s">
        <v>20</v>
      </c>
      <c r="C264" t="s">
        <v>2127</v>
      </c>
      <c r="D264" t="s">
        <v>2128</v>
      </c>
      <c r="E264" t="s">
        <v>38</v>
      </c>
      <c r="F264" t="s">
        <v>20</v>
      </c>
      <c r="G264" t="s">
        <v>23</v>
      </c>
      <c r="H264" t="s">
        <v>2129</v>
      </c>
      <c r="I264" t="s">
        <v>2130</v>
      </c>
      <c r="J264" t="s">
        <v>2131</v>
      </c>
      <c r="K264" t="s">
        <v>953</v>
      </c>
      <c r="L264" t="s">
        <v>31</v>
      </c>
      <c r="M264" t="s">
        <v>32</v>
      </c>
      <c r="N264" t="s">
        <v>33</v>
      </c>
      <c r="O264" t="s">
        <v>34</v>
      </c>
      <c r="P264" t="s">
        <v>20</v>
      </c>
      <c r="Q264" t="s">
        <v>20</v>
      </c>
      <c r="R264" t="s">
        <v>2132</v>
      </c>
      <c r="S264" t="s">
        <v>2133</v>
      </c>
    </row>
    <row r="265" spans="1:19" x14ac:dyDescent="0.45">
      <c r="A265" t="s">
        <v>1975</v>
      </c>
      <c r="B265" t="s">
        <v>20</v>
      </c>
      <c r="C265" t="s">
        <v>2331</v>
      </c>
      <c r="D265" t="s">
        <v>2332</v>
      </c>
      <c r="E265" t="s">
        <v>38</v>
      </c>
      <c r="F265" t="s">
        <v>20</v>
      </c>
      <c r="G265" t="s">
        <v>23</v>
      </c>
      <c r="H265" t="s">
        <v>9989</v>
      </c>
      <c r="I265" t="s">
        <v>9990</v>
      </c>
      <c r="J265" t="s">
        <v>9991</v>
      </c>
      <c r="K265" t="s">
        <v>9992</v>
      </c>
      <c r="L265" t="s">
        <v>6527</v>
      </c>
      <c r="M265" t="s">
        <v>32</v>
      </c>
      <c r="N265" t="s">
        <v>45</v>
      </c>
      <c r="O265" t="s">
        <v>34</v>
      </c>
      <c r="P265" t="s">
        <v>20</v>
      </c>
      <c r="Q265" t="s">
        <v>20</v>
      </c>
      <c r="R265" t="s">
        <v>9993</v>
      </c>
      <c r="S265" t="s">
        <v>20</v>
      </c>
    </row>
    <row r="266" spans="1:19" x14ac:dyDescent="0.45">
      <c r="A266" t="s">
        <v>1975</v>
      </c>
      <c r="B266" t="s">
        <v>20</v>
      </c>
      <c r="C266" t="s">
        <v>2331</v>
      </c>
      <c r="D266" t="s">
        <v>2332</v>
      </c>
      <c r="E266" t="s">
        <v>2487</v>
      </c>
      <c r="F266" t="s">
        <v>20</v>
      </c>
      <c r="G266" t="s">
        <v>23</v>
      </c>
      <c r="H266" t="s">
        <v>7308</v>
      </c>
      <c r="I266" t="s">
        <v>7309</v>
      </c>
      <c r="J266" t="s">
        <v>7310</v>
      </c>
      <c r="K266" t="s">
        <v>7311</v>
      </c>
      <c r="L266" t="s">
        <v>3418</v>
      </c>
      <c r="M266" t="s">
        <v>32</v>
      </c>
      <c r="N266" t="s">
        <v>62</v>
      </c>
      <c r="O266" t="s">
        <v>34</v>
      </c>
      <c r="P266" t="s">
        <v>20</v>
      </c>
      <c r="Q266" t="s">
        <v>20</v>
      </c>
      <c r="R266" t="s">
        <v>7312</v>
      </c>
      <c r="S266" t="s">
        <v>20</v>
      </c>
    </row>
    <row r="267" spans="1:19" x14ac:dyDescent="0.45">
      <c r="A267" t="s">
        <v>1975</v>
      </c>
      <c r="B267" t="s">
        <v>20</v>
      </c>
      <c r="C267" t="s">
        <v>2331</v>
      </c>
      <c r="D267" t="s">
        <v>2332</v>
      </c>
      <c r="E267" t="s">
        <v>38</v>
      </c>
      <c r="F267" t="s">
        <v>20</v>
      </c>
      <c r="G267" t="s">
        <v>23</v>
      </c>
      <c r="H267" t="s">
        <v>2333</v>
      </c>
      <c r="I267" t="s">
        <v>2334</v>
      </c>
      <c r="J267" t="s">
        <v>2335</v>
      </c>
      <c r="K267" t="s">
        <v>2336</v>
      </c>
      <c r="L267" t="s">
        <v>111</v>
      </c>
      <c r="M267" t="s">
        <v>112</v>
      </c>
      <c r="N267" t="s">
        <v>113</v>
      </c>
      <c r="O267" t="s">
        <v>34</v>
      </c>
      <c r="P267" t="s">
        <v>20</v>
      </c>
      <c r="Q267" t="s">
        <v>20</v>
      </c>
      <c r="R267" t="s">
        <v>2337</v>
      </c>
      <c r="S267" t="s">
        <v>20</v>
      </c>
    </row>
    <row r="268" spans="1:19" x14ac:dyDescent="0.45">
      <c r="A268" t="s">
        <v>379</v>
      </c>
      <c r="B268" t="s">
        <v>20</v>
      </c>
      <c r="C268" t="s">
        <v>1332</v>
      </c>
      <c r="D268" t="s">
        <v>1333</v>
      </c>
      <c r="E268" t="s">
        <v>57</v>
      </c>
      <c r="F268" t="s">
        <v>20</v>
      </c>
      <c r="G268" t="s">
        <v>23</v>
      </c>
      <c r="H268" t="s">
        <v>8929</v>
      </c>
      <c r="I268" t="s">
        <v>9119</v>
      </c>
      <c r="J268" t="s">
        <v>9120</v>
      </c>
      <c r="K268" t="s">
        <v>9121</v>
      </c>
      <c r="L268" t="s">
        <v>2769</v>
      </c>
      <c r="M268" t="s">
        <v>102</v>
      </c>
      <c r="N268" t="s">
        <v>62</v>
      </c>
      <c r="O268" t="s">
        <v>34</v>
      </c>
      <c r="P268" t="s">
        <v>20</v>
      </c>
      <c r="Q268" t="s">
        <v>20</v>
      </c>
      <c r="R268" t="s">
        <v>9122</v>
      </c>
      <c r="S268" t="s">
        <v>20</v>
      </c>
    </row>
    <row r="269" spans="1:19" x14ac:dyDescent="0.45">
      <c r="A269" t="s">
        <v>1308</v>
      </c>
      <c r="B269" t="s">
        <v>20</v>
      </c>
      <c r="C269" t="s">
        <v>2284</v>
      </c>
      <c r="D269" t="s">
        <v>2285</v>
      </c>
      <c r="E269" t="s">
        <v>38</v>
      </c>
      <c r="F269" t="s">
        <v>20</v>
      </c>
      <c r="G269" t="s">
        <v>23</v>
      </c>
      <c r="H269" t="s">
        <v>2286</v>
      </c>
      <c r="I269" t="s">
        <v>2287</v>
      </c>
      <c r="J269" t="s">
        <v>2288</v>
      </c>
      <c r="K269" t="s">
        <v>1573</v>
      </c>
      <c r="L269" t="s">
        <v>31</v>
      </c>
      <c r="M269" t="s">
        <v>1391</v>
      </c>
      <c r="N269" t="s">
        <v>33</v>
      </c>
      <c r="O269" t="s">
        <v>34</v>
      </c>
      <c r="P269" t="s">
        <v>20</v>
      </c>
      <c r="Q269" t="s">
        <v>20</v>
      </c>
      <c r="R269" t="s">
        <v>2289</v>
      </c>
      <c r="S269" t="s">
        <v>2290</v>
      </c>
    </row>
    <row r="270" spans="1:19" x14ac:dyDescent="0.45">
      <c r="A270" t="s">
        <v>729</v>
      </c>
      <c r="B270" t="s">
        <v>20</v>
      </c>
      <c r="C270" t="s">
        <v>1320</v>
      </c>
      <c r="D270" t="s">
        <v>1321</v>
      </c>
      <c r="E270" t="s">
        <v>38</v>
      </c>
      <c r="F270" t="s">
        <v>20</v>
      </c>
      <c r="G270" t="s">
        <v>23</v>
      </c>
      <c r="H270" t="s">
        <v>1322</v>
      </c>
      <c r="I270" t="s">
        <v>1323</v>
      </c>
      <c r="J270" t="s">
        <v>1324</v>
      </c>
      <c r="K270" t="s">
        <v>1325</v>
      </c>
      <c r="L270" t="s">
        <v>296</v>
      </c>
      <c r="M270" t="s">
        <v>112</v>
      </c>
      <c r="N270" t="s">
        <v>62</v>
      </c>
      <c r="O270" t="s">
        <v>34</v>
      </c>
      <c r="P270" t="s">
        <v>20</v>
      </c>
      <c r="Q270" t="s">
        <v>20</v>
      </c>
      <c r="R270" t="s">
        <v>787</v>
      </c>
      <c r="S270" t="s">
        <v>20</v>
      </c>
    </row>
    <row r="271" spans="1:19" x14ac:dyDescent="0.45">
      <c r="A271" t="s">
        <v>729</v>
      </c>
      <c r="B271" t="s">
        <v>20</v>
      </c>
      <c r="C271" t="s">
        <v>1320</v>
      </c>
      <c r="D271" t="s">
        <v>1321</v>
      </c>
      <c r="E271" t="s">
        <v>57</v>
      </c>
      <c r="F271" t="s">
        <v>20</v>
      </c>
      <c r="G271" t="s">
        <v>23</v>
      </c>
      <c r="H271" t="s">
        <v>12747</v>
      </c>
      <c r="I271" t="s">
        <v>12714</v>
      </c>
      <c r="J271" t="s">
        <v>12748</v>
      </c>
      <c r="K271" t="s">
        <v>12749</v>
      </c>
      <c r="L271" t="s">
        <v>3418</v>
      </c>
      <c r="M271" t="s">
        <v>102</v>
      </c>
      <c r="N271" t="s">
        <v>62</v>
      </c>
      <c r="O271" t="s">
        <v>34</v>
      </c>
      <c r="P271" t="s">
        <v>20</v>
      </c>
      <c r="Q271" t="s">
        <v>20</v>
      </c>
      <c r="R271" t="s">
        <v>12750</v>
      </c>
      <c r="S271" t="s">
        <v>20</v>
      </c>
    </row>
    <row r="272" spans="1:19" x14ac:dyDescent="0.45">
      <c r="A272" t="s">
        <v>729</v>
      </c>
      <c r="B272" t="s">
        <v>20</v>
      </c>
      <c r="C272" t="s">
        <v>1320</v>
      </c>
      <c r="D272" t="s">
        <v>1321</v>
      </c>
      <c r="E272" t="s">
        <v>57</v>
      </c>
      <c r="F272" t="s">
        <v>20</v>
      </c>
      <c r="G272" t="s">
        <v>23</v>
      </c>
      <c r="H272" t="s">
        <v>7816</v>
      </c>
      <c r="I272" t="s">
        <v>7817</v>
      </c>
      <c r="J272" t="s">
        <v>7818</v>
      </c>
      <c r="K272" t="s">
        <v>7819</v>
      </c>
      <c r="L272" t="s">
        <v>6875</v>
      </c>
      <c r="M272" t="s">
        <v>32</v>
      </c>
      <c r="N272" t="s">
        <v>45</v>
      </c>
      <c r="O272" t="s">
        <v>34</v>
      </c>
      <c r="P272" t="s">
        <v>20</v>
      </c>
      <c r="Q272" t="s">
        <v>20</v>
      </c>
      <c r="R272" t="s">
        <v>7820</v>
      </c>
      <c r="S272" t="s">
        <v>20</v>
      </c>
    </row>
    <row r="273" spans="1:19" x14ac:dyDescent="0.45">
      <c r="A273" t="s">
        <v>310</v>
      </c>
      <c r="B273" t="s">
        <v>20</v>
      </c>
      <c r="C273" t="s">
        <v>1920</v>
      </c>
      <c r="D273" t="s">
        <v>1921</v>
      </c>
      <c r="E273" t="s">
        <v>38</v>
      </c>
      <c r="F273" t="s">
        <v>20</v>
      </c>
      <c r="G273" t="s">
        <v>23</v>
      </c>
      <c r="H273" t="s">
        <v>1922</v>
      </c>
      <c r="I273" t="s">
        <v>1923</v>
      </c>
      <c r="J273" t="s">
        <v>1924</v>
      </c>
      <c r="K273" t="s">
        <v>1925</v>
      </c>
      <c r="L273" t="s">
        <v>101</v>
      </c>
      <c r="M273" t="s">
        <v>112</v>
      </c>
      <c r="N273" t="s">
        <v>62</v>
      </c>
      <c r="O273" t="s">
        <v>34</v>
      </c>
      <c r="P273" t="s">
        <v>20</v>
      </c>
      <c r="Q273" t="s">
        <v>20</v>
      </c>
      <c r="R273" t="s">
        <v>313</v>
      </c>
      <c r="S273" t="s">
        <v>20</v>
      </c>
    </row>
    <row r="274" spans="1:19" x14ac:dyDescent="0.45">
      <c r="A274" t="s">
        <v>261</v>
      </c>
      <c r="B274" t="s">
        <v>20</v>
      </c>
      <c r="C274" t="s">
        <v>2391</v>
      </c>
      <c r="D274" t="s">
        <v>2392</v>
      </c>
      <c r="E274" t="s">
        <v>2487</v>
      </c>
      <c r="F274" t="s">
        <v>20</v>
      </c>
      <c r="G274" t="s">
        <v>23</v>
      </c>
      <c r="H274" t="s">
        <v>7150</v>
      </c>
      <c r="I274" t="s">
        <v>7151</v>
      </c>
      <c r="J274" t="s">
        <v>7152</v>
      </c>
      <c r="K274" t="s">
        <v>7153</v>
      </c>
      <c r="L274" t="s">
        <v>3418</v>
      </c>
      <c r="M274" t="s">
        <v>32</v>
      </c>
      <c r="N274" t="s">
        <v>62</v>
      </c>
      <c r="O274" t="s">
        <v>34</v>
      </c>
      <c r="P274" t="s">
        <v>20</v>
      </c>
      <c r="Q274" t="s">
        <v>20</v>
      </c>
      <c r="R274" t="s">
        <v>7154</v>
      </c>
      <c r="S274" t="s">
        <v>20</v>
      </c>
    </row>
    <row r="275" spans="1:19" x14ac:dyDescent="0.45">
      <c r="A275" t="s">
        <v>261</v>
      </c>
      <c r="B275" t="s">
        <v>20</v>
      </c>
      <c r="C275" t="s">
        <v>2391</v>
      </c>
      <c r="D275" t="s">
        <v>2392</v>
      </c>
      <c r="E275" t="s">
        <v>57</v>
      </c>
      <c r="F275" t="s">
        <v>20</v>
      </c>
      <c r="G275" t="s">
        <v>23</v>
      </c>
      <c r="H275" t="s">
        <v>2393</v>
      </c>
      <c r="I275" t="s">
        <v>2394</v>
      </c>
      <c r="J275" t="s">
        <v>2395</v>
      </c>
      <c r="K275" t="s">
        <v>2396</v>
      </c>
      <c r="L275" t="s">
        <v>43</v>
      </c>
      <c r="M275" t="s">
        <v>32</v>
      </c>
      <c r="N275" t="s">
        <v>62</v>
      </c>
      <c r="O275" t="s">
        <v>34</v>
      </c>
      <c r="P275" t="s">
        <v>20</v>
      </c>
      <c r="Q275" t="s">
        <v>20</v>
      </c>
      <c r="R275" t="s">
        <v>268</v>
      </c>
      <c r="S275" t="s">
        <v>20</v>
      </c>
    </row>
    <row r="276" spans="1:19" x14ac:dyDescent="0.45">
      <c r="A276" t="s">
        <v>261</v>
      </c>
      <c r="B276" t="s">
        <v>20</v>
      </c>
      <c r="C276" t="s">
        <v>2391</v>
      </c>
      <c r="D276" t="s">
        <v>2392</v>
      </c>
      <c r="E276" t="s">
        <v>38</v>
      </c>
      <c r="F276" t="s">
        <v>20</v>
      </c>
      <c r="G276" t="s">
        <v>23</v>
      </c>
      <c r="H276" t="s">
        <v>14442</v>
      </c>
      <c r="I276" t="s">
        <v>14443</v>
      </c>
      <c r="J276" t="s">
        <v>14444</v>
      </c>
      <c r="K276" t="s">
        <v>14445</v>
      </c>
      <c r="L276" t="s">
        <v>6525</v>
      </c>
      <c r="M276" t="s">
        <v>12446</v>
      </c>
      <c r="N276" t="s">
        <v>146</v>
      </c>
      <c r="O276" t="s">
        <v>34</v>
      </c>
      <c r="P276" t="s">
        <v>20</v>
      </c>
      <c r="Q276" t="s">
        <v>20</v>
      </c>
      <c r="R276" t="s">
        <v>14446</v>
      </c>
      <c r="S276" t="s">
        <v>20</v>
      </c>
    </row>
    <row r="277" spans="1:19" x14ac:dyDescent="0.45">
      <c r="A277" t="s">
        <v>508</v>
      </c>
      <c r="B277" t="s">
        <v>20</v>
      </c>
      <c r="C277" t="s">
        <v>509</v>
      </c>
      <c r="D277" t="s">
        <v>510</v>
      </c>
      <c r="E277" t="s">
        <v>38</v>
      </c>
      <c r="F277" t="s">
        <v>20</v>
      </c>
      <c r="G277" t="s">
        <v>23</v>
      </c>
      <c r="H277" t="s">
        <v>10440</v>
      </c>
      <c r="I277" t="s">
        <v>10441</v>
      </c>
      <c r="J277" t="s">
        <v>10442</v>
      </c>
      <c r="K277" t="s">
        <v>10443</v>
      </c>
      <c r="L277" t="s">
        <v>3418</v>
      </c>
      <c r="M277" t="s">
        <v>44</v>
      </c>
      <c r="N277" t="s">
        <v>195</v>
      </c>
      <c r="O277" t="s">
        <v>34</v>
      </c>
      <c r="P277" t="s">
        <v>20</v>
      </c>
      <c r="Q277" t="s">
        <v>20</v>
      </c>
      <c r="R277" t="s">
        <v>10444</v>
      </c>
      <c r="S277" t="s">
        <v>20</v>
      </c>
    </row>
    <row r="278" spans="1:19" x14ac:dyDescent="0.45">
      <c r="A278" t="s">
        <v>508</v>
      </c>
      <c r="B278" t="s">
        <v>20</v>
      </c>
      <c r="C278" t="s">
        <v>509</v>
      </c>
      <c r="D278" t="s">
        <v>510</v>
      </c>
      <c r="E278" t="s">
        <v>2487</v>
      </c>
      <c r="F278" t="s">
        <v>20</v>
      </c>
      <c r="G278" t="s">
        <v>23</v>
      </c>
      <c r="H278" t="s">
        <v>7734</v>
      </c>
      <c r="I278" t="s">
        <v>7735</v>
      </c>
      <c r="J278" t="s">
        <v>7736</v>
      </c>
      <c r="K278" t="s">
        <v>7737</v>
      </c>
      <c r="L278" t="s">
        <v>3418</v>
      </c>
      <c r="M278" t="s">
        <v>6932</v>
      </c>
      <c r="N278" t="s">
        <v>62</v>
      </c>
      <c r="O278" t="s">
        <v>34</v>
      </c>
      <c r="P278" t="s">
        <v>20</v>
      </c>
      <c r="Q278" t="s">
        <v>20</v>
      </c>
      <c r="R278" t="s">
        <v>7738</v>
      </c>
      <c r="S278" t="s">
        <v>20</v>
      </c>
    </row>
    <row r="279" spans="1:19" x14ac:dyDescent="0.45">
      <c r="A279" t="s">
        <v>1598</v>
      </c>
      <c r="B279" t="s">
        <v>20</v>
      </c>
      <c r="C279" t="s">
        <v>6890</v>
      </c>
      <c r="D279" t="s">
        <v>6052</v>
      </c>
      <c r="E279" t="s">
        <v>57</v>
      </c>
      <c r="F279" t="s">
        <v>20</v>
      </c>
      <c r="G279" t="s">
        <v>23</v>
      </c>
      <c r="H279" t="s">
        <v>7066</v>
      </c>
      <c r="I279" t="s">
        <v>7067</v>
      </c>
      <c r="J279" t="s">
        <v>7068</v>
      </c>
      <c r="K279" t="s">
        <v>7069</v>
      </c>
      <c r="L279" t="s">
        <v>13871</v>
      </c>
      <c r="M279" t="s">
        <v>32</v>
      </c>
      <c r="N279" t="s">
        <v>62</v>
      </c>
      <c r="O279" t="s">
        <v>34</v>
      </c>
      <c r="P279" t="s">
        <v>20</v>
      </c>
      <c r="Q279" t="s">
        <v>20</v>
      </c>
      <c r="R279" t="s">
        <v>7070</v>
      </c>
      <c r="S279" t="s">
        <v>20</v>
      </c>
    </row>
    <row r="280" spans="1:19" x14ac:dyDescent="0.45">
      <c r="A280" t="s">
        <v>1598</v>
      </c>
      <c r="B280" t="s">
        <v>20</v>
      </c>
      <c r="C280" t="s">
        <v>6890</v>
      </c>
      <c r="D280" t="s">
        <v>6052</v>
      </c>
      <c r="E280" t="s">
        <v>38</v>
      </c>
      <c r="F280" t="s">
        <v>20</v>
      </c>
      <c r="G280" t="s">
        <v>23</v>
      </c>
      <c r="H280" t="s">
        <v>6895</v>
      </c>
      <c r="I280" t="s">
        <v>6896</v>
      </c>
      <c r="J280" t="s">
        <v>11088</v>
      </c>
      <c r="K280" t="s">
        <v>11089</v>
      </c>
      <c r="L280" t="s">
        <v>13871</v>
      </c>
      <c r="M280" t="s">
        <v>32</v>
      </c>
      <c r="N280" t="s">
        <v>33</v>
      </c>
      <c r="O280" t="s">
        <v>34</v>
      </c>
      <c r="P280" t="s">
        <v>20</v>
      </c>
      <c r="Q280" t="s">
        <v>20</v>
      </c>
      <c r="R280" t="s">
        <v>11090</v>
      </c>
      <c r="S280" t="s">
        <v>6897</v>
      </c>
    </row>
    <row r="281" spans="1:19" x14ac:dyDescent="0.45">
      <c r="A281" t="s">
        <v>120</v>
      </c>
      <c r="B281" t="s">
        <v>20</v>
      </c>
      <c r="C281" t="s">
        <v>1695</v>
      </c>
      <c r="D281" t="s">
        <v>1696</v>
      </c>
      <c r="E281" t="s">
        <v>57</v>
      </c>
      <c r="F281" t="s">
        <v>20</v>
      </c>
      <c r="G281" t="s">
        <v>23</v>
      </c>
      <c r="H281" t="s">
        <v>11265</v>
      </c>
      <c r="I281" t="s">
        <v>11266</v>
      </c>
      <c r="J281" t="s">
        <v>11267</v>
      </c>
      <c r="K281" t="s">
        <v>11268</v>
      </c>
      <c r="L281" t="s">
        <v>3418</v>
      </c>
      <c r="M281" t="s">
        <v>32</v>
      </c>
      <c r="N281" t="s">
        <v>62</v>
      </c>
      <c r="O281" t="s">
        <v>34</v>
      </c>
      <c r="P281" t="s">
        <v>20</v>
      </c>
      <c r="Q281" t="s">
        <v>20</v>
      </c>
      <c r="R281" t="s">
        <v>11269</v>
      </c>
      <c r="S281" t="s">
        <v>20</v>
      </c>
    </row>
    <row r="282" spans="1:19" x14ac:dyDescent="0.45">
      <c r="A282" t="s">
        <v>592</v>
      </c>
      <c r="B282" t="s">
        <v>20</v>
      </c>
      <c r="C282" t="s">
        <v>1708</v>
      </c>
      <c r="D282" t="s">
        <v>1709</v>
      </c>
      <c r="E282" t="s">
        <v>38</v>
      </c>
      <c r="F282" t="s">
        <v>20</v>
      </c>
      <c r="G282" t="s">
        <v>23</v>
      </c>
      <c r="H282" t="s">
        <v>1710</v>
      </c>
      <c r="I282" t="s">
        <v>1711</v>
      </c>
      <c r="J282" t="s">
        <v>1712</v>
      </c>
      <c r="K282" t="s">
        <v>1713</v>
      </c>
      <c r="L282" t="s">
        <v>2769</v>
      </c>
      <c r="M282" t="s">
        <v>1498</v>
      </c>
      <c r="N282" t="s">
        <v>45</v>
      </c>
      <c r="O282" t="s">
        <v>34</v>
      </c>
      <c r="P282" t="s">
        <v>20</v>
      </c>
      <c r="Q282" t="s">
        <v>20</v>
      </c>
      <c r="R282" t="s">
        <v>1714</v>
      </c>
      <c r="S282" t="s">
        <v>1715</v>
      </c>
    </row>
    <row r="283" spans="1:19" x14ac:dyDescent="0.45">
      <c r="A283" t="s">
        <v>592</v>
      </c>
      <c r="B283" t="s">
        <v>20</v>
      </c>
      <c r="C283" t="s">
        <v>1708</v>
      </c>
      <c r="D283" t="s">
        <v>1709</v>
      </c>
      <c r="E283" t="s">
        <v>38</v>
      </c>
      <c r="F283" t="s">
        <v>20</v>
      </c>
      <c r="G283" t="s">
        <v>23</v>
      </c>
      <c r="H283" t="s">
        <v>12159</v>
      </c>
      <c r="I283" t="s">
        <v>12160</v>
      </c>
      <c r="J283" t="s">
        <v>12505</v>
      </c>
      <c r="K283" t="s">
        <v>12506</v>
      </c>
      <c r="L283" t="s">
        <v>6524</v>
      </c>
      <c r="M283" t="s">
        <v>12431</v>
      </c>
      <c r="N283" t="s">
        <v>33</v>
      </c>
      <c r="O283" t="s">
        <v>34</v>
      </c>
      <c r="P283" t="s">
        <v>20</v>
      </c>
      <c r="Q283" t="s">
        <v>20</v>
      </c>
      <c r="R283" t="s">
        <v>12507</v>
      </c>
      <c r="S283" t="s">
        <v>12161</v>
      </c>
    </row>
    <row r="284" spans="1:19" x14ac:dyDescent="0.45">
      <c r="A284" t="s">
        <v>81</v>
      </c>
      <c r="B284" t="s">
        <v>20</v>
      </c>
      <c r="C284" t="s">
        <v>82</v>
      </c>
      <c r="D284" t="s">
        <v>83</v>
      </c>
      <c r="E284" t="s">
        <v>38</v>
      </c>
      <c r="F284" t="s">
        <v>20</v>
      </c>
      <c r="G284" t="s">
        <v>23</v>
      </c>
      <c r="H284" t="s">
        <v>12511</v>
      </c>
      <c r="I284" t="s">
        <v>12512</v>
      </c>
      <c r="J284" t="s">
        <v>12513</v>
      </c>
      <c r="K284" t="s">
        <v>12514</v>
      </c>
      <c r="L284" t="s">
        <v>6524</v>
      </c>
      <c r="M284" t="s">
        <v>12431</v>
      </c>
      <c r="N284" t="s">
        <v>33</v>
      </c>
      <c r="O284" t="s">
        <v>34</v>
      </c>
      <c r="P284" t="s">
        <v>20</v>
      </c>
      <c r="Q284" t="s">
        <v>20</v>
      </c>
      <c r="R284" t="s">
        <v>12515</v>
      </c>
      <c r="S284" t="s">
        <v>12516</v>
      </c>
    </row>
    <row r="285" spans="1:19" x14ac:dyDescent="0.45">
      <c r="A285" t="s">
        <v>81</v>
      </c>
      <c r="B285" t="s">
        <v>20</v>
      </c>
      <c r="C285" t="s">
        <v>82</v>
      </c>
      <c r="D285" t="s">
        <v>83</v>
      </c>
      <c r="E285" t="s">
        <v>57</v>
      </c>
      <c r="F285" t="s">
        <v>20</v>
      </c>
      <c r="G285" t="s">
        <v>23</v>
      </c>
      <c r="H285" t="s">
        <v>2427</v>
      </c>
      <c r="I285" t="s">
        <v>2428</v>
      </c>
      <c r="J285" t="s">
        <v>2429</v>
      </c>
      <c r="K285" t="s">
        <v>2430</v>
      </c>
      <c r="L285" t="s">
        <v>43</v>
      </c>
      <c r="M285" t="s">
        <v>32</v>
      </c>
      <c r="N285" t="s">
        <v>62</v>
      </c>
      <c r="O285" t="s">
        <v>34</v>
      </c>
      <c r="P285" t="s">
        <v>20</v>
      </c>
      <c r="Q285" t="s">
        <v>20</v>
      </c>
      <c r="R285" t="s">
        <v>2431</v>
      </c>
      <c r="S285" t="s">
        <v>20</v>
      </c>
    </row>
    <row r="286" spans="1:19" x14ac:dyDescent="0.45">
      <c r="A286" t="s">
        <v>81</v>
      </c>
      <c r="B286" t="s">
        <v>20</v>
      </c>
      <c r="C286" t="s">
        <v>82</v>
      </c>
      <c r="D286" t="s">
        <v>83</v>
      </c>
      <c r="E286" t="s">
        <v>38</v>
      </c>
      <c r="F286" t="s">
        <v>20</v>
      </c>
      <c r="G286" t="s">
        <v>23</v>
      </c>
      <c r="H286" t="s">
        <v>9027</v>
      </c>
      <c r="I286" t="s">
        <v>9058</v>
      </c>
      <c r="J286" t="s">
        <v>10850</v>
      </c>
      <c r="K286" t="s">
        <v>10851</v>
      </c>
      <c r="L286" t="s">
        <v>8109</v>
      </c>
      <c r="M286" t="s">
        <v>32</v>
      </c>
      <c r="N286" t="s">
        <v>33</v>
      </c>
      <c r="O286" t="s">
        <v>34</v>
      </c>
      <c r="P286" t="s">
        <v>20</v>
      </c>
      <c r="Q286" t="s">
        <v>20</v>
      </c>
      <c r="R286" t="s">
        <v>10852</v>
      </c>
      <c r="S286" t="s">
        <v>9059</v>
      </c>
    </row>
    <row r="287" spans="1:19" x14ac:dyDescent="0.45">
      <c r="A287" t="s">
        <v>231</v>
      </c>
      <c r="B287" t="s">
        <v>20</v>
      </c>
      <c r="C287" t="s">
        <v>963</v>
      </c>
      <c r="D287" t="s">
        <v>964</v>
      </c>
      <c r="E287" t="s">
        <v>57</v>
      </c>
      <c r="F287" t="s">
        <v>20</v>
      </c>
      <c r="G287" t="s">
        <v>23</v>
      </c>
      <c r="H287" t="s">
        <v>11481</v>
      </c>
      <c r="I287" t="s">
        <v>11482</v>
      </c>
      <c r="J287" t="s">
        <v>11483</v>
      </c>
      <c r="K287" t="s">
        <v>11484</v>
      </c>
      <c r="L287" t="s">
        <v>3418</v>
      </c>
      <c r="M287" t="s">
        <v>32</v>
      </c>
      <c r="N287" t="s">
        <v>62</v>
      </c>
      <c r="O287" t="s">
        <v>34</v>
      </c>
      <c r="P287" t="s">
        <v>20</v>
      </c>
      <c r="Q287" t="s">
        <v>20</v>
      </c>
      <c r="R287" t="s">
        <v>11485</v>
      </c>
      <c r="S287" t="s">
        <v>20</v>
      </c>
    </row>
    <row r="288" spans="1:19" x14ac:dyDescent="0.45">
      <c r="A288" t="s">
        <v>71</v>
      </c>
      <c r="B288" t="s">
        <v>20</v>
      </c>
      <c r="C288" t="s">
        <v>4065</v>
      </c>
      <c r="D288" t="s">
        <v>4066</v>
      </c>
      <c r="E288" t="s">
        <v>38</v>
      </c>
      <c r="F288" t="s">
        <v>20</v>
      </c>
      <c r="G288" t="s">
        <v>23</v>
      </c>
      <c r="H288" t="s">
        <v>12517</v>
      </c>
      <c r="I288" t="s">
        <v>12518</v>
      </c>
      <c r="J288" t="s">
        <v>12519</v>
      </c>
      <c r="K288" t="s">
        <v>12520</v>
      </c>
      <c r="L288" t="s">
        <v>3418</v>
      </c>
      <c r="M288" t="s">
        <v>12431</v>
      </c>
      <c r="N288" t="s">
        <v>33</v>
      </c>
      <c r="O288" t="s">
        <v>34</v>
      </c>
      <c r="P288" t="s">
        <v>20</v>
      </c>
      <c r="Q288" t="s">
        <v>20</v>
      </c>
      <c r="R288" t="s">
        <v>12521</v>
      </c>
      <c r="S288" t="s">
        <v>20</v>
      </c>
    </row>
    <row r="289" spans="1:19" x14ac:dyDescent="0.45">
      <c r="A289" t="s">
        <v>6989</v>
      </c>
      <c r="B289" t="s">
        <v>20</v>
      </c>
      <c r="C289" t="s">
        <v>850</v>
      </c>
      <c r="D289" t="s">
        <v>851</v>
      </c>
      <c r="E289" t="s">
        <v>57</v>
      </c>
      <c r="F289" t="s">
        <v>20</v>
      </c>
      <c r="G289" t="s">
        <v>23</v>
      </c>
      <c r="H289" t="s">
        <v>852</v>
      </c>
      <c r="I289" t="s">
        <v>853</v>
      </c>
      <c r="J289" t="s">
        <v>854</v>
      </c>
      <c r="K289" t="s">
        <v>855</v>
      </c>
      <c r="L289" t="s">
        <v>2769</v>
      </c>
      <c r="M289" t="s">
        <v>32</v>
      </c>
      <c r="N289" t="s">
        <v>62</v>
      </c>
      <c r="O289" t="s">
        <v>34</v>
      </c>
      <c r="P289" t="s">
        <v>20</v>
      </c>
      <c r="Q289" t="s">
        <v>20</v>
      </c>
      <c r="R289" t="s">
        <v>856</v>
      </c>
      <c r="S289" t="s">
        <v>20</v>
      </c>
    </row>
    <row r="290" spans="1:19" x14ac:dyDescent="0.45">
      <c r="A290" t="s">
        <v>187</v>
      </c>
      <c r="B290" t="s">
        <v>20</v>
      </c>
      <c r="C290" t="s">
        <v>188</v>
      </c>
      <c r="D290" t="s">
        <v>189</v>
      </c>
      <c r="E290" t="s">
        <v>38</v>
      </c>
      <c r="F290" t="s">
        <v>20</v>
      </c>
      <c r="G290" t="s">
        <v>23</v>
      </c>
      <c r="H290" t="s">
        <v>190</v>
      </c>
      <c r="I290" t="s">
        <v>191</v>
      </c>
      <c r="J290" t="s">
        <v>192</v>
      </c>
      <c r="K290" t="s">
        <v>193</v>
      </c>
      <c r="L290" t="s">
        <v>6521</v>
      </c>
      <c r="M290" t="s">
        <v>112</v>
      </c>
      <c r="N290" t="s">
        <v>195</v>
      </c>
      <c r="O290" t="s">
        <v>34</v>
      </c>
      <c r="P290" t="s">
        <v>20</v>
      </c>
      <c r="Q290" t="s">
        <v>20</v>
      </c>
      <c r="R290" t="s">
        <v>196</v>
      </c>
      <c r="S290" t="s">
        <v>20</v>
      </c>
    </row>
    <row r="291" spans="1:19" x14ac:dyDescent="0.45">
      <c r="A291" t="s">
        <v>173</v>
      </c>
      <c r="B291" t="s">
        <v>20</v>
      </c>
      <c r="C291" t="s">
        <v>2647</v>
      </c>
      <c r="D291" t="s">
        <v>2648</v>
      </c>
      <c r="E291" t="s">
        <v>38</v>
      </c>
      <c r="F291" t="s">
        <v>20</v>
      </c>
      <c r="G291" t="s">
        <v>23</v>
      </c>
      <c r="H291" t="s">
        <v>2649</v>
      </c>
      <c r="I291" t="s">
        <v>2650</v>
      </c>
      <c r="J291" t="s">
        <v>2651</v>
      </c>
      <c r="K291" t="s">
        <v>2652</v>
      </c>
      <c r="L291" t="s">
        <v>6513</v>
      </c>
      <c r="M291" t="s">
        <v>102</v>
      </c>
      <c r="N291" t="s">
        <v>62</v>
      </c>
      <c r="O291" t="s">
        <v>34</v>
      </c>
      <c r="P291" t="s">
        <v>20</v>
      </c>
      <c r="Q291" t="s">
        <v>20</v>
      </c>
      <c r="R291" t="s">
        <v>836</v>
      </c>
      <c r="S291" t="s">
        <v>20</v>
      </c>
    </row>
    <row r="292" spans="1:19" x14ac:dyDescent="0.45">
      <c r="A292" t="s">
        <v>173</v>
      </c>
      <c r="B292" t="s">
        <v>20</v>
      </c>
      <c r="C292" t="s">
        <v>2647</v>
      </c>
      <c r="D292" t="s">
        <v>2648</v>
      </c>
      <c r="E292" t="s">
        <v>38</v>
      </c>
      <c r="F292" t="s">
        <v>20</v>
      </c>
      <c r="G292" t="s">
        <v>23</v>
      </c>
      <c r="H292" t="s">
        <v>7924</v>
      </c>
      <c r="I292" t="s">
        <v>7925</v>
      </c>
      <c r="J292" t="s">
        <v>7926</v>
      </c>
      <c r="K292" t="s">
        <v>7927</v>
      </c>
      <c r="L292" t="s">
        <v>6521</v>
      </c>
      <c r="M292" t="s">
        <v>112</v>
      </c>
      <c r="N292" t="s">
        <v>146</v>
      </c>
      <c r="O292" t="s">
        <v>34</v>
      </c>
      <c r="P292" t="s">
        <v>20</v>
      </c>
      <c r="Q292" t="s">
        <v>20</v>
      </c>
      <c r="R292" t="s">
        <v>7928</v>
      </c>
      <c r="S292" t="s">
        <v>20</v>
      </c>
    </row>
    <row r="293" spans="1:19" x14ac:dyDescent="0.45">
      <c r="A293" t="s">
        <v>572</v>
      </c>
      <c r="B293" t="s">
        <v>20</v>
      </c>
      <c r="C293" t="s">
        <v>4376</v>
      </c>
      <c r="D293" t="s">
        <v>4377</v>
      </c>
      <c r="E293" t="s">
        <v>38</v>
      </c>
      <c r="F293" t="s">
        <v>20</v>
      </c>
      <c r="G293" t="s">
        <v>23</v>
      </c>
      <c r="H293" t="s">
        <v>6849</v>
      </c>
      <c r="I293" t="s">
        <v>6850</v>
      </c>
      <c r="J293" t="s">
        <v>10282</v>
      </c>
      <c r="K293" t="s">
        <v>10283</v>
      </c>
      <c r="L293" t="s">
        <v>3418</v>
      </c>
      <c r="M293" t="s">
        <v>32</v>
      </c>
      <c r="N293" t="s">
        <v>9484</v>
      </c>
      <c r="O293" t="s">
        <v>34</v>
      </c>
      <c r="P293" t="s">
        <v>6524</v>
      </c>
      <c r="Q293" t="s">
        <v>20</v>
      </c>
      <c r="R293" t="s">
        <v>10284</v>
      </c>
      <c r="S293" t="s">
        <v>20</v>
      </c>
    </row>
    <row r="294" spans="1:19" x14ac:dyDescent="0.45">
      <c r="A294" t="s">
        <v>379</v>
      </c>
      <c r="B294" t="s">
        <v>20</v>
      </c>
      <c r="C294" t="s">
        <v>1930</v>
      </c>
      <c r="D294" t="s">
        <v>1931</v>
      </c>
      <c r="E294" t="s">
        <v>38</v>
      </c>
      <c r="F294" t="s">
        <v>20</v>
      </c>
      <c r="G294" t="s">
        <v>23</v>
      </c>
      <c r="H294" t="s">
        <v>12531</v>
      </c>
      <c r="I294" t="s">
        <v>12532</v>
      </c>
      <c r="J294" t="s">
        <v>20</v>
      </c>
      <c r="K294" t="s">
        <v>12533</v>
      </c>
      <c r="L294" t="s">
        <v>3418</v>
      </c>
      <c r="M294" t="s">
        <v>12431</v>
      </c>
      <c r="N294" t="s">
        <v>33</v>
      </c>
      <c r="O294" t="s">
        <v>34</v>
      </c>
      <c r="P294" t="s">
        <v>20</v>
      </c>
      <c r="Q294" t="s">
        <v>20</v>
      </c>
      <c r="R294" t="s">
        <v>20</v>
      </c>
      <c r="S294" t="s">
        <v>12534</v>
      </c>
    </row>
    <row r="295" spans="1:19" x14ac:dyDescent="0.45">
      <c r="A295" t="s">
        <v>809</v>
      </c>
      <c r="B295" t="s">
        <v>20</v>
      </c>
      <c r="C295" t="s">
        <v>1177</v>
      </c>
      <c r="D295" t="s">
        <v>1178</v>
      </c>
      <c r="E295" t="s">
        <v>38</v>
      </c>
      <c r="F295" t="s">
        <v>20</v>
      </c>
      <c r="G295" t="s">
        <v>23</v>
      </c>
      <c r="H295" t="s">
        <v>1179</v>
      </c>
      <c r="I295" t="s">
        <v>1180</v>
      </c>
      <c r="J295" t="s">
        <v>1181</v>
      </c>
      <c r="K295" t="s">
        <v>1182</v>
      </c>
      <c r="L295" t="s">
        <v>31</v>
      </c>
      <c r="M295" t="s">
        <v>32</v>
      </c>
      <c r="N295" t="s">
        <v>33</v>
      </c>
      <c r="O295" t="s">
        <v>34</v>
      </c>
      <c r="P295" t="s">
        <v>20</v>
      </c>
      <c r="Q295" t="s">
        <v>20</v>
      </c>
      <c r="R295" t="s">
        <v>1183</v>
      </c>
      <c r="S295" t="s">
        <v>1184</v>
      </c>
    </row>
    <row r="296" spans="1:19" x14ac:dyDescent="0.45">
      <c r="A296" t="s">
        <v>715</v>
      </c>
      <c r="B296" t="s">
        <v>20</v>
      </c>
      <c r="C296" t="s">
        <v>4459</v>
      </c>
      <c r="D296" t="s">
        <v>4460</v>
      </c>
      <c r="E296" t="s">
        <v>38</v>
      </c>
      <c r="F296" t="s">
        <v>20</v>
      </c>
      <c r="G296" t="s">
        <v>23</v>
      </c>
      <c r="H296" t="s">
        <v>11811</v>
      </c>
      <c r="I296" t="s">
        <v>11812</v>
      </c>
      <c r="J296" t="s">
        <v>11813</v>
      </c>
      <c r="K296" t="s">
        <v>11814</v>
      </c>
      <c r="L296" t="s">
        <v>3998</v>
      </c>
      <c r="M296" t="s">
        <v>112</v>
      </c>
      <c r="N296" t="s">
        <v>146</v>
      </c>
      <c r="O296" t="s">
        <v>34</v>
      </c>
      <c r="P296" t="s">
        <v>20</v>
      </c>
      <c r="Q296" t="s">
        <v>20</v>
      </c>
      <c r="R296" t="s">
        <v>11815</v>
      </c>
      <c r="S296" t="s">
        <v>20</v>
      </c>
    </row>
    <row r="297" spans="1:19" x14ac:dyDescent="0.45">
      <c r="A297" t="s">
        <v>425</v>
      </c>
      <c r="B297" t="s">
        <v>20</v>
      </c>
      <c r="C297" t="s">
        <v>1799</v>
      </c>
      <c r="D297" t="s">
        <v>1800</v>
      </c>
      <c r="E297" t="s">
        <v>57</v>
      </c>
      <c r="F297" t="s">
        <v>20</v>
      </c>
      <c r="G297" t="s">
        <v>23</v>
      </c>
      <c r="H297" t="s">
        <v>1801</v>
      </c>
      <c r="I297" t="s">
        <v>1802</v>
      </c>
      <c r="J297" t="s">
        <v>1803</v>
      </c>
      <c r="K297" t="s">
        <v>1804</v>
      </c>
      <c r="L297" t="s">
        <v>43</v>
      </c>
      <c r="M297" t="s">
        <v>32</v>
      </c>
      <c r="N297" t="s">
        <v>62</v>
      </c>
      <c r="O297" t="s">
        <v>34</v>
      </c>
      <c r="P297" t="s">
        <v>20</v>
      </c>
      <c r="Q297" t="s">
        <v>20</v>
      </c>
      <c r="R297" t="s">
        <v>253</v>
      </c>
      <c r="S297" t="s">
        <v>20</v>
      </c>
    </row>
    <row r="298" spans="1:19" x14ac:dyDescent="0.45">
      <c r="A298" t="s">
        <v>71</v>
      </c>
      <c r="B298" t="s">
        <v>20</v>
      </c>
      <c r="C298" t="s">
        <v>3453</v>
      </c>
      <c r="D298" t="s">
        <v>3454</v>
      </c>
      <c r="E298" t="s">
        <v>38</v>
      </c>
      <c r="F298" t="s">
        <v>20</v>
      </c>
      <c r="G298" t="s">
        <v>23</v>
      </c>
      <c r="H298" t="s">
        <v>12162</v>
      </c>
      <c r="I298" t="s">
        <v>12163</v>
      </c>
      <c r="J298" t="s">
        <v>12535</v>
      </c>
      <c r="K298" t="s">
        <v>12536</v>
      </c>
      <c r="L298" t="s">
        <v>6524</v>
      </c>
      <c r="M298" t="s">
        <v>12431</v>
      </c>
      <c r="N298" t="s">
        <v>33</v>
      </c>
      <c r="O298" t="s">
        <v>34</v>
      </c>
      <c r="P298" t="s">
        <v>20</v>
      </c>
      <c r="Q298" t="s">
        <v>20</v>
      </c>
      <c r="R298" t="s">
        <v>12537</v>
      </c>
      <c r="S298" t="s">
        <v>12164</v>
      </c>
    </row>
    <row r="299" spans="1:19" x14ac:dyDescent="0.45">
      <c r="A299" t="s">
        <v>3096</v>
      </c>
      <c r="B299" t="s">
        <v>20</v>
      </c>
      <c r="C299" t="s">
        <v>3098</v>
      </c>
      <c r="D299" t="s">
        <v>3099</v>
      </c>
      <c r="E299" t="s">
        <v>2487</v>
      </c>
      <c r="F299" t="s">
        <v>20</v>
      </c>
      <c r="G299" t="s">
        <v>23</v>
      </c>
      <c r="H299" t="s">
        <v>10896</v>
      </c>
      <c r="I299" t="s">
        <v>10897</v>
      </c>
      <c r="J299" t="s">
        <v>10898</v>
      </c>
      <c r="K299" t="s">
        <v>10899</v>
      </c>
      <c r="L299" t="s">
        <v>3418</v>
      </c>
      <c r="M299" t="s">
        <v>3105</v>
      </c>
      <c r="N299" t="s">
        <v>62</v>
      </c>
      <c r="O299" t="s">
        <v>34</v>
      </c>
      <c r="P299" t="s">
        <v>6524</v>
      </c>
      <c r="Q299" t="s">
        <v>20</v>
      </c>
      <c r="R299" t="s">
        <v>10900</v>
      </c>
      <c r="S299" t="s">
        <v>20</v>
      </c>
    </row>
    <row r="300" spans="1:19" x14ac:dyDescent="0.45">
      <c r="A300" t="s">
        <v>3096</v>
      </c>
      <c r="B300" t="s">
        <v>20</v>
      </c>
      <c r="C300" t="s">
        <v>3098</v>
      </c>
      <c r="D300" t="s">
        <v>3099</v>
      </c>
      <c r="E300" t="s">
        <v>57</v>
      </c>
      <c r="F300" t="s">
        <v>20</v>
      </c>
      <c r="G300" t="s">
        <v>23</v>
      </c>
      <c r="H300" t="s">
        <v>10864</v>
      </c>
      <c r="I300" t="s">
        <v>10865</v>
      </c>
      <c r="J300" t="s">
        <v>10866</v>
      </c>
      <c r="K300" t="s">
        <v>10867</v>
      </c>
      <c r="L300" t="s">
        <v>3418</v>
      </c>
      <c r="M300" t="s">
        <v>3105</v>
      </c>
      <c r="N300" t="s">
        <v>62</v>
      </c>
      <c r="O300" t="s">
        <v>34</v>
      </c>
      <c r="P300" t="s">
        <v>6524</v>
      </c>
      <c r="Q300" t="s">
        <v>20</v>
      </c>
      <c r="R300" t="s">
        <v>10868</v>
      </c>
      <c r="S300" t="s">
        <v>20</v>
      </c>
    </row>
    <row r="301" spans="1:19" x14ac:dyDescent="0.45">
      <c r="A301" t="s">
        <v>3096</v>
      </c>
      <c r="B301" t="s">
        <v>20</v>
      </c>
      <c r="C301" t="s">
        <v>3098</v>
      </c>
      <c r="D301" t="s">
        <v>3099</v>
      </c>
      <c r="E301" t="s">
        <v>21</v>
      </c>
      <c r="F301" t="s">
        <v>20</v>
      </c>
      <c r="G301" t="s">
        <v>23</v>
      </c>
      <c r="H301" t="s">
        <v>9046</v>
      </c>
      <c r="I301" t="s">
        <v>9313</v>
      </c>
      <c r="J301" t="s">
        <v>9314</v>
      </c>
      <c r="K301" t="s">
        <v>9315</v>
      </c>
      <c r="L301" t="s">
        <v>6513</v>
      </c>
      <c r="M301" t="s">
        <v>3105</v>
      </c>
      <c r="N301" t="s">
        <v>1224</v>
      </c>
      <c r="O301" t="s">
        <v>34</v>
      </c>
      <c r="P301" t="s">
        <v>6524</v>
      </c>
      <c r="Q301" t="s">
        <v>20</v>
      </c>
      <c r="R301" t="s">
        <v>10277</v>
      </c>
      <c r="S301" t="s">
        <v>20</v>
      </c>
    </row>
    <row r="302" spans="1:19" x14ac:dyDescent="0.45">
      <c r="A302" t="s">
        <v>1613</v>
      </c>
      <c r="B302" t="s">
        <v>20</v>
      </c>
      <c r="C302" t="s">
        <v>1805</v>
      </c>
      <c r="D302" t="s">
        <v>1806</v>
      </c>
      <c r="E302" t="s">
        <v>57</v>
      </c>
      <c r="F302" t="s">
        <v>20</v>
      </c>
      <c r="G302" t="s">
        <v>23</v>
      </c>
      <c r="H302" t="s">
        <v>9035</v>
      </c>
      <c r="I302" t="s">
        <v>9227</v>
      </c>
      <c r="J302" t="s">
        <v>9228</v>
      </c>
      <c r="K302" t="s">
        <v>9229</v>
      </c>
      <c r="L302" t="s">
        <v>3418</v>
      </c>
      <c r="M302" t="s">
        <v>6932</v>
      </c>
      <c r="N302" t="s">
        <v>62</v>
      </c>
      <c r="O302" t="s">
        <v>34</v>
      </c>
      <c r="P302" t="s">
        <v>20</v>
      </c>
      <c r="Q302" t="s">
        <v>20</v>
      </c>
      <c r="R302" t="s">
        <v>9230</v>
      </c>
      <c r="S302" t="s">
        <v>20</v>
      </c>
    </row>
    <row r="303" spans="1:19" x14ac:dyDescent="0.45">
      <c r="A303" t="s">
        <v>1613</v>
      </c>
      <c r="B303" t="s">
        <v>20</v>
      </c>
      <c r="C303" t="s">
        <v>1805</v>
      </c>
      <c r="D303" t="s">
        <v>1806</v>
      </c>
      <c r="E303" t="s">
        <v>38</v>
      </c>
      <c r="F303" t="s">
        <v>20</v>
      </c>
      <c r="G303" t="s">
        <v>23</v>
      </c>
      <c r="H303" t="s">
        <v>6821</v>
      </c>
      <c r="I303" t="s">
        <v>6822</v>
      </c>
      <c r="J303" t="s">
        <v>10878</v>
      </c>
      <c r="K303" t="s">
        <v>10879</v>
      </c>
      <c r="L303" t="s">
        <v>8109</v>
      </c>
      <c r="M303" t="s">
        <v>1391</v>
      </c>
      <c r="N303" t="s">
        <v>33</v>
      </c>
      <c r="O303" t="s">
        <v>34</v>
      </c>
      <c r="P303" t="s">
        <v>20</v>
      </c>
      <c r="Q303" t="s">
        <v>20</v>
      </c>
      <c r="R303" t="s">
        <v>10880</v>
      </c>
      <c r="S303" t="s">
        <v>6823</v>
      </c>
    </row>
    <row r="304" spans="1:19" x14ac:dyDescent="0.45">
      <c r="A304" t="s">
        <v>1027</v>
      </c>
      <c r="B304" t="s">
        <v>20</v>
      </c>
      <c r="C304" t="s">
        <v>3779</v>
      </c>
      <c r="D304" t="s">
        <v>3780</v>
      </c>
      <c r="E304" t="s">
        <v>29</v>
      </c>
      <c r="F304" t="s">
        <v>20</v>
      </c>
      <c r="G304" t="s">
        <v>23</v>
      </c>
      <c r="H304" t="s">
        <v>6489</v>
      </c>
      <c r="I304" t="s">
        <v>6515</v>
      </c>
      <c r="J304" t="s">
        <v>6567</v>
      </c>
      <c r="K304" t="s">
        <v>6568</v>
      </c>
      <c r="L304" t="s">
        <v>13044</v>
      </c>
      <c r="M304" t="s">
        <v>32</v>
      </c>
      <c r="N304" t="s">
        <v>62</v>
      </c>
      <c r="O304" t="s">
        <v>34</v>
      </c>
      <c r="P304" t="s">
        <v>20</v>
      </c>
      <c r="Q304" t="s">
        <v>20</v>
      </c>
      <c r="R304" t="s">
        <v>253</v>
      </c>
      <c r="S304" t="s">
        <v>20</v>
      </c>
    </row>
    <row r="305" spans="1:19" x14ac:dyDescent="0.45">
      <c r="A305" t="s">
        <v>777</v>
      </c>
      <c r="B305" t="s">
        <v>20</v>
      </c>
      <c r="C305" t="s">
        <v>7709</v>
      </c>
      <c r="D305" t="s">
        <v>6045</v>
      </c>
      <c r="E305" t="s">
        <v>57</v>
      </c>
      <c r="F305" t="s">
        <v>20</v>
      </c>
      <c r="G305" t="s">
        <v>23</v>
      </c>
      <c r="H305" t="s">
        <v>11254</v>
      </c>
      <c r="I305" t="s">
        <v>11255</v>
      </c>
      <c r="J305" t="s">
        <v>11256</v>
      </c>
      <c r="K305" t="s">
        <v>11257</v>
      </c>
      <c r="L305" t="s">
        <v>3418</v>
      </c>
      <c r="M305" t="s">
        <v>32</v>
      </c>
      <c r="N305" t="s">
        <v>62</v>
      </c>
      <c r="O305" t="s">
        <v>34</v>
      </c>
      <c r="P305" t="s">
        <v>20</v>
      </c>
      <c r="Q305" t="s">
        <v>20</v>
      </c>
      <c r="R305" t="s">
        <v>11258</v>
      </c>
      <c r="S305" t="s">
        <v>20</v>
      </c>
    </row>
    <row r="306" spans="1:19" x14ac:dyDescent="0.45">
      <c r="A306" t="s">
        <v>269</v>
      </c>
      <c r="B306" t="s">
        <v>20</v>
      </c>
      <c r="C306" t="s">
        <v>1526</v>
      </c>
      <c r="D306" t="s">
        <v>1527</v>
      </c>
      <c r="E306" t="s">
        <v>38</v>
      </c>
      <c r="F306" t="s">
        <v>20</v>
      </c>
      <c r="G306" t="s">
        <v>23</v>
      </c>
      <c r="H306" t="s">
        <v>9039</v>
      </c>
      <c r="I306" t="s">
        <v>9142</v>
      </c>
      <c r="J306" t="s">
        <v>9143</v>
      </c>
      <c r="K306" t="s">
        <v>9144</v>
      </c>
      <c r="L306" t="s">
        <v>7506</v>
      </c>
      <c r="M306" t="s">
        <v>112</v>
      </c>
      <c r="N306" t="s">
        <v>195</v>
      </c>
      <c r="O306" t="s">
        <v>34</v>
      </c>
      <c r="P306" t="s">
        <v>20</v>
      </c>
      <c r="Q306" t="s">
        <v>20</v>
      </c>
      <c r="R306" t="s">
        <v>9145</v>
      </c>
      <c r="S306" t="s">
        <v>20</v>
      </c>
    </row>
    <row r="307" spans="1:19" x14ac:dyDescent="0.45">
      <c r="A307" t="s">
        <v>358</v>
      </c>
      <c r="B307" t="s">
        <v>20</v>
      </c>
      <c r="C307" t="s">
        <v>1264</v>
      </c>
      <c r="D307" t="s">
        <v>1265</v>
      </c>
      <c r="E307" t="s">
        <v>38</v>
      </c>
      <c r="F307" t="s">
        <v>20</v>
      </c>
      <c r="G307" t="s">
        <v>23</v>
      </c>
      <c r="H307" t="s">
        <v>11702</v>
      </c>
      <c r="I307" t="s">
        <v>11703</v>
      </c>
      <c r="J307" t="s">
        <v>12538</v>
      </c>
      <c r="K307" t="s">
        <v>12539</v>
      </c>
      <c r="L307" t="s">
        <v>6524</v>
      </c>
      <c r="M307" t="s">
        <v>12431</v>
      </c>
      <c r="N307" t="s">
        <v>33</v>
      </c>
      <c r="O307" t="s">
        <v>34</v>
      </c>
      <c r="P307" t="s">
        <v>20</v>
      </c>
      <c r="Q307" t="s">
        <v>20</v>
      </c>
      <c r="R307" t="s">
        <v>12540</v>
      </c>
      <c r="S307" t="s">
        <v>11704</v>
      </c>
    </row>
    <row r="308" spans="1:19" x14ac:dyDescent="0.45">
      <c r="A308" t="s">
        <v>358</v>
      </c>
      <c r="B308" t="s">
        <v>20</v>
      </c>
      <c r="C308" t="s">
        <v>1264</v>
      </c>
      <c r="D308" t="s">
        <v>1265</v>
      </c>
      <c r="E308" t="s">
        <v>38</v>
      </c>
      <c r="F308" t="s">
        <v>20</v>
      </c>
      <c r="G308" t="s">
        <v>23</v>
      </c>
      <c r="H308" t="s">
        <v>1266</v>
      </c>
      <c r="I308" t="s">
        <v>1267</v>
      </c>
      <c r="J308" t="s">
        <v>1268</v>
      </c>
      <c r="K308" t="s">
        <v>1269</v>
      </c>
      <c r="L308" t="s">
        <v>101</v>
      </c>
      <c r="M308" t="s">
        <v>112</v>
      </c>
      <c r="N308" t="s">
        <v>62</v>
      </c>
      <c r="O308" t="s">
        <v>34</v>
      </c>
      <c r="P308" t="s">
        <v>20</v>
      </c>
      <c r="Q308" t="s">
        <v>20</v>
      </c>
      <c r="R308" t="s">
        <v>361</v>
      </c>
      <c r="S308" t="s">
        <v>20</v>
      </c>
    </row>
    <row r="309" spans="1:19" x14ac:dyDescent="0.45">
      <c r="A309" t="s">
        <v>1308</v>
      </c>
      <c r="B309" t="s">
        <v>20</v>
      </c>
      <c r="C309" t="s">
        <v>2810</v>
      </c>
      <c r="D309" t="s">
        <v>2811</v>
      </c>
      <c r="E309" t="s">
        <v>38</v>
      </c>
      <c r="F309" t="s">
        <v>20</v>
      </c>
      <c r="G309" t="s">
        <v>23</v>
      </c>
      <c r="H309" t="s">
        <v>11678</v>
      </c>
      <c r="I309" t="s">
        <v>11679</v>
      </c>
      <c r="J309" t="s">
        <v>12541</v>
      </c>
      <c r="K309" t="s">
        <v>12542</v>
      </c>
      <c r="L309" t="s">
        <v>6524</v>
      </c>
      <c r="M309" t="s">
        <v>12431</v>
      </c>
      <c r="N309" t="s">
        <v>33</v>
      </c>
      <c r="O309" t="s">
        <v>34</v>
      </c>
      <c r="P309" t="s">
        <v>20</v>
      </c>
      <c r="Q309" t="s">
        <v>20</v>
      </c>
      <c r="R309" t="s">
        <v>12543</v>
      </c>
      <c r="S309" t="s">
        <v>11680</v>
      </c>
    </row>
    <row r="310" spans="1:19" x14ac:dyDescent="0.45">
      <c r="A310" t="s">
        <v>1043</v>
      </c>
      <c r="B310" t="s">
        <v>20</v>
      </c>
      <c r="C310" t="s">
        <v>2891</v>
      </c>
      <c r="D310" t="s">
        <v>2892</v>
      </c>
      <c r="E310" t="s">
        <v>57</v>
      </c>
      <c r="F310" t="s">
        <v>20</v>
      </c>
      <c r="G310" t="s">
        <v>23</v>
      </c>
      <c r="H310" t="s">
        <v>6468</v>
      </c>
      <c r="I310" t="s">
        <v>6569</v>
      </c>
      <c r="J310" t="s">
        <v>6570</v>
      </c>
      <c r="K310" t="s">
        <v>6571</v>
      </c>
      <c r="L310" t="s">
        <v>9155</v>
      </c>
      <c r="M310" t="s">
        <v>32</v>
      </c>
      <c r="N310" t="s">
        <v>62</v>
      </c>
      <c r="O310" t="s">
        <v>34</v>
      </c>
      <c r="P310" t="s">
        <v>20</v>
      </c>
      <c r="Q310" t="s">
        <v>20</v>
      </c>
      <c r="R310" t="s">
        <v>6572</v>
      </c>
      <c r="S310" t="s">
        <v>20</v>
      </c>
    </row>
    <row r="311" spans="1:19" x14ac:dyDescent="0.45">
      <c r="A311" t="s">
        <v>211</v>
      </c>
      <c r="B311" t="s">
        <v>20</v>
      </c>
      <c r="C311" t="s">
        <v>2113</v>
      </c>
      <c r="D311" t="s">
        <v>2114</v>
      </c>
      <c r="E311" t="s">
        <v>38</v>
      </c>
      <c r="F311" t="s">
        <v>20</v>
      </c>
      <c r="G311" t="s">
        <v>23</v>
      </c>
      <c r="H311" t="s">
        <v>12547</v>
      </c>
      <c r="I311" t="s">
        <v>12548</v>
      </c>
      <c r="J311" t="s">
        <v>12549</v>
      </c>
      <c r="K311" t="s">
        <v>12550</v>
      </c>
      <c r="L311" t="s">
        <v>3418</v>
      </c>
      <c r="M311" t="s">
        <v>102</v>
      </c>
      <c r="N311" t="s">
        <v>146</v>
      </c>
      <c r="O311" t="s">
        <v>34</v>
      </c>
      <c r="P311" t="s">
        <v>20</v>
      </c>
      <c r="Q311" t="s">
        <v>20</v>
      </c>
      <c r="R311" t="s">
        <v>12551</v>
      </c>
      <c r="S311" t="s">
        <v>20</v>
      </c>
    </row>
    <row r="312" spans="1:19" x14ac:dyDescent="0.45">
      <c r="A312" t="s">
        <v>211</v>
      </c>
      <c r="B312" t="s">
        <v>20</v>
      </c>
      <c r="C312" t="s">
        <v>2113</v>
      </c>
      <c r="D312" t="s">
        <v>2114</v>
      </c>
      <c r="E312" t="s">
        <v>38</v>
      </c>
      <c r="F312" t="s">
        <v>20</v>
      </c>
      <c r="G312" t="s">
        <v>23</v>
      </c>
      <c r="H312" t="s">
        <v>11728</v>
      </c>
      <c r="I312" t="s">
        <v>11729</v>
      </c>
      <c r="J312" t="s">
        <v>12544</v>
      </c>
      <c r="K312" t="s">
        <v>12545</v>
      </c>
      <c r="L312" t="s">
        <v>3998</v>
      </c>
      <c r="M312" t="s">
        <v>12431</v>
      </c>
      <c r="N312" t="s">
        <v>33</v>
      </c>
      <c r="O312" t="s">
        <v>34</v>
      </c>
      <c r="P312" t="s">
        <v>20</v>
      </c>
      <c r="Q312" t="s">
        <v>20</v>
      </c>
      <c r="R312" t="s">
        <v>12546</v>
      </c>
      <c r="S312" t="s">
        <v>11730</v>
      </c>
    </row>
    <row r="313" spans="1:19" x14ac:dyDescent="0.45">
      <c r="A313" t="s">
        <v>54</v>
      </c>
      <c r="B313" t="s">
        <v>20</v>
      </c>
      <c r="C313" t="s">
        <v>1213</v>
      </c>
      <c r="D313" t="s">
        <v>1214</v>
      </c>
      <c r="E313" t="s">
        <v>38</v>
      </c>
      <c r="F313" t="s">
        <v>20</v>
      </c>
      <c r="G313" t="s">
        <v>23</v>
      </c>
      <c r="H313" t="s">
        <v>10327</v>
      </c>
      <c r="I313" t="s">
        <v>10328</v>
      </c>
      <c r="J313" t="s">
        <v>10894</v>
      </c>
      <c r="K313" t="s">
        <v>10844</v>
      </c>
      <c r="L313" t="s">
        <v>9155</v>
      </c>
      <c r="M313" t="s">
        <v>32</v>
      </c>
      <c r="N313" t="s">
        <v>33</v>
      </c>
      <c r="O313" t="s">
        <v>34</v>
      </c>
      <c r="P313" t="s">
        <v>20</v>
      </c>
      <c r="Q313" t="s">
        <v>20</v>
      </c>
      <c r="R313" t="s">
        <v>10895</v>
      </c>
      <c r="S313" t="s">
        <v>20</v>
      </c>
    </row>
    <row r="314" spans="1:19" x14ac:dyDescent="0.45">
      <c r="A314" t="s">
        <v>54</v>
      </c>
      <c r="B314" t="s">
        <v>20</v>
      </c>
      <c r="C314" t="s">
        <v>1213</v>
      </c>
      <c r="D314" t="s">
        <v>1214</v>
      </c>
      <c r="E314" t="s">
        <v>2487</v>
      </c>
      <c r="F314" t="s">
        <v>20</v>
      </c>
      <c r="G314" t="s">
        <v>23</v>
      </c>
      <c r="H314" t="s">
        <v>7501</v>
      </c>
      <c r="I314" t="s">
        <v>7502</v>
      </c>
      <c r="J314" t="s">
        <v>7503</v>
      </c>
      <c r="K314" t="s">
        <v>7504</v>
      </c>
      <c r="L314" t="s">
        <v>9683</v>
      </c>
      <c r="M314" t="s">
        <v>32</v>
      </c>
      <c r="N314" t="s">
        <v>62</v>
      </c>
      <c r="O314" t="s">
        <v>34</v>
      </c>
      <c r="P314" t="s">
        <v>20</v>
      </c>
      <c r="Q314" t="s">
        <v>20</v>
      </c>
      <c r="R314" t="s">
        <v>7505</v>
      </c>
      <c r="S314" t="s">
        <v>20</v>
      </c>
    </row>
    <row r="315" spans="1:19" x14ac:dyDescent="0.45">
      <c r="A315" t="s">
        <v>54</v>
      </c>
      <c r="B315" t="s">
        <v>20</v>
      </c>
      <c r="C315" t="s">
        <v>1213</v>
      </c>
      <c r="D315" t="s">
        <v>1214</v>
      </c>
      <c r="E315" t="s">
        <v>57</v>
      </c>
      <c r="F315" t="s">
        <v>20</v>
      </c>
      <c r="G315" t="s">
        <v>23</v>
      </c>
      <c r="H315" t="s">
        <v>1215</v>
      </c>
      <c r="I315" t="s">
        <v>1216</v>
      </c>
      <c r="J315" t="s">
        <v>1217</v>
      </c>
      <c r="K315" t="s">
        <v>1218</v>
      </c>
      <c r="L315" t="s">
        <v>9683</v>
      </c>
      <c r="M315" t="s">
        <v>32</v>
      </c>
      <c r="N315" t="s">
        <v>62</v>
      </c>
      <c r="O315" t="s">
        <v>34</v>
      </c>
      <c r="P315" t="s">
        <v>20</v>
      </c>
      <c r="Q315" t="s">
        <v>20</v>
      </c>
      <c r="R315" t="s">
        <v>63</v>
      </c>
      <c r="S315" t="s">
        <v>20</v>
      </c>
    </row>
    <row r="316" spans="1:19" x14ac:dyDescent="0.45">
      <c r="A316" t="s">
        <v>379</v>
      </c>
      <c r="B316" t="s">
        <v>20</v>
      </c>
      <c r="C316" t="s">
        <v>1629</v>
      </c>
      <c r="D316" t="s">
        <v>1630</v>
      </c>
      <c r="E316" t="s">
        <v>38</v>
      </c>
      <c r="F316" t="s">
        <v>20</v>
      </c>
      <c r="G316" t="s">
        <v>23</v>
      </c>
      <c r="H316" t="s">
        <v>1631</v>
      </c>
      <c r="I316" t="s">
        <v>1632</v>
      </c>
      <c r="J316" t="s">
        <v>1633</v>
      </c>
      <c r="K316" t="s">
        <v>1634</v>
      </c>
      <c r="L316" t="s">
        <v>6521</v>
      </c>
      <c r="M316" t="s">
        <v>102</v>
      </c>
      <c r="N316" t="s">
        <v>62</v>
      </c>
      <c r="O316" t="s">
        <v>34</v>
      </c>
      <c r="P316" t="s">
        <v>20</v>
      </c>
      <c r="Q316" t="s">
        <v>20</v>
      </c>
      <c r="R316" t="s">
        <v>103</v>
      </c>
      <c r="S316" t="s">
        <v>20</v>
      </c>
    </row>
    <row r="317" spans="1:19" x14ac:dyDescent="0.45">
      <c r="A317" t="s">
        <v>1043</v>
      </c>
      <c r="B317" t="s">
        <v>20</v>
      </c>
      <c r="C317" t="s">
        <v>2852</v>
      </c>
      <c r="D317" t="s">
        <v>2853</v>
      </c>
      <c r="E317" t="s">
        <v>2487</v>
      </c>
      <c r="F317" t="s">
        <v>20</v>
      </c>
      <c r="G317" t="s">
        <v>23</v>
      </c>
      <c r="H317" t="s">
        <v>7271</v>
      </c>
      <c r="I317" t="s">
        <v>7272</v>
      </c>
      <c r="J317" t="s">
        <v>7273</v>
      </c>
      <c r="K317" t="s">
        <v>7274</v>
      </c>
      <c r="L317" t="s">
        <v>3418</v>
      </c>
      <c r="M317" t="s">
        <v>438</v>
      </c>
      <c r="N317" t="s">
        <v>62</v>
      </c>
      <c r="O317" t="s">
        <v>34</v>
      </c>
      <c r="P317" t="s">
        <v>20</v>
      </c>
      <c r="Q317" t="s">
        <v>20</v>
      </c>
      <c r="R317" t="s">
        <v>7275</v>
      </c>
      <c r="S317" t="s">
        <v>20</v>
      </c>
    </row>
    <row r="318" spans="1:19" x14ac:dyDescent="0.45">
      <c r="A318" t="s">
        <v>1043</v>
      </c>
      <c r="B318" t="s">
        <v>20</v>
      </c>
      <c r="C318" t="s">
        <v>2852</v>
      </c>
      <c r="D318" t="s">
        <v>2853</v>
      </c>
      <c r="E318" t="s">
        <v>57</v>
      </c>
      <c r="F318" t="s">
        <v>20</v>
      </c>
      <c r="G318" t="s">
        <v>23</v>
      </c>
      <c r="H318" t="s">
        <v>6995</v>
      </c>
      <c r="I318" t="s">
        <v>6996</v>
      </c>
      <c r="J318" t="s">
        <v>6997</v>
      </c>
      <c r="K318" t="s">
        <v>6998</v>
      </c>
      <c r="L318" t="s">
        <v>9155</v>
      </c>
      <c r="M318" t="s">
        <v>438</v>
      </c>
      <c r="N318" t="s">
        <v>62</v>
      </c>
      <c r="O318" t="s">
        <v>34</v>
      </c>
      <c r="P318" t="s">
        <v>20</v>
      </c>
      <c r="Q318" t="s">
        <v>20</v>
      </c>
      <c r="R318" t="s">
        <v>6999</v>
      </c>
      <c r="S318" t="s">
        <v>20</v>
      </c>
    </row>
    <row r="319" spans="1:19" x14ac:dyDescent="0.45">
      <c r="A319" t="s">
        <v>120</v>
      </c>
      <c r="B319" t="s">
        <v>20</v>
      </c>
      <c r="C319" t="s">
        <v>2779</v>
      </c>
      <c r="D319" t="s">
        <v>2780</v>
      </c>
      <c r="E319" t="s">
        <v>29</v>
      </c>
      <c r="F319" t="s">
        <v>20</v>
      </c>
      <c r="G319" t="s">
        <v>23</v>
      </c>
      <c r="H319" t="s">
        <v>12552</v>
      </c>
      <c r="I319" t="s">
        <v>12553</v>
      </c>
      <c r="J319" t="s">
        <v>20</v>
      </c>
      <c r="K319" t="s">
        <v>12554</v>
      </c>
      <c r="L319" t="s">
        <v>6527</v>
      </c>
      <c r="M319" t="s">
        <v>3632</v>
      </c>
      <c r="N319" t="s">
        <v>119</v>
      </c>
      <c r="O319" t="s">
        <v>34</v>
      </c>
      <c r="P319" t="s">
        <v>20</v>
      </c>
      <c r="Q319" t="s">
        <v>20</v>
      </c>
      <c r="R319" t="s">
        <v>20</v>
      </c>
      <c r="S319" t="s">
        <v>20</v>
      </c>
    </row>
    <row r="320" spans="1:19" x14ac:dyDescent="0.45">
      <c r="A320" t="s">
        <v>261</v>
      </c>
      <c r="B320" t="s">
        <v>20</v>
      </c>
      <c r="C320" t="s">
        <v>322</v>
      </c>
      <c r="D320" t="s">
        <v>323</v>
      </c>
      <c r="E320" t="s">
        <v>57</v>
      </c>
      <c r="F320" t="s">
        <v>20</v>
      </c>
      <c r="G320" t="s">
        <v>23</v>
      </c>
      <c r="H320" t="s">
        <v>324</v>
      </c>
      <c r="I320" t="s">
        <v>325</v>
      </c>
      <c r="J320" t="s">
        <v>326</v>
      </c>
      <c r="K320" t="s">
        <v>327</v>
      </c>
      <c r="L320" t="s">
        <v>43</v>
      </c>
      <c r="M320" t="s">
        <v>32</v>
      </c>
      <c r="N320" t="s">
        <v>62</v>
      </c>
      <c r="O320" t="s">
        <v>34</v>
      </c>
      <c r="P320" t="s">
        <v>20</v>
      </c>
      <c r="Q320" t="s">
        <v>20</v>
      </c>
      <c r="R320" t="s">
        <v>268</v>
      </c>
      <c r="S320" t="s">
        <v>20</v>
      </c>
    </row>
    <row r="321" spans="1:19" x14ac:dyDescent="0.45">
      <c r="A321" t="s">
        <v>94</v>
      </c>
      <c r="B321" t="s">
        <v>20</v>
      </c>
      <c r="C321" t="s">
        <v>1754</v>
      </c>
      <c r="D321" t="s">
        <v>1755</v>
      </c>
      <c r="E321" t="s">
        <v>38</v>
      </c>
      <c r="F321" t="s">
        <v>20</v>
      </c>
      <c r="G321" t="s">
        <v>23</v>
      </c>
      <c r="H321" t="s">
        <v>13831</v>
      </c>
      <c r="I321" t="s">
        <v>13832</v>
      </c>
      <c r="J321" t="s">
        <v>13833</v>
      </c>
      <c r="K321" t="s">
        <v>13834</v>
      </c>
      <c r="L321" t="s">
        <v>3418</v>
      </c>
      <c r="M321" t="s">
        <v>112</v>
      </c>
      <c r="N321" t="s">
        <v>146</v>
      </c>
      <c r="O321" t="s">
        <v>34</v>
      </c>
      <c r="P321" t="s">
        <v>20</v>
      </c>
      <c r="Q321" t="s">
        <v>20</v>
      </c>
      <c r="R321" t="s">
        <v>13835</v>
      </c>
      <c r="S321" t="s">
        <v>20</v>
      </c>
    </row>
    <row r="322" spans="1:19" x14ac:dyDescent="0.45">
      <c r="A322" t="s">
        <v>94</v>
      </c>
      <c r="B322" t="s">
        <v>20</v>
      </c>
      <c r="C322" t="s">
        <v>1754</v>
      </c>
      <c r="D322" t="s">
        <v>1755</v>
      </c>
      <c r="E322" t="s">
        <v>38</v>
      </c>
      <c r="F322" t="s">
        <v>20</v>
      </c>
      <c r="G322" t="s">
        <v>23</v>
      </c>
      <c r="H322" t="s">
        <v>1756</v>
      </c>
      <c r="I322" t="s">
        <v>1757</v>
      </c>
      <c r="J322" t="s">
        <v>1758</v>
      </c>
      <c r="K322" t="s">
        <v>1759</v>
      </c>
      <c r="L322" t="s">
        <v>9619</v>
      </c>
      <c r="M322" t="s">
        <v>102</v>
      </c>
      <c r="N322" t="s">
        <v>62</v>
      </c>
      <c r="O322" t="s">
        <v>34</v>
      </c>
      <c r="P322" t="s">
        <v>20</v>
      </c>
      <c r="Q322" t="s">
        <v>20</v>
      </c>
      <c r="R322" t="s">
        <v>103</v>
      </c>
      <c r="S322" t="s">
        <v>20</v>
      </c>
    </row>
    <row r="323" spans="1:19" x14ac:dyDescent="0.45">
      <c r="A323" t="s">
        <v>729</v>
      </c>
      <c r="B323" t="s">
        <v>20</v>
      </c>
      <c r="C323" t="s">
        <v>737</v>
      </c>
      <c r="D323" t="s">
        <v>738</v>
      </c>
      <c r="E323" t="s">
        <v>57</v>
      </c>
      <c r="F323" t="s">
        <v>20</v>
      </c>
      <c r="G323" t="s">
        <v>23</v>
      </c>
      <c r="H323" t="s">
        <v>12767</v>
      </c>
      <c r="I323" t="s">
        <v>12768</v>
      </c>
      <c r="J323" t="s">
        <v>12769</v>
      </c>
      <c r="K323" t="s">
        <v>12770</v>
      </c>
      <c r="L323" t="s">
        <v>3418</v>
      </c>
      <c r="M323" t="s">
        <v>102</v>
      </c>
      <c r="N323" t="s">
        <v>62</v>
      </c>
      <c r="O323" t="s">
        <v>34</v>
      </c>
      <c r="P323" t="s">
        <v>20</v>
      </c>
      <c r="Q323" t="s">
        <v>20</v>
      </c>
      <c r="R323" t="s">
        <v>12771</v>
      </c>
      <c r="S323" t="s">
        <v>20</v>
      </c>
    </row>
    <row r="324" spans="1:19" x14ac:dyDescent="0.45">
      <c r="A324" t="s">
        <v>928</v>
      </c>
      <c r="B324" t="s">
        <v>20</v>
      </c>
      <c r="C324" t="s">
        <v>1942</v>
      </c>
      <c r="D324" t="s">
        <v>1943</v>
      </c>
      <c r="E324" t="s">
        <v>2487</v>
      </c>
      <c r="F324" t="s">
        <v>20</v>
      </c>
      <c r="G324" t="s">
        <v>23</v>
      </c>
      <c r="H324" t="s">
        <v>7100</v>
      </c>
      <c r="I324" t="s">
        <v>7101</v>
      </c>
      <c r="J324" t="s">
        <v>7102</v>
      </c>
      <c r="K324" t="s">
        <v>7103</v>
      </c>
      <c r="L324" t="s">
        <v>3418</v>
      </c>
      <c r="M324" t="s">
        <v>32</v>
      </c>
      <c r="N324" t="s">
        <v>62</v>
      </c>
      <c r="O324" t="s">
        <v>34</v>
      </c>
      <c r="P324" t="s">
        <v>20</v>
      </c>
      <c r="Q324" t="s">
        <v>20</v>
      </c>
      <c r="R324" t="s">
        <v>7104</v>
      </c>
      <c r="S324" t="s">
        <v>20</v>
      </c>
    </row>
    <row r="325" spans="1:19" x14ac:dyDescent="0.45">
      <c r="A325" t="s">
        <v>358</v>
      </c>
      <c r="B325" t="s">
        <v>20</v>
      </c>
      <c r="C325" t="s">
        <v>1519</v>
      </c>
      <c r="D325" t="s">
        <v>1520</v>
      </c>
      <c r="E325" t="s">
        <v>38</v>
      </c>
      <c r="F325" t="s">
        <v>20</v>
      </c>
      <c r="G325" t="s">
        <v>23</v>
      </c>
      <c r="H325" t="s">
        <v>11687</v>
      </c>
      <c r="I325" t="s">
        <v>11688</v>
      </c>
      <c r="J325" t="s">
        <v>20</v>
      </c>
      <c r="K325" t="s">
        <v>12555</v>
      </c>
      <c r="L325" t="s">
        <v>6524</v>
      </c>
      <c r="M325" t="s">
        <v>12431</v>
      </c>
      <c r="N325" t="s">
        <v>33</v>
      </c>
      <c r="O325" t="s">
        <v>34</v>
      </c>
      <c r="P325" t="s">
        <v>20</v>
      </c>
      <c r="Q325" t="s">
        <v>20</v>
      </c>
      <c r="R325" t="s">
        <v>20</v>
      </c>
      <c r="S325" t="s">
        <v>11689</v>
      </c>
    </row>
    <row r="326" spans="1:19" x14ac:dyDescent="0.45">
      <c r="A326" t="s">
        <v>358</v>
      </c>
      <c r="B326" t="s">
        <v>20</v>
      </c>
      <c r="C326" t="s">
        <v>1519</v>
      </c>
      <c r="D326" t="s">
        <v>1520</v>
      </c>
      <c r="E326" t="s">
        <v>38</v>
      </c>
      <c r="F326" t="s">
        <v>20</v>
      </c>
      <c r="G326" t="s">
        <v>23</v>
      </c>
      <c r="H326" t="s">
        <v>10307</v>
      </c>
      <c r="I326" t="s">
        <v>10308</v>
      </c>
      <c r="J326" t="s">
        <v>10771</v>
      </c>
      <c r="K326" t="s">
        <v>10772</v>
      </c>
      <c r="L326" t="s">
        <v>6524</v>
      </c>
      <c r="M326" t="s">
        <v>32</v>
      </c>
      <c r="N326" t="s">
        <v>33</v>
      </c>
      <c r="O326" t="s">
        <v>34</v>
      </c>
      <c r="P326" t="s">
        <v>20</v>
      </c>
      <c r="Q326" t="s">
        <v>20</v>
      </c>
      <c r="R326" t="s">
        <v>10773</v>
      </c>
      <c r="S326" t="s">
        <v>20</v>
      </c>
    </row>
    <row r="327" spans="1:19" x14ac:dyDescent="0.45">
      <c r="A327" t="s">
        <v>358</v>
      </c>
      <c r="B327" t="s">
        <v>20</v>
      </c>
      <c r="C327" t="s">
        <v>1519</v>
      </c>
      <c r="D327" t="s">
        <v>1520</v>
      </c>
      <c r="E327" t="s">
        <v>38</v>
      </c>
      <c r="F327" t="s">
        <v>20</v>
      </c>
      <c r="G327" t="s">
        <v>23</v>
      </c>
      <c r="H327" t="s">
        <v>9957</v>
      </c>
      <c r="I327" t="s">
        <v>9958</v>
      </c>
      <c r="J327" t="s">
        <v>11074</v>
      </c>
      <c r="K327" t="s">
        <v>11075</v>
      </c>
      <c r="L327" t="s">
        <v>9570</v>
      </c>
      <c r="M327" t="s">
        <v>32</v>
      </c>
      <c r="N327" t="s">
        <v>33</v>
      </c>
      <c r="O327" t="s">
        <v>34</v>
      </c>
      <c r="P327" t="s">
        <v>20</v>
      </c>
      <c r="Q327" t="s">
        <v>20</v>
      </c>
      <c r="R327" t="s">
        <v>11076</v>
      </c>
      <c r="S327" t="s">
        <v>9959</v>
      </c>
    </row>
    <row r="328" spans="1:19" x14ac:dyDescent="0.45">
      <c r="A328" t="s">
        <v>4056</v>
      </c>
      <c r="B328" t="s">
        <v>20</v>
      </c>
      <c r="C328" t="s">
        <v>7859</v>
      </c>
      <c r="D328" t="s">
        <v>5850</v>
      </c>
      <c r="E328" t="s">
        <v>38</v>
      </c>
      <c r="F328" t="s">
        <v>20</v>
      </c>
      <c r="G328" t="s">
        <v>23</v>
      </c>
      <c r="H328" t="s">
        <v>9014</v>
      </c>
      <c r="I328" t="s">
        <v>9559</v>
      </c>
      <c r="J328" t="s">
        <v>10962</v>
      </c>
      <c r="K328" t="s">
        <v>10963</v>
      </c>
      <c r="L328" t="s">
        <v>9570</v>
      </c>
      <c r="M328" t="s">
        <v>32</v>
      </c>
      <c r="N328" t="s">
        <v>33</v>
      </c>
      <c r="O328" t="s">
        <v>34</v>
      </c>
      <c r="P328" t="s">
        <v>20</v>
      </c>
      <c r="Q328" t="s">
        <v>20</v>
      </c>
      <c r="R328" t="s">
        <v>10964</v>
      </c>
      <c r="S328" t="s">
        <v>20</v>
      </c>
    </row>
    <row r="329" spans="1:19" x14ac:dyDescent="0.45">
      <c r="A329" t="s">
        <v>19</v>
      </c>
      <c r="B329" t="s">
        <v>20</v>
      </c>
      <c r="C329" t="s">
        <v>1977</v>
      </c>
      <c r="D329" t="s">
        <v>1978</v>
      </c>
      <c r="E329" t="s">
        <v>38</v>
      </c>
      <c r="F329" t="s">
        <v>20</v>
      </c>
      <c r="G329" t="s">
        <v>23</v>
      </c>
      <c r="H329" t="s">
        <v>9924</v>
      </c>
      <c r="I329" t="s">
        <v>9925</v>
      </c>
      <c r="J329" t="s">
        <v>10818</v>
      </c>
      <c r="K329" t="s">
        <v>10819</v>
      </c>
      <c r="L329" t="s">
        <v>8109</v>
      </c>
      <c r="M329" t="s">
        <v>32</v>
      </c>
      <c r="N329" t="s">
        <v>33</v>
      </c>
      <c r="O329" t="s">
        <v>34</v>
      </c>
      <c r="P329" t="s">
        <v>20</v>
      </c>
      <c r="Q329" t="s">
        <v>20</v>
      </c>
      <c r="R329" t="s">
        <v>10820</v>
      </c>
      <c r="S329" t="s">
        <v>9926</v>
      </c>
    </row>
    <row r="330" spans="1:19" x14ac:dyDescent="0.45">
      <c r="A330" t="s">
        <v>19</v>
      </c>
      <c r="B330" t="s">
        <v>20</v>
      </c>
      <c r="C330" t="s">
        <v>1977</v>
      </c>
      <c r="D330" t="s">
        <v>1978</v>
      </c>
      <c r="E330" t="s">
        <v>38</v>
      </c>
      <c r="F330" t="s">
        <v>20</v>
      </c>
      <c r="G330" t="s">
        <v>23</v>
      </c>
      <c r="H330" t="s">
        <v>9965</v>
      </c>
      <c r="I330" t="s">
        <v>9966</v>
      </c>
      <c r="J330" t="s">
        <v>11169</v>
      </c>
      <c r="K330" t="s">
        <v>11036</v>
      </c>
      <c r="L330" t="s">
        <v>9570</v>
      </c>
      <c r="M330" t="s">
        <v>32</v>
      </c>
      <c r="N330" t="s">
        <v>33</v>
      </c>
      <c r="O330" t="s">
        <v>34</v>
      </c>
      <c r="P330" t="s">
        <v>20</v>
      </c>
      <c r="Q330" t="s">
        <v>20</v>
      </c>
      <c r="R330" t="s">
        <v>11170</v>
      </c>
      <c r="S330" t="s">
        <v>9967</v>
      </c>
    </row>
    <row r="331" spans="1:19" x14ac:dyDescent="0.45">
      <c r="A331" t="s">
        <v>1308</v>
      </c>
      <c r="B331" t="s">
        <v>20</v>
      </c>
      <c r="C331" t="s">
        <v>2228</v>
      </c>
      <c r="D331" t="s">
        <v>2229</v>
      </c>
      <c r="E331" t="s">
        <v>38</v>
      </c>
      <c r="F331" t="s">
        <v>20</v>
      </c>
      <c r="G331" t="s">
        <v>23</v>
      </c>
      <c r="H331" t="s">
        <v>10365</v>
      </c>
      <c r="I331" t="s">
        <v>10366</v>
      </c>
      <c r="J331" t="s">
        <v>11058</v>
      </c>
      <c r="K331" t="s">
        <v>11059</v>
      </c>
      <c r="L331" t="s">
        <v>9570</v>
      </c>
      <c r="M331" t="s">
        <v>32</v>
      </c>
      <c r="N331" t="s">
        <v>33</v>
      </c>
      <c r="O331" t="s">
        <v>34</v>
      </c>
      <c r="P331" t="s">
        <v>20</v>
      </c>
      <c r="Q331" t="s">
        <v>20</v>
      </c>
      <c r="R331" t="s">
        <v>11060</v>
      </c>
      <c r="S331" t="s">
        <v>10367</v>
      </c>
    </row>
    <row r="332" spans="1:19" x14ac:dyDescent="0.45">
      <c r="A332" t="s">
        <v>19</v>
      </c>
      <c r="B332" t="s">
        <v>20</v>
      </c>
      <c r="C332" t="s">
        <v>1654</v>
      </c>
      <c r="D332" t="s">
        <v>1655</v>
      </c>
      <c r="E332" t="s">
        <v>38</v>
      </c>
      <c r="F332" t="s">
        <v>20</v>
      </c>
      <c r="G332" t="s">
        <v>23</v>
      </c>
      <c r="H332" t="s">
        <v>12165</v>
      </c>
      <c r="I332" t="s">
        <v>12166</v>
      </c>
      <c r="J332" t="s">
        <v>12387</v>
      </c>
      <c r="K332" t="s">
        <v>12388</v>
      </c>
      <c r="L332" t="s">
        <v>9126</v>
      </c>
      <c r="M332" t="s">
        <v>32</v>
      </c>
      <c r="N332" t="s">
        <v>33</v>
      </c>
      <c r="O332" t="s">
        <v>34</v>
      </c>
      <c r="P332" t="s">
        <v>20</v>
      </c>
      <c r="Q332" t="s">
        <v>20</v>
      </c>
      <c r="R332" t="s">
        <v>12389</v>
      </c>
      <c r="S332" t="s">
        <v>12167</v>
      </c>
    </row>
    <row r="333" spans="1:19" x14ac:dyDescent="0.45">
      <c r="A333" t="s">
        <v>362</v>
      </c>
      <c r="B333" t="s">
        <v>20</v>
      </c>
      <c r="C333" t="s">
        <v>542</v>
      </c>
      <c r="D333" t="s">
        <v>543</v>
      </c>
      <c r="E333" t="s">
        <v>57</v>
      </c>
      <c r="F333" t="s">
        <v>20</v>
      </c>
      <c r="G333" t="s">
        <v>23</v>
      </c>
      <c r="H333" t="s">
        <v>7463</v>
      </c>
      <c r="I333" t="s">
        <v>7464</v>
      </c>
      <c r="J333" t="s">
        <v>7465</v>
      </c>
      <c r="K333" t="s">
        <v>7466</v>
      </c>
      <c r="L333" t="s">
        <v>2769</v>
      </c>
      <c r="M333" t="s">
        <v>6932</v>
      </c>
      <c r="N333" t="s">
        <v>62</v>
      </c>
      <c r="O333" t="s">
        <v>34</v>
      </c>
      <c r="P333" t="s">
        <v>20</v>
      </c>
      <c r="Q333" t="s">
        <v>20</v>
      </c>
      <c r="R333" t="s">
        <v>7467</v>
      </c>
      <c r="S333" t="s">
        <v>20</v>
      </c>
    </row>
    <row r="334" spans="1:19" x14ac:dyDescent="0.45">
      <c r="A334" t="s">
        <v>362</v>
      </c>
      <c r="B334" t="s">
        <v>20</v>
      </c>
      <c r="C334" t="s">
        <v>542</v>
      </c>
      <c r="D334" t="s">
        <v>543</v>
      </c>
      <c r="E334" t="s">
        <v>57</v>
      </c>
      <c r="F334" t="s">
        <v>20</v>
      </c>
      <c r="G334" t="s">
        <v>23</v>
      </c>
      <c r="H334" t="s">
        <v>7463</v>
      </c>
      <c r="I334" t="s">
        <v>7464</v>
      </c>
      <c r="J334" t="s">
        <v>7465</v>
      </c>
      <c r="K334" t="s">
        <v>7466</v>
      </c>
      <c r="L334" t="s">
        <v>2769</v>
      </c>
      <c r="M334" t="s">
        <v>32</v>
      </c>
      <c r="N334" t="s">
        <v>62</v>
      </c>
      <c r="O334" t="s">
        <v>34</v>
      </c>
      <c r="P334" t="s">
        <v>20</v>
      </c>
      <c r="Q334" t="s">
        <v>20</v>
      </c>
      <c r="R334" t="s">
        <v>253</v>
      </c>
      <c r="S334" t="s">
        <v>20</v>
      </c>
    </row>
    <row r="335" spans="1:19" x14ac:dyDescent="0.45">
      <c r="A335" t="s">
        <v>777</v>
      </c>
      <c r="B335" t="s">
        <v>20</v>
      </c>
      <c r="C335" t="s">
        <v>7896</v>
      </c>
      <c r="D335" t="s">
        <v>5712</v>
      </c>
      <c r="E335" t="s">
        <v>2487</v>
      </c>
      <c r="F335" t="s">
        <v>20</v>
      </c>
      <c r="G335" t="s">
        <v>23</v>
      </c>
      <c r="H335" t="s">
        <v>8022</v>
      </c>
      <c r="I335" t="s">
        <v>8023</v>
      </c>
      <c r="J335" t="s">
        <v>8024</v>
      </c>
      <c r="K335" t="s">
        <v>8025</v>
      </c>
      <c r="L335" t="s">
        <v>3418</v>
      </c>
      <c r="M335" t="s">
        <v>136</v>
      </c>
      <c r="N335" t="s">
        <v>62</v>
      </c>
      <c r="O335" t="s">
        <v>34</v>
      </c>
      <c r="P335" t="s">
        <v>20</v>
      </c>
      <c r="Q335" t="s">
        <v>20</v>
      </c>
      <c r="R335" t="s">
        <v>8026</v>
      </c>
      <c r="S335" t="s">
        <v>20</v>
      </c>
    </row>
    <row r="336" spans="1:19" x14ac:dyDescent="0.45">
      <c r="A336" t="s">
        <v>173</v>
      </c>
      <c r="B336" t="s">
        <v>20</v>
      </c>
      <c r="C336" t="s">
        <v>3234</v>
      </c>
      <c r="D336" t="s">
        <v>3235</v>
      </c>
      <c r="E336" t="s">
        <v>38</v>
      </c>
      <c r="F336" t="s">
        <v>20</v>
      </c>
      <c r="G336" t="s">
        <v>23</v>
      </c>
      <c r="H336" t="s">
        <v>12556</v>
      </c>
      <c r="I336" t="s">
        <v>12557</v>
      </c>
      <c r="J336" t="s">
        <v>12558</v>
      </c>
      <c r="K336" t="s">
        <v>12559</v>
      </c>
      <c r="L336" t="s">
        <v>3418</v>
      </c>
      <c r="M336" t="s">
        <v>12431</v>
      </c>
      <c r="N336" t="s">
        <v>33</v>
      </c>
      <c r="O336" t="s">
        <v>34</v>
      </c>
      <c r="P336" t="s">
        <v>20</v>
      </c>
      <c r="Q336" t="s">
        <v>20</v>
      </c>
      <c r="R336" t="s">
        <v>12560</v>
      </c>
      <c r="S336" t="s">
        <v>20</v>
      </c>
    </row>
    <row r="337" spans="1:19" x14ac:dyDescent="0.45">
      <c r="A337" t="s">
        <v>120</v>
      </c>
      <c r="B337" t="s">
        <v>20</v>
      </c>
      <c r="C337" t="s">
        <v>744</v>
      </c>
      <c r="D337" t="s">
        <v>745</v>
      </c>
      <c r="E337" t="s">
        <v>38</v>
      </c>
      <c r="F337" t="s">
        <v>20</v>
      </c>
      <c r="G337" t="s">
        <v>23</v>
      </c>
      <c r="H337" t="s">
        <v>7136</v>
      </c>
      <c r="I337" t="s">
        <v>7137</v>
      </c>
      <c r="J337" t="s">
        <v>7138</v>
      </c>
      <c r="K337" t="s">
        <v>7139</v>
      </c>
      <c r="L337" t="s">
        <v>8094</v>
      </c>
      <c r="M337" t="s">
        <v>32</v>
      </c>
      <c r="N337" t="s">
        <v>45</v>
      </c>
      <c r="O337" t="s">
        <v>34</v>
      </c>
      <c r="P337" t="s">
        <v>20</v>
      </c>
      <c r="Q337" t="s">
        <v>20</v>
      </c>
      <c r="R337" t="s">
        <v>7140</v>
      </c>
      <c r="S337" t="s">
        <v>20</v>
      </c>
    </row>
    <row r="338" spans="1:19" x14ac:dyDescent="0.45">
      <c r="A338" t="s">
        <v>120</v>
      </c>
      <c r="B338" t="s">
        <v>20</v>
      </c>
      <c r="C338" t="s">
        <v>744</v>
      </c>
      <c r="D338" t="s">
        <v>745</v>
      </c>
      <c r="E338" t="s">
        <v>38</v>
      </c>
      <c r="F338" t="s">
        <v>20</v>
      </c>
      <c r="G338" t="s">
        <v>23</v>
      </c>
      <c r="H338" t="s">
        <v>10035</v>
      </c>
      <c r="I338" t="s">
        <v>10036</v>
      </c>
      <c r="J338" t="s">
        <v>10037</v>
      </c>
      <c r="K338" t="s">
        <v>10038</v>
      </c>
      <c r="L338" t="s">
        <v>6524</v>
      </c>
      <c r="M338" t="s">
        <v>32</v>
      </c>
      <c r="N338" t="s">
        <v>45</v>
      </c>
      <c r="O338" t="s">
        <v>34</v>
      </c>
      <c r="P338" t="s">
        <v>20</v>
      </c>
      <c r="Q338" t="s">
        <v>20</v>
      </c>
      <c r="R338" t="s">
        <v>10039</v>
      </c>
      <c r="S338" t="s">
        <v>20</v>
      </c>
    </row>
    <row r="339" spans="1:19" x14ac:dyDescent="0.45">
      <c r="A339" t="s">
        <v>120</v>
      </c>
      <c r="B339" t="s">
        <v>20</v>
      </c>
      <c r="C339" t="s">
        <v>744</v>
      </c>
      <c r="D339" t="s">
        <v>745</v>
      </c>
      <c r="E339" t="s">
        <v>38</v>
      </c>
      <c r="F339" t="s">
        <v>20</v>
      </c>
      <c r="G339" t="s">
        <v>23</v>
      </c>
      <c r="H339" t="s">
        <v>12561</v>
      </c>
      <c r="I339" t="s">
        <v>12562</v>
      </c>
      <c r="J339" t="s">
        <v>12563</v>
      </c>
      <c r="K339" t="s">
        <v>12564</v>
      </c>
      <c r="L339" t="s">
        <v>6524</v>
      </c>
      <c r="M339" t="s">
        <v>12431</v>
      </c>
      <c r="N339" t="s">
        <v>33</v>
      </c>
      <c r="O339" t="s">
        <v>34</v>
      </c>
      <c r="P339" t="s">
        <v>20</v>
      </c>
      <c r="Q339" t="s">
        <v>20</v>
      </c>
      <c r="R339" t="s">
        <v>12565</v>
      </c>
      <c r="S339" t="s">
        <v>12566</v>
      </c>
    </row>
    <row r="340" spans="1:19" x14ac:dyDescent="0.45">
      <c r="A340" t="s">
        <v>120</v>
      </c>
      <c r="B340" t="s">
        <v>20</v>
      </c>
      <c r="C340" t="s">
        <v>744</v>
      </c>
      <c r="D340" t="s">
        <v>745</v>
      </c>
      <c r="E340" t="s">
        <v>57</v>
      </c>
      <c r="F340" t="s">
        <v>20</v>
      </c>
      <c r="G340" t="s">
        <v>23</v>
      </c>
      <c r="H340" t="s">
        <v>12567</v>
      </c>
      <c r="I340" t="s">
        <v>12568</v>
      </c>
      <c r="J340" t="s">
        <v>12569</v>
      </c>
      <c r="K340" t="s">
        <v>12570</v>
      </c>
      <c r="L340" t="s">
        <v>3418</v>
      </c>
      <c r="M340" t="s">
        <v>102</v>
      </c>
      <c r="N340" t="s">
        <v>62</v>
      </c>
      <c r="O340" t="s">
        <v>34</v>
      </c>
      <c r="P340" t="s">
        <v>20</v>
      </c>
      <c r="Q340" t="s">
        <v>20</v>
      </c>
      <c r="R340" t="s">
        <v>12571</v>
      </c>
      <c r="S340" t="s">
        <v>20</v>
      </c>
    </row>
    <row r="341" spans="1:19" x14ac:dyDescent="0.45">
      <c r="A341" t="s">
        <v>1043</v>
      </c>
      <c r="B341" t="s">
        <v>20</v>
      </c>
      <c r="C341" t="s">
        <v>1044</v>
      </c>
      <c r="D341" t="s">
        <v>1045</v>
      </c>
      <c r="E341" t="s">
        <v>2487</v>
      </c>
      <c r="F341" t="s">
        <v>20</v>
      </c>
      <c r="G341" t="s">
        <v>23</v>
      </c>
      <c r="H341" t="s">
        <v>14447</v>
      </c>
      <c r="I341" t="s">
        <v>14448</v>
      </c>
      <c r="J341" t="s">
        <v>14449</v>
      </c>
      <c r="K341" t="s">
        <v>14450</v>
      </c>
      <c r="L341" t="s">
        <v>12390</v>
      </c>
      <c r="M341" t="s">
        <v>32</v>
      </c>
      <c r="N341" t="s">
        <v>45</v>
      </c>
      <c r="O341" t="s">
        <v>34</v>
      </c>
      <c r="P341" t="s">
        <v>20</v>
      </c>
      <c r="Q341" t="s">
        <v>20</v>
      </c>
      <c r="R341" t="s">
        <v>14451</v>
      </c>
      <c r="S341" t="s">
        <v>20</v>
      </c>
    </row>
    <row r="342" spans="1:19" x14ac:dyDescent="0.45">
      <c r="A342" t="s">
        <v>211</v>
      </c>
      <c r="B342" t="s">
        <v>20</v>
      </c>
      <c r="C342" t="s">
        <v>2024</v>
      </c>
      <c r="D342" t="s">
        <v>2025</v>
      </c>
      <c r="E342" t="s">
        <v>38</v>
      </c>
      <c r="F342" t="s">
        <v>20</v>
      </c>
      <c r="G342" t="s">
        <v>23</v>
      </c>
      <c r="H342" t="s">
        <v>9921</v>
      </c>
      <c r="I342" t="s">
        <v>9922</v>
      </c>
      <c r="J342" t="s">
        <v>10813</v>
      </c>
      <c r="K342" t="s">
        <v>10814</v>
      </c>
      <c r="L342" t="s">
        <v>8109</v>
      </c>
      <c r="M342" t="s">
        <v>32</v>
      </c>
      <c r="N342" t="s">
        <v>33</v>
      </c>
      <c r="O342" t="s">
        <v>34</v>
      </c>
      <c r="P342" t="s">
        <v>20</v>
      </c>
      <c r="Q342" t="s">
        <v>20</v>
      </c>
      <c r="R342" t="s">
        <v>10815</v>
      </c>
      <c r="S342" t="s">
        <v>9923</v>
      </c>
    </row>
    <row r="343" spans="1:19" x14ac:dyDescent="0.45">
      <c r="A343" t="s">
        <v>114</v>
      </c>
      <c r="B343" t="s">
        <v>20</v>
      </c>
      <c r="C343" t="s">
        <v>9984</v>
      </c>
      <c r="D343" t="s">
        <v>5837</v>
      </c>
      <c r="E343" t="s">
        <v>57</v>
      </c>
      <c r="F343" t="s">
        <v>20</v>
      </c>
      <c r="G343" t="s">
        <v>23</v>
      </c>
      <c r="H343" t="s">
        <v>10430</v>
      </c>
      <c r="I343" t="s">
        <v>10431</v>
      </c>
      <c r="J343" t="s">
        <v>10432</v>
      </c>
      <c r="K343" t="s">
        <v>10433</v>
      </c>
      <c r="L343" t="s">
        <v>3418</v>
      </c>
      <c r="M343" t="s">
        <v>32</v>
      </c>
      <c r="N343" t="s">
        <v>62</v>
      </c>
      <c r="O343" t="s">
        <v>34</v>
      </c>
      <c r="P343" t="s">
        <v>20</v>
      </c>
      <c r="Q343" t="s">
        <v>20</v>
      </c>
      <c r="R343" t="s">
        <v>10434</v>
      </c>
      <c r="S343" t="s">
        <v>20</v>
      </c>
    </row>
    <row r="344" spans="1:19" x14ac:dyDescent="0.45">
      <c r="A344" t="s">
        <v>511</v>
      </c>
      <c r="B344" t="s">
        <v>20</v>
      </c>
      <c r="C344" t="s">
        <v>8431</v>
      </c>
      <c r="D344" t="s">
        <v>6218</v>
      </c>
      <c r="E344" t="s">
        <v>2487</v>
      </c>
      <c r="F344" t="s">
        <v>20</v>
      </c>
      <c r="G344" t="s">
        <v>23</v>
      </c>
      <c r="H344" t="s">
        <v>8966</v>
      </c>
      <c r="I344" t="s">
        <v>9160</v>
      </c>
      <c r="J344" t="s">
        <v>9161</v>
      </c>
      <c r="K344" t="s">
        <v>9162</v>
      </c>
      <c r="L344" t="s">
        <v>3418</v>
      </c>
      <c r="M344" t="s">
        <v>3105</v>
      </c>
      <c r="N344" t="s">
        <v>62</v>
      </c>
      <c r="O344" t="s">
        <v>34</v>
      </c>
      <c r="P344" t="s">
        <v>20</v>
      </c>
      <c r="Q344" t="s">
        <v>20</v>
      </c>
      <c r="R344" t="s">
        <v>9163</v>
      </c>
      <c r="S344" t="s">
        <v>20</v>
      </c>
    </row>
    <row r="345" spans="1:19" x14ac:dyDescent="0.45">
      <c r="A345" t="s">
        <v>239</v>
      </c>
      <c r="B345" t="s">
        <v>20</v>
      </c>
      <c r="C345" t="s">
        <v>3271</v>
      </c>
      <c r="D345" t="s">
        <v>3272</v>
      </c>
      <c r="E345" t="s">
        <v>38</v>
      </c>
      <c r="F345" t="s">
        <v>20</v>
      </c>
      <c r="G345" t="s">
        <v>23</v>
      </c>
      <c r="H345" t="s">
        <v>13232</v>
      </c>
      <c r="I345" t="s">
        <v>13233</v>
      </c>
      <c r="J345" t="s">
        <v>13234</v>
      </c>
      <c r="K345" t="s">
        <v>13235</v>
      </c>
      <c r="L345" t="s">
        <v>11782</v>
      </c>
      <c r="M345" t="s">
        <v>2100</v>
      </c>
      <c r="N345" t="s">
        <v>45</v>
      </c>
      <c r="O345" t="s">
        <v>34</v>
      </c>
      <c r="P345" t="s">
        <v>20</v>
      </c>
      <c r="Q345" t="s">
        <v>20</v>
      </c>
      <c r="R345" t="s">
        <v>13236</v>
      </c>
      <c r="S345" t="s">
        <v>20</v>
      </c>
    </row>
    <row r="346" spans="1:19" x14ac:dyDescent="0.45">
      <c r="A346" t="s">
        <v>3096</v>
      </c>
      <c r="B346" t="s">
        <v>20</v>
      </c>
      <c r="C346" t="s">
        <v>4590</v>
      </c>
      <c r="D346" t="s">
        <v>4591</v>
      </c>
      <c r="E346" t="s">
        <v>38</v>
      </c>
      <c r="F346" t="s">
        <v>20</v>
      </c>
      <c r="G346" t="s">
        <v>23</v>
      </c>
      <c r="H346" t="s">
        <v>6864</v>
      </c>
      <c r="I346" t="s">
        <v>6865</v>
      </c>
      <c r="J346" t="s">
        <v>10965</v>
      </c>
      <c r="K346" t="s">
        <v>10966</v>
      </c>
      <c r="L346" t="s">
        <v>2330</v>
      </c>
      <c r="M346" t="s">
        <v>32</v>
      </c>
      <c r="N346" t="s">
        <v>33</v>
      </c>
      <c r="O346" t="s">
        <v>34</v>
      </c>
      <c r="P346" t="s">
        <v>20</v>
      </c>
      <c r="Q346" t="s">
        <v>20</v>
      </c>
      <c r="R346" t="s">
        <v>10967</v>
      </c>
      <c r="S346" t="s">
        <v>20</v>
      </c>
    </row>
    <row r="347" spans="1:19" x14ac:dyDescent="0.45">
      <c r="A347" t="s">
        <v>3096</v>
      </c>
      <c r="B347" t="s">
        <v>20</v>
      </c>
      <c r="C347" t="s">
        <v>11028</v>
      </c>
      <c r="D347" t="s">
        <v>5873</v>
      </c>
      <c r="E347" t="s">
        <v>57</v>
      </c>
      <c r="F347" t="s">
        <v>20</v>
      </c>
      <c r="G347" t="s">
        <v>23</v>
      </c>
      <c r="H347" t="s">
        <v>11029</v>
      </c>
      <c r="I347" t="s">
        <v>11030</v>
      </c>
      <c r="J347" t="s">
        <v>11031</v>
      </c>
      <c r="K347" t="s">
        <v>11032</v>
      </c>
      <c r="L347" t="s">
        <v>3418</v>
      </c>
      <c r="M347" t="s">
        <v>3105</v>
      </c>
      <c r="N347" t="s">
        <v>62</v>
      </c>
      <c r="O347" t="s">
        <v>34</v>
      </c>
      <c r="P347" t="s">
        <v>20</v>
      </c>
      <c r="Q347" t="s">
        <v>20</v>
      </c>
      <c r="R347" t="s">
        <v>11033</v>
      </c>
      <c r="S347" t="s">
        <v>20</v>
      </c>
    </row>
    <row r="348" spans="1:19" x14ac:dyDescent="0.45">
      <c r="A348" t="s">
        <v>64</v>
      </c>
      <c r="B348" t="s">
        <v>20</v>
      </c>
      <c r="C348" t="s">
        <v>1396</v>
      </c>
      <c r="D348" t="s">
        <v>1397</v>
      </c>
      <c r="E348" t="s">
        <v>38</v>
      </c>
      <c r="F348" t="s">
        <v>20</v>
      </c>
      <c r="G348" t="s">
        <v>23</v>
      </c>
      <c r="H348" t="s">
        <v>11734</v>
      </c>
      <c r="I348" t="s">
        <v>11735</v>
      </c>
      <c r="J348" t="s">
        <v>12572</v>
      </c>
      <c r="K348" t="s">
        <v>12573</v>
      </c>
      <c r="L348" t="s">
        <v>6524</v>
      </c>
      <c r="M348" t="s">
        <v>12431</v>
      </c>
      <c r="N348" t="s">
        <v>33</v>
      </c>
      <c r="O348" t="s">
        <v>34</v>
      </c>
      <c r="P348" t="s">
        <v>20</v>
      </c>
      <c r="Q348" t="s">
        <v>20</v>
      </c>
      <c r="R348" t="s">
        <v>12574</v>
      </c>
      <c r="S348" t="s">
        <v>11736</v>
      </c>
    </row>
    <row r="349" spans="1:19" x14ac:dyDescent="0.45">
      <c r="A349" t="s">
        <v>64</v>
      </c>
      <c r="B349" t="s">
        <v>20</v>
      </c>
      <c r="C349" t="s">
        <v>1396</v>
      </c>
      <c r="D349" t="s">
        <v>1397</v>
      </c>
      <c r="E349" t="s">
        <v>38</v>
      </c>
      <c r="F349" t="s">
        <v>20</v>
      </c>
      <c r="G349" t="s">
        <v>23</v>
      </c>
      <c r="H349" t="s">
        <v>12193</v>
      </c>
      <c r="I349" t="s">
        <v>12194</v>
      </c>
      <c r="J349" t="s">
        <v>12575</v>
      </c>
      <c r="K349" t="s">
        <v>12576</v>
      </c>
      <c r="L349" t="s">
        <v>6524</v>
      </c>
      <c r="M349" t="s">
        <v>12431</v>
      </c>
      <c r="N349" t="s">
        <v>33</v>
      </c>
      <c r="O349" t="s">
        <v>34</v>
      </c>
      <c r="P349" t="s">
        <v>20</v>
      </c>
      <c r="Q349" t="s">
        <v>20</v>
      </c>
      <c r="R349" t="s">
        <v>12577</v>
      </c>
      <c r="S349" t="s">
        <v>12195</v>
      </c>
    </row>
    <row r="350" spans="1:19" x14ac:dyDescent="0.45">
      <c r="A350" t="s">
        <v>64</v>
      </c>
      <c r="B350" t="s">
        <v>20</v>
      </c>
      <c r="C350" t="s">
        <v>1396</v>
      </c>
      <c r="D350" t="s">
        <v>1397</v>
      </c>
      <c r="E350" t="s">
        <v>38</v>
      </c>
      <c r="F350" t="s">
        <v>20</v>
      </c>
      <c r="G350" t="s">
        <v>23</v>
      </c>
      <c r="H350" t="s">
        <v>11755</v>
      </c>
      <c r="I350" t="s">
        <v>11756</v>
      </c>
      <c r="J350" t="s">
        <v>12578</v>
      </c>
      <c r="K350" t="s">
        <v>12579</v>
      </c>
      <c r="L350" t="s">
        <v>6524</v>
      </c>
      <c r="M350" t="s">
        <v>12431</v>
      </c>
      <c r="N350" t="s">
        <v>33</v>
      </c>
      <c r="O350" t="s">
        <v>34</v>
      </c>
      <c r="P350" t="s">
        <v>20</v>
      </c>
      <c r="Q350" t="s">
        <v>20</v>
      </c>
      <c r="R350" t="s">
        <v>12580</v>
      </c>
      <c r="S350" t="s">
        <v>11757</v>
      </c>
    </row>
    <row r="351" spans="1:19" x14ac:dyDescent="0.45">
      <c r="A351" t="s">
        <v>928</v>
      </c>
      <c r="B351" t="s">
        <v>20</v>
      </c>
      <c r="C351" t="s">
        <v>996</v>
      </c>
      <c r="D351" t="s">
        <v>997</v>
      </c>
      <c r="E351" t="s">
        <v>57</v>
      </c>
      <c r="F351" t="s">
        <v>20</v>
      </c>
      <c r="G351" t="s">
        <v>23</v>
      </c>
      <c r="H351" t="s">
        <v>998</v>
      </c>
      <c r="I351" t="s">
        <v>999</v>
      </c>
      <c r="J351" t="s">
        <v>1000</v>
      </c>
      <c r="K351" t="s">
        <v>1001</v>
      </c>
      <c r="L351" t="s">
        <v>43</v>
      </c>
      <c r="M351" t="s">
        <v>32</v>
      </c>
      <c r="N351" t="s">
        <v>62</v>
      </c>
      <c r="O351" t="s">
        <v>34</v>
      </c>
      <c r="P351" t="s">
        <v>20</v>
      </c>
      <c r="Q351" t="s">
        <v>20</v>
      </c>
      <c r="R351" t="s">
        <v>935</v>
      </c>
      <c r="S351" t="s">
        <v>20</v>
      </c>
    </row>
    <row r="352" spans="1:19" x14ac:dyDescent="0.45">
      <c r="A352" t="s">
        <v>511</v>
      </c>
      <c r="B352" t="s">
        <v>20</v>
      </c>
      <c r="C352" t="s">
        <v>1394</v>
      </c>
      <c r="D352" t="s">
        <v>1395</v>
      </c>
      <c r="E352" t="s">
        <v>38</v>
      </c>
      <c r="F352" t="s">
        <v>20</v>
      </c>
      <c r="G352" t="s">
        <v>23</v>
      </c>
      <c r="H352" t="s">
        <v>8924</v>
      </c>
      <c r="I352" t="s">
        <v>9164</v>
      </c>
      <c r="J352" t="s">
        <v>9165</v>
      </c>
      <c r="K352" t="s">
        <v>9166</v>
      </c>
      <c r="L352" t="s">
        <v>3998</v>
      </c>
      <c r="M352" t="s">
        <v>3105</v>
      </c>
      <c r="N352" t="s">
        <v>62</v>
      </c>
      <c r="O352" t="s">
        <v>34</v>
      </c>
      <c r="P352" t="s">
        <v>20</v>
      </c>
      <c r="Q352" t="s">
        <v>20</v>
      </c>
      <c r="R352" t="s">
        <v>9167</v>
      </c>
      <c r="S352" t="s">
        <v>20</v>
      </c>
    </row>
    <row r="353" spans="1:19" x14ac:dyDescent="0.45">
      <c r="A353" t="s">
        <v>46</v>
      </c>
      <c r="B353" t="s">
        <v>20</v>
      </c>
      <c r="C353" t="s">
        <v>460</v>
      </c>
      <c r="D353" t="s">
        <v>461</v>
      </c>
      <c r="E353" t="s">
        <v>38</v>
      </c>
      <c r="F353" t="s">
        <v>20</v>
      </c>
      <c r="G353" t="s">
        <v>23</v>
      </c>
      <c r="H353" t="s">
        <v>9962</v>
      </c>
      <c r="I353" t="s">
        <v>9963</v>
      </c>
      <c r="J353" t="s">
        <v>11144</v>
      </c>
      <c r="K353" t="s">
        <v>11113</v>
      </c>
      <c r="L353" t="s">
        <v>9570</v>
      </c>
      <c r="M353" t="s">
        <v>32</v>
      </c>
      <c r="N353" t="s">
        <v>33</v>
      </c>
      <c r="O353" t="s">
        <v>34</v>
      </c>
      <c r="P353" t="s">
        <v>20</v>
      </c>
      <c r="Q353" t="s">
        <v>20</v>
      </c>
      <c r="R353" t="s">
        <v>11145</v>
      </c>
      <c r="S353" t="s">
        <v>9964</v>
      </c>
    </row>
    <row r="354" spans="1:19" x14ac:dyDescent="0.45">
      <c r="A354" t="s">
        <v>211</v>
      </c>
      <c r="B354" t="s">
        <v>20</v>
      </c>
      <c r="C354" t="s">
        <v>1908</v>
      </c>
      <c r="D354" t="s">
        <v>1909</v>
      </c>
      <c r="E354" t="s">
        <v>38</v>
      </c>
      <c r="F354" t="s">
        <v>20</v>
      </c>
      <c r="G354" t="s">
        <v>23</v>
      </c>
      <c r="H354" t="s">
        <v>14452</v>
      </c>
      <c r="I354" t="s">
        <v>14453</v>
      </c>
      <c r="J354" t="s">
        <v>14454</v>
      </c>
      <c r="K354" t="s">
        <v>14455</v>
      </c>
      <c r="L354" t="s">
        <v>9126</v>
      </c>
      <c r="M354" t="s">
        <v>112</v>
      </c>
      <c r="N354" t="s">
        <v>146</v>
      </c>
      <c r="O354" t="s">
        <v>34</v>
      </c>
      <c r="P354" t="s">
        <v>20</v>
      </c>
      <c r="Q354" t="s">
        <v>20</v>
      </c>
      <c r="R354" t="s">
        <v>14456</v>
      </c>
      <c r="S354" t="s">
        <v>20</v>
      </c>
    </row>
    <row r="355" spans="1:19" x14ac:dyDescent="0.45">
      <c r="A355" t="s">
        <v>211</v>
      </c>
      <c r="B355" t="s">
        <v>20</v>
      </c>
      <c r="C355" t="s">
        <v>1908</v>
      </c>
      <c r="D355" t="s">
        <v>1909</v>
      </c>
      <c r="E355" t="s">
        <v>38</v>
      </c>
      <c r="F355" t="s">
        <v>20</v>
      </c>
      <c r="G355" t="s">
        <v>23</v>
      </c>
      <c r="H355" t="s">
        <v>1910</v>
      </c>
      <c r="I355" t="s">
        <v>1911</v>
      </c>
      <c r="J355" t="s">
        <v>1912</v>
      </c>
      <c r="K355" t="s">
        <v>1913</v>
      </c>
      <c r="L355" t="s">
        <v>43</v>
      </c>
      <c r="M355" t="s">
        <v>102</v>
      </c>
      <c r="N355" t="s">
        <v>62</v>
      </c>
      <c r="O355" t="s">
        <v>34</v>
      </c>
      <c r="P355" t="s">
        <v>20</v>
      </c>
      <c r="Q355" t="s">
        <v>20</v>
      </c>
      <c r="R355" t="s">
        <v>1914</v>
      </c>
      <c r="S355" t="s">
        <v>20</v>
      </c>
    </row>
    <row r="356" spans="1:19" x14ac:dyDescent="0.45">
      <c r="A356" t="s">
        <v>211</v>
      </c>
      <c r="B356" t="s">
        <v>20</v>
      </c>
      <c r="C356" t="s">
        <v>1908</v>
      </c>
      <c r="D356" t="s">
        <v>1909</v>
      </c>
      <c r="E356" t="s">
        <v>38</v>
      </c>
      <c r="F356" t="s">
        <v>20</v>
      </c>
      <c r="G356" t="s">
        <v>23</v>
      </c>
      <c r="H356" t="s">
        <v>2439</v>
      </c>
      <c r="I356" t="s">
        <v>2440</v>
      </c>
      <c r="J356" t="s">
        <v>2441</v>
      </c>
      <c r="K356" t="s">
        <v>2442</v>
      </c>
      <c r="L356" t="s">
        <v>101</v>
      </c>
      <c r="M356" t="s">
        <v>102</v>
      </c>
      <c r="N356" t="s">
        <v>62</v>
      </c>
      <c r="O356" t="s">
        <v>34</v>
      </c>
      <c r="P356" t="s">
        <v>20</v>
      </c>
      <c r="Q356" t="s">
        <v>20</v>
      </c>
      <c r="R356" t="s">
        <v>556</v>
      </c>
      <c r="S356" t="s">
        <v>20</v>
      </c>
    </row>
    <row r="357" spans="1:19" x14ac:dyDescent="0.45">
      <c r="A357" t="s">
        <v>413</v>
      </c>
      <c r="B357" t="s">
        <v>20</v>
      </c>
      <c r="C357" t="s">
        <v>758</v>
      </c>
      <c r="D357" t="s">
        <v>759</v>
      </c>
      <c r="E357" t="s">
        <v>38</v>
      </c>
      <c r="F357" t="s">
        <v>20</v>
      </c>
      <c r="G357" t="s">
        <v>23</v>
      </c>
      <c r="H357" t="s">
        <v>6485</v>
      </c>
      <c r="I357" t="s">
        <v>6542</v>
      </c>
      <c r="J357" t="s">
        <v>10921</v>
      </c>
      <c r="K357" t="s">
        <v>10922</v>
      </c>
      <c r="L357" t="s">
        <v>3998</v>
      </c>
      <c r="M357" t="s">
        <v>32</v>
      </c>
      <c r="N357" t="s">
        <v>33</v>
      </c>
      <c r="O357" t="s">
        <v>34</v>
      </c>
      <c r="P357" t="s">
        <v>20</v>
      </c>
      <c r="Q357" t="s">
        <v>20</v>
      </c>
      <c r="R357" t="s">
        <v>10923</v>
      </c>
      <c r="S357" t="s">
        <v>20</v>
      </c>
    </row>
    <row r="358" spans="1:19" x14ac:dyDescent="0.45">
      <c r="A358" t="s">
        <v>64</v>
      </c>
      <c r="B358" t="s">
        <v>20</v>
      </c>
      <c r="C358" t="s">
        <v>2510</v>
      </c>
      <c r="D358" t="s">
        <v>2511</v>
      </c>
      <c r="E358" t="s">
        <v>2487</v>
      </c>
      <c r="F358" t="s">
        <v>20</v>
      </c>
      <c r="G358" t="s">
        <v>23</v>
      </c>
      <c r="H358" t="s">
        <v>7491</v>
      </c>
      <c r="I358" t="s">
        <v>7492</v>
      </c>
      <c r="J358" t="s">
        <v>7493</v>
      </c>
      <c r="K358" t="s">
        <v>7494</v>
      </c>
      <c r="L358" t="s">
        <v>3418</v>
      </c>
      <c r="M358" t="s">
        <v>32</v>
      </c>
      <c r="N358" t="s">
        <v>62</v>
      </c>
      <c r="O358" t="s">
        <v>34</v>
      </c>
      <c r="P358" t="s">
        <v>20</v>
      </c>
      <c r="Q358" t="s">
        <v>20</v>
      </c>
      <c r="R358" t="s">
        <v>7495</v>
      </c>
      <c r="S358" t="s">
        <v>20</v>
      </c>
    </row>
    <row r="359" spans="1:19" x14ac:dyDescent="0.45">
      <c r="A359" t="s">
        <v>114</v>
      </c>
      <c r="B359" t="s">
        <v>20</v>
      </c>
      <c r="C359" t="s">
        <v>10029</v>
      </c>
      <c r="D359" t="s">
        <v>5782</v>
      </c>
      <c r="E359" t="s">
        <v>57</v>
      </c>
      <c r="F359" t="s">
        <v>20</v>
      </c>
      <c r="G359" t="s">
        <v>23</v>
      </c>
      <c r="H359" t="s">
        <v>10484</v>
      </c>
      <c r="I359" t="s">
        <v>10485</v>
      </c>
      <c r="J359" t="s">
        <v>10486</v>
      </c>
      <c r="K359" t="s">
        <v>10487</v>
      </c>
      <c r="L359" t="s">
        <v>3418</v>
      </c>
      <c r="M359" t="s">
        <v>32</v>
      </c>
      <c r="N359" t="s">
        <v>62</v>
      </c>
      <c r="O359" t="s">
        <v>34</v>
      </c>
      <c r="P359" t="s">
        <v>20</v>
      </c>
      <c r="Q359" t="s">
        <v>20</v>
      </c>
      <c r="R359" t="s">
        <v>10488</v>
      </c>
      <c r="S359" t="s">
        <v>20</v>
      </c>
    </row>
    <row r="360" spans="1:19" x14ac:dyDescent="0.45">
      <c r="A360" t="s">
        <v>114</v>
      </c>
      <c r="B360" t="s">
        <v>20</v>
      </c>
      <c r="C360" t="s">
        <v>10029</v>
      </c>
      <c r="D360" t="s">
        <v>5782</v>
      </c>
      <c r="E360" t="s">
        <v>2487</v>
      </c>
      <c r="F360" t="s">
        <v>20</v>
      </c>
      <c r="G360" t="s">
        <v>23</v>
      </c>
      <c r="H360" t="s">
        <v>10499</v>
      </c>
      <c r="I360" t="s">
        <v>10500</v>
      </c>
      <c r="J360" t="s">
        <v>10501</v>
      </c>
      <c r="K360" t="s">
        <v>10502</v>
      </c>
      <c r="L360" t="s">
        <v>3418</v>
      </c>
      <c r="M360" t="s">
        <v>32</v>
      </c>
      <c r="N360" t="s">
        <v>62</v>
      </c>
      <c r="O360" t="s">
        <v>34</v>
      </c>
      <c r="P360" t="s">
        <v>20</v>
      </c>
      <c r="Q360" t="s">
        <v>20</v>
      </c>
      <c r="R360" t="s">
        <v>10503</v>
      </c>
      <c r="S360" t="s">
        <v>20</v>
      </c>
    </row>
    <row r="361" spans="1:19" x14ac:dyDescent="0.45">
      <c r="A361" t="s">
        <v>943</v>
      </c>
      <c r="B361" t="s">
        <v>20</v>
      </c>
      <c r="C361" t="s">
        <v>1690</v>
      </c>
      <c r="D361" t="s">
        <v>1691</v>
      </c>
      <c r="E361" t="s">
        <v>57</v>
      </c>
      <c r="F361" t="s">
        <v>20</v>
      </c>
      <c r="G361" t="s">
        <v>23</v>
      </c>
      <c r="H361" t="s">
        <v>7821</v>
      </c>
      <c r="I361" t="s">
        <v>7822</v>
      </c>
      <c r="J361" t="s">
        <v>7823</v>
      </c>
      <c r="K361" t="s">
        <v>7824</v>
      </c>
      <c r="L361" t="s">
        <v>2769</v>
      </c>
      <c r="M361" t="s">
        <v>32</v>
      </c>
      <c r="N361" t="s">
        <v>62</v>
      </c>
      <c r="O361" t="s">
        <v>34</v>
      </c>
      <c r="P361" t="s">
        <v>20</v>
      </c>
      <c r="Q361" t="s">
        <v>20</v>
      </c>
      <c r="R361" t="s">
        <v>7070</v>
      </c>
      <c r="S361" t="s">
        <v>20</v>
      </c>
    </row>
    <row r="362" spans="1:19" x14ac:dyDescent="0.45">
      <c r="A362" t="s">
        <v>425</v>
      </c>
      <c r="B362" t="s">
        <v>20</v>
      </c>
      <c r="C362" t="s">
        <v>426</v>
      </c>
      <c r="D362" t="s">
        <v>427</v>
      </c>
      <c r="E362" t="s">
        <v>57</v>
      </c>
      <c r="F362" t="s">
        <v>20</v>
      </c>
      <c r="G362" t="s">
        <v>23</v>
      </c>
      <c r="H362" t="s">
        <v>428</v>
      </c>
      <c r="I362" t="s">
        <v>429</v>
      </c>
      <c r="J362" t="s">
        <v>430</v>
      </c>
      <c r="K362" t="s">
        <v>431</v>
      </c>
      <c r="L362" t="s">
        <v>43</v>
      </c>
      <c r="M362" t="s">
        <v>32</v>
      </c>
      <c r="N362" t="s">
        <v>62</v>
      </c>
      <c r="O362" t="s">
        <v>34</v>
      </c>
      <c r="P362" t="s">
        <v>20</v>
      </c>
      <c r="Q362" t="s">
        <v>20</v>
      </c>
      <c r="R362" t="s">
        <v>253</v>
      </c>
      <c r="S362" t="s">
        <v>20</v>
      </c>
    </row>
    <row r="363" spans="1:19" x14ac:dyDescent="0.45">
      <c r="A363" t="s">
        <v>1980</v>
      </c>
      <c r="B363" t="s">
        <v>20</v>
      </c>
      <c r="C363" t="s">
        <v>7014</v>
      </c>
      <c r="D363" t="s">
        <v>7015</v>
      </c>
      <c r="E363" t="s">
        <v>2487</v>
      </c>
      <c r="F363" t="s">
        <v>20</v>
      </c>
      <c r="G363" t="s">
        <v>23</v>
      </c>
      <c r="H363" t="s">
        <v>7016</v>
      </c>
      <c r="I363" t="s">
        <v>7017</v>
      </c>
      <c r="J363" t="s">
        <v>7018</v>
      </c>
      <c r="K363" t="s">
        <v>7019</v>
      </c>
      <c r="L363" t="s">
        <v>3418</v>
      </c>
      <c r="M363" t="s">
        <v>32</v>
      </c>
      <c r="N363" t="s">
        <v>62</v>
      </c>
      <c r="O363" t="s">
        <v>34</v>
      </c>
      <c r="P363" t="s">
        <v>20</v>
      </c>
      <c r="Q363" t="s">
        <v>20</v>
      </c>
      <c r="R363" t="s">
        <v>7020</v>
      </c>
      <c r="S363" t="s">
        <v>20</v>
      </c>
    </row>
    <row r="364" spans="1:19" x14ac:dyDescent="0.45">
      <c r="A364" t="s">
        <v>261</v>
      </c>
      <c r="B364" t="s">
        <v>20</v>
      </c>
      <c r="C364" t="s">
        <v>2297</v>
      </c>
      <c r="D364" t="s">
        <v>2298</v>
      </c>
      <c r="E364" t="s">
        <v>57</v>
      </c>
      <c r="F364" t="s">
        <v>20</v>
      </c>
      <c r="G364" t="s">
        <v>23</v>
      </c>
      <c r="H364" t="s">
        <v>2299</v>
      </c>
      <c r="I364" t="s">
        <v>2300</v>
      </c>
      <c r="J364" t="s">
        <v>2301</v>
      </c>
      <c r="K364" t="s">
        <v>2302</v>
      </c>
      <c r="L364" t="s">
        <v>43</v>
      </c>
      <c r="M364" t="s">
        <v>32</v>
      </c>
      <c r="N364" t="s">
        <v>62</v>
      </c>
      <c r="O364" t="s">
        <v>34</v>
      </c>
      <c r="P364" t="s">
        <v>20</v>
      </c>
      <c r="Q364" t="s">
        <v>20</v>
      </c>
      <c r="R364" t="s">
        <v>268</v>
      </c>
      <c r="S364" t="s">
        <v>20</v>
      </c>
    </row>
    <row r="365" spans="1:19" x14ac:dyDescent="0.45">
      <c r="A365" t="s">
        <v>46</v>
      </c>
      <c r="B365" t="s">
        <v>20</v>
      </c>
      <c r="C365" t="s">
        <v>1505</v>
      </c>
      <c r="D365" t="s">
        <v>1506</v>
      </c>
      <c r="E365" t="s">
        <v>38</v>
      </c>
      <c r="F365" t="s">
        <v>20</v>
      </c>
      <c r="G365" t="s">
        <v>23</v>
      </c>
      <c r="H365" t="s">
        <v>12168</v>
      </c>
      <c r="I365" t="s">
        <v>12169</v>
      </c>
      <c r="J365" t="s">
        <v>12785</v>
      </c>
      <c r="K365" t="s">
        <v>12786</v>
      </c>
      <c r="L365" t="s">
        <v>6524</v>
      </c>
      <c r="M365" t="s">
        <v>12431</v>
      </c>
      <c r="N365" t="s">
        <v>33</v>
      </c>
      <c r="O365" t="s">
        <v>34</v>
      </c>
      <c r="P365" t="s">
        <v>20</v>
      </c>
      <c r="Q365" t="s">
        <v>20</v>
      </c>
      <c r="R365" t="s">
        <v>12787</v>
      </c>
      <c r="S365" t="s">
        <v>12170</v>
      </c>
    </row>
    <row r="366" spans="1:19" x14ac:dyDescent="0.45">
      <c r="A366" t="s">
        <v>46</v>
      </c>
      <c r="B366" t="s">
        <v>20</v>
      </c>
      <c r="C366" t="s">
        <v>1505</v>
      </c>
      <c r="D366" t="s">
        <v>1506</v>
      </c>
      <c r="E366" t="s">
        <v>2487</v>
      </c>
      <c r="F366" t="s">
        <v>20</v>
      </c>
      <c r="G366" t="s">
        <v>23</v>
      </c>
      <c r="H366" t="s">
        <v>7213</v>
      </c>
      <c r="I366" t="s">
        <v>7214</v>
      </c>
      <c r="J366" t="s">
        <v>7215</v>
      </c>
      <c r="K366" t="s">
        <v>7216</v>
      </c>
      <c r="L366" t="s">
        <v>3418</v>
      </c>
      <c r="M366" t="s">
        <v>32</v>
      </c>
      <c r="N366" t="s">
        <v>62</v>
      </c>
      <c r="O366" t="s">
        <v>34</v>
      </c>
      <c r="P366" t="s">
        <v>20</v>
      </c>
      <c r="Q366" t="s">
        <v>20</v>
      </c>
      <c r="R366" t="s">
        <v>7217</v>
      </c>
      <c r="S366" t="s">
        <v>20</v>
      </c>
    </row>
    <row r="367" spans="1:19" x14ac:dyDescent="0.45">
      <c r="A367" t="s">
        <v>413</v>
      </c>
      <c r="B367" t="s">
        <v>20</v>
      </c>
      <c r="C367" t="s">
        <v>11066</v>
      </c>
      <c r="D367" t="s">
        <v>6012</v>
      </c>
      <c r="E367" t="s">
        <v>57</v>
      </c>
      <c r="F367" t="s">
        <v>20</v>
      </c>
      <c r="G367" t="s">
        <v>23</v>
      </c>
      <c r="H367" t="s">
        <v>11067</v>
      </c>
      <c r="I367" t="s">
        <v>11068</v>
      </c>
      <c r="J367" t="s">
        <v>11069</v>
      </c>
      <c r="K367" t="s">
        <v>11070</v>
      </c>
      <c r="L367" t="s">
        <v>3418</v>
      </c>
      <c r="M367" t="s">
        <v>3105</v>
      </c>
      <c r="N367" t="s">
        <v>62</v>
      </c>
      <c r="O367" t="s">
        <v>34</v>
      </c>
      <c r="P367" t="s">
        <v>20</v>
      </c>
      <c r="Q367" t="s">
        <v>20</v>
      </c>
      <c r="R367" t="s">
        <v>11071</v>
      </c>
      <c r="S367" t="s">
        <v>20</v>
      </c>
    </row>
    <row r="368" spans="1:19" x14ac:dyDescent="0.45">
      <c r="A368" t="s">
        <v>1855</v>
      </c>
      <c r="B368" t="s">
        <v>20</v>
      </c>
      <c r="C368" t="s">
        <v>1856</v>
      </c>
      <c r="D368" t="s">
        <v>1857</v>
      </c>
      <c r="E368" t="s">
        <v>57</v>
      </c>
      <c r="F368" t="s">
        <v>20</v>
      </c>
      <c r="G368" t="s">
        <v>23</v>
      </c>
      <c r="H368" t="s">
        <v>1858</v>
      </c>
      <c r="I368" t="s">
        <v>1859</v>
      </c>
      <c r="J368" t="s">
        <v>1860</v>
      </c>
      <c r="K368" t="s">
        <v>1861</v>
      </c>
      <c r="L368" t="s">
        <v>43</v>
      </c>
      <c r="M368" t="s">
        <v>32</v>
      </c>
      <c r="N368" t="s">
        <v>62</v>
      </c>
      <c r="O368" t="s">
        <v>34</v>
      </c>
      <c r="P368" t="s">
        <v>20</v>
      </c>
      <c r="Q368" t="s">
        <v>20</v>
      </c>
      <c r="R368" t="s">
        <v>253</v>
      </c>
      <c r="S368" t="s">
        <v>20</v>
      </c>
    </row>
    <row r="369" spans="1:19" x14ac:dyDescent="0.45">
      <c r="A369" t="s">
        <v>446</v>
      </c>
      <c r="B369" t="s">
        <v>20</v>
      </c>
      <c r="C369" t="s">
        <v>3671</v>
      </c>
      <c r="D369" t="s">
        <v>3672</v>
      </c>
      <c r="E369" t="s">
        <v>57</v>
      </c>
      <c r="F369" t="s">
        <v>20</v>
      </c>
      <c r="G369" t="s">
        <v>23</v>
      </c>
      <c r="H369" t="s">
        <v>11471</v>
      </c>
      <c r="I369" t="s">
        <v>11472</v>
      </c>
      <c r="J369" t="s">
        <v>11473</v>
      </c>
      <c r="K369" t="s">
        <v>11474</v>
      </c>
      <c r="L369" t="s">
        <v>3418</v>
      </c>
      <c r="M369" t="s">
        <v>32</v>
      </c>
      <c r="N369" t="s">
        <v>62</v>
      </c>
      <c r="O369" t="s">
        <v>34</v>
      </c>
      <c r="P369" t="s">
        <v>20</v>
      </c>
      <c r="Q369" t="s">
        <v>20</v>
      </c>
      <c r="R369" t="s">
        <v>11475</v>
      </c>
      <c r="S369" t="s">
        <v>20</v>
      </c>
    </row>
    <row r="370" spans="1:19" x14ac:dyDescent="0.45">
      <c r="A370" t="s">
        <v>446</v>
      </c>
      <c r="B370" t="s">
        <v>20</v>
      </c>
      <c r="C370" t="s">
        <v>3671</v>
      </c>
      <c r="D370" t="s">
        <v>3672</v>
      </c>
      <c r="E370" t="s">
        <v>2487</v>
      </c>
      <c r="F370" t="s">
        <v>20</v>
      </c>
      <c r="G370" t="s">
        <v>23</v>
      </c>
      <c r="H370" t="s">
        <v>7764</v>
      </c>
      <c r="I370" t="s">
        <v>7765</v>
      </c>
      <c r="J370" t="s">
        <v>7766</v>
      </c>
      <c r="K370" t="s">
        <v>7767</v>
      </c>
      <c r="L370" t="s">
        <v>3418</v>
      </c>
      <c r="M370" t="s">
        <v>32</v>
      </c>
      <c r="N370" t="s">
        <v>62</v>
      </c>
      <c r="O370" t="s">
        <v>34</v>
      </c>
      <c r="P370" t="s">
        <v>20</v>
      </c>
      <c r="Q370" t="s">
        <v>20</v>
      </c>
      <c r="R370" t="s">
        <v>7768</v>
      </c>
      <c r="S370" t="s">
        <v>20</v>
      </c>
    </row>
    <row r="371" spans="1:19" x14ac:dyDescent="0.45">
      <c r="A371" t="s">
        <v>706</v>
      </c>
      <c r="B371" t="s">
        <v>20</v>
      </c>
      <c r="C371" t="s">
        <v>3253</v>
      </c>
      <c r="D371" t="s">
        <v>3254</v>
      </c>
      <c r="E371" t="s">
        <v>38</v>
      </c>
      <c r="F371" t="s">
        <v>20</v>
      </c>
      <c r="G371" t="s">
        <v>23</v>
      </c>
      <c r="H371" t="s">
        <v>12788</v>
      </c>
      <c r="I371" t="s">
        <v>12789</v>
      </c>
      <c r="J371" t="s">
        <v>12790</v>
      </c>
      <c r="K371" t="s">
        <v>12791</v>
      </c>
      <c r="L371" t="s">
        <v>6533</v>
      </c>
      <c r="M371" t="s">
        <v>136</v>
      </c>
      <c r="N371" t="s">
        <v>45</v>
      </c>
      <c r="O371" t="s">
        <v>34</v>
      </c>
      <c r="P371" t="s">
        <v>20</v>
      </c>
      <c r="Q371" t="s">
        <v>20</v>
      </c>
      <c r="R371" t="s">
        <v>12792</v>
      </c>
      <c r="S371" t="s">
        <v>20</v>
      </c>
    </row>
    <row r="372" spans="1:19" x14ac:dyDescent="0.45">
      <c r="A372" t="s">
        <v>505</v>
      </c>
      <c r="B372" t="s">
        <v>20</v>
      </c>
      <c r="C372" t="s">
        <v>1661</v>
      </c>
      <c r="D372" t="s">
        <v>1662</v>
      </c>
      <c r="E372" t="s">
        <v>57</v>
      </c>
      <c r="F372" t="s">
        <v>20</v>
      </c>
      <c r="G372" t="s">
        <v>23</v>
      </c>
      <c r="H372" t="s">
        <v>6504</v>
      </c>
      <c r="I372" t="s">
        <v>6573</v>
      </c>
      <c r="J372" t="s">
        <v>6574</v>
      </c>
      <c r="K372" t="s">
        <v>6575</v>
      </c>
      <c r="L372" t="s">
        <v>722</v>
      </c>
      <c r="M372" t="s">
        <v>32</v>
      </c>
      <c r="N372" t="s">
        <v>62</v>
      </c>
      <c r="O372" t="s">
        <v>34</v>
      </c>
      <c r="P372" t="s">
        <v>20</v>
      </c>
      <c r="Q372" t="s">
        <v>20</v>
      </c>
      <c r="R372" t="s">
        <v>253</v>
      </c>
      <c r="S372" t="s">
        <v>20</v>
      </c>
    </row>
    <row r="373" spans="1:19" x14ac:dyDescent="0.45">
      <c r="A373" t="s">
        <v>869</v>
      </c>
      <c r="B373" t="s">
        <v>20</v>
      </c>
      <c r="C373" t="s">
        <v>1129</v>
      </c>
      <c r="D373" t="s">
        <v>1130</v>
      </c>
      <c r="E373" t="s">
        <v>38</v>
      </c>
      <c r="F373" t="s">
        <v>20</v>
      </c>
      <c r="G373" t="s">
        <v>23</v>
      </c>
      <c r="H373" t="s">
        <v>9043</v>
      </c>
      <c r="I373" t="s">
        <v>9563</v>
      </c>
      <c r="J373" t="s">
        <v>11037</v>
      </c>
      <c r="K373" t="s">
        <v>11038</v>
      </c>
      <c r="L373" t="s">
        <v>9570</v>
      </c>
      <c r="M373" t="s">
        <v>32</v>
      </c>
      <c r="N373" t="s">
        <v>33</v>
      </c>
      <c r="O373" t="s">
        <v>34</v>
      </c>
      <c r="P373" t="s">
        <v>20</v>
      </c>
      <c r="Q373" t="s">
        <v>20</v>
      </c>
      <c r="R373" t="s">
        <v>11039</v>
      </c>
      <c r="S373" t="s">
        <v>9564</v>
      </c>
    </row>
    <row r="374" spans="1:19" x14ac:dyDescent="0.45">
      <c r="A374" t="s">
        <v>869</v>
      </c>
      <c r="B374" t="s">
        <v>20</v>
      </c>
      <c r="C374" t="s">
        <v>1129</v>
      </c>
      <c r="D374" t="s">
        <v>1130</v>
      </c>
      <c r="E374" t="s">
        <v>57</v>
      </c>
      <c r="F374" t="s">
        <v>20</v>
      </c>
      <c r="G374" t="s">
        <v>23</v>
      </c>
      <c r="H374" t="s">
        <v>1131</v>
      </c>
      <c r="I374" t="s">
        <v>1132</v>
      </c>
      <c r="J374" t="s">
        <v>1133</v>
      </c>
      <c r="K374" t="s">
        <v>1134</v>
      </c>
      <c r="L374" t="s">
        <v>43</v>
      </c>
      <c r="M374" t="s">
        <v>32</v>
      </c>
      <c r="N374" t="s">
        <v>62</v>
      </c>
      <c r="O374" t="s">
        <v>34</v>
      </c>
      <c r="P374" t="s">
        <v>20</v>
      </c>
      <c r="Q374" t="s">
        <v>20</v>
      </c>
      <c r="R374" t="s">
        <v>1135</v>
      </c>
      <c r="S374" t="s">
        <v>20</v>
      </c>
    </row>
    <row r="375" spans="1:19" x14ac:dyDescent="0.45">
      <c r="A375" t="s">
        <v>246</v>
      </c>
      <c r="B375" t="s">
        <v>20</v>
      </c>
      <c r="C375" t="s">
        <v>2266</v>
      </c>
      <c r="D375" t="s">
        <v>2267</v>
      </c>
      <c r="E375" t="s">
        <v>57</v>
      </c>
      <c r="F375" t="s">
        <v>20</v>
      </c>
      <c r="G375" t="s">
        <v>23</v>
      </c>
      <c r="H375" t="s">
        <v>2268</v>
      </c>
      <c r="I375" t="s">
        <v>2269</v>
      </c>
      <c r="J375" t="s">
        <v>2270</v>
      </c>
      <c r="K375" t="s">
        <v>2271</v>
      </c>
      <c r="L375" t="s">
        <v>43</v>
      </c>
      <c r="M375" t="s">
        <v>32</v>
      </c>
      <c r="N375" t="s">
        <v>62</v>
      </c>
      <c r="O375" t="s">
        <v>34</v>
      </c>
      <c r="P375" t="s">
        <v>6527</v>
      </c>
      <c r="Q375" t="s">
        <v>20</v>
      </c>
      <c r="R375" t="s">
        <v>253</v>
      </c>
      <c r="S375" t="s">
        <v>20</v>
      </c>
    </row>
    <row r="376" spans="1:19" x14ac:dyDescent="0.45">
      <c r="A376" t="s">
        <v>71</v>
      </c>
      <c r="B376" t="s">
        <v>20</v>
      </c>
      <c r="C376" t="s">
        <v>1873</v>
      </c>
      <c r="D376" t="s">
        <v>1874</v>
      </c>
      <c r="E376" t="s">
        <v>38</v>
      </c>
      <c r="F376" t="s">
        <v>20</v>
      </c>
      <c r="G376" t="s">
        <v>23</v>
      </c>
      <c r="H376" t="s">
        <v>12586</v>
      </c>
      <c r="I376" t="s">
        <v>12587</v>
      </c>
      <c r="J376" t="s">
        <v>12588</v>
      </c>
      <c r="K376" t="s">
        <v>12589</v>
      </c>
      <c r="L376" t="s">
        <v>6525</v>
      </c>
      <c r="M376" t="s">
        <v>12431</v>
      </c>
      <c r="N376" t="s">
        <v>33</v>
      </c>
      <c r="O376" t="s">
        <v>34</v>
      </c>
      <c r="P376" t="s">
        <v>20</v>
      </c>
      <c r="Q376" t="s">
        <v>20</v>
      </c>
      <c r="R376" t="s">
        <v>12590</v>
      </c>
      <c r="S376" t="s">
        <v>20</v>
      </c>
    </row>
    <row r="377" spans="1:19" x14ac:dyDescent="0.45">
      <c r="A377" t="s">
        <v>71</v>
      </c>
      <c r="B377" t="s">
        <v>20</v>
      </c>
      <c r="C377" t="s">
        <v>1873</v>
      </c>
      <c r="D377" t="s">
        <v>1874</v>
      </c>
      <c r="E377" t="s">
        <v>2487</v>
      </c>
      <c r="F377" t="s">
        <v>20</v>
      </c>
      <c r="G377" t="s">
        <v>23</v>
      </c>
      <c r="H377" t="s">
        <v>7473</v>
      </c>
      <c r="I377" t="s">
        <v>7474</v>
      </c>
      <c r="J377" t="s">
        <v>7475</v>
      </c>
      <c r="K377" t="s">
        <v>7476</v>
      </c>
      <c r="L377" t="s">
        <v>3418</v>
      </c>
      <c r="M377" t="s">
        <v>102</v>
      </c>
      <c r="N377" t="s">
        <v>62</v>
      </c>
      <c r="O377" t="s">
        <v>34</v>
      </c>
      <c r="P377" t="s">
        <v>20</v>
      </c>
      <c r="Q377" t="s">
        <v>20</v>
      </c>
      <c r="R377" t="s">
        <v>7477</v>
      </c>
      <c r="S377" t="s">
        <v>20</v>
      </c>
    </row>
    <row r="378" spans="1:19" x14ac:dyDescent="0.45">
      <c r="A378" t="s">
        <v>71</v>
      </c>
      <c r="B378" t="s">
        <v>20</v>
      </c>
      <c r="C378" t="s">
        <v>1873</v>
      </c>
      <c r="D378" t="s">
        <v>1874</v>
      </c>
      <c r="E378" t="s">
        <v>38</v>
      </c>
      <c r="F378" t="s">
        <v>20</v>
      </c>
      <c r="G378" t="s">
        <v>23</v>
      </c>
      <c r="H378" t="s">
        <v>12793</v>
      </c>
      <c r="I378" t="s">
        <v>12794</v>
      </c>
      <c r="J378" t="s">
        <v>12795</v>
      </c>
      <c r="K378" t="s">
        <v>12796</v>
      </c>
      <c r="L378" t="s">
        <v>3418</v>
      </c>
      <c r="M378" t="s">
        <v>102</v>
      </c>
      <c r="N378" t="s">
        <v>146</v>
      </c>
      <c r="O378" t="s">
        <v>34</v>
      </c>
      <c r="P378" t="s">
        <v>20</v>
      </c>
      <c r="Q378" t="s">
        <v>20</v>
      </c>
      <c r="R378" t="s">
        <v>12797</v>
      </c>
      <c r="S378" t="s">
        <v>20</v>
      </c>
    </row>
    <row r="379" spans="1:19" x14ac:dyDescent="0.45">
      <c r="A379" t="s">
        <v>64</v>
      </c>
      <c r="B379" t="s">
        <v>20</v>
      </c>
      <c r="C379" t="s">
        <v>402</v>
      </c>
      <c r="D379" t="s">
        <v>403</v>
      </c>
      <c r="E379" t="s">
        <v>57</v>
      </c>
      <c r="F379" t="s">
        <v>20</v>
      </c>
      <c r="G379" t="s">
        <v>23</v>
      </c>
      <c r="H379" t="s">
        <v>2200</v>
      </c>
      <c r="I379" t="s">
        <v>2201</v>
      </c>
      <c r="J379" t="s">
        <v>2202</v>
      </c>
      <c r="K379" t="s">
        <v>2203</v>
      </c>
      <c r="L379" t="s">
        <v>43</v>
      </c>
      <c r="M379" t="s">
        <v>32</v>
      </c>
      <c r="N379" t="s">
        <v>62</v>
      </c>
      <c r="O379" t="s">
        <v>34</v>
      </c>
      <c r="P379" t="s">
        <v>20</v>
      </c>
      <c r="Q379" t="s">
        <v>20</v>
      </c>
      <c r="R379" t="s">
        <v>154</v>
      </c>
      <c r="S379" t="s">
        <v>20</v>
      </c>
    </row>
    <row r="380" spans="1:19" x14ac:dyDescent="0.45">
      <c r="A380" t="s">
        <v>64</v>
      </c>
      <c r="B380" t="s">
        <v>20</v>
      </c>
      <c r="C380" t="s">
        <v>402</v>
      </c>
      <c r="D380" t="s">
        <v>403</v>
      </c>
      <c r="E380" t="s">
        <v>38</v>
      </c>
      <c r="F380" t="s">
        <v>20</v>
      </c>
      <c r="G380" t="s">
        <v>23</v>
      </c>
      <c r="H380" t="s">
        <v>6797</v>
      </c>
      <c r="I380" t="s">
        <v>6798</v>
      </c>
      <c r="J380" t="s">
        <v>10802</v>
      </c>
      <c r="K380" t="s">
        <v>10803</v>
      </c>
      <c r="L380" t="s">
        <v>8094</v>
      </c>
      <c r="M380" t="s">
        <v>32</v>
      </c>
      <c r="N380" t="s">
        <v>33</v>
      </c>
      <c r="O380" t="s">
        <v>34</v>
      </c>
      <c r="P380" t="s">
        <v>20</v>
      </c>
      <c r="Q380" t="s">
        <v>20</v>
      </c>
      <c r="R380" t="s">
        <v>10804</v>
      </c>
      <c r="S380" t="s">
        <v>6799</v>
      </c>
    </row>
    <row r="381" spans="1:19" x14ac:dyDescent="0.45">
      <c r="A381" t="s">
        <v>869</v>
      </c>
      <c r="B381" t="s">
        <v>20</v>
      </c>
      <c r="C381" t="s">
        <v>1164</v>
      </c>
      <c r="D381" t="s">
        <v>1165</v>
      </c>
      <c r="E381" t="s">
        <v>57</v>
      </c>
      <c r="F381" t="s">
        <v>20</v>
      </c>
      <c r="G381" t="s">
        <v>23</v>
      </c>
      <c r="H381" t="s">
        <v>1166</v>
      </c>
      <c r="I381" t="s">
        <v>1167</v>
      </c>
      <c r="J381" t="s">
        <v>1168</v>
      </c>
      <c r="K381" t="s">
        <v>1169</v>
      </c>
      <c r="L381" t="s">
        <v>43</v>
      </c>
      <c r="M381" t="s">
        <v>32</v>
      </c>
      <c r="N381" t="s">
        <v>62</v>
      </c>
      <c r="O381" t="s">
        <v>34</v>
      </c>
      <c r="P381" t="s">
        <v>20</v>
      </c>
      <c r="Q381" t="s">
        <v>20</v>
      </c>
      <c r="R381" t="s">
        <v>876</v>
      </c>
      <c r="S381" t="s">
        <v>20</v>
      </c>
    </row>
    <row r="382" spans="1:19" x14ac:dyDescent="0.45">
      <c r="A382" t="s">
        <v>869</v>
      </c>
      <c r="B382" t="s">
        <v>20</v>
      </c>
      <c r="C382" t="s">
        <v>1164</v>
      </c>
      <c r="D382" t="s">
        <v>1165</v>
      </c>
      <c r="E382" t="s">
        <v>2487</v>
      </c>
      <c r="F382" t="s">
        <v>20</v>
      </c>
      <c r="G382" t="s">
        <v>23</v>
      </c>
      <c r="H382" t="s">
        <v>7565</v>
      </c>
      <c r="I382" t="s">
        <v>7566</v>
      </c>
      <c r="J382" t="s">
        <v>7567</v>
      </c>
      <c r="K382" t="s">
        <v>7568</v>
      </c>
      <c r="L382" t="s">
        <v>3418</v>
      </c>
      <c r="M382" t="s">
        <v>32</v>
      </c>
      <c r="N382" t="s">
        <v>62</v>
      </c>
      <c r="O382" t="s">
        <v>34</v>
      </c>
      <c r="P382" t="s">
        <v>20</v>
      </c>
      <c r="Q382" t="s">
        <v>20</v>
      </c>
      <c r="R382" t="s">
        <v>7569</v>
      </c>
      <c r="S382" t="s">
        <v>20</v>
      </c>
    </row>
    <row r="383" spans="1:19" x14ac:dyDescent="0.45">
      <c r="A383" t="s">
        <v>239</v>
      </c>
      <c r="B383" t="s">
        <v>20</v>
      </c>
      <c r="C383" t="s">
        <v>4810</v>
      </c>
      <c r="D383" t="s">
        <v>4811</v>
      </c>
      <c r="E383" t="s">
        <v>38</v>
      </c>
      <c r="F383" t="s">
        <v>20</v>
      </c>
      <c r="G383" t="s">
        <v>23</v>
      </c>
      <c r="H383" t="s">
        <v>10049</v>
      </c>
      <c r="I383" t="s">
        <v>10050</v>
      </c>
      <c r="J383" t="s">
        <v>10051</v>
      </c>
      <c r="K383" t="s">
        <v>10052</v>
      </c>
      <c r="L383" t="s">
        <v>8094</v>
      </c>
      <c r="M383" t="s">
        <v>32</v>
      </c>
      <c r="N383" t="s">
        <v>45</v>
      </c>
      <c r="O383" t="s">
        <v>34</v>
      </c>
      <c r="P383" t="s">
        <v>20</v>
      </c>
      <c r="Q383" t="s">
        <v>20</v>
      </c>
      <c r="R383" t="s">
        <v>10053</v>
      </c>
      <c r="S383" t="s">
        <v>20</v>
      </c>
    </row>
    <row r="384" spans="1:19" x14ac:dyDescent="0.45">
      <c r="A384" t="s">
        <v>592</v>
      </c>
      <c r="B384" t="s">
        <v>20</v>
      </c>
      <c r="C384" t="s">
        <v>1825</v>
      </c>
      <c r="D384" t="s">
        <v>1826</v>
      </c>
      <c r="E384" t="s">
        <v>38</v>
      </c>
      <c r="F384" t="s">
        <v>20</v>
      </c>
      <c r="G384" t="s">
        <v>23</v>
      </c>
      <c r="H384" t="s">
        <v>9029</v>
      </c>
      <c r="I384" t="s">
        <v>9063</v>
      </c>
      <c r="J384" t="s">
        <v>9616</v>
      </c>
      <c r="K384" t="s">
        <v>9617</v>
      </c>
      <c r="L384" t="s">
        <v>6533</v>
      </c>
      <c r="M384" t="s">
        <v>1498</v>
      </c>
      <c r="N384" t="s">
        <v>45</v>
      </c>
      <c r="O384" t="s">
        <v>34</v>
      </c>
      <c r="P384" t="s">
        <v>20</v>
      </c>
      <c r="Q384" t="s">
        <v>20</v>
      </c>
      <c r="R384" t="s">
        <v>9618</v>
      </c>
      <c r="S384" t="s">
        <v>20</v>
      </c>
    </row>
    <row r="385" spans="1:19" x14ac:dyDescent="0.45">
      <c r="A385" t="s">
        <v>592</v>
      </c>
      <c r="B385" t="s">
        <v>20</v>
      </c>
      <c r="C385" t="s">
        <v>1825</v>
      </c>
      <c r="D385" t="s">
        <v>1826</v>
      </c>
      <c r="E385" t="s">
        <v>38</v>
      </c>
      <c r="F385" t="s">
        <v>20</v>
      </c>
      <c r="G385" t="s">
        <v>23</v>
      </c>
      <c r="H385" t="s">
        <v>12198</v>
      </c>
      <c r="I385" t="s">
        <v>12199</v>
      </c>
      <c r="J385" t="s">
        <v>12591</v>
      </c>
      <c r="K385" t="s">
        <v>12592</v>
      </c>
      <c r="L385" t="s">
        <v>6527</v>
      </c>
      <c r="M385" t="s">
        <v>12431</v>
      </c>
      <c r="N385" t="s">
        <v>33</v>
      </c>
      <c r="O385" t="s">
        <v>34</v>
      </c>
      <c r="P385" t="s">
        <v>20</v>
      </c>
      <c r="Q385" t="s">
        <v>20</v>
      </c>
      <c r="R385" t="s">
        <v>12593</v>
      </c>
      <c r="S385" t="s">
        <v>20</v>
      </c>
    </row>
    <row r="386" spans="1:19" x14ac:dyDescent="0.45">
      <c r="A386" t="s">
        <v>592</v>
      </c>
      <c r="B386" t="s">
        <v>20</v>
      </c>
      <c r="C386" t="s">
        <v>1825</v>
      </c>
      <c r="D386" t="s">
        <v>1826</v>
      </c>
      <c r="E386" t="s">
        <v>38</v>
      </c>
      <c r="F386" t="s">
        <v>20</v>
      </c>
      <c r="G386" t="s">
        <v>23</v>
      </c>
      <c r="H386" t="s">
        <v>13761</v>
      </c>
      <c r="I386" t="s">
        <v>13762</v>
      </c>
      <c r="J386" t="s">
        <v>14146</v>
      </c>
      <c r="K386" t="s">
        <v>14147</v>
      </c>
      <c r="L386" t="s">
        <v>6533</v>
      </c>
      <c r="M386" t="s">
        <v>416</v>
      </c>
      <c r="N386" t="s">
        <v>119</v>
      </c>
      <c r="O386" t="s">
        <v>34</v>
      </c>
      <c r="P386" t="s">
        <v>20</v>
      </c>
      <c r="Q386" t="s">
        <v>20</v>
      </c>
      <c r="R386" t="s">
        <v>14148</v>
      </c>
      <c r="S386" t="s">
        <v>20</v>
      </c>
    </row>
    <row r="387" spans="1:19" x14ac:dyDescent="0.45">
      <c r="A387" t="s">
        <v>1613</v>
      </c>
      <c r="B387" t="s">
        <v>20</v>
      </c>
      <c r="C387" t="s">
        <v>1614</v>
      </c>
      <c r="D387" t="s">
        <v>1615</v>
      </c>
      <c r="E387" t="s">
        <v>57</v>
      </c>
      <c r="F387" t="s">
        <v>20</v>
      </c>
      <c r="G387" t="s">
        <v>23</v>
      </c>
      <c r="H387" t="s">
        <v>8995</v>
      </c>
      <c r="I387" t="s">
        <v>9239</v>
      </c>
      <c r="J387" t="s">
        <v>9240</v>
      </c>
      <c r="K387" t="s">
        <v>9241</v>
      </c>
      <c r="L387" t="s">
        <v>3418</v>
      </c>
      <c r="M387" t="s">
        <v>6932</v>
      </c>
      <c r="N387" t="s">
        <v>62</v>
      </c>
      <c r="O387" t="s">
        <v>34</v>
      </c>
      <c r="P387" t="s">
        <v>20</v>
      </c>
      <c r="Q387" t="s">
        <v>20</v>
      </c>
      <c r="R387" t="s">
        <v>9242</v>
      </c>
      <c r="S387" t="s">
        <v>20</v>
      </c>
    </row>
    <row r="388" spans="1:19" x14ac:dyDescent="0.45">
      <c r="A388" t="s">
        <v>1613</v>
      </c>
      <c r="B388" t="s">
        <v>20</v>
      </c>
      <c r="C388" t="s">
        <v>1614</v>
      </c>
      <c r="D388" t="s">
        <v>1615</v>
      </c>
      <c r="E388" t="s">
        <v>38</v>
      </c>
      <c r="F388" t="s">
        <v>20</v>
      </c>
      <c r="G388" t="s">
        <v>23</v>
      </c>
      <c r="H388" t="s">
        <v>9930</v>
      </c>
      <c r="I388" t="s">
        <v>9931</v>
      </c>
      <c r="J388" t="s">
        <v>10858</v>
      </c>
      <c r="K388" t="s">
        <v>10859</v>
      </c>
      <c r="L388" t="s">
        <v>8109</v>
      </c>
      <c r="M388" t="s">
        <v>32</v>
      </c>
      <c r="N388" t="s">
        <v>33</v>
      </c>
      <c r="O388" t="s">
        <v>34</v>
      </c>
      <c r="P388" t="s">
        <v>20</v>
      </c>
      <c r="Q388" t="s">
        <v>20</v>
      </c>
      <c r="R388" t="s">
        <v>10860</v>
      </c>
      <c r="S388" t="s">
        <v>9932</v>
      </c>
    </row>
    <row r="389" spans="1:19" x14ac:dyDescent="0.45">
      <c r="A389" t="s">
        <v>1613</v>
      </c>
      <c r="B389" t="s">
        <v>20</v>
      </c>
      <c r="C389" t="s">
        <v>1614</v>
      </c>
      <c r="D389" t="s">
        <v>1615</v>
      </c>
      <c r="E389" t="s">
        <v>38</v>
      </c>
      <c r="F389" t="s">
        <v>20</v>
      </c>
      <c r="G389" t="s">
        <v>23</v>
      </c>
      <c r="H389" t="s">
        <v>1616</v>
      </c>
      <c r="I389" t="s">
        <v>1617</v>
      </c>
      <c r="J389" t="s">
        <v>1618</v>
      </c>
      <c r="K389" t="s">
        <v>1619</v>
      </c>
      <c r="L389" t="s">
        <v>31</v>
      </c>
      <c r="M389" t="s">
        <v>32</v>
      </c>
      <c r="N389" t="s">
        <v>33</v>
      </c>
      <c r="O389" t="s">
        <v>34</v>
      </c>
      <c r="P389" t="s">
        <v>20</v>
      </c>
      <c r="Q389" t="s">
        <v>20</v>
      </c>
      <c r="R389" t="s">
        <v>1620</v>
      </c>
      <c r="S389" t="s">
        <v>1621</v>
      </c>
    </row>
    <row r="390" spans="1:19" x14ac:dyDescent="0.45">
      <c r="A390" t="s">
        <v>729</v>
      </c>
      <c r="B390" t="s">
        <v>20</v>
      </c>
      <c r="C390" t="s">
        <v>3036</v>
      </c>
      <c r="D390" t="s">
        <v>3037</v>
      </c>
      <c r="E390" t="s">
        <v>57</v>
      </c>
      <c r="F390" t="s">
        <v>20</v>
      </c>
      <c r="G390" t="s">
        <v>23</v>
      </c>
      <c r="H390" t="s">
        <v>12594</v>
      </c>
      <c r="I390" t="s">
        <v>12595</v>
      </c>
      <c r="J390" t="s">
        <v>12596</v>
      </c>
      <c r="K390" t="s">
        <v>12597</v>
      </c>
      <c r="L390" t="s">
        <v>3418</v>
      </c>
      <c r="M390" t="s">
        <v>102</v>
      </c>
      <c r="N390" t="s">
        <v>62</v>
      </c>
      <c r="O390" t="s">
        <v>34</v>
      </c>
      <c r="P390" t="s">
        <v>20</v>
      </c>
      <c r="Q390" t="s">
        <v>20</v>
      </c>
      <c r="R390" t="s">
        <v>12598</v>
      </c>
      <c r="S390" t="s">
        <v>20</v>
      </c>
    </row>
    <row r="391" spans="1:19" x14ac:dyDescent="0.45">
      <c r="A391" t="s">
        <v>729</v>
      </c>
      <c r="B391" t="s">
        <v>20</v>
      </c>
      <c r="C391" t="s">
        <v>3036</v>
      </c>
      <c r="D391" t="s">
        <v>3037</v>
      </c>
      <c r="E391" t="s">
        <v>2487</v>
      </c>
      <c r="F391" t="s">
        <v>20</v>
      </c>
      <c r="G391" t="s">
        <v>23</v>
      </c>
      <c r="H391" t="s">
        <v>6968</v>
      </c>
      <c r="I391" t="s">
        <v>6969</v>
      </c>
      <c r="J391" t="s">
        <v>6970</v>
      </c>
      <c r="K391" t="s">
        <v>6971</v>
      </c>
      <c r="L391" t="s">
        <v>3418</v>
      </c>
      <c r="M391" t="s">
        <v>102</v>
      </c>
      <c r="N391" t="s">
        <v>62</v>
      </c>
      <c r="O391" t="s">
        <v>34</v>
      </c>
      <c r="P391" t="s">
        <v>20</v>
      </c>
      <c r="Q391" t="s">
        <v>20</v>
      </c>
      <c r="R391" t="s">
        <v>6972</v>
      </c>
      <c r="S391" t="s">
        <v>20</v>
      </c>
    </row>
    <row r="392" spans="1:19" x14ac:dyDescent="0.45">
      <c r="A392" t="s">
        <v>173</v>
      </c>
      <c r="B392" t="s">
        <v>20</v>
      </c>
      <c r="C392" t="s">
        <v>174</v>
      </c>
      <c r="D392" t="s">
        <v>175</v>
      </c>
      <c r="E392" t="s">
        <v>2487</v>
      </c>
      <c r="F392" t="s">
        <v>20</v>
      </c>
      <c r="G392" t="s">
        <v>23</v>
      </c>
      <c r="H392" t="s">
        <v>7377</v>
      </c>
      <c r="I392" t="s">
        <v>7378</v>
      </c>
      <c r="J392" t="s">
        <v>7379</v>
      </c>
      <c r="K392" t="s">
        <v>7380</v>
      </c>
      <c r="L392" t="s">
        <v>3418</v>
      </c>
      <c r="M392" t="s">
        <v>32</v>
      </c>
      <c r="N392" t="s">
        <v>62</v>
      </c>
      <c r="O392" t="s">
        <v>34</v>
      </c>
      <c r="P392" t="s">
        <v>20</v>
      </c>
      <c r="Q392" t="s">
        <v>20</v>
      </c>
      <c r="R392" t="s">
        <v>7381</v>
      </c>
      <c r="S392" t="s">
        <v>20</v>
      </c>
    </row>
    <row r="393" spans="1:19" x14ac:dyDescent="0.45">
      <c r="A393" t="s">
        <v>79</v>
      </c>
      <c r="B393" t="s">
        <v>20</v>
      </c>
      <c r="C393" t="s">
        <v>861</v>
      </c>
      <c r="D393" t="s">
        <v>862</v>
      </c>
      <c r="E393" t="s">
        <v>2487</v>
      </c>
      <c r="F393" t="s">
        <v>20</v>
      </c>
      <c r="G393" t="s">
        <v>23</v>
      </c>
      <c r="H393" t="s">
        <v>7451</v>
      </c>
      <c r="I393" t="s">
        <v>7452</v>
      </c>
      <c r="J393" t="s">
        <v>7453</v>
      </c>
      <c r="K393" t="s">
        <v>7454</v>
      </c>
      <c r="L393" t="s">
        <v>3418</v>
      </c>
      <c r="M393" t="s">
        <v>32</v>
      </c>
      <c r="N393" t="s">
        <v>62</v>
      </c>
      <c r="O393" t="s">
        <v>34</v>
      </c>
      <c r="P393" t="s">
        <v>20</v>
      </c>
      <c r="Q393" t="s">
        <v>20</v>
      </c>
      <c r="R393" t="s">
        <v>7455</v>
      </c>
      <c r="S393" t="s">
        <v>20</v>
      </c>
    </row>
    <row r="394" spans="1:19" x14ac:dyDescent="0.45">
      <c r="A394" t="s">
        <v>79</v>
      </c>
      <c r="B394" t="s">
        <v>20</v>
      </c>
      <c r="C394" t="s">
        <v>861</v>
      </c>
      <c r="D394" t="s">
        <v>862</v>
      </c>
      <c r="E394" t="s">
        <v>38</v>
      </c>
      <c r="F394" t="s">
        <v>20</v>
      </c>
      <c r="G394" t="s">
        <v>23</v>
      </c>
      <c r="H394" t="s">
        <v>863</v>
      </c>
      <c r="I394" t="s">
        <v>864</v>
      </c>
      <c r="J394" t="s">
        <v>865</v>
      </c>
      <c r="K394" t="s">
        <v>866</v>
      </c>
      <c r="L394" t="s">
        <v>31</v>
      </c>
      <c r="M394" t="s">
        <v>32</v>
      </c>
      <c r="N394" t="s">
        <v>33</v>
      </c>
      <c r="O394" t="s">
        <v>34</v>
      </c>
      <c r="P394" t="s">
        <v>20</v>
      </c>
      <c r="Q394" t="s">
        <v>20</v>
      </c>
      <c r="R394" t="s">
        <v>867</v>
      </c>
      <c r="S394" t="s">
        <v>868</v>
      </c>
    </row>
    <row r="395" spans="1:19" x14ac:dyDescent="0.45">
      <c r="A395" t="s">
        <v>79</v>
      </c>
      <c r="B395" t="s">
        <v>20</v>
      </c>
      <c r="C395" t="s">
        <v>861</v>
      </c>
      <c r="D395" t="s">
        <v>862</v>
      </c>
      <c r="E395" t="s">
        <v>38</v>
      </c>
      <c r="F395" t="s">
        <v>20</v>
      </c>
      <c r="G395" t="s">
        <v>23</v>
      </c>
      <c r="H395" t="s">
        <v>8046</v>
      </c>
      <c r="I395" t="s">
        <v>8047</v>
      </c>
      <c r="J395" t="s">
        <v>8048</v>
      </c>
      <c r="K395" t="s">
        <v>8049</v>
      </c>
      <c r="L395" t="s">
        <v>722</v>
      </c>
      <c r="M395" t="s">
        <v>112</v>
      </c>
      <c r="N395" t="s">
        <v>113</v>
      </c>
      <c r="O395" t="s">
        <v>34</v>
      </c>
      <c r="P395" t="s">
        <v>20</v>
      </c>
      <c r="Q395" t="s">
        <v>20</v>
      </c>
      <c r="R395" t="s">
        <v>8050</v>
      </c>
      <c r="S395" t="s">
        <v>20</v>
      </c>
    </row>
    <row r="396" spans="1:19" x14ac:dyDescent="0.45">
      <c r="A396" t="s">
        <v>79</v>
      </c>
      <c r="B396" t="s">
        <v>20</v>
      </c>
      <c r="C396" t="s">
        <v>1383</v>
      </c>
      <c r="D396" t="s">
        <v>1384</v>
      </c>
      <c r="E396" t="s">
        <v>57</v>
      </c>
      <c r="F396" t="s">
        <v>20</v>
      </c>
      <c r="G396" t="s">
        <v>23</v>
      </c>
      <c r="H396" t="s">
        <v>11285</v>
      </c>
      <c r="I396" t="s">
        <v>11286</v>
      </c>
      <c r="J396" t="s">
        <v>11287</v>
      </c>
      <c r="K396" t="s">
        <v>11288</v>
      </c>
      <c r="L396" t="s">
        <v>3418</v>
      </c>
      <c r="M396" t="s">
        <v>32</v>
      </c>
      <c r="N396" t="s">
        <v>62</v>
      </c>
      <c r="O396" t="s">
        <v>34</v>
      </c>
      <c r="P396" t="s">
        <v>20</v>
      </c>
      <c r="Q396" t="s">
        <v>20</v>
      </c>
      <c r="R396" t="s">
        <v>11289</v>
      </c>
      <c r="S396" t="s">
        <v>20</v>
      </c>
    </row>
    <row r="397" spans="1:19" x14ac:dyDescent="0.45">
      <c r="A397" t="s">
        <v>706</v>
      </c>
      <c r="B397" t="s">
        <v>20</v>
      </c>
      <c r="C397" t="s">
        <v>6940</v>
      </c>
      <c r="D397" t="s">
        <v>5820</v>
      </c>
      <c r="E397" t="s">
        <v>57</v>
      </c>
      <c r="F397" t="s">
        <v>20</v>
      </c>
      <c r="G397" t="s">
        <v>23</v>
      </c>
      <c r="H397" t="s">
        <v>7704</v>
      </c>
      <c r="I397" t="s">
        <v>7705</v>
      </c>
      <c r="J397" t="s">
        <v>7706</v>
      </c>
      <c r="K397" t="s">
        <v>7707</v>
      </c>
      <c r="L397" t="s">
        <v>2769</v>
      </c>
      <c r="M397" t="s">
        <v>32</v>
      </c>
      <c r="N397" t="s">
        <v>62</v>
      </c>
      <c r="O397" t="s">
        <v>34</v>
      </c>
      <c r="P397" t="s">
        <v>20</v>
      </c>
      <c r="Q397" t="s">
        <v>20</v>
      </c>
      <c r="R397" t="s">
        <v>6988</v>
      </c>
      <c r="S397" t="s">
        <v>20</v>
      </c>
    </row>
    <row r="398" spans="1:19" x14ac:dyDescent="0.45">
      <c r="A398" t="s">
        <v>173</v>
      </c>
      <c r="B398" t="s">
        <v>20</v>
      </c>
      <c r="C398" t="s">
        <v>1408</v>
      </c>
      <c r="D398" t="s">
        <v>1409</v>
      </c>
      <c r="E398" t="s">
        <v>38</v>
      </c>
      <c r="F398" t="s">
        <v>20</v>
      </c>
      <c r="G398" t="s">
        <v>23</v>
      </c>
      <c r="H398" t="s">
        <v>1410</v>
      </c>
      <c r="I398" t="s">
        <v>1411</v>
      </c>
      <c r="J398" t="s">
        <v>1412</v>
      </c>
      <c r="K398" t="s">
        <v>1413</v>
      </c>
      <c r="L398" t="s">
        <v>6513</v>
      </c>
      <c r="M398" t="s">
        <v>102</v>
      </c>
      <c r="N398" t="s">
        <v>62</v>
      </c>
      <c r="O398" t="s">
        <v>34</v>
      </c>
      <c r="P398" t="s">
        <v>20</v>
      </c>
      <c r="Q398" t="s">
        <v>20</v>
      </c>
      <c r="R398" t="s">
        <v>103</v>
      </c>
      <c r="S398" t="s">
        <v>20</v>
      </c>
    </row>
    <row r="399" spans="1:19" x14ac:dyDescent="0.45">
      <c r="A399" t="s">
        <v>79</v>
      </c>
      <c r="B399" t="s">
        <v>20</v>
      </c>
      <c r="C399" t="s">
        <v>2839</v>
      </c>
      <c r="D399" t="s">
        <v>2840</v>
      </c>
      <c r="E399" t="s">
        <v>57</v>
      </c>
      <c r="F399" t="s">
        <v>20</v>
      </c>
      <c r="G399" t="s">
        <v>23</v>
      </c>
      <c r="H399" t="s">
        <v>11541</v>
      </c>
      <c r="I399" t="s">
        <v>11542</v>
      </c>
      <c r="J399" t="s">
        <v>11543</v>
      </c>
      <c r="K399" t="s">
        <v>11544</v>
      </c>
      <c r="L399" t="s">
        <v>3418</v>
      </c>
      <c r="M399" t="s">
        <v>32</v>
      </c>
      <c r="N399" t="s">
        <v>62</v>
      </c>
      <c r="O399" t="s">
        <v>34</v>
      </c>
      <c r="P399" t="s">
        <v>20</v>
      </c>
      <c r="Q399" t="s">
        <v>20</v>
      </c>
      <c r="R399" t="s">
        <v>11545</v>
      </c>
      <c r="S399" t="s">
        <v>20</v>
      </c>
    </row>
    <row r="400" spans="1:19" x14ac:dyDescent="0.45">
      <c r="A400" t="s">
        <v>79</v>
      </c>
      <c r="B400" t="s">
        <v>20</v>
      </c>
      <c r="C400" t="s">
        <v>2839</v>
      </c>
      <c r="D400" t="s">
        <v>2840</v>
      </c>
      <c r="E400" t="s">
        <v>38</v>
      </c>
      <c r="F400" t="s">
        <v>20</v>
      </c>
      <c r="G400" t="s">
        <v>23</v>
      </c>
      <c r="H400" t="s">
        <v>6912</v>
      </c>
      <c r="I400" t="s">
        <v>6913</v>
      </c>
      <c r="J400" t="s">
        <v>11164</v>
      </c>
      <c r="K400" t="s">
        <v>11165</v>
      </c>
      <c r="L400" t="s">
        <v>9619</v>
      </c>
      <c r="M400" t="s">
        <v>32</v>
      </c>
      <c r="N400" t="s">
        <v>33</v>
      </c>
      <c r="O400" t="s">
        <v>34</v>
      </c>
      <c r="P400" t="s">
        <v>20</v>
      </c>
      <c r="Q400" t="s">
        <v>20</v>
      </c>
      <c r="R400" t="s">
        <v>11166</v>
      </c>
      <c r="S400" t="s">
        <v>20</v>
      </c>
    </row>
    <row r="401" spans="1:19" x14ac:dyDescent="0.45">
      <c r="A401" t="s">
        <v>335</v>
      </c>
      <c r="B401" t="s">
        <v>20</v>
      </c>
      <c r="C401" t="s">
        <v>1050</v>
      </c>
      <c r="D401" t="s">
        <v>1051</v>
      </c>
      <c r="E401" t="s">
        <v>38</v>
      </c>
      <c r="F401" t="s">
        <v>20</v>
      </c>
      <c r="G401" t="s">
        <v>23</v>
      </c>
      <c r="H401" t="s">
        <v>8920</v>
      </c>
      <c r="I401" t="s">
        <v>9173</v>
      </c>
      <c r="J401" t="s">
        <v>9174</v>
      </c>
      <c r="K401" t="s">
        <v>9175</v>
      </c>
      <c r="L401" t="s">
        <v>2769</v>
      </c>
      <c r="M401" t="s">
        <v>102</v>
      </c>
      <c r="N401" t="s">
        <v>146</v>
      </c>
      <c r="O401" t="s">
        <v>34</v>
      </c>
      <c r="P401" t="s">
        <v>20</v>
      </c>
      <c r="Q401" t="s">
        <v>20</v>
      </c>
      <c r="R401" t="s">
        <v>9176</v>
      </c>
      <c r="S401" t="s">
        <v>20</v>
      </c>
    </row>
    <row r="402" spans="1:19" x14ac:dyDescent="0.45">
      <c r="A402" t="s">
        <v>335</v>
      </c>
      <c r="B402" t="s">
        <v>20</v>
      </c>
      <c r="C402" t="s">
        <v>1050</v>
      </c>
      <c r="D402" t="s">
        <v>1051</v>
      </c>
      <c r="E402" t="s">
        <v>38</v>
      </c>
      <c r="F402" t="s">
        <v>20</v>
      </c>
      <c r="G402" t="s">
        <v>23</v>
      </c>
      <c r="H402" t="s">
        <v>9941</v>
      </c>
      <c r="I402" t="s">
        <v>9942</v>
      </c>
      <c r="J402" t="s">
        <v>11003</v>
      </c>
      <c r="K402" t="s">
        <v>11004</v>
      </c>
      <c r="L402" t="s">
        <v>9570</v>
      </c>
      <c r="M402" t="s">
        <v>32</v>
      </c>
      <c r="N402" t="s">
        <v>33</v>
      </c>
      <c r="O402" t="s">
        <v>34</v>
      </c>
      <c r="P402" t="s">
        <v>20</v>
      </c>
      <c r="Q402" t="s">
        <v>20</v>
      </c>
      <c r="R402" t="s">
        <v>11005</v>
      </c>
      <c r="S402" t="s">
        <v>9943</v>
      </c>
    </row>
    <row r="403" spans="1:19" x14ac:dyDescent="0.45">
      <c r="A403" t="s">
        <v>729</v>
      </c>
      <c r="B403" t="s">
        <v>20</v>
      </c>
      <c r="C403" t="s">
        <v>1079</v>
      </c>
      <c r="D403" t="s">
        <v>1080</v>
      </c>
      <c r="E403" t="s">
        <v>4007</v>
      </c>
      <c r="F403" t="s">
        <v>20</v>
      </c>
      <c r="G403" t="s">
        <v>23</v>
      </c>
      <c r="H403" t="s">
        <v>12599</v>
      </c>
      <c r="I403" t="s">
        <v>12600</v>
      </c>
      <c r="J403" t="s">
        <v>12601</v>
      </c>
      <c r="K403" t="s">
        <v>12602</v>
      </c>
      <c r="L403" t="s">
        <v>3418</v>
      </c>
      <c r="M403" t="s">
        <v>102</v>
      </c>
      <c r="N403" t="s">
        <v>62</v>
      </c>
      <c r="O403" t="s">
        <v>34</v>
      </c>
      <c r="P403" t="s">
        <v>6527</v>
      </c>
      <c r="Q403" t="s">
        <v>20</v>
      </c>
      <c r="R403" t="s">
        <v>12603</v>
      </c>
      <c r="S403" t="s">
        <v>20</v>
      </c>
    </row>
    <row r="404" spans="1:19" x14ac:dyDescent="0.45">
      <c r="A404" t="s">
        <v>729</v>
      </c>
      <c r="B404" t="s">
        <v>20</v>
      </c>
      <c r="C404" t="s">
        <v>1079</v>
      </c>
      <c r="D404" t="s">
        <v>1080</v>
      </c>
      <c r="E404" t="s">
        <v>4007</v>
      </c>
      <c r="F404" t="s">
        <v>20</v>
      </c>
      <c r="G404" t="s">
        <v>23</v>
      </c>
      <c r="H404" t="s">
        <v>7280</v>
      </c>
      <c r="I404" t="s">
        <v>7281</v>
      </c>
      <c r="J404" t="s">
        <v>7282</v>
      </c>
      <c r="K404" t="s">
        <v>7283</v>
      </c>
      <c r="L404" t="s">
        <v>6521</v>
      </c>
      <c r="M404" t="s">
        <v>32</v>
      </c>
      <c r="N404" t="s">
        <v>45</v>
      </c>
      <c r="O404" t="s">
        <v>34</v>
      </c>
      <c r="P404" t="s">
        <v>20</v>
      </c>
      <c r="Q404" t="s">
        <v>20</v>
      </c>
      <c r="R404" t="s">
        <v>7284</v>
      </c>
      <c r="S404" t="s">
        <v>20</v>
      </c>
    </row>
    <row r="405" spans="1:19" x14ac:dyDescent="0.45">
      <c r="A405" t="s">
        <v>729</v>
      </c>
      <c r="B405" t="s">
        <v>20</v>
      </c>
      <c r="C405" t="s">
        <v>1079</v>
      </c>
      <c r="D405" t="s">
        <v>1080</v>
      </c>
      <c r="E405" t="s">
        <v>38</v>
      </c>
      <c r="F405" t="s">
        <v>20</v>
      </c>
      <c r="G405" t="s">
        <v>23</v>
      </c>
      <c r="H405" t="s">
        <v>10373</v>
      </c>
      <c r="I405" t="s">
        <v>10374</v>
      </c>
      <c r="J405" t="s">
        <v>11111</v>
      </c>
      <c r="K405" t="s">
        <v>10908</v>
      </c>
      <c r="L405" t="s">
        <v>9619</v>
      </c>
      <c r="M405" t="s">
        <v>32</v>
      </c>
      <c r="N405" t="s">
        <v>33</v>
      </c>
      <c r="O405" t="s">
        <v>34</v>
      </c>
      <c r="P405" t="s">
        <v>6527</v>
      </c>
      <c r="Q405" t="s">
        <v>20</v>
      </c>
      <c r="R405" t="s">
        <v>11112</v>
      </c>
      <c r="S405" t="s">
        <v>20</v>
      </c>
    </row>
    <row r="406" spans="1:19" x14ac:dyDescent="0.45">
      <c r="A406" t="s">
        <v>592</v>
      </c>
      <c r="B406" t="s">
        <v>20</v>
      </c>
      <c r="C406" t="s">
        <v>2859</v>
      </c>
      <c r="D406" t="s">
        <v>2860</v>
      </c>
      <c r="E406" t="s">
        <v>29</v>
      </c>
      <c r="F406" t="s">
        <v>20</v>
      </c>
      <c r="G406" t="s">
        <v>23</v>
      </c>
      <c r="H406" t="s">
        <v>14457</v>
      </c>
      <c r="I406" t="s">
        <v>14458</v>
      </c>
      <c r="J406" t="s">
        <v>14459</v>
      </c>
      <c r="K406" t="s">
        <v>14460</v>
      </c>
      <c r="L406" t="s">
        <v>6533</v>
      </c>
      <c r="M406" t="s">
        <v>416</v>
      </c>
      <c r="N406" t="s">
        <v>119</v>
      </c>
      <c r="O406" t="s">
        <v>34</v>
      </c>
      <c r="P406" t="s">
        <v>20</v>
      </c>
      <c r="Q406" t="s">
        <v>20</v>
      </c>
      <c r="R406" t="s">
        <v>14461</v>
      </c>
      <c r="S406" t="s">
        <v>20</v>
      </c>
    </row>
    <row r="407" spans="1:19" x14ac:dyDescent="0.45">
      <c r="A407" t="s">
        <v>64</v>
      </c>
      <c r="B407" t="s">
        <v>20</v>
      </c>
      <c r="C407" t="s">
        <v>2303</v>
      </c>
      <c r="D407" t="s">
        <v>2304</v>
      </c>
      <c r="E407" t="s">
        <v>38</v>
      </c>
      <c r="F407" t="s">
        <v>20</v>
      </c>
      <c r="G407" t="s">
        <v>23</v>
      </c>
      <c r="H407" t="s">
        <v>6496</v>
      </c>
      <c r="I407" t="s">
        <v>6576</v>
      </c>
      <c r="J407" t="s">
        <v>6577</v>
      </c>
      <c r="K407" t="s">
        <v>6578</v>
      </c>
      <c r="L407" t="s">
        <v>3998</v>
      </c>
      <c r="M407" t="s">
        <v>112</v>
      </c>
      <c r="N407" t="s">
        <v>146</v>
      </c>
      <c r="O407" t="s">
        <v>34</v>
      </c>
      <c r="P407" t="s">
        <v>20</v>
      </c>
      <c r="Q407" t="s">
        <v>20</v>
      </c>
      <c r="R407" t="s">
        <v>6579</v>
      </c>
      <c r="S407" t="s">
        <v>20</v>
      </c>
    </row>
    <row r="408" spans="1:19" x14ac:dyDescent="0.45">
      <c r="A408" t="s">
        <v>777</v>
      </c>
      <c r="B408" t="s">
        <v>20</v>
      </c>
      <c r="C408" t="s">
        <v>7413</v>
      </c>
      <c r="D408" t="s">
        <v>5906</v>
      </c>
      <c r="E408" t="s">
        <v>57</v>
      </c>
      <c r="F408" t="s">
        <v>20</v>
      </c>
      <c r="G408" t="s">
        <v>23</v>
      </c>
      <c r="H408" t="s">
        <v>11531</v>
      </c>
      <c r="I408" t="s">
        <v>11532</v>
      </c>
      <c r="J408" t="s">
        <v>11533</v>
      </c>
      <c r="K408" t="s">
        <v>11534</v>
      </c>
      <c r="L408" t="s">
        <v>3418</v>
      </c>
      <c r="M408" t="s">
        <v>32</v>
      </c>
      <c r="N408" t="s">
        <v>62</v>
      </c>
      <c r="O408" t="s">
        <v>34</v>
      </c>
      <c r="P408" t="s">
        <v>20</v>
      </c>
      <c r="Q408" t="s">
        <v>20</v>
      </c>
      <c r="R408" t="s">
        <v>11535</v>
      </c>
      <c r="S408" t="s">
        <v>20</v>
      </c>
    </row>
    <row r="409" spans="1:19" x14ac:dyDescent="0.45">
      <c r="A409" t="s">
        <v>1137</v>
      </c>
      <c r="B409" t="s">
        <v>20</v>
      </c>
      <c r="C409" t="s">
        <v>1138</v>
      </c>
      <c r="D409" t="s">
        <v>1139</v>
      </c>
      <c r="E409" t="s">
        <v>57</v>
      </c>
      <c r="F409" t="s">
        <v>20</v>
      </c>
      <c r="G409" t="s">
        <v>23</v>
      </c>
      <c r="H409" t="s">
        <v>7873</v>
      </c>
      <c r="I409" t="s">
        <v>7874</v>
      </c>
      <c r="J409" t="s">
        <v>7875</v>
      </c>
      <c r="K409" t="s">
        <v>7876</v>
      </c>
      <c r="L409" t="s">
        <v>2769</v>
      </c>
      <c r="M409" t="s">
        <v>32</v>
      </c>
      <c r="N409" t="s">
        <v>62</v>
      </c>
      <c r="O409" t="s">
        <v>34</v>
      </c>
      <c r="P409" t="s">
        <v>20</v>
      </c>
      <c r="Q409" t="s">
        <v>20</v>
      </c>
      <c r="R409" t="s">
        <v>253</v>
      </c>
      <c r="S409" t="s">
        <v>20</v>
      </c>
    </row>
    <row r="410" spans="1:19" x14ac:dyDescent="0.45">
      <c r="A410" t="s">
        <v>114</v>
      </c>
      <c r="B410" t="s">
        <v>20</v>
      </c>
      <c r="C410" t="s">
        <v>10040</v>
      </c>
      <c r="D410" t="s">
        <v>6432</v>
      </c>
      <c r="E410" t="s">
        <v>2487</v>
      </c>
      <c r="F410" t="s">
        <v>20</v>
      </c>
      <c r="G410" t="s">
        <v>23</v>
      </c>
      <c r="H410" t="s">
        <v>10445</v>
      </c>
      <c r="I410" t="s">
        <v>10446</v>
      </c>
      <c r="J410" t="s">
        <v>10447</v>
      </c>
      <c r="K410" t="s">
        <v>10448</v>
      </c>
      <c r="L410" t="s">
        <v>3418</v>
      </c>
      <c r="M410" t="s">
        <v>32</v>
      </c>
      <c r="N410" t="s">
        <v>62</v>
      </c>
      <c r="O410" t="s">
        <v>34</v>
      </c>
      <c r="P410" t="s">
        <v>20</v>
      </c>
      <c r="Q410" t="s">
        <v>20</v>
      </c>
      <c r="R410" t="s">
        <v>10449</v>
      </c>
      <c r="S410" t="s">
        <v>20</v>
      </c>
    </row>
    <row r="411" spans="1:19" x14ac:dyDescent="0.45">
      <c r="A411" t="s">
        <v>114</v>
      </c>
      <c r="B411" t="s">
        <v>20</v>
      </c>
      <c r="C411" t="s">
        <v>10040</v>
      </c>
      <c r="D411" t="s">
        <v>6432</v>
      </c>
      <c r="E411" t="s">
        <v>57</v>
      </c>
      <c r="F411" t="s">
        <v>20</v>
      </c>
      <c r="G411" t="s">
        <v>23</v>
      </c>
      <c r="H411" t="s">
        <v>10408</v>
      </c>
      <c r="I411" t="s">
        <v>10409</v>
      </c>
      <c r="J411" t="s">
        <v>10410</v>
      </c>
      <c r="K411" t="s">
        <v>10411</v>
      </c>
      <c r="L411" t="s">
        <v>3418</v>
      </c>
      <c r="M411" t="s">
        <v>32</v>
      </c>
      <c r="N411" t="s">
        <v>62</v>
      </c>
      <c r="O411" t="s">
        <v>34</v>
      </c>
      <c r="P411" t="s">
        <v>20</v>
      </c>
      <c r="Q411" t="s">
        <v>20</v>
      </c>
      <c r="R411" t="s">
        <v>10412</v>
      </c>
      <c r="S411" t="s">
        <v>20</v>
      </c>
    </row>
    <row r="412" spans="1:19" x14ac:dyDescent="0.45">
      <c r="A412" t="s">
        <v>64</v>
      </c>
      <c r="B412" t="s">
        <v>20</v>
      </c>
      <c r="C412" t="s">
        <v>349</v>
      </c>
      <c r="D412" t="s">
        <v>350</v>
      </c>
      <c r="E412" t="s">
        <v>57</v>
      </c>
      <c r="F412" t="s">
        <v>20</v>
      </c>
      <c r="G412" t="s">
        <v>23</v>
      </c>
      <c r="H412" t="s">
        <v>2342</v>
      </c>
      <c r="I412" t="s">
        <v>2343</v>
      </c>
      <c r="J412" t="s">
        <v>2344</v>
      </c>
      <c r="K412" t="s">
        <v>2345</v>
      </c>
      <c r="L412" t="s">
        <v>43</v>
      </c>
      <c r="M412" t="s">
        <v>32</v>
      </c>
      <c r="N412" t="s">
        <v>62</v>
      </c>
      <c r="O412" t="s">
        <v>34</v>
      </c>
      <c r="P412" t="s">
        <v>20</v>
      </c>
      <c r="Q412" t="s">
        <v>20</v>
      </c>
      <c r="R412" t="s">
        <v>154</v>
      </c>
      <c r="S412" t="s">
        <v>20</v>
      </c>
    </row>
    <row r="413" spans="1:19" x14ac:dyDescent="0.45">
      <c r="A413" t="s">
        <v>64</v>
      </c>
      <c r="B413" t="s">
        <v>20</v>
      </c>
      <c r="C413" t="s">
        <v>349</v>
      </c>
      <c r="D413" t="s">
        <v>350</v>
      </c>
      <c r="E413" t="s">
        <v>2487</v>
      </c>
      <c r="F413" t="s">
        <v>20</v>
      </c>
      <c r="G413" t="s">
        <v>23</v>
      </c>
      <c r="H413" t="s">
        <v>7901</v>
      </c>
      <c r="I413" t="s">
        <v>7902</v>
      </c>
      <c r="J413" t="s">
        <v>7903</v>
      </c>
      <c r="K413" t="s">
        <v>7904</v>
      </c>
      <c r="L413" t="s">
        <v>3418</v>
      </c>
      <c r="M413" t="s">
        <v>32</v>
      </c>
      <c r="N413" t="s">
        <v>62</v>
      </c>
      <c r="O413" t="s">
        <v>34</v>
      </c>
      <c r="P413" t="s">
        <v>20</v>
      </c>
      <c r="Q413" t="s">
        <v>20</v>
      </c>
      <c r="R413" t="s">
        <v>7905</v>
      </c>
      <c r="S413" t="s">
        <v>20</v>
      </c>
    </row>
    <row r="414" spans="1:19" x14ac:dyDescent="0.45">
      <c r="A414" t="s">
        <v>516</v>
      </c>
      <c r="B414" t="s">
        <v>20</v>
      </c>
      <c r="C414" t="s">
        <v>794</v>
      </c>
      <c r="D414" t="s">
        <v>795</v>
      </c>
      <c r="E414" t="s">
        <v>38</v>
      </c>
      <c r="F414" t="s">
        <v>20</v>
      </c>
      <c r="G414" t="s">
        <v>23</v>
      </c>
      <c r="H414" t="s">
        <v>9019</v>
      </c>
      <c r="I414" t="s">
        <v>9064</v>
      </c>
      <c r="J414" t="s">
        <v>11016</v>
      </c>
      <c r="K414" t="s">
        <v>11017</v>
      </c>
      <c r="L414" t="s">
        <v>9619</v>
      </c>
      <c r="M414" t="s">
        <v>32</v>
      </c>
      <c r="N414" t="s">
        <v>33</v>
      </c>
      <c r="O414" t="s">
        <v>34</v>
      </c>
      <c r="P414" t="s">
        <v>20</v>
      </c>
      <c r="Q414" t="s">
        <v>20</v>
      </c>
      <c r="R414" t="s">
        <v>11018</v>
      </c>
      <c r="S414" t="s">
        <v>9065</v>
      </c>
    </row>
    <row r="415" spans="1:19" x14ac:dyDescent="0.45">
      <c r="A415" t="s">
        <v>1043</v>
      </c>
      <c r="B415" t="s">
        <v>20</v>
      </c>
      <c r="C415" t="s">
        <v>3317</v>
      </c>
      <c r="D415" t="s">
        <v>3318</v>
      </c>
      <c r="E415" t="s">
        <v>2487</v>
      </c>
      <c r="F415" t="s">
        <v>20</v>
      </c>
      <c r="G415" t="s">
        <v>23</v>
      </c>
      <c r="H415" t="s">
        <v>8036</v>
      </c>
      <c r="I415" t="s">
        <v>8037</v>
      </c>
      <c r="J415" t="s">
        <v>8038</v>
      </c>
      <c r="K415" t="s">
        <v>8039</v>
      </c>
      <c r="L415" t="s">
        <v>3418</v>
      </c>
      <c r="M415" t="s">
        <v>438</v>
      </c>
      <c r="N415" t="s">
        <v>62</v>
      </c>
      <c r="O415" t="s">
        <v>34</v>
      </c>
      <c r="P415" t="s">
        <v>20</v>
      </c>
      <c r="Q415" t="s">
        <v>20</v>
      </c>
      <c r="R415" t="s">
        <v>8040</v>
      </c>
      <c r="S415" t="s">
        <v>20</v>
      </c>
    </row>
    <row r="416" spans="1:19" x14ac:dyDescent="0.45">
      <c r="A416" t="s">
        <v>1043</v>
      </c>
      <c r="B416" t="s">
        <v>20</v>
      </c>
      <c r="C416" t="s">
        <v>3317</v>
      </c>
      <c r="D416" t="s">
        <v>3318</v>
      </c>
      <c r="E416" t="s">
        <v>57</v>
      </c>
      <c r="F416" t="s">
        <v>20</v>
      </c>
      <c r="G416" t="s">
        <v>23</v>
      </c>
      <c r="H416" t="s">
        <v>8075</v>
      </c>
      <c r="I416" t="s">
        <v>8076</v>
      </c>
      <c r="J416" t="s">
        <v>8018</v>
      </c>
      <c r="K416" t="s">
        <v>8077</v>
      </c>
      <c r="L416" t="s">
        <v>9155</v>
      </c>
      <c r="M416" t="s">
        <v>438</v>
      </c>
      <c r="N416" t="s">
        <v>62</v>
      </c>
      <c r="O416" t="s">
        <v>34</v>
      </c>
      <c r="P416" t="s">
        <v>20</v>
      </c>
      <c r="Q416" t="s">
        <v>20</v>
      </c>
      <c r="R416" t="s">
        <v>8078</v>
      </c>
      <c r="S416" t="s">
        <v>20</v>
      </c>
    </row>
    <row r="417" spans="1:19" x14ac:dyDescent="0.45">
      <c r="A417" t="s">
        <v>2432</v>
      </c>
      <c r="B417" t="s">
        <v>20</v>
      </c>
      <c r="C417" t="s">
        <v>2433</v>
      </c>
      <c r="D417" t="s">
        <v>2434</v>
      </c>
      <c r="E417" t="s">
        <v>38</v>
      </c>
      <c r="F417" t="s">
        <v>20</v>
      </c>
      <c r="G417" t="s">
        <v>23</v>
      </c>
      <c r="H417" t="s">
        <v>6893</v>
      </c>
      <c r="I417" t="s">
        <v>6894</v>
      </c>
      <c r="J417" t="s">
        <v>11061</v>
      </c>
      <c r="K417" t="s">
        <v>11062</v>
      </c>
      <c r="L417" t="s">
        <v>6523</v>
      </c>
      <c r="M417" t="s">
        <v>32</v>
      </c>
      <c r="N417" t="s">
        <v>33</v>
      </c>
      <c r="O417" t="s">
        <v>34</v>
      </c>
      <c r="P417" t="s">
        <v>20</v>
      </c>
      <c r="Q417" t="s">
        <v>20</v>
      </c>
      <c r="R417" t="s">
        <v>11085</v>
      </c>
      <c r="S417" t="s">
        <v>20</v>
      </c>
    </row>
    <row r="418" spans="1:19" x14ac:dyDescent="0.45">
      <c r="A418" t="s">
        <v>3096</v>
      </c>
      <c r="B418" t="s">
        <v>20</v>
      </c>
      <c r="C418" t="s">
        <v>4133</v>
      </c>
      <c r="D418" t="s">
        <v>4134</v>
      </c>
      <c r="E418" t="s">
        <v>2487</v>
      </c>
      <c r="F418" t="s">
        <v>20</v>
      </c>
      <c r="G418" t="s">
        <v>23</v>
      </c>
      <c r="H418" t="s">
        <v>10835</v>
      </c>
      <c r="I418" t="s">
        <v>10836</v>
      </c>
      <c r="J418" t="s">
        <v>10837</v>
      </c>
      <c r="K418" t="s">
        <v>10838</v>
      </c>
      <c r="L418" t="s">
        <v>3418</v>
      </c>
      <c r="M418" t="s">
        <v>3105</v>
      </c>
      <c r="N418" t="s">
        <v>62</v>
      </c>
      <c r="O418" t="s">
        <v>34</v>
      </c>
      <c r="P418" t="s">
        <v>20</v>
      </c>
      <c r="Q418" t="s">
        <v>20</v>
      </c>
      <c r="R418" t="s">
        <v>10839</v>
      </c>
      <c r="S418" t="s">
        <v>20</v>
      </c>
    </row>
    <row r="419" spans="1:19" x14ac:dyDescent="0.45">
      <c r="A419" t="s">
        <v>413</v>
      </c>
      <c r="B419" t="s">
        <v>20</v>
      </c>
      <c r="C419" t="s">
        <v>896</v>
      </c>
      <c r="D419" t="s">
        <v>897</v>
      </c>
      <c r="E419" t="s">
        <v>57</v>
      </c>
      <c r="F419" t="s">
        <v>20</v>
      </c>
      <c r="G419" t="s">
        <v>23</v>
      </c>
      <c r="H419" t="s">
        <v>11098</v>
      </c>
      <c r="I419" t="s">
        <v>11099</v>
      </c>
      <c r="J419" t="s">
        <v>11100</v>
      </c>
      <c r="K419" t="s">
        <v>11101</v>
      </c>
      <c r="L419" t="s">
        <v>3418</v>
      </c>
      <c r="M419" t="s">
        <v>3105</v>
      </c>
      <c r="N419" t="s">
        <v>62</v>
      </c>
      <c r="O419" t="s">
        <v>34</v>
      </c>
      <c r="P419" t="s">
        <v>20</v>
      </c>
      <c r="Q419" t="s">
        <v>20</v>
      </c>
      <c r="R419" t="s">
        <v>11102</v>
      </c>
      <c r="S419" t="s">
        <v>20</v>
      </c>
    </row>
    <row r="420" spans="1:19" x14ac:dyDescent="0.45">
      <c r="A420" t="s">
        <v>413</v>
      </c>
      <c r="B420" t="s">
        <v>20</v>
      </c>
      <c r="C420" t="s">
        <v>896</v>
      </c>
      <c r="D420" t="s">
        <v>897</v>
      </c>
      <c r="E420" t="s">
        <v>2487</v>
      </c>
      <c r="F420" t="s">
        <v>20</v>
      </c>
      <c r="G420" t="s">
        <v>23</v>
      </c>
      <c r="H420" t="s">
        <v>10916</v>
      </c>
      <c r="I420" t="s">
        <v>10917</v>
      </c>
      <c r="J420" t="s">
        <v>10918</v>
      </c>
      <c r="K420" t="s">
        <v>10919</v>
      </c>
      <c r="L420" t="s">
        <v>3418</v>
      </c>
      <c r="M420" t="s">
        <v>3105</v>
      </c>
      <c r="N420" t="s">
        <v>62</v>
      </c>
      <c r="O420" t="s">
        <v>34</v>
      </c>
      <c r="P420" t="s">
        <v>20</v>
      </c>
      <c r="Q420" t="s">
        <v>20</v>
      </c>
      <c r="R420" t="s">
        <v>10920</v>
      </c>
      <c r="S420" t="s">
        <v>20</v>
      </c>
    </row>
    <row r="421" spans="1:19" x14ac:dyDescent="0.45">
      <c r="A421" t="s">
        <v>231</v>
      </c>
      <c r="B421" t="s">
        <v>20</v>
      </c>
      <c r="C421" t="s">
        <v>232</v>
      </c>
      <c r="D421" t="s">
        <v>233</v>
      </c>
      <c r="E421" t="s">
        <v>57</v>
      </c>
      <c r="F421" t="s">
        <v>20</v>
      </c>
      <c r="G421" t="s">
        <v>23</v>
      </c>
      <c r="H421" t="s">
        <v>11446</v>
      </c>
      <c r="I421" t="s">
        <v>11447</v>
      </c>
      <c r="J421" t="s">
        <v>11448</v>
      </c>
      <c r="K421" t="s">
        <v>11449</v>
      </c>
      <c r="L421" t="s">
        <v>3418</v>
      </c>
      <c r="M421" t="s">
        <v>32</v>
      </c>
      <c r="N421" t="s">
        <v>62</v>
      </c>
      <c r="O421" t="s">
        <v>34</v>
      </c>
      <c r="P421" t="s">
        <v>20</v>
      </c>
      <c r="Q421" t="s">
        <v>20</v>
      </c>
      <c r="R421" t="s">
        <v>11450</v>
      </c>
      <c r="S421" t="s">
        <v>20</v>
      </c>
    </row>
    <row r="422" spans="1:19" x14ac:dyDescent="0.45">
      <c r="A422" t="s">
        <v>6989</v>
      </c>
      <c r="B422" t="s">
        <v>20</v>
      </c>
      <c r="C422" t="s">
        <v>1366</v>
      </c>
      <c r="D422" t="s">
        <v>1367</v>
      </c>
      <c r="E422" t="s">
        <v>57</v>
      </c>
      <c r="F422" t="s">
        <v>20</v>
      </c>
      <c r="G422" t="s">
        <v>23</v>
      </c>
      <c r="H422" t="s">
        <v>1368</v>
      </c>
      <c r="I422" t="s">
        <v>1369</v>
      </c>
      <c r="J422" t="s">
        <v>1370</v>
      </c>
      <c r="K422" t="s">
        <v>1371</v>
      </c>
      <c r="L422" t="s">
        <v>43</v>
      </c>
      <c r="M422" t="s">
        <v>32</v>
      </c>
      <c r="N422" t="s">
        <v>62</v>
      </c>
      <c r="O422" t="s">
        <v>34</v>
      </c>
      <c r="P422" t="s">
        <v>20</v>
      </c>
      <c r="Q422" t="s">
        <v>20</v>
      </c>
      <c r="R422" t="s">
        <v>1372</v>
      </c>
      <c r="S422" t="s">
        <v>20</v>
      </c>
    </row>
    <row r="423" spans="1:19" x14ac:dyDescent="0.45">
      <c r="A423" t="s">
        <v>1278</v>
      </c>
      <c r="B423" t="s">
        <v>20</v>
      </c>
      <c r="C423" t="s">
        <v>1296</v>
      </c>
      <c r="D423" t="s">
        <v>1297</v>
      </c>
      <c r="E423" t="s">
        <v>38</v>
      </c>
      <c r="F423" t="s">
        <v>20</v>
      </c>
      <c r="G423" t="s">
        <v>23</v>
      </c>
      <c r="H423" t="s">
        <v>10357</v>
      </c>
      <c r="I423" t="s">
        <v>10358</v>
      </c>
      <c r="J423" t="s">
        <v>11063</v>
      </c>
      <c r="K423" t="s">
        <v>11064</v>
      </c>
      <c r="L423" t="s">
        <v>9570</v>
      </c>
      <c r="M423" t="s">
        <v>32</v>
      </c>
      <c r="N423" t="s">
        <v>33</v>
      </c>
      <c r="O423" t="s">
        <v>34</v>
      </c>
      <c r="P423" t="s">
        <v>20</v>
      </c>
      <c r="Q423" t="s">
        <v>20</v>
      </c>
      <c r="R423" t="s">
        <v>11065</v>
      </c>
      <c r="S423" t="s">
        <v>10359</v>
      </c>
    </row>
    <row r="424" spans="1:19" x14ac:dyDescent="0.45">
      <c r="A424" t="s">
        <v>525</v>
      </c>
      <c r="B424" t="s">
        <v>20</v>
      </c>
      <c r="C424" t="s">
        <v>2038</v>
      </c>
      <c r="D424" t="s">
        <v>2039</v>
      </c>
      <c r="E424" t="s">
        <v>38</v>
      </c>
      <c r="F424" t="s">
        <v>20</v>
      </c>
      <c r="G424" t="s">
        <v>23</v>
      </c>
      <c r="H424" t="s">
        <v>7036</v>
      </c>
      <c r="I424" t="s">
        <v>7037</v>
      </c>
      <c r="J424" t="s">
        <v>7038</v>
      </c>
      <c r="K424" t="s">
        <v>7039</v>
      </c>
      <c r="L424" t="s">
        <v>6513</v>
      </c>
      <c r="M424" t="s">
        <v>112</v>
      </c>
      <c r="N424" t="s">
        <v>146</v>
      </c>
      <c r="O424" t="s">
        <v>34</v>
      </c>
      <c r="P424" t="s">
        <v>20</v>
      </c>
      <c r="Q424" t="s">
        <v>20</v>
      </c>
      <c r="R424" t="s">
        <v>7040</v>
      </c>
      <c r="S424" t="s">
        <v>20</v>
      </c>
    </row>
    <row r="425" spans="1:19" x14ac:dyDescent="0.45">
      <c r="A425" t="s">
        <v>35</v>
      </c>
      <c r="B425" t="s">
        <v>20</v>
      </c>
      <c r="C425" t="s">
        <v>2607</v>
      </c>
      <c r="D425" t="s">
        <v>2608</v>
      </c>
      <c r="E425" t="s">
        <v>57</v>
      </c>
      <c r="F425" t="s">
        <v>20</v>
      </c>
      <c r="G425" t="s">
        <v>23</v>
      </c>
      <c r="H425" t="s">
        <v>10425</v>
      </c>
      <c r="I425" t="s">
        <v>10426</v>
      </c>
      <c r="J425" t="s">
        <v>10427</v>
      </c>
      <c r="K425" t="s">
        <v>10428</v>
      </c>
      <c r="L425" t="s">
        <v>3418</v>
      </c>
      <c r="M425" t="s">
        <v>32</v>
      </c>
      <c r="N425" t="s">
        <v>62</v>
      </c>
      <c r="O425" t="s">
        <v>34</v>
      </c>
      <c r="P425" t="s">
        <v>20</v>
      </c>
      <c r="Q425" t="s">
        <v>20</v>
      </c>
      <c r="R425" t="s">
        <v>10429</v>
      </c>
      <c r="S425" t="s">
        <v>20</v>
      </c>
    </row>
    <row r="426" spans="1:19" x14ac:dyDescent="0.45">
      <c r="A426" t="s">
        <v>35</v>
      </c>
      <c r="B426" t="s">
        <v>20</v>
      </c>
      <c r="C426" t="s">
        <v>449</v>
      </c>
      <c r="D426" t="s">
        <v>450</v>
      </c>
      <c r="E426" t="s">
        <v>57</v>
      </c>
      <c r="F426" t="s">
        <v>20</v>
      </c>
      <c r="G426" t="s">
        <v>23</v>
      </c>
      <c r="H426" t="s">
        <v>10460</v>
      </c>
      <c r="I426" t="s">
        <v>10461</v>
      </c>
      <c r="J426" t="s">
        <v>10462</v>
      </c>
      <c r="K426" t="s">
        <v>10463</v>
      </c>
      <c r="L426" t="s">
        <v>3418</v>
      </c>
      <c r="M426" t="s">
        <v>32</v>
      </c>
      <c r="N426" t="s">
        <v>62</v>
      </c>
      <c r="O426" t="s">
        <v>34</v>
      </c>
      <c r="P426" t="s">
        <v>20</v>
      </c>
      <c r="Q426" t="s">
        <v>20</v>
      </c>
      <c r="R426" t="s">
        <v>10464</v>
      </c>
      <c r="S426" t="s">
        <v>20</v>
      </c>
    </row>
    <row r="427" spans="1:19" x14ac:dyDescent="0.45">
      <c r="A427" t="s">
        <v>35</v>
      </c>
      <c r="B427" t="s">
        <v>20</v>
      </c>
      <c r="C427" t="s">
        <v>449</v>
      </c>
      <c r="D427" t="s">
        <v>450</v>
      </c>
      <c r="E427" t="s">
        <v>38</v>
      </c>
      <c r="F427" t="s">
        <v>20</v>
      </c>
      <c r="G427" t="s">
        <v>23</v>
      </c>
      <c r="H427" t="s">
        <v>451</v>
      </c>
      <c r="I427" t="s">
        <v>452</v>
      </c>
      <c r="J427" t="s">
        <v>453</v>
      </c>
      <c r="K427" t="s">
        <v>454</v>
      </c>
      <c r="L427" t="s">
        <v>194</v>
      </c>
      <c r="M427" t="s">
        <v>112</v>
      </c>
      <c r="N427" t="s">
        <v>119</v>
      </c>
      <c r="O427" t="s">
        <v>34</v>
      </c>
      <c r="P427" t="s">
        <v>20</v>
      </c>
      <c r="Q427" t="s">
        <v>20</v>
      </c>
      <c r="R427" t="s">
        <v>455</v>
      </c>
      <c r="S427" t="s">
        <v>20</v>
      </c>
    </row>
    <row r="428" spans="1:19" x14ac:dyDescent="0.45">
      <c r="A428" t="s">
        <v>19</v>
      </c>
      <c r="B428" t="s">
        <v>20</v>
      </c>
      <c r="C428" t="s">
        <v>6777</v>
      </c>
      <c r="D428" t="s">
        <v>6188</v>
      </c>
      <c r="E428" t="s">
        <v>38</v>
      </c>
      <c r="F428" t="s">
        <v>20</v>
      </c>
      <c r="G428" t="s">
        <v>23</v>
      </c>
      <c r="H428" t="s">
        <v>12609</v>
      </c>
      <c r="I428" t="s">
        <v>12610</v>
      </c>
      <c r="J428" t="s">
        <v>12611</v>
      </c>
      <c r="K428" t="s">
        <v>12612</v>
      </c>
      <c r="L428" t="s">
        <v>9155</v>
      </c>
      <c r="M428" t="s">
        <v>32</v>
      </c>
      <c r="N428" t="s">
        <v>33</v>
      </c>
      <c r="O428" t="s">
        <v>34</v>
      </c>
      <c r="P428" t="s">
        <v>20</v>
      </c>
      <c r="Q428" t="s">
        <v>20</v>
      </c>
      <c r="R428" t="s">
        <v>12613</v>
      </c>
      <c r="S428" t="s">
        <v>20</v>
      </c>
    </row>
    <row r="429" spans="1:19" x14ac:dyDescent="0.45">
      <c r="A429" t="s">
        <v>425</v>
      </c>
      <c r="B429" t="s">
        <v>20</v>
      </c>
      <c r="C429" t="s">
        <v>2682</v>
      </c>
      <c r="D429" t="s">
        <v>2683</v>
      </c>
      <c r="E429" t="s">
        <v>57</v>
      </c>
      <c r="F429" t="s">
        <v>20</v>
      </c>
      <c r="G429" t="s">
        <v>23</v>
      </c>
      <c r="H429" t="s">
        <v>2684</v>
      </c>
      <c r="I429" t="s">
        <v>2685</v>
      </c>
      <c r="J429" t="s">
        <v>2686</v>
      </c>
      <c r="K429" t="s">
        <v>2687</v>
      </c>
      <c r="L429" t="s">
        <v>43</v>
      </c>
      <c r="M429" t="s">
        <v>32</v>
      </c>
      <c r="N429" t="s">
        <v>62</v>
      </c>
      <c r="O429" t="s">
        <v>34</v>
      </c>
      <c r="P429" t="s">
        <v>20</v>
      </c>
      <c r="Q429" t="s">
        <v>20</v>
      </c>
      <c r="R429" t="s">
        <v>253</v>
      </c>
      <c r="S429" t="s">
        <v>20</v>
      </c>
    </row>
    <row r="430" spans="1:19" x14ac:dyDescent="0.45">
      <c r="A430" t="s">
        <v>729</v>
      </c>
      <c r="B430" t="s">
        <v>20</v>
      </c>
      <c r="C430" t="s">
        <v>781</v>
      </c>
      <c r="D430" t="s">
        <v>782</v>
      </c>
      <c r="E430" t="s">
        <v>38</v>
      </c>
      <c r="F430" t="s">
        <v>20</v>
      </c>
      <c r="G430" t="s">
        <v>23</v>
      </c>
      <c r="H430" t="s">
        <v>783</v>
      </c>
      <c r="I430" t="s">
        <v>784</v>
      </c>
      <c r="J430" t="s">
        <v>785</v>
      </c>
      <c r="K430" t="s">
        <v>786</v>
      </c>
      <c r="L430" t="s">
        <v>296</v>
      </c>
      <c r="M430" t="s">
        <v>112</v>
      </c>
      <c r="N430" t="s">
        <v>62</v>
      </c>
      <c r="O430" t="s">
        <v>34</v>
      </c>
      <c r="P430" t="s">
        <v>6527</v>
      </c>
      <c r="Q430" t="s">
        <v>20</v>
      </c>
      <c r="R430" t="s">
        <v>787</v>
      </c>
      <c r="S430" t="s">
        <v>20</v>
      </c>
    </row>
    <row r="431" spans="1:19" x14ac:dyDescent="0.45">
      <c r="A431" t="s">
        <v>85</v>
      </c>
      <c r="B431" t="s">
        <v>20</v>
      </c>
      <c r="C431" t="s">
        <v>1807</v>
      </c>
      <c r="D431" t="s">
        <v>1808</v>
      </c>
      <c r="E431" t="s">
        <v>57</v>
      </c>
      <c r="F431" t="s">
        <v>20</v>
      </c>
      <c r="G431" t="s">
        <v>23</v>
      </c>
      <c r="H431" t="s">
        <v>1809</v>
      </c>
      <c r="I431" t="s">
        <v>1810</v>
      </c>
      <c r="J431" t="s">
        <v>1811</v>
      </c>
      <c r="K431" t="s">
        <v>1812</v>
      </c>
      <c r="L431" t="s">
        <v>43</v>
      </c>
      <c r="M431" t="s">
        <v>92</v>
      </c>
      <c r="N431" t="s">
        <v>62</v>
      </c>
      <c r="O431" t="s">
        <v>34</v>
      </c>
      <c r="P431" t="s">
        <v>20</v>
      </c>
      <c r="Q431" t="s">
        <v>20</v>
      </c>
      <c r="R431" t="s">
        <v>93</v>
      </c>
      <c r="S431" t="s">
        <v>20</v>
      </c>
    </row>
    <row r="432" spans="1:19" x14ac:dyDescent="0.45">
      <c r="A432" t="s">
        <v>85</v>
      </c>
      <c r="B432" t="s">
        <v>20</v>
      </c>
      <c r="C432" t="s">
        <v>1807</v>
      </c>
      <c r="D432" t="s">
        <v>1808</v>
      </c>
      <c r="E432" t="s">
        <v>2487</v>
      </c>
      <c r="F432" t="s">
        <v>20</v>
      </c>
      <c r="G432" t="s">
        <v>23</v>
      </c>
      <c r="H432" t="s">
        <v>7575</v>
      </c>
      <c r="I432" t="s">
        <v>7576</v>
      </c>
      <c r="J432" t="s">
        <v>7577</v>
      </c>
      <c r="K432" t="s">
        <v>7578</v>
      </c>
      <c r="L432" t="s">
        <v>3418</v>
      </c>
      <c r="M432" t="s">
        <v>7029</v>
      </c>
      <c r="N432" t="s">
        <v>62</v>
      </c>
      <c r="O432" t="s">
        <v>34</v>
      </c>
      <c r="P432" t="s">
        <v>20</v>
      </c>
      <c r="Q432" t="s">
        <v>20</v>
      </c>
      <c r="R432" t="s">
        <v>7579</v>
      </c>
      <c r="S432" t="s">
        <v>20</v>
      </c>
    </row>
    <row r="433" spans="1:19" x14ac:dyDescent="0.45">
      <c r="A433" t="s">
        <v>802</v>
      </c>
      <c r="B433" t="s">
        <v>20</v>
      </c>
      <c r="C433" t="s">
        <v>1827</v>
      </c>
      <c r="D433" t="s">
        <v>1828</v>
      </c>
      <c r="E433" t="s">
        <v>57</v>
      </c>
      <c r="F433" t="s">
        <v>20</v>
      </c>
      <c r="G433" t="s">
        <v>23</v>
      </c>
      <c r="H433" t="s">
        <v>1851</v>
      </c>
      <c r="I433" t="s">
        <v>1852</v>
      </c>
      <c r="J433" t="s">
        <v>1853</v>
      </c>
      <c r="K433" t="s">
        <v>1854</v>
      </c>
      <c r="L433" t="s">
        <v>43</v>
      </c>
      <c r="M433" t="s">
        <v>32</v>
      </c>
      <c r="N433" t="s">
        <v>62</v>
      </c>
      <c r="O433" t="s">
        <v>34</v>
      </c>
      <c r="P433" t="s">
        <v>20</v>
      </c>
      <c r="Q433" t="s">
        <v>20</v>
      </c>
      <c r="R433" t="s">
        <v>1728</v>
      </c>
      <c r="S433" t="s">
        <v>20</v>
      </c>
    </row>
    <row r="434" spans="1:19" x14ac:dyDescent="0.45">
      <c r="A434" t="s">
        <v>211</v>
      </c>
      <c r="B434" t="s">
        <v>20</v>
      </c>
      <c r="C434" t="s">
        <v>304</v>
      </c>
      <c r="D434" t="s">
        <v>305</v>
      </c>
      <c r="E434" t="s">
        <v>38</v>
      </c>
      <c r="F434" t="s">
        <v>20</v>
      </c>
      <c r="G434" t="s">
        <v>23</v>
      </c>
      <c r="H434" t="s">
        <v>12619</v>
      </c>
      <c r="I434" t="s">
        <v>12620</v>
      </c>
      <c r="J434" t="s">
        <v>12621</v>
      </c>
      <c r="K434" t="s">
        <v>12622</v>
      </c>
      <c r="L434" t="s">
        <v>3418</v>
      </c>
      <c r="M434" t="s">
        <v>102</v>
      </c>
      <c r="N434" t="s">
        <v>146</v>
      </c>
      <c r="O434" t="s">
        <v>34</v>
      </c>
      <c r="P434" t="s">
        <v>20</v>
      </c>
      <c r="Q434" t="s">
        <v>20</v>
      </c>
      <c r="R434" t="s">
        <v>12623</v>
      </c>
      <c r="S434" t="s">
        <v>20</v>
      </c>
    </row>
    <row r="435" spans="1:19" x14ac:dyDescent="0.45">
      <c r="A435" t="s">
        <v>211</v>
      </c>
      <c r="B435" t="s">
        <v>20</v>
      </c>
      <c r="C435" t="s">
        <v>304</v>
      </c>
      <c r="D435" t="s">
        <v>305</v>
      </c>
      <c r="E435" t="s">
        <v>38</v>
      </c>
      <c r="F435" t="s">
        <v>20</v>
      </c>
      <c r="G435" t="s">
        <v>23</v>
      </c>
      <c r="H435" t="s">
        <v>1457</v>
      </c>
      <c r="I435" t="s">
        <v>1458</v>
      </c>
      <c r="J435" t="s">
        <v>1459</v>
      </c>
      <c r="K435" t="s">
        <v>1460</v>
      </c>
      <c r="L435" t="s">
        <v>6523</v>
      </c>
      <c r="M435" t="s">
        <v>102</v>
      </c>
      <c r="N435" t="s">
        <v>62</v>
      </c>
      <c r="O435" t="s">
        <v>34</v>
      </c>
      <c r="P435" t="s">
        <v>20</v>
      </c>
      <c r="Q435" t="s">
        <v>20</v>
      </c>
      <c r="R435" t="s">
        <v>1065</v>
      </c>
      <c r="S435" t="s">
        <v>20</v>
      </c>
    </row>
    <row r="436" spans="1:19" x14ac:dyDescent="0.45">
      <c r="A436" t="s">
        <v>64</v>
      </c>
      <c r="B436" t="s">
        <v>20</v>
      </c>
      <c r="C436" t="s">
        <v>2115</v>
      </c>
      <c r="D436" t="s">
        <v>2116</v>
      </c>
      <c r="E436" t="s">
        <v>38</v>
      </c>
      <c r="F436" t="s">
        <v>20</v>
      </c>
      <c r="G436" t="s">
        <v>23</v>
      </c>
      <c r="H436" t="s">
        <v>12171</v>
      </c>
      <c r="I436" t="s">
        <v>12172</v>
      </c>
      <c r="J436" t="s">
        <v>12627</v>
      </c>
      <c r="K436" t="s">
        <v>12628</v>
      </c>
      <c r="L436" t="s">
        <v>6524</v>
      </c>
      <c r="M436" t="s">
        <v>12431</v>
      </c>
      <c r="N436" t="s">
        <v>33</v>
      </c>
      <c r="O436" t="s">
        <v>34</v>
      </c>
      <c r="P436" t="s">
        <v>20</v>
      </c>
      <c r="Q436" t="s">
        <v>20</v>
      </c>
      <c r="R436" t="s">
        <v>12629</v>
      </c>
      <c r="S436" t="s">
        <v>12173</v>
      </c>
    </row>
    <row r="437" spans="1:19" x14ac:dyDescent="0.45">
      <c r="A437" t="s">
        <v>64</v>
      </c>
      <c r="B437" t="s">
        <v>20</v>
      </c>
      <c r="C437" t="s">
        <v>2115</v>
      </c>
      <c r="D437" t="s">
        <v>2116</v>
      </c>
      <c r="E437" t="s">
        <v>38</v>
      </c>
      <c r="F437" t="s">
        <v>20</v>
      </c>
      <c r="G437" t="s">
        <v>23</v>
      </c>
      <c r="H437" t="s">
        <v>12642</v>
      </c>
      <c r="I437" t="s">
        <v>12643</v>
      </c>
      <c r="J437" t="s">
        <v>12644</v>
      </c>
      <c r="K437" t="s">
        <v>12645</v>
      </c>
      <c r="L437" t="s">
        <v>6524</v>
      </c>
      <c r="M437" t="s">
        <v>12431</v>
      </c>
      <c r="N437" t="s">
        <v>33</v>
      </c>
      <c r="O437" t="s">
        <v>34</v>
      </c>
      <c r="P437" t="s">
        <v>20</v>
      </c>
      <c r="Q437" t="s">
        <v>20</v>
      </c>
      <c r="R437" t="s">
        <v>12646</v>
      </c>
      <c r="S437" t="s">
        <v>12647</v>
      </c>
    </row>
    <row r="438" spans="1:19" x14ac:dyDescent="0.45">
      <c r="A438" t="s">
        <v>64</v>
      </c>
      <c r="B438" t="s">
        <v>20</v>
      </c>
      <c r="C438" t="s">
        <v>2115</v>
      </c>
      <c r="D438" t="s">
        <v>2116</v>
      </c>
      <c r="E438" t="s">
        <v>38</v>
      </c>
      <c r="F438" t="s">
        <v>20</v>
      </c>
      <c r="G438" t="s">
        <v>23</v>
      </c>
      <c r="H438" t="s">
        <v>12200</v>
      </c>
      <c r="I438" t="s">
        <v>12201</v>
      </c>
      <c r="J438" t="s">
        <v>12624</v>
      </c>
      <c r="K438" t="s">
        <v>12625</v>
      </c>
      <c r="L438" t="s">
        <v>6524</v>
      </c>
      <c r="M438" t="s">
        <v>12431</v>
      </c>
      <c r="N438" t="s">
        <v>33</v>
      </c>
      <c r="O438" t="s">
        <v>34</v>
      </c>
      <c r="P438" t="s">
        <v>20</v>
      </c>
      <c r="Q438" t="s">
        <v>20</v>
      </c>
      <c r="R438" t="s">
        <v>12626</v>
      </c>
      <c r="S438" t="s">
        <v>12202</v>
      </c>
    </row>
    <row r="439" spans="1:19" x14ac:dyDescent="0.45">
      <c r="A439" t="s">
        <v>64</v>
      </c>
      <c r="B439" t="s">
        <v>20</v>
      </c>
      <c r="C439" t="s">
        <v>2115</v>
      </c>
      <c r="D439" t="s">
        <v>2116</v>
      </c>
      <c r="E439" t="s">
        <v>38</v>
      </c>
      <c r="F439" t="s">
        <v>20</v>
      </c>
      <c r="G439" t="s">
        <v>23</v>
      </c>
      <c r="H439" t="s">
        <v>12630</v>
      </c>
      <c r="I439" t="s">
        <v>12631</v>
      </c>
      <c r="J439" t="s">
        <v>12632</v>
      </c>
      <c r="K439" t="s">
        <v>12633</v>
      </c>
      <c r="L439" t="s">
        <v>6524</v>
      </c>
      <c r="M439" t="s">
        <v>12431</v>
      </c>
      <c r="N439" t="s">
        <v>33</v>
      </c>
      <c r="O439" t="s">
        <v>34</v>
      </c>
      <c r="P439" t="s">
        <v>20</v>
      </c>
      <c r="Q439" t="s">
        <v>20</v>
      </c>
      <c r="R439" t="s">
        <v>12634</v>
      </c>
      <c r="S439" t="s">
        <v>12635</v>
      </c>
    </row>
    <row r="440" spans="1:19" x14ac:dyDescent="0.45">
      <c r="A440" t="s">
        <v>64</v>
      </c>
      <c r="B440" t="s">
        <v>20</v>
      </c>
      <c r="C440" t="s">
        <v>2115</v>
      </c>
      <c r="D440" t="s">
        <v>2116</v>
      </c>
      <c r="E440" t="s">
        <v>38</v>
      </c>
      <c r="F440" t="s">
        <v>20</v>
      </c>
      <c r="G440" t="s">
        <v>23</v>
      </c>
      <c r="H440" t="s">
        <v>6836</v>
      </c>
      <c r="I440" t="s">
        <v>6837</v>
      </c>
      <c r="J440" t="s">
        <v>10913</v>
      </c>
      <c r="K440" t="s">
        <v>10914</v>
      </c>
      <c r="L440" t="s">
        <v>8094</v>
      </c>
      <c r="M440" t="s">
        <v>32</v>
      </c>
      <c r="N440" t="s">
        <v>33</v>
      </c>
      <c r="O440" t="s">
        <v>34</v>
      </c>
      <c r="P440" t="s">
        <v>20</v>
      </c>
      <c r="Q440" t="s">
        <v>20</v>
      </c>
      <c r="R440" t="s">
        <v>10915</v>
      </c>
      <c r="S440" t="s">
        <v>6838</v>
      </c>
    </row>
    <row r="441" spans="1:19" x14ac:dyDescent="0.45">
      <c r="A441" t="s">
        <v>64</v>
      </c>
      <c r="B441" t="s">
        <v>20</v>
      </c>
      <c r="C441" t="s">
        <v>2115</v>
      </c>
      <c r="D441" t="s">
        <v>2116</v>
      </c>
      <c r="E441" t="s">
        <v>38</v>
      </c>
      <c r="F441" t="s">
        <v>20</v>
      </c>
      <c r="G441" t="s">
        <v>23</v>
      </c>
      <c r="H441" t="s">
        <v>12636</v>
      </c>
      <c r="I441" t="s">
        <v>12637</v>
      </c>
      <c r="J441" t="s">
        <v>12638</v>
      </c>
      <c r="K441" t="s">
        <v>12639</v>
      </c>
      <c r="L441" t="s">
        <v>6524</v>
      </c>
      <c r="M441" t="s">
        <v>12431</v>
      </c>
      <c r="N441" t="s">
        <v>33</v>
      </c>
      <c r="O441" t="s">
        <v>34</v>
      </c>
      <c r="P441" t="s">
        <v>20</v>
      </c>
      <c r="Q441" t="s">
        <v>20</v>
      </c>
      <c r="R441" t="s">
        <v>12640</v>
      </c>
      <c r="S441" t="s">
        <v>12641</v>
      </c>
    </row>
    <row r="442" spans="1:19" x14ac:dyDescent="0.45">
      <c r="A442" t="s">
        <v>64</v>
      </c>
      <c r="B442" t="s">
        <v>20</v>
      </c>
      <c r="C442" t="s">
        <v>2115</v>
      </c>
      <c r="D442" t="s">
        <v>2116</v>
      </c>
      <c r="E442" t="s">
        <v>57</v>
      </c>
      <c r="F442" t="s">
        <v>20</v>
      </c>
      <c r="G442" t="s">
        <v>23</v>
      </c>
      <c r="H442" t="s">
        <v>2117</v>
      </c>
      <c r="I442" t="s">
        <v>2118</v>
      </c>
      <c r="J442" t="s">
        <v>2119</v>
      </c>
      <c r="K442" t="s">
        <v>2120</v>
      </c>
      <c r="L442" t="s">
        <v>43</v>
      </c>
      <c r="M442" t="s">
        <v>32</v>
      </c>
      <c r="N442" t="s">
        <v>62</v>
      </c>
      <c r="O442" t="s">
        <v>34</v>
      </c>
      <c r="P442" t="s">
        <v>20</v>
      </c>
      <c r="Q442" t="s">
        <v>20</v>
      </c>
      <c r="R442" t="s">
        <v>2121</v>
      </c>
      <c r="S442" t="s">
        <v>20</v>
      </c>
    </row>
    <row r="443" spans="1:19" x14ac:dyDescent="0.45">
      <c r="A443" t="s">
        <v>511</v>
      </c>
      <c r="B443" t="s">
        <v>20</v>
      </c>
      <c r="C443" t="s">
        <v>6946</v>
      </c>
      <c r="D443" t="s">
        <v>6011</v>
      </c>
      <c r="E443" t="s">
        <v>2487</v>
      </c>
      <c r="F443" t="s">
        <v>20</v>
      </c>
      <c r="G443" t="s">
        <v>23</v>
      </c>
      <c r="H443" t="s">
        <v>8941</v>
      </c>
      <c r="I443" t="s">
        <v>9186</v>
      </c>
      <c r="J443" t="s">
        <v>9187</v>
      </c>
      <c r="K443" t="s">
        <v>9188</v>
      </c>
      <c r="L443" t="s">
        <v>3418</v>
      </c>
      <c r="M443" t="s">
        <v>3105</v>
      </c>
      <c r="N443" t="s">
        <v>62</v>
      </c>
      <c r="O443" t="s">
        <v>34</v>
      </c>
      <c r="P443" t="s">
        <v>20</v>
      </c>
      <c r="Q443" t="s">
        <v>20</v>
      </c>
      <c r="R443" t="s">
        <v>9189</v>
      </c>
      <c r="S443" t="s">
        <v>20</v>
      </c>
    </row>
    <row r="444" spans="1:19" x14ac:dyDescent="0.45">
      <c r="A444" t="s">
        <v>511</v>
      </c>
      <c r="B444" t="s">
        <v>20</v>
      </c>
      <c r="C444" t="s">
        <v>6946</v>
      </c>
      <c r="D444" t="s">
        <v>6011</v>
      </c>
      <c r="E444" t="s">
        <v>57</v>
      </c>
      <c r="F444" t="s">
        <v>20</v>
      </c>
      <c r="G444" t="s">
        <v>23</v>
      </c>
      <c r="H444" t="s">
        <v>8942</v>
      </c>
      <c r="I444" t="s">
        <v>9253</v>
      </c>
      <c r="J444" t="s">
        <v>20</v>
      </c>
      <c r="K444" t="s">
        <v>9254</v>
      </c>
      <c r="L444" t="s">
        <v>7506</v>
      </c>
      <c r="M444" t="s">
        <v>3105</v>
      </c>
      <c r="N444" t="s">
        <v>62</v>
      </c>
      <c r="O444" t="s">
        <v>34</v>
      </c>
      <c r="P444" t="s">
        <v>20</v>
      </c>
      <c r="Q444" t="s">
        <v>20</v>
      </c>
      <c r="R444" t="s">
        <v>20</v>
      </c>
      <c r="S444" t="s">
        <v>20</v>
      </c>
    </row>
    <row r="445" spans="1:19" x14ac:dyDescent="0.45">
      <c r="A445" t="s">
        <v>19</v>
      </c>
      <c r="B445" t="s">
        <v>20</v>
      </c>
      <c r="C445" t="s">
        <v>3883</v>
      </c>
      <c r="D445" t="s">
        <v>3884</v>
      </c>
      <c r="E445" t="s">
        <v>38</v>
      </c>
      <c r="F445" t="s">
        <v>20</v>
      </c>
      <c r="G445" t="s">
        <v>23</v>
      </c>
      <c r="H445" t="s">
        <v>12174</v>
      </c>
      <c r="I445" t="s">
        <v>12175</v>
      </c>
      <c r="J445" t="s">
        <v>12652</v>
      </c>
      <c r="K445" t="s">
        <v>12653</v>
      </c>
      <c r="L445" t="s">
        <v>6524</v>
      </c>
      <c r="M445" t="s">
        <v>12431</v>
      </c>
      <c r="N445" t="s">
        <v>33</v>
      </c>
      <c r="O445" t="s">
        <v>34</v>
      </c>
      <c r="P445" t="s">
        <v>20</v>
      </c>
      <c r="Q445" t="s">
        <v>20</v>
      </c>
      <c r="R445" t="s">
        <v>12654</v>
      </c>
      <c r="S445" t="s">
        <v>12176</v>
      </c>
    </row>
    <row r="446" spans="1:19" x14ac:dyDescent="0.45">
      <c r="A446" t="s">
        <v>79</v>
      </c>
      <c r="B446" t="s">
        <v>20</v>
      </c>
      <c r="C446" t="s">
        <v>1576</v>
      </c>
      <c r="D446" t="s">
        <v>1577</v>
      </c>
      <c r="E446" t="s">
        <v>57</v>
      </c>
      <c r="F446" t="s">
        <v>20</v>
      </c>
      <c r="G446" t="s">
        <v>23</v>
      </c>
      <c r="H446" t="s">
        <v>11415</v>
      </c>
      <c r="I446" t="s">
        <v>11416</v>
      </c>
      <c r="J446" t="s">
        <v>11417</v>
      </c>
      <c r="K446" t="s">
        <v>11418</v>
      </c>
      <c r="L446" t="s">
        <v>3418</v>
      </c>
      <c r="M446" t="s">
        <v>32</v>
      </c>
      <c r="N446" t="s">
        <v>62</v>
      </c>
      <c r="O446" t="s">
        <v>34</v>
      </c>
      <c r="P446" t="s">
        <v>20</v>
      </c>
      <c r="Q446" t="s">
        <v>20</v>
      </c>
      <c r="R446" t="s">
        <v>11419</v>
      </c>
      <c r="S446" t="s">
        <v>20</v>
      </c>
    </row>
    <row r="447" spans="1:19" x14ac:dyDescent="0.45">
      <c r="A447" t="s">
        <v>261</v>
      </c>
      <c r="B447" t="s">
        <v>20</v>
      </c>
      <c r="C447" t="s">
        <v>1462</v>
      </c>
      <c r="D447" t="s">
        <v>1463</v>
      </c>
      <c r="E447" t="s">
        <v>57</v>
      </c>
      <c r="F447" t="s">
        <v>20</v>
      </c>
      <c r="G447" t="s">
        <v>23</v>
      </c>
      <c r="H447" t="s">
        <v>1464</v>
      </c>
      <c r="I447" t="s">
        <v>1465</v>
      </c>
      <c r="J447" t="s">
        <v>1466</v>
      </c>
      <c r="K447" t="s">
        <v>1467</v>
      </c>
      <c r="L447" t="s">
        <v>9619</v>
      </c>
      <c r="M447" t="s">
        <v>32</v>
      </c>
      <c r="N447" t="s">
        <v>62</v>
      </c>
      <c r="O447" t="s">
        <v>34</v>
      </c>
      <c r="P447" t="s">
        <v>20</v>
      </c>
      <c r="Q447" t="s">
        <v>20</v>
      </c>
      <c r="R447" t="s">
        <v>268</v>
      </c>
      <c r="S447" t="s">
        <v>20</v>
      </c>
    </row>
    <row r="448" spans="1:19" x14ac:dyDescent="0.45">
      <c r="A448" t="s">
        <v>211</v>
      </c>
      <c r="B448" t="s">
        <v>20</v>
      </c>
      <c r="C448" t="s">
        <v>1360</v>
      </c>
      <c r="D448" t="s">
        <v>1361</v>
      </c>
      <c r="E448" t="s">
        <v>38</v>
      </c>
      <c r="F448" t="s">
        <v>20</v>
      </c>
      <c r="G448" t="s">
        <v>23</v>
      </c>
      <c r="H448" t="s">
        <v>11668</v>
      </c>
      <c r="I448" t="s">
        <v>11669</v>
      </c>
      <c r="J448" t="s">
        <v>12655</v>
      </c>
      <c r="K448" t="s">
        <v>12656</v>
      </c>
      <c r="L448" t="s">
        <v>6524</v>
      </c>
      <c r="M448" t="s">
        <v>12431</v>
      </c>
      <c r="N448" t="s">
        <v>33</v>
      </c>
      <c r="O448" t="s">
        <v>34</v>
      </c>
      <c r="P448" t="s">
        <v>20</v>
      </c>
      <c r="Q448" t="s">
        <v>20</v>
      </c>
      <c r="R448" t="s">
        <v>12657</v>
      </c>
      <c r="S448" t="s">
        <v>11670</v>
      </c>
    </row>
    <row r="449" spans="1:19" x14ac:dyDescent="0.45">
      <c r="A449" t="s">
        <v>35</v>
      </c>
      <c r="B449" t="s">
        <v>20</v>
      </c>
      <c r="C449" t="s">
        <v>2731</v>
      </c>
      <c r="D449" t="s">
        <v>2732</v>
      </c>
      <c r="E449" t="s">
        <v>57</v>
      </c>
      <c r="F449" t="s">
        <v>20</v>
      </c>
      <c r="G449" t="s">
        <v>23</v>
      </c>
      <c r="H449" t="s">
        <v>10475</v>
      </c>
      <c r="I449" t="s">
        <v>10476</v>
      </c>
      <c r="J449" t="s">
        <v>10477</v>
      </c>
      <c r="K449" t="s">
        <v>10478</v>
      </c>
      <c r="L449" t="s">
        <v>3418</v>
      </c>
      <c r="M449" t="s">
        <v>32</v>
      </c>
      <c r="N449" t="s">
        <v>62</v>
      </c>
      <c r="O449" t="s">
        <v>34</v>
      </c>
      <c r="P449" t="s">
        <v>20</v>
      </c>
      <c r="Q449" t="s">
        <v>20</v>
      </c>
      <c r="R449" t="s">
        <v>10479</v>
      </c>
      <c r="S449" t="s">
        <v>20</v>
      </c>
    </row>
    <row r="450" spans="1:19" x14ac:dyDescent="0.45">
      <c r="A450" t="s">
        <v>869</v>
      </c>
      <c r="B450" t="s">
        <v>20</v>
      </c>
      <c r="C450" t="s">
        <v>2583</v>
      </c>
      <c r="D450" t="s">
        <v>2584</v>
      </c>
      <c r="E450" t="s">
        <v>57</v>
      </c>
      <c r="F450" t="s">
        <v>20</v>
      </c>
      <c r="G450" t="s">
        <v>23</v>
      </c>
      <c r="H450" t="s">
        <v>2585</v>
      </c>
      <c r="I450" t="s">
        <v>2586</v>
      </c>
      <c r="J450" t="s">
        <v>2587</v>
      </c>
      <c r="K450" t="s">
        <v>2588</v>
      </c>
      <c r="L450" t="s">
        <v>43</v>
      </c>
      <c r="M450" t="s">
        <v>32</v>
      </c>
      <c r="N450" t="s">
        <v>62</v>
      </c>
      <c r="O450" t="s">
        <v>34</v>
      </c>
      <c r="P450" t="s">
        <v>20</v>
      </c>
      <c r="Q450" t="s">
        <v>20</v>
      </c>
      <c r="R450" t="s">
        <v>583</v>
      </c>
      <c r="S450" t="s">
        <v>20</v>
      </c>
    </row>
    <row r="451" spans="1:19" x14ac:dyDescent="0.45">
      <c r="A451" t="s">
        <v>869</v>
      </c>
      <c r="B451" t="s">
        <v>20</v>
      </c>
      <c r="C451" t="s">
        <v>2583</v>
      </c>
      <c r="D451" t="s">
        <v>2584</v>
      </c>
      <c r="E451" t="s">
        <v>2487</v>
      </c>
      <c r="F451" t="s">
        <v>20</v>
      </c>
      <c r="G451" t="s">
        <v>23</v>
      </c>
      <c r="H451" t="s">
        <v>7784</v>
      </c>
      <c r="I451" t="s">
        <v>7785</v>
      </c>
      <c r="J451" t="s">
        <v>7786</v>
      </c>
      <c r="K451" t="s">
        <v>7787</v>
      </c>
      <c r="L451" t="s">
        <v>3418</v>
      </c>
      <c r="M451" t="s">
        <v>32</v>
      </c>
      <c r="N451" t="s">
        <v>62</v>
      </c>
      <c r="O451" t="s">
        <v>34</v>
      </c>
      <c r="P451" t="s">
        <v>20</v>
      </c>
      <c r="Q451" t="s">
        <v>20</v>
      </c>
      <c r="R451" t="s">
        <v>7788</v>
      </c>
      <c r="S451" t="s">
        <v>20</v>
      </c>
    </row>
    <row r="452" spans="1:19" x14ac:dyDescent="0.45">
      <c r="A452" t="s">
        <v>511</v>
      </c>
      <c r="B452" t="s">
        <v>20</v>
      </c>
      <c r="C452" t="s">
        <v>7197</v>
      </c>
      <c r="D452" t="s">
        <v>6074</v>
      </c>
      <c r="E452" t="s">
        <v>2487</v>
      </c>
      <c r="F452" t="s">
        <v>20</v>
      </c>
      <c r="G452" t="s">
        <v>23</v>
      </c>
      <c r="H452" t="s">
        <v>8945</v>
      </c>
      <c r="I452" t="s">
        <v>9190</v>
      </c>
      <c r="J452" t="s">
        <v>9191</v>
      </c>
      <c r="K452" t="s">
        <v>9192</v>
      </c>
      <c r="L452" t="s">
        <v>3418</v>
      </c>
      <c r="M452" t="s">
        <v>3105</v>
      </c>
      <c r="N452" t="s">
        <v>62</v>
      </c>
      <c r="O452" t="s">
        <v>34</v>
      </c>
      <c r="P452" t="s">
        <v>20</v>
      </c>
      <c r="Q452" t="s">
        <v>20</v>
      </c>
      <c r="R452" t="s">
        <v>9193</v>
      </c>
      <c r="S452" t="s">
        <v>20</v>
      </c>
    </row>
    <row r="453" spans="1:19" x14ac:dyDescent="0.45">
      <c r="A453" t="s">
        <v>1043</v>
      </c>
      <c r="B453" t="s">
        <v>20</v>
      </c>
      <c r="C453" t="s">
        <v>2954</v>
      </c>
      <c r="D453" t="s">
        <v>2955</v>
      </c>
      <c r="E453" t="s">
        <v>57</v>
      </c>
      <c r="F453" t="s">
        <v>20</v>
      </c>
      <c r="G453" t="s">
        <v>23</v>
      </c>
      <c r="H453" t="s">
        <v>8031</v>
      </c>
      <c r="I453" t="s">
        <v>8032</v>
      </c>
      <c r="J453" t="s">
        <v>8033</v>
      </c>
      <c r="K453" t="s">
        <v>8034</v>
      </c>
      <c r="L453" t="s">
        <v>9155</v>
      </c>
      <c r="M453" t="s">
        <v>438</v>
      </c>
      <c r="N453" t="s">
        <v>62</v>
      </c>
      <c r="O453" t="s">
        <v>34</v>
      </c>
      <c r="P453" t="s">
        <v>20</v>
      </c>
      <c r="Q453" t="s">
        <v>20</v>
      </c>
      <c r="R453" t="s">
        <v>8035</v>
      </c>
      <c r="S453" t="s">
        <v>20</v>
      </c>
    </row>
    <row r="454" spans="1:19" x14ac:dyDescent="0.45">
      <c r="A454" t="s">
        <v>1043</v>
      </c>
      <c r="B454" t="s">
        <v>20</v>
      </c>
      <c r="C454" t="s">
        <v>2954</v>
      </c>
      <c r="D454" t="s">
        <v>2955</v>
      </c>
      <c r="E454" t="s">
        <v>2487</v>
      </c>
      <c r="F454" t="s">
        <v>20</v>
      </c>
      <c r="G454" t="s">
        <v>23</v>
      </c>
      <c r="H454" t="s">
        <v>7424</v>
      </c>
      <c r="I454" t="s">
        <v>7425</v>
      </c>
      <c r="J454" t="s">
        <v>7426</v>
      </c>
      <c r="K454" t="s">
        <v>7427</v>
      </c>
      <c r="L454" t="s">
        <v>3418</v>
      </c>
      <c r="M454" t="s">
        <v>438</v>
      </c>
      <c r="N454" t="s">
        <v>62</v>
      </c>
      <c r="O454" t="s">
        <v>34</v>
      </c>
      <c r="P454" t="s">
        <v>20</v>
      </c>
      <c r="Q454" t="s">
        <v>20</v>
      </c>
      <c r="R454" t="s">
        <v>7428</v>
      </c>
      <c r="S454" t="s">
        <v>20</v>
      </c>
    </row>
    <row r="455" spans="1:19" x14ac:dyDescent="0.45">
      <c r="A455" t="s">
        <v>6977</v>
      </c>
      <c r="B455" t="s">
        <v>20</v>
      </c>
      <c r="C455" t="s">
        <v>7670</v>
      </c>
      <c r="D455" t="s">
        <v>5771</v>
      </c>
      <c r="E455" t="s">
        <v>2487</v>
      </c>
      <c r="F455" t="s">
        <v>20</v>
      </c>
      <c r="G455" t="s">
        <v>23</v>
      </c>
      <c r="H455" t="s">
        <v>7671</v>
      </c>
      <c r="I455" t="s">
        <v>7672</v>
      </c>
      <c r="J455" t="s">
        <v>7673</v>
      </c>
      <c r="K455" t="s">
        <v>7674</v>
      </c>
      <c r="L455" t="s">
        <v>3418</v>
      </c>
      <c r="M455" t="s">
        <v>32</v>
      </c>
      <c r="N455" t="s">
        <v>62</v>
      </c>
      <c r="O455" t="s">
        <v>34</v>
      </c>
      <c r="P455" t="s">
        <v>20</v>
      </c>
      <c r="Q455" t="s">
        <v>20</v>
      </c>
      <c r="R455" t="s">
        <v>7675</v>
      </c>
      <c r="S455" t="s">
        <v>20</v>
      </c>
    </row>
    <row r="456" spans="1:19" x14ac:dyDescent="0.45">
      <c r="A456" t="s">
        <v>6977</v>
      </c>
      <c r="B456" t="s">
        <v>20</v>
      </c>
      <c r="C456" t="s">
        <v>7670</v>
      </c>
      <c r="D456" t="s">
        <v>5771</v>
      </c>
      <c r="E456" t="s">
        <v>57</v>
      </c>
      <c r="F456" t="s">
        <v>20</v>
      </c>
      <c r="G456" t="s">
        <v>23</v>
      </c>
      <c r="H456" t="s">
        <v>9007</v>
      </c>
      <c r="I456" t="s">
        <v>9594</v>
      </c>
      <c r="J456" t="s">
        <v>9595</v>
      </c>
      <c r="K456" t="s">
        <v>9596</v>
      </c>
      <c r="L456" t="s">
        <v>3418</v>
      </c>
      <c r="M456" t="s">
        <v>32</v>
      </c>
      <c r="N456" t="s">
        <v>62</v>
      </c>
      <c r="O456" t="s">
        <v>34</v>
      </c>
      <c r="P456" t="s">
        <v>20</v>
      </c>
      <c r="Q456" t="s">
        <v>20</v>
      </c>
      <c r="R456" t="s">
        <v>9597</v>
      </c>
      <c r="S456" t="s">
        <v>20</v>
      </c>
    </row>
    <row r="457" spans="1:19" x14ac:dyDescent="0.45">
      <c r="A457" t="s">
        <v>592</v>
      </c>
      <c r="B457" t="s">
        <v>20</v>
      </c>
      <c r="C457" t="s">
        <v>1495</v>
      </c>
      <c r="D457" t="s">
        <v>1496</v>
      </c>
      <c r="E457" t="s">
        <v>38</v>
      </c>
      <c r="F457" t="s">
        <v>20</v>
      </c>
      <c r="G457" t="s">
        <v>23</v>
      </c>
      <c r="H457" t="s">
        <v>1497</v>
      </c>
      <c r="I457" t="s">
        <v>9598</v>
      </c>
      <c r="J457" t="s">
        <v>9599</v>
      </c>
      <c r="K457" t="s">
        <v>9600</v>
      </c>
      <c r="L457" t="s">
        <v>6521</v>
      </c>
      <c r="M457" t="s">
        <v>1498</v>
      </c>
      <c r="N457" t="s">
        <v>45</v>
      </c>
      <c r="O457" t="s">
        <v>34</v>
      </c>
      <c r="P457" t="s">
        <v>20</v>
      </c>
      <c r="Q457" t="s">
        <v>20</v>
      </c>
      <c r="R457" t="s">
        <v>9601</v>
      </c>
      <c r="S457" t="s">
        <v>9602</v>
      </c>
    </row>
    <row r="458" spans="1:19" x14ac:dyDescent="0.45">
      <c r="A458" t="s">
        <v>592</v>
      </c>
      <c r="B458" t="s">
        <v>20</v>
      </c>
      <c r="C458" t="s">
        <v>1495</v>
      </c>
      <c r="D458" t="s">
        <v>1496</v>
      </c>
      <c r="E458" t="s">
        <v>38</v>
      </c>
      <c r="F458" t="s">
        <v>20</v>
      </c>
      <c r="G458" t="s">
        <v>23</v>
      </c>
      <c r="H458" t="s">
        <v>9914</v>
      </c>
      <c r="I458" t="s">
        <v>9915</v>
      </c>
      <c r="J458" t="s">
        <v>10765</v>
      </c>
      <c r="K458" t="s">
        <v>10766</v>
      </c>
      <c r="L458" t="s">
        <v>10764</v>
      </c>
      <c r="M458" t="s">
        <v>32</v>
      </c>
      <c r="N458" t="s">
        <v>33</v>
      </c>
      <c r="O458" t="s">
        <v>34</v>
      </c>
      <c r="P458" t="s">
        <v>20</v>
      </c>
      <c r="Q458" t="s">
        <v>20</v>
      </c>
      <c r="R458" t="s">
        <v>10767</v>
      </c>
      <c r="S458" t="s">
        <v>9916</v>
      </c>
    </row>
    <row r="459" spans="1:19" x14ac:dyDescent="0.45">
      <c r="A459" t="s">
        <v>1613</v>
      </c>
      <c r="B459" t="s">
        <v>20</v>
      </c>
      <c r="C459" t="s">
        <v>1990</v>
      </c>
      <c r="D459" t="s">
        <v>1991</v>
      </c>
      <c r="E459" t="s">
        <v>57</v>
      </c>
      <c r="F459" t="s">
        <v>20</v>
      </c>
      <c r="G459" t="s">
        <v>23</v>
      </c>
      <c r="H459" t="s">
        <v>9034</v>
      </c>
      <c r="I459" t="s">
        <v>9082</v>
      </c>
      <c r="J459" t="s">
        <v>9255</v>
      </c>
      <c r="K459" t="s">
        <v>9256</v>
      </c>
      <c r="L459" t="s">
        <v>3418</v>
      </c>
      <c r="M459" t="s">
        <v>6932</v>
      </c>
      <c r="N459" t="s">
        <v>62</v>
      </c>
      <c r="O459" t="s">
        <v>34</v>
      </c>
      <c r="P459" t="s">
        <v>20</v>
      </c>
      <c r="Q459" t="s">
        <v>20</v>
      </c>
      <c r="R459" t="s">
        <v>9257</v>
      </c>
      <c r="S459" t="s">
        <v>20</v>
      </c>
    </row>
    <row r="460" spans="1:19" x14ac:dyDescent="0.45">
      <c r="A460" t="s">
        <v>1613</v>
      </c>
      <c r="B460" t="s">
        <v>20</v>
      </c>
      <c r="C460" t="s">
        <v>1990</v>
      </c>
      <c r="D460" t="s">
        <v>1991</v>
      </c>
      <c r="E460" t="s">
        <v>38</v>
      </c>
      <c r="F460" t="s">
        <v>20</v>
      </c>
      <c r="G460" t="s">
        <v>23</v>
      </c>
      <c r="H460" t="s">
        <v>13242</v>
      </c>
      <c r="I460" t="s">
        <v>13243</v>
      </c>
      <c r="J460" t="s">
        <v>13244</v>
      </c>
      <c r="K460" t="s">
        <v>13245</v>
      </c>
      <c r="L460" t="s">
        <v>3418</v>
      </c>
      <c r="M460" t="s">
        <v>1391</v>
      </c>
      <c r="N460" t="s">
        <v>195</v>
      </c>
      <c r="O460" t="s">
        <v>34</v>
      </c>
      <c r="P460" t="s">
        <v>20</v>
      </c>
      <c r="Q460" t="s">
        <v>20</v>
      </c>
      <c r="R460" t="s">
        <v>13246</v>
      </c>
      <c r="S460" t="s">
        <v>20</v>
      </c>
    </row>
    <row r="461" spans="1:19" x14ac:dyDescent="0.45">
      <c r="A461" t="s">
        <v>1613</v>
      </c>
      <c r="B461" t="s">
        <v>20</v>
      </c>
      <c r="C461" t="s">
        <v>1990</v>
      </c>
      <c r="D461" t="s">
        <v>1991</v>
      </c>
      <c r="E461" t="s">
        <v>38</v>
      </c>
      <c r="F461" t="s">
        <v>20</v>
      </c>
      <c r="G461" t="s">
        <v>23</v>
      </c>
      <c r="H461" t="s">
        <v>1992</v>
      </c>
      <c r="I461" t="s">
        <v>1993</v>
      </c>
      <c r="J461" t="s">
        <v>1994</v>
      </c>
      <c r="K461" t="s">
        <v>624</v>
      </c>
      <c r="L461" t="s">
        <v>31</v>
      </c>
      <c r="M461" t="s">
        <v>32</v>
      </c>
      <c r="N461" t="s">
        <v>33</v>
      </c>
      <c r="O461" t="s">
        <v>34</v>
      </c>
      <c r="P461" t="s">
        <v>20</v>
      </c>
      <c r="Q461" t="s">
        <v>20</v>
      </c>
      <c r="R461" t="s">
        <v>1995</v>
      </c>
      <c r="S461" t="s">
        <v>1996</v>
      </c>
    </row>
    <row r="462" spans="1:19" x14ac:dyDescent="0.45">
      <c r="A462" t="s">
        <v>6989</v>
      </c>
      <c r="B462" t="s">
        <v>20</v>
      </c>
      <c r="C462" t="s">
        <v>223</v>
      </c>
      <c r="D462" t="s">
        <v>224</v>
      </c>
      <c r="E462" t="s">
        <v>38</v>
      </c>
      <c r="F462" t="s">
        <v>20</v>
      </c>
      <c r="G462" t="s">
        <v>23</v>
      </c>
      <c r="H462" t="s">
        <v>225</v>
      </c>
      <c r="I462" t="s">
        <v>226</v>
      </c>
      <c r="J462" t="s">
        <v>227</v>
      </c>
      <c r="K462" t="s">
        <v>228</v>
      </c>
      <c r="L462" t="s">
        <v>31</v>
      </c>
      <c r="M462" t="s">
        <v>32</v>
      </c>
      <c r="N462" t="s">
        <v>33</v>
      </c>
      <c r="O462" t="s">
        <v>34</v>
      </c>
      <c r="P462" t="s">
        <v>20</v>
      </c>
      <c r="Q462" t="s">
        <v>20</v>
      </c>
      <c r="R462" t="s">
        <v>229</v>
      </c>
      <c r="S462" t="s">
        <v>230</v>
      </c>
    </row>
    <row r="463" spans="1:19" x14ac:dyDescent="0.45">
      <c r="A463" t="s">
        <v>6989</v>
      </c>
      <c r="B463" t="s">
        <v>20</v>
      </c>
      <c r="C463" t="s">
        <v>223</v>
      </c>
      <c r="D463" t="s">
        <v>224</v>
      </c>
      <c r="E463" t="s">
        <v>57</v>
      </c>
      <c r="F463" t="s">
        <v>20</v>
      </c>
      <c r="G463" t="s">
        <v>23</v>
      </c>
      <c r="H463" t="s">
        <v>1023</v>
      </c>
      <c r="I463" t="s">
        <v>1024</v>
      </c>
      <c r="J463" t="s">
        <v>1025</v>
      </c>
      <c r="K463" t="s">
        <v>1026</v>
      </c>
      <c r="L463" t="s">
        <v>43</v>
      </c>
      <c r="M463" t="s">
        <v>32</v>
      </c>
      <c r="N463" t="s">
        <v>62</v>
      </c>
      <c r="O463" t="s">
        <v>34</v>
      </c>
      <c r="P463" t="s">
        <v>20</v>
      </c>
      <c r="Q463" t="s">
        <v>20</v>
      </c>
      <c r="R463" t="s">
        <v>856</v>
      </c>
      <c r="S463" t="s">
        <v>20</v>
      </c>
    </row>
    <row r="464" spans="1:19" x14ac:dyDescent="0.45">
      <c r="A464" t="s">
        <v>120</v>
      </c>
      <c r="B464" t="s">
        <v>20</v>
      </c>
      <c r="C464" t="s">
        <v>1115</v>
      </c>
      <c r="D464" t="s">
        <v>1116</v>
      </c>
      <c r="E464" t="s">
        <v>57</v>
      </c>
      <c r="F464" t="s">
        <v>20</v>
      </c>
      <c r="G464" t="s">
        <v>23</v>
      </c>
      <c r="H464" t="s">
        <v>11583</v>
      </c>
      <c r="I464" t="s">
        <v>11584</v>
      </c>
      <c r="J464" t="s">
        <v>11585</v>
      </c>
      <c r="K464" t="s">
        <v>11586</v>
      </c>
      <c r="L464" t="s">
        <v>3418</v>
      </c>
      <c r="M464" t="s">
        <v>32</v>
      </c>
      <c r="N464" t="s">
        <v>62</v>
      </c>
      <c r="O464" t="s">
        <v>34</v>
      </c>
      <c r="P464" t="s">
        <v>20</v>
      </c>
      <c r="Q464" t="s">
        <v>20</v>
      </c>
      <c r="R464" t="s">
        <v>11587</v>
      </c>
      <c r="S464" t="s">
        <v>20</v>
      </c>
    </row>
    <row r="465" spans="1:19" x14ac:dyDescent="0.45">
      <c r="A465" t="s">
        <v>261</v>
      </c>
      <c r="B465" t="s">
        <v>20</v>
      </c>
      <c r="C465" t="s">
        <v>1348</v>
      </c>
      <c r="D465" t="s">
        <v>1349</v>
      </c>
      <c r="E465" t="s">
        <v>29</v>
      </c>
      <c r="F465" t="s">
        <v>20</v>
      </c>
      <c r="G465" t="s">
        <v>23</v>
      </c>
      <c r="H465" t="s">
        <v>1350</v>
      </c>
      <c r="I465" t="s">
        <v>1351</v>
      </c>
      <c r="J465" t="s">
        <v>1352</v>
      </c>
      <c r="K465" t="s">
        <v>1052</v>
      </c>
      <c r="L465" t="s">
        <v>31</v>
      </c>
      <c r="M465" t="s">
        <v>32</v>
      </c>
      <c r="N465" t="s">
        <v>33</v>
      </c>
      <c r="O465" t="s">
        <v>34</v>
      </c>
      <c r="P465" t="s">
        <v>20</v>
      </c>
      <c r="Q465" t="s">
        <v>20</v>
      </c>
      <c r="R465" t="s">
        <v>1353</v>
      </c>
      <c r="S465" t="s">
        <v>20</v>
      </c>
    </row>
    <row r="466" spans="1:19" x14ac:dyDescent="0.45">
      <c r="A466" t="s">
        <v>706</v>
      </c>
      <c r="B466" t="s">
        <v>20</v>
      </c>
      <c r="C466" t="s">
        <v>707</v>
      </c>
      <c r="D466" t="s">
        <v>708</v>
      </c>
      <c r="E466" t="s">
        <v>57</v>
      </c>
      <c r="F466" t="s">
        <v>20</v>
      </c>
      <c r="G466" t="s">
        <v>23</v>
      </c>
      <c r="H466" t="s">
        <v>7041</v>
      </c>
      <c r="I466" t="s">
        <v>7042</v>
      </c>
      <c r="J466" t="s">
        <v>7043</v>
      </c>
      <c r="K466" t="s">
        <v>7044</v>
      </c>
      <c r="L466" t="s">
        <v>2769</v>
      </c>
      <c r="M466" t="s">
        <v>32</v>
      </c>
      <c r="N466" t="s">
        <v>62</v>
      </c>
      <c r="O466" t="s">
        <v>34</v>
      </c>
      <c r="P466" t="s">
        <v>20</v>
      </c>
      <c r="Q466" t="s">
        <v>20</v>
      </c>
      <c r="R466" t="s">
        <v>6988</v>
      </c>
      <c r="S466" t="s">
        <v>20</v>
      </c>
    </row>
    <row r="467" spans="1:19" x14ac:dyDescent="0.45">
      <c r="A467" t="s">
        <v>706</v>
      </c>
      <c r="B467" t="s">
        <v>20</v>
      </c>
      <c r="C467" t="s">
        <v>707</v>
      </c>
      <c r="D467" t="s">
        <v>708</v>
      </c>
      <c r="E467" t="s">
        <v>38</v>
      </c>
      <c r="F467" t="s">
        <v>20</v>
      </c>
      <c r="G467" t="s">
        <v>23</v>
      </c>
      <c r="H467" t="s">
        <v>6844</v>
      </c>
      <c r="I467" t="s">
        <v>6845</v>
      </c>
      <c r="J467" t="s">
        <v>10959</v>
      </c>
      <c r="K467" t="s">
        <v>10960</v>
      </c>
      <c r="L467" t="s">
        <v>8094</v>
      </c>
      <c r="M467" t="s">
        <v>32</v>
      </c>
      <c r="N467" t="s">
        <v>33</v>
      </c>
      <c r="O467" t="s">
        <v>34</v>
      </c>
      <c r="P467" t="s">
        <v>20</v>
      </c>
      <c r="Q467" t="s">
        <v>20</v>
      </c>
      <c r="R467" t="s">
        <v>10961</v>
      </c>
      <c r="S467" t="s">
        <v>6846</v>
      </c>
    </row>
    <row r="468" spans="1:19" x14ac:dyDescent="0.45">
      <c r="A468" t="s">
        <v>706</v>
      </c>
      <c r="B468" t="s">
        <v>20</v>
      </c>
      <c r="C468" t="s">
        <v>707</v>
      </c>
      <c r="D468" t="s">
        <v>708</v>
      </c>
      <c r="E468" t="s">
        <v>38</v>
      </c>
      <c r="F468" t="s">
        <v>20</v>
      </c>
      <c r="G468" t="s">
        <v>23</v>
      </c>
      <c r="H468" t="s">
        <v>1159</v>
      </c>
      <c r="I468" t="s">
        <v>1160</v>
      </c>
      <c r="J468" t="s">
        <v>1161</v>
      </c>
      <c r="K468" t="s">
        <v>1162</v>
      </c>
      <c r="L468" t="s">
        <v>6523</v>
      </c>
      <c r="M468" t="s">
        <v>136</v>
      </c>
      <c r="N468" t="s">
        <v>62</v>
      </c>
      <c r="O468" t="s">
        <v>34</v>
      </c>
      <c r="P468" t="s">
        <v>20</v>
      </c>
      <c r="Q468" t="s">
        <v>20</v>
      </c>
      <c r="R468" t="s">
        <v>1163</v>
      </c>
      <c r="S468" t="s">
        <v>20</v>
      </c>
    </row>
    <row r="469" spans="1:19" x14ac:dyDescent="0.45">
      <c r="A469" t="s">
        <v>4482</v>
      </c>
      <c r="B469" t="s">
        <v>20</v>
      </c>
      <c r="C469" t="s">
        <v>7164</v>
      </c>
      <c r="D469" t="s">
        <v>5438</v>
      </c>
      <c r="E469" t="s">
        <v>57</v>
      </c>
      <c r="F469" t="s">
        <v>20</v>
      </c>
      <c r="G469" t="s">
        <v>23</v>
      </c>
      <c r="H469" t="s">
        <v>7165</v>
      </c>
      <c r="I469" t="s">
        <v>7166</v>
      </c>
      <c r="J469" t="s">
        <v>7167</v>
      </c>
      <c r="K469" t="s">
        <v>7168</v>
      </c>
      <c r="L469" t="s">
        <v>2769</v>
      </c>
      <c r="M469" t="s">
        <v>102</v>
      </c>
      <c r="N469" t="s">
        <v>62</v>
      </c>
      <c r="O469" t="s">
        <v>34</v>
      </c>
      <c r="P469" t="s">
        <v>20</v>
      </c>
      <c r="Q469" t="s">
        <v>20</v>
      </c>
      <c r="R469" t="s">
        <v>7169</v>
      </c>
      <c r="S469" t="s">
        <v>20</v>
      </c>
    </row>
    <row r="470" spans="1:19" x14ac:dyDescent="0.45">
      <c r="A470" t="s">
        <v>413</v>
      </c>
      <c r="B470" t="s">
        <v>20</v>
      </c>
      <c r="C470" t="s">
        <v>615</v>
      </c>
      <c r="D470" t="s">
        <v>616</v>
      </c>
      <c r="E470" t="s">
        <v>38</v>
      </c>
      <c r="F470" t="s">
        <v>20</v>
      </c>
      <c r="G470" t="s">
        <v>23</v>
      </c>
      <c r="H470" t="s">
        <v>617</v>
      </c>
      <c r="I470" t="s">
        <v>618</v>
      </c>
      <c r="J470" t="s">
        <v>619</v>
      </c>
      <c r="K470" t="s">
        <v>620</v>
      </c>
      <c r="L470" t="s">
        <v>194</v>
      </c>
      <c r="M470" t="s">
        <v>112</v>
      </c>
      <c r="N470" t="s">
        <v>119</v>
      </c>
      <c r="O470" t="s">
        <v>34</v>
      </c>
      <c r="P470" t="s">
        <v>20</v>
      </c>
      <c r="Q470" t="s">
        <v>20</v>
      </c>
      <c r="R470" t="s">
        <v>621</v>
      </c>
      <c r="S470" t="s">
        <v>20</v>
      </c>
    </row>
    <row r="471" spans="1:19" x14ac:dyDescent="0.45">
      <c r="A471" t="s">
        <v>239</v>
      </c>
      <c r="B471" t="s">
        <v>20</v>
      </c>
      <c r="C471" t="s">
        <v>240</v>
      </c>
      <c r="D471" t="s">
        <v>241</v>
      </c>
      <c r="E471" t="s">
        <v>29</v>
      </c>
      <c r="F471" t="s">
        <v>20</v>
      </c>
      <c r="G471" t="s">
        <v>23</v>
      </c>
      <c r="H471" t="s">
        <v>242</v>
      </c>
      <c r="I471" t="s">
        <v>243</v>
      </c>
      <c r="J471" t="s">
        <v>244</v>
      </c>
      <c r="K471" t="s">
        <v>245</v>
      </c>
      <c r="L471" t="s">
        <v>3418</v>
      </c>
      <c r="M471" t="s">
        <v>32</v>
      </c>
      <c r="N471" t="s">
        <v>33</v>
      </c>
      <c r="O471" t="s">
        <v>34</v>
      </c>
      <c r="P471" t="s">
        <v>20</v>
      </c>
      <c r="Q471" t="s">
        <v>20</v>
      </c>
      <c r="R471" t="s">
        <v>9195</v>
      </c>
      <c r="S471" t="s">
        <v>20</v>
      </c>
    </row>
    <row r="472" spans="1:19" x14ac:dyDescent="0.45">
      <c r="A472" t="s">
        <v>592</v>
      </c>
      <c r="B472" t="s">
        <v>20</v>
      </c>
      <c r="C472" t="s">
        <v>3416</v>
      </c>
      <c r="D472" t="s">
        <v>3417</v>
      </c>
      <c r="E472" t="s">
        <v>29</v>
      </c>
      <c r="F472" t="s">
        <v>20</v>
      </c>
      <c r="G472" t="s">
        <v>23</v>
      </c>
      <c r="H472" t="s">
        <v>10519</v>
      </c>
      <c r="I472" t="s">
        <v>10520</v>
      </c>
      <c r="J472" t="s">
        <v>10521</v>
      </c>
      <c r="K472" t="s">
        <v>10522</v>
      </c>
      <c r="L472" t="s">
        <v>3418</v>
      </c>
      <c r="M472" t="s">
        <v>44</v>
      </c>
      <c r="N472" t="s">
        <v>62</v>
      </c>
      <c r="O472" t="s">
        <v>34</v>
      </c>
      <c r="P472" t="s">
        <v>20</v>
      </c>
      <c r="Q472" t="s">
        <v>20</v>
      </c>
      <c r="R472" t="s">
        <v>10523</v>
      </c>
      <c r="S472" t="s">
        <v>20</v>
      </c>
    </row>
    <row r="473" spans="1:19" x14ac:dyDescent="0.45">
      <c r="A473" t="s">
        <v>777</v>
      </c>
      <c r="B473" t="s">
        <v>20</v>
      </c>
      <c r="C473" t="s">
        <v>4330</v>
      </c>
      <c r="D473" t="s">
        <v>4331</v>
      </c>
      <c r="E473" t="s">
        <v>57</v>
      </c>
      <c r="F473" t="s">
        <v>20</v>
      </c>
      <c r="G473" t="s">
        <v>23</v>
      </c>
      <c r="H473" t="s">
        <v>11318</v>
      </c>
      <c r="I473" t="s">
        <v>11319</v>
      </c>
      <c r="J473" t="s">
        <v>11320</v>
      </c>
      <c r="K473" t="s">
        <v>11321</v>
      </c>
      <c r="L473" t="s">
        <v>3418</v>
      </c>
      <c r="M473" t="s">
        <v>32</v>
      </c>
      <c r="N473" t="s">
        <v>62</v>
      </c>
      <c r="O473" t="s">
        <v>34</v>
      </c>
      <c r="P473" t="s">
        <v>20</v>
      </c>
      <c r="Q473" t="s">
        <v>20</v>
      </c>
      <c r="R473" t="s">
        <v>11322</v>
      </c>
      <c r="S473" t="s">
        <v>20</v>
      </c>
    </row>
    <row r="474" spans="1:19" x14ac:dyDescent="0.45">
      <c r="A474" t="s">
        <v>2432</v>
      </c>
      <c r="B474" t="s">
        <v>20</v>
      </c>
      <c r="C474" t="s">
        <v>13209</v>
      </c>
      <c r="D474" t="s">
        <v>6352</v>
      </c>
      <c r="E474" t="s">
        <v>38</v>
      </c>
      <c r="F474" t="s">
        <v>20</v>
      </c>
      <c r="G474" t="s">
        <v>23</v>
      </c>
      <c r="H474" t="s">
        <v>13210</v>
      </c>
      <c r="I474" t="s">
        <v>13211</v>
      </c>
      <c r="J474" t="s">
        <v>13212</v>
      </c>
      <c r="K474" t="s">
        <v>13213</v>
      </c>
      <c r="L474" t="s">
        <v>6533</v>
      </c>
      <c r="M474" t="s">
        <v>9461</v>
      </c>
      <c r="N474" t="s">
        <v>195</v>
      </c>
      <c r="O474" t="s">
        <v>34</v>
      </c>
      <c r="P474" t="s">
        <v>20</v>
      </c>
      <c r="Q474" t="s">
        <v>20</v>
      </c>
      <c r="R474" t="s">
        <v>13214</v>
      </c>
      <c r="S474" t="s">
        <v>20</v>
      </c>
    </row>
    <row r="475" spans="1:19" x14ac:dyDescent="0.45">
      <c r="A475" t="s">
        <v>869</v>
      </c>
      <c r="B475" t="s">
        <v>20</v>
      </c>
      <c r="C475" t="s">
        <v>1126</v>
      </c>
      <c r="D475" t="s">
        <v>1127</v>
      </c>
      <c r="E475" t="s">
        <v>38</v>
      </c>
      <c r="F475" t="s">
        <v>20</v>
      </c>
      <c r="G475" t="s">
        <v>23</v>
      </c>
      <c r="H475" t="s">
        <v>12661</v>
      </c>
      <c r="I475" t="s">
        <v>12662</v>
      </c>
      <c r="J475" t="s">
        <v>12663</v>
      </c>
      <c r="K475" t="s">
        <v>12664</v>
      </c>
      <c r="L475" t="s">
        <v>6524</v>
      </c>
      <c r="M475" t="s">
        <v>12431</v>
      </c>
      <c r="N475" t="s">
        <v>33</v>
      </c>
      <c r="O475" t="s">
        <v>34</v>
      </c>
      <c r="P475" t="s">
        <v>20</v>
      </c>
      <c r="Q475" t="s">
        <v>20</v>
      </c>
      <c r="R475" t="s">
        <v>12665</v>
      </c>
      <c r="S475" t="s">
        <v>12666</v>
      </c>
    </row>
    <row r="476" spans="1:19" x14ac:dyDescent="0.45">
      <c r="A476" t="s">
        <v>869</v>
      </c>
      <c r="B476" t="s">
        <v>20</v>
      </c>
      <c r="C476" t="s">
        <v>1126</v>
      </c>
      <c r="D476" t="s">
        <v>1127</v>
      </c>
      <c r="E476" t="s">
        <v>2487</v>
      </c>
      <c r="F476" t="s">
        <v>20</v>
      </c>
      <c r="G476" t="s">
        <v>23</v>
      </c>
      <c r="H476" t="s">
        <v>7123</v>
      </c>
      <c r="I476" t="s">
        <v>7124</v>
      </c>
      <c r="J476" t="s">
        <v>7125</v>
      </c>
      <c r="K476" t="s">
        <v>7126</v>
      </c>
      <c r="L476" t="s">
        <v>3418</v>
      </c>
      <c r="M476" t="s">
        <v>32</v>
      </c>
      <c r="N476" t="s">
        <v>62</v>
      </c>
      <c r="O476" t="s">
        <v>34</v>
      </c>
      <c r="P476" t="s">
        <v>20</v>
      </c>
      <c r="Q476" t="s">
        <v>20</v>
      </c>
      <c r="R476" t="s">
        <v>7127</v>
      </c>
      <c r="S476" t="s">
        <v>20</v>
      </c>
    </row>
    <row r="477" spans="1:19" x14ac:dyDescent="0.45">
      <c r="A477" t="s">
        <v>869</v>
      </c>
      <c r="B477" t="s">
        <v>20</v>
      </c>
      <c r="C477" t="s">
        <v>1126</v>
      </c>
      <c r="D477" t="s">
        <v>1127</v>
      </c>
      <c r="E477" t="s">
        <v>38</v>
      </c>
      <c r="F477" t="s">
        <v>20</v>
      </c>
      <c r="G477" t="s">
        <v>23</v>
      </c>
      <c r="H477" t="s">
        <v>9550</v>
      </c>
      <c r="I477" t="s">
        <v>9569</v>
      </c>
      <c r="J477" t="s">
        <v>11114</v>
      </c>
      <c r="K477" t="s">
        <v>10875</v>
      </c>
      <c r="L477" t="s">
        <v>3998</v>
      </c>
      <c r="M477" t="s">
        <v>32</v>
      </c>
      <c r="N477" t="s">
        <v>33</v>
      </c>
      <c r="O477" t="s">
        <v>34</v>
      </c>
      <c r="P477" t="s">
        <v>20</v>
      </c>
      <c r="Q477" t="s">
        <v>20</v>
      </c>
      <c r="R477" t="s">
        <v>11115</v>
      </c>
      <c r="S477" t="s">
        <v>20</v>
      </c>
    </row>
    <row r="478" spans="1:19" x14ac:dyDescent="0.45">
      <c r="A478" t="s">
        <v>231</v>
      </c>
      <c r="B478" t="s">
        <v>20</v>
      </c>
      <c r="C478" t="s">
        <v>1298</v>
      </c>
      <c r="D478" t="s">
        <v>1299</v>
      </c>
      <c r="E478" t="s">
        <v>57</v>
      </c>
      <c r="F478" t="s">
        <v>20</v>
      </c>
      <c r="G478" t="s">
        <v>23</v>
      </c>
      <c r="H478" t="s">
        <v>11593</v>
      </c>
      <c r="I478" t="s">
        <v>11594</v>
      </c>
      <c r="J478" t="s">
        <v>11595</v>
      </c>
      <c r="K478" t="s">
        <v>11596</v>
      </c>
      <c r="L478" t="s">
        <v>3418</v>
      </c>
      <c r="M478" t="s">
        <v>32</v>
      </c>
      <c r="N478" t="s">
        <v>62</v>
      </c>
      <c r="O478" t="s">
        <v>34</v>
      </c>
      <c r="P478" t="s">
        <v>20</v>
      </c>
      <c r="Q478" t="s">
        <v>20</v>
      </c>
      <c r="R478" t="s">
        <v>11597</v>
      </c>
      <c r="S478" t="s">
        <v>20</v>
      </c>
    </row>
    <row r="479" spans="1:19" x14ac:dyDescent="0.45">
      <c r="A479" t="s">
        <v>231</v>
      </c>
      <c r="B479" t="s">
        <v>20</v>
      </c>
      <c r="C479" t="s">
        <v>1298</v>
      </c>
      <c r="D479" t="s">
        <v>1299</v>
      </c>
      <c r="E479" t="s">
        <v>38</v>
      </c>
      <c r="F479" t="s">
        <v>20</v>
      </c>
      <c r="G479" t="s">
        <v>23</v>
      </c>
      <c r="H479" t="s">
        <v>1300</v>
      </c>
      <c r="I479" t="s">
        <v>1301</v>
      </c>
      <c r="J479" t="s">
        <v>1302</v>
      </c>
      <c r="K479" t="s">
        <v>815</v>
      </c>
      <c r="L479" t="s">
        <v>31</v>
      </c>
      <c r="M479" t="s">
        <v>32</v>
      </c>
      <c r="N479" t="s">
        <v>33</v>
      </c>
      <c r="O479" t="s">
        <v>34</v>
      </c>
      <c r="P479" t="s">
        <v>20</v>
      </c>
      <c r="Q479" t="s">
        <v>20</v>
      </c>
      <c r="R479" t="s">
        <v>1303</v>
      </c>
      <c r="S479" t="s">
        <v>20</v>
      </c>
    </row>
    <row r="480" spans="1:19" x14ac:dyDescent="0.45">
      <c r="A480" t="s">
        <v>572</v>
      </c>
      <c r="B480" t="s">
        <v>20</v>
      </c>
      <c r="C480" t="s">
        <v>3565</v>
      </c>
      <c r="D480" t="s">
        <v>3566</v>
      </c>
      <c r="E480" t="s">
        <v>29</v>
      </c>
      <c r="F480" t="s">
        <v>20</v>
      </c>
      <c r="G480" t="s">
        <v>23</v>
      </c>
      <c r="H480" t="s">
        <v>11834</v>
      </c>
      <c r="I480" t="s">
        <v>12227</v>
      </c>
      <c r="J480" t="s">
        <v>11835</v>
      </c>
      <c r="K480" t="s">
        <v>11836</v>
      </c>
      <c r="L480" t="s">
        <v>3998</v>
      </c>
      <c r="M480" t="s">
        <v>32</v>
      </c>
      <c r="N480" t="s">
        <v>45</v>
      </c>
      <c r="O480" t="s">
        <v>34</v>
      </c>
      <c r="P480" t="s">
        <v>6524</v>
      </c>
      <c r="Q480" t="s">
        <v>20</v>
      </c>
      <c r="R480" t="s">
        <v>11837</v>
      </c>
      <c r="S480" t="s">
        <v>11838</v>
      </c>
    </row>
    <row r="481" spans="1:19" x14ac:dyDescent="0.45">
      <c r="A481" t="s">
        <v>139</v>
      </c>
      <c r="B481" t="s">
        <v>20</v>
      </c>
      <c r="C481" t="s">
        <v>2208</v>
      </c>
      <c r="D481" t="s">
        <v>2209</v>
      </c>
      <c r="E481" t="s">
        <v>57</v>
      </c>
      <c r="F481" t="s">
        <v>20</v>
      </c>
      <c r="G481" t="s">
        <v>23</v>
      </c>
      <c r="H481" t="s">
        <v>2210</v>
      </c>
      <c r="I481" t="s">
        <v>2211</v>
      </c>
      <c r="J481" t="s">
        <v>2212</v>
      </c>
      <c r="K481" t="s">
        <v>2213</v>
      </c>
      <c r="L481" t="s">
        <v>3418</v>
      </c>
      <c r="M481" t="s">
        <v>32</v>
      </c>
      <c r="N481" t="s">
        <v>62</v>
      </c>
      <c r="O481" t="s">
        <v>34</v>
      </c>
      <c r="P481" t="s">
        <v>20</v>
      </c>
      <c r="Q481" t="s">
        <v>20</v>
      </c>
      <c r="R481" t="s">
        <v>583</v>
      </c>
      <c r="S481" t="s">
        <v>20</v>
      </c>
    </row>
    <row r="482" spans="1:19" x14ac:dyDescent="0.45">
      <c r="A482" t="s">
        <v>139</v>
      </c>
      <c r="B482" t="s">
        <v>20</v>
      </c>
      <c r="C482" t="s">
        <v>2208</v>
      </c>
      <c r="D482" t="s">
        <v>2209</v>
      </c>
      <c r="E482" t="s">
        <v>2487</v>
      </c>
      <c r="F482" t="s">
        <v>20</v>
      </c>
      <c r="G482" t="s">
        <v>23</v>
      </c>
      <c r="H482" t="s">
        <v>7685</v>
      </c>
      <c r="I482" t="s">
        <v>7686</v>
      </c>
      <c r="J482" t="s">
        <v>7687</v>
      </c>
      <c r="K482" t="s">
        <v>7688</v>
      </c>
      <c r="L482" t="s">
        <v>3418</v>
      </c>
      <c r="M482" t="s">
        <v>32</v>
      </c>
      <c r="N482" t="s">
        <v>62</v>
      </c>
      <c r="O482" t="s">
        <v>34</v>
      </c>
      <c r="P482" t="s">
        <v>20</v>
      </c>
      <c r="Q482" t="s">
        <v>20</v>
      </c>
      <c r="R482" t="s">
        <v>7689</v>
      </c>
      <c r="S482" t="s">
        <v>20</v>
      </c>
    </row>
    <row r="483" spans="1:19" x14ac:dyDescent="0.45">
      <c r="A483" t="s">
        <v>64</v>
      </c>
      <c r="B483" t="s">
        <v>20</v>
      </c>
      <c r="C483" t="s">
        <v>622</v>
      </c>
      <c r="D483" t="s">
        <v>623</v>
      </c>
      <c r="E483" t="s">
        <v>38</v>
      </c>
      <c r="F483" t="s">
        <v>20</v>
      </c>
      <c r="G483" t="s">
        <v>23</v>
      </c>
      <c r="H483" t="s">
        <v>11240</v>
      </c>
      <c r="I483" t="s">
        <v>11241</v>
      </c>
      <c r="J483" t="s">
        <v>20</v>
      </c>
      <c r="K483" t="s">
        <v>12801</v>
      </c>
      <c r="L483" t="s">
        <v>6524</v>
      </c>
      <c r="M483" t="s">
        <v>12431</v>
      </c>
      <c r="N483" t="s">
        <v>33</v>
      </c>
      <c r="O483" t="s">
        <v>34</v>
      </c>
      <c r="P483" t="s">
        <v>20</v>
      </c>
      <c r="Q483" t="s">
        <v>20</v>
      </c>
      <c r="R483" t="s">
        <v>20</v>
      </c>
      <c r="S483" t="s">
        <v>11243</v>
      </c>
    </row>
    <row r="484" spans="1:19" x14ac:dyDescent="0.45">
      <c r="A484" t="s">
        <v>64</v>
      </c>
      <c r="B484" t="s">
        <v>20</v>
      </c>
      <c r="C484" t="s">
        <v>622</v>
      </c>
      <c r="D484" t="s">
        <v>623</v>
      </c>
      <c r="E484" t="s">
        <v>57</v>
      </c>
      <c r="F484" t="s">
        <v>20</v>
      </c>
      <c r="G484" t="s">
        <v>23</v>
      </c>
      <c r="H484" t="s">
        <v>2696</v>
      </c>
      <c r="I484" t="s">
        <v>2697</v>
      </c>
      <c r="J484" t="s">
        <v>2698</v>
      </c>
      <c r="K484" t="s">
        <v>2699</v>
      </c>
      <c r="L484" t="s">
        <v>43</v>
      </c>
      <c r="M484" t="s">
        <v>32</v>
      </c>
      <c r="N484" t="s">
        <v>62</v>
      </c>
      <c r="O484" t="s">
        <v>34</v>
      </c>
      <c r="P484" t="s">
        <v>20</v>
      </c>
      <c r="Q484" t="s">
        <v>20</v>
      </c>
      <c r="R484" t="s">
        <v>154</v>
      </c>
      <c r="S484" t="s">
        <v>20</v>
      </c>
    </row>
    <row r="485" spans="1:19" x14ac:dyDescent="0.45">
      <c r="A485" t="s">
        <v>173</v>
      </c>
      <c r="B485" t="s">
        <v>20</v>
      </c>
      <c r="C485" t="s">
        <v>351</v>
      </c>
      <c r="D485" t="s">
        <v>352</v>
      </c>
      <c r="E485" t="s">
        <v>38</v>
      </c>
      <c r="F485" t="s">
        <v>20</v>
      </c>
      <c r="G485" t="s">
        <v>23</v>
      </c>
      <c r="H485" t="s">
        <v>353</v>
      </c>
      <c r="I485" t="s">
        <v>354</v>
      </c>
      <c r="J485" t="s">
        <v>355</v>
      </c>
      <c r="K485" t="s">
        <v>356</v>
      </c>
      <c r="L485" t="s">
        <v>6523</v>
      </c>
      <c r="M485" t="s">
        <v>102</v>
      </c>
      <c r="N485" t="s">
        <v>210</v>
      </c>
      <c r="O485" t="s">
        <v>34</v>
      </c>
      <c r="P485" t="s">
        <v>20</v>
      </c>
      <c r="Q485" t="s">
        <v>20</v>
      </c>
      <c r="R485" t="s">
        <v>357</v>
      </c>
      <c r="S485" t="s">
        <v>20</v>
      </c>
    </row>
    <row r="486" spans="1:19" x14ac:dyDescent="0.45">
      <c r="A486" t="s">
        <v>173</v>
      </c>
      <c r="B486" t="s">
        <v>20</v>
      </c>
      <c r="C486" t="s">
        <v>351</v>
      </c>
      <c r="D486" t="s">
        <v>352</v>
      </c>
      <c r="E486" t="s">
        <v>38</v>
      </c>
      <c r="F486" t="s">
        <v>20</v>
      </c>
      <c r="G486" t="s">
        <v>23</v>
      </c>
      <c r="H486" t="s">
        <v>1490</v>
      </c>
      <c r="I486" t="s">
        <v>1491</v>
      </c>
      <c r="J486" t="s">
        <v>1492</v>
      </c>
      <c r="K486" t="s">
        <v>1493</v>
      </c>
      <c r="L486" t="s">
        <v>6513</v>
      </c>
      <c r="M486" t="s">
        <v>102</v>
      </c>
      <c r="N486" t="s">
        <v>62</v>
      </c>
      <c r="O486" t="s">
        <v>34</v>
      </c>
      <c r="P486" t="s">
        <v>20</v>
      </c>
      <c r="Q486" t="s">
        <v>20</v>
      </c>
      <c r="R486" t="s">
        <v>1494</v>
      </c>
      <c r="S486" t="s">
        <v>20</v>
      </c>
    </row>
    <row r="487" spans="1:19" x14ac:dyDescent="0.45">
      <c r="A487" t="s">
        <v>173</v>
      </c>
      <c r="B487" t="s">
        <v>20</v>
      </c>
      <c r="C487" t="s">
        <v>351</v>
      </c>
      <c r="D487" t="s">
        <v>352</v>
      </c>
      <c r="E487" t="s">
        <v>57</v>
      </c>
      <c r="F487" t="s">
        <v>20</v>
      </c>
      <c r="G487" t="s">
        <v>23</v>
      </c>
      <c r="H487" t="s">
        <v>7486</v>
      </c>
      <c r="I487" t="s">
        <v>7487</v>
      </c>
      <c r="J487" t="s">
        <v>7488</v>
      </c>
      <c r="K487" t="s">
        <v>7489</v>
      </c>
      <c r="L487" t="s">
        <v>2769</v>
      </c>
      <c r="M487" t="s">
        <v>102</v>
      </c>
      <c r="N487" t="s">
        <v>62</v>
      </c>
      <c r="O487" t="s">
        <v>34</v>
      </c>
      <c r="P487" t="s">
        <v>20</v>
      </c>
      <c r="Q487" t="s">
        <v>20</v>
      </c>
      <c r="R487" t="s">
        <v>7490</v>
      </c>
      <c r="S487" t="s">
        <v>20</v>
      </c>
    </row>
    <row r="488" spans="1:19" x14ac:dyDescent="0.45">
      <c r="A488" t="s">
        <v>173</v>
      </c>
      <c r="B488" t="s">
        <v>20</v>
      </c>
      <c r="C488" t="s">
        <v>351</v>
      </c>
      <c r="D488" t="s">
        <v>352</v>
      </c>
      <c r="E488" t="s">
        <v>38</v>
      </c>
      <c r="F488" t="s">
        <v>20</v>
      </c>
      <c r="G488" t="s">
        <v>23</v>
      </c>
      <c r="H488" t="s">
        <v>2397</v>
      </c>
      <c r="I488" t="s">
        <v>2398</v>
      </c>
      <c r="J488" t="s">
        <v>2399</v>
      </c>
      <c r="K488" t="s">
        <v>1182</v>
      </c>
      <c r="L488" t="s">
        <v>9126</v>
      </c>
      <c r="M488" t="s">
        <v>102</v>
      </c>
      <c r="N488" t="s">
        <v>33</v>
      </c>
      <c r="O488" t="s">
        <v>34</v>
      </c>
      <c r="P488" t="s">
        <v>20</v>
      </c>
      <c r="Q488" t="s">
        <v>20</v>
      </c>
      <c r="R488" t="s">
        <v>2400</v>
      </c>
      <c r="S488" t="s">
        <v>2401</v>
      </c>
    </row>
    <row r="489" spans="1:19" x14ac:dyDescent="0.45">
      <c r="A489" t="s">
        <v>19</v>
      </c>
      <c r="B489" t="s">
        <v>20</v>
      </c>
      <c r="C489" t="s">
        <v>796</v>
      </c>
      <c r="D489" t="s">
        <v>797</v>
      </c>
      <c r="E489" t="s">
        <v>38</v>
      </c>
      <c r="F489" t="s">
        <v>20</v>
      </c>
      <c r="G489" t="s">
        <v>23</v>
      </c>
      <c r="H489" t="s">
        <v>12181</v>
      </c>
      <c r="I489" t="s">
        <v>12182</v>
      </c>
      <c r="J489" t="s">
        <v>12667</v>
      </c>
      <c r="K489" t="s">
        <v>12668</v>
      </c>
      <c r="L489" t="s">
        <v>6524</v>
      </c>
      <c r="M489" t="s">
        <v>12431</v>
      </c>
      <c r="N489" t="s">
        <v>33</v>
      </c>
      <c r="O489" t="s">
        <v>34</v>
      </c>
      <c r="P489" t="s">
        <v>20</v>
      </c>
      <c r="Q489" t="s">
        <v>20</v>
      </c>
      <c r="R489" t="s">
        <v>12669</v>
      </c>
      <c r="S489" t="s">
        <v>12183</v>
      </c>
    </row>
    <row r="490" spans="1:19" x14ac:dyDescent="0.45">
      <c r="A490" t="s">
        <v>19</v>
      </c>
      <c r="B490" t="s">
        <v>20</v>
      </c>
      <c r="C490" t="s">
        <v>2084</v>
      </c>
      <c r="D490" t="s">
        <v>2085</v>
      </c>
      <c r="E490" t="s">
        <v>57</v>
      </c>
      <c r="F490" t="s">
        <v>20</v>
      </c>
      <c r="G490" t="s">
        <v>23</v>
      </c>
      <c r="H490" t="s">
        <v>2086</v>
      </c>
      <c r="I490" t="s">
        <v>2087</v>
      </c>
      <c r="J490" t="s">
        <v>2088</v>
      </c>
      <c r="K490" t="s">
        <v>808</v>
      </c>
      <c r="L490" t="s">
        <v>3418</v>
      </c>
      <c r="M490" t="s">
        <v>32</v>
      </c>
      <c r="N490" t="s">
        <v>33</v>
      </c>
      <c r="O490" t="s">
        <v>34</v>
      </c>
      <c r="P490" t="s">
        <v>20</v>
      </c>
      <c r="Q490" t="s">
        <v>20</v>
      </c>
      <c r="R490" t="s">
        <v>2089</v>
      </c>
      <c r="S490" t="s">
        <v>20</v>
      </c>
    </row>
    <row r="491" spans="1:19" x14ac:dyDescent="0.45">
      <c r="A491" t="s">
        <v>592</v>
      </c>
      <c r="B491" t="s">
        <v>20</v>
      </c>
      <c r="C491" t="s">
        <v>2516</v>
      </c>
      <c r="D491" t="s">
        <v>2517</v>
      </c>
      <c r="E491" t="s">
        <v>38</v>
      </c>
      <c r="F491" t="s">
        <v>20</v>
      </c>
      <c r="G491" t="s">
        <v>23</v>
      </c>
      <c r="H491" t="s">
        <v>12184</v>
      </c>
      <c r="I491" t="s">
        <v>12185</v>
      </c>
      <c r="J491" t="s">
        <v>12802</v>
      </c>
      <c r="K491" t="s">
        <v>12803</v>
      </c>
      <c r="L491" t="s">
        <v>6524</v>
      </c>
      <c r="M491" t="s">
        <v>12431</v>
      </c>
      <c r="N491" t="s">
        <v>33</v>
      </c>
      <c r="O491" t="s">
        <v>34</v>
      </c>
      <c r="P491" t="s">
        <v>20</v>
      </c>
      <c r="Q491" t="s">
        <v>20</v>
      </c>
      <c r="R491" t="s">
        <v>12804</v>
      </c>
      <c r="S491" t="s">
        <v>12186</v>
      </c>
    </row>
    <row r="492" spans="1:19" x14ac:dyDescent="0.45">
      <c r="A492" t="s">
        <v>19</v>
      </c>
      <c r="B492" t="s">
        <v>20</v>
      </c>
      <c r="C492" t="s">
        <v>1841</v>
      </c>
      <c r="D492" t="s">
        <v>1842</v>
      </c>
      <c r="E492" t="s">
        <v>38</v>
      </c>
      <c r="F492" t="s">
        <v>20</v>
      </c>
      <c r="G492" t="s">
        <v>23</v>
      </c>
      <c r="H492" t="s">
        <v>1897</v>
      </c>
      <c r="I492" t="s">
        <v>1898</v>
      </c>
      <c r="J492" t="s">
        <v>1899</v>
      </c>
      <c r="K492" t="s">
        <v>1900</v>
      </c>
      <c r="L492" t="s">
        <v>101</v>
      </c>
      <c r="M492" t="s">
        <v>112</v>
      </c>
      <c r="N492" t="s">
        <v>62</v>
      </c>
      <c r="O492" t="s">
        <v>34</v>
      </c>
      <c r="P492" t="s">
        <v>20</v>
      </c>
      <c r="Q492" t="s">
        <v>20</v>
      </c>
      <c r="R492" t="s">
        <v>1901</v>
      </c>
      <c r="S492" t="s">
        <v>20</v>
      </c>
    </row>
    <row r="493" spans="1:19" x14ac:dyDescent="0.45">
      <c r="A493" t="s">
        <v>516</v>
      </c>
      <c r="B493" t="s">
        <v>20</v>
      </c>
      <c r="C493" t="s">
        <v>4183</v>
      </c>
      <c r="D493" t="s">
        <v>4184</v>
      </c>
      <c r="E493" t="s">
        <v>38</v>
      </c>
      <c r="F493" t="s">
        <v>20</v>
      </c>
      <c r="G493" t="s">
        <v>23</v>
      </c>
      <c r="H493" t="s">
        <v>10489</v>
      </c>
      <c r="I493" t="s">
        <v>10490</v>
      </c>
      <c r="J493" t="s">
        <v>10491</v>
      </c>
      <c r="K493" t="s">
        <v>10492</v>
      </c>
      <c r="L493" t="s">
        <v>6527</v>
      </c>
      <c r="M493" t="s">
        <v>10493</v>
      </c>
      <c r="N493" t="s">
        <v>119</v>
      </c>
      <c r="O493" t="s">
        <v>34</v>
      </c>
      <c r="P493" t="s">
        <v>20</v>
      </c>
      <c r="Q493" t="s">
        <v>20</v>
      </c>
      <c r="R493" t="s">
        <v>11530</v>
      </c>
      <c r="S493" t="s">
        <v>20</v>
      </c>
    </row>
    <row r="494" spans="1:19" x14ac:dyDescent="0.45">
      <c r="A494" t="s">
        <v>310</v>
      </c>
      <c r="B494" t="s">
        <v>20</v>
      </c>
      <c r="C494" t="s">
        <v>566</v>
      </c>
      <c r="D494" t="s">
        <v>567</v>
      </c>
      <c r="E494" t="s">
        <v>38</v>
      </c>
      <c r="F494" t="s">
        <v>20</v>
      </c>
      <c r="G494" t="s">
        <v>23</v>
      </c>
      <c r="H494" t="s">
        <v>9543</v>
      </c>
      <c r="I494" t="s">
        <v>9567</v>
      </c>
      <c r="J494" t="s">
        <v>10869</v>
      </c>
      <c r="K494" t="s">
        <v>10870</v>
      </c>
      <c r="L494" t="s">
        <v>2769</v>
      </c>
      <c r="M494" t="s">
        <v>32</v>
      </c>
      <c r="N494" t="s">
        <v>33</v>
      </c>
      <c r="O494" t="s">
        <v>34</v>
      </c>
      <c r="P494" t="s">
        <v>20</v>
      </c>
      <c r="Q494" t="s">
        <v>20</v>
      </c>
      <c r="R494" t="s">
        <v>10871</v>
      </c>
      <c r="S494" t="s">
        <v>20</v>
      </c>
    </row>
    <row r="495" spans="1:19" x14ac:dyDescent="0.45">
      <c r="A495" t="s">
        <v>310</v>
      </c>
      <c r="B495" t="s">
        <v>20</v>
      </c>
      <c r="C495" t="s">
        <v>566</v>
      </c>
      <c r="D495" t="s">
        <v>567</v>
      </c>
      <c r="E495" t="s">
        <v>38</v>
      </c>
      <c r="F495" t="s">
        <v>20</v>
      </c>
      <c r="G495" t="s">
        <v>23</v>
      </c>
      <c r="H495" t="s">
        <v>13841</v>
      </c>
      <c r="I495" t="s">
        <v>13842</v>
      </c>
      <c r="J495" t="s">
        <v>13843</v>
      </c>
      <c r="K495" t="s">
        <v>13844</v>
      </c>
      <c r="L495" t="s">
        <v>3418</v>
      </c>
      <c r="M495" t="s">
        <v>2953</v>
      </c>
      <c r="N495" t="s">
        <v>146</v>
      </c>
      <c r="O495" t="s">
        <v>34</v>
      </c>
      <c r="P495" t="s">
        <v>20</v>
      </c>
      <c r="Q495" t="s">
        <v>20</v>
      </c>
      <c r="R495" t="s">
        <v>13845</v>
      </c>
      <c r="S495" t="s">
        <v>20</v>
      </c>
    </row>
    <row r="496" spans="1:19" x14ac:dyDescent="0.45">
      <c r="A496" t="s">
        <v>261</v>
      </c>
      <c r="B496" t="s">
        <v>20</v>
      </c>
      <c r="C496" t="s">
        <v>1338</v>
      </c>
      <c r="D496" t="s">
        <v>1339</v>
      </c>
      <c r="E496" t="s">
        <v>57</v>
      </c>
      <c r="F496" t="s">
        <v>20</v>
      </c>
      <c r="G496" t="s">
        <v>23</v>
      </c>
      <c r="H496" t="s">
        <v>1340</v>
      </c>
      <c r="I496" t="s">
        <v>1341</v>
      </c>
      <c r="J496" t="s">
        <v>1342</v>
      </c>
      <c r="K496" t="s">
        <v>1343</v>
      </c>
      <c r="L496" t="s">
        <v>43</v>
      </c>
      <c r="M496" t="s">
        <v>32</v>
      </c>
      <c r="N496" t="s">
        <v>62</v>
      </c>
      <c r="O496" t="s">
        <v>34</v>
      </c>
      <c r="P496" t="s">
        <v>20</v>
      </c>
      <c r="Q496" t="s">
        <v>20</v>
      </c>
      <c r="R496" t="s">
        <v>268</v>
      </c>
      <c r="S496" t="s">
        <v>20</v>
      </c>
    </row>
    <row r="497" spans="1:19" x14ac:dyDescent="0.45">
      <c r="A497" t="s">
        <v>12382</v>
      </c>
      <c r="B497" t="s">
        <v>20</v>
      </c>
      <c r="C497" t="s">
        <v>11250</v>
      </c>
      <c r="D497" t="s">
        <v>9837</v>
      </c>
      <c r="E497" t="s">
        <v>57</v>
      </c>
      <c r="F497" t="s">
        <v>20</v>
      </c>
      <c r="G497" t="s">
        <v>23</v>
      </c>
      <c r="H497" t="s">
        <v>11608</v>
      </c>
      <c r="I497" t="s">
        <v>11609</v>
      </c>
      <c r="J497" t="s">
        <v>11610</v>
      </c>
      <c r="K497" t="s">
        <v>11611</v>
      </c>
      <c r="L497" t="s">
        <v>3418</v>
      </c>
      <c r="M497" t="s">
        <v>32</v>
      </c>
      <c r="N497" t="s">
        <v>62</v>
      </c>
      <c r="O497" t="s">
        <v>34</v>
      </c>
      <c r="P497" t="s">
        <v>20</v>
      </c>
      <c r="Q497" t="s">
        <v>20</v>
      </c>
      <c r="R497" t="s">
        <v>11612</v>
      </c>
      <c r="S497" t="s">
        <v>20</v>
      </c>
    </row>
    <row r="498" spans="1:19" x14ac:dyDescent="0.45">
      <c r="A498" t="s">
        <v>6764</v>
      </c>
      <c r="B498" t="s">
        <v>20</v>
      </c>
      <c r="C498" t="s">
        <v>14462</v>
      </c>
      <c r="D498" t="s">
        <v>6095</v>
      </c>
      <c r="E498" t="s">
        <v>38</v>
      </c>
      <c r="F498" t="s">
        <v>20</v>
      </c>
      <c r="G498" t="s">
        <v>23</v>
      </c>
      <c r="H498" t="s">
        <v>14463</v>
      </c>
      <c r="I498" t="s">
        <v>14464</v>
      </c>
      <c r="J498" t="s">
        <v>14465</v>
      </c>
      <c r="K498" t="s">
        <v>14466</v>
      </c>
      <c r="L498" t="s">
        <v>6525</v>
      </c>
      <c r="M498" t="s">
        <v>2100</v>
      </c>
      <c r="N498" t="s">
        <v>62</v>
      </c>
      <c r="O498" t="s">
        <v>34</v>
      </c>
      <c r="P498" t="s">
        <v>20</v>
      </c>
      <c r="Q498" t="s">
        <v>20</v>
      </c>
      <c r="R498" t="s">
        <v>14467</v>
      </c>
      <c r="S498" t="s">
        <v>20</v>
      </c>
    </row>
    <row r="499" spans="1:19" x14ac:dyDescent="0.45">
      <c r="A499" t="s">
        <v>12382</v>
      </c>
      <c r="B499" t="s">
        <v>20</v>
      </c>
      <c r="C499" t="s">
        <v>6886</v>
      </c>
      <c r="D499" t="s">
        <v>5758</v>
      </c>
      <c r="E499" t="s">
        <v>38</v>
      </c>
      <c r="F499" t="s">
        <v>20</v>
      </c>
      <c r="G499" t="s">
        <v>23</v>
      </c>
      <c r="H499" t="s">
        <v>6887</v>
      </c>
      <c r="I499" t="s">
        <v>6888</v>
      </c>
      <c r="J499" t="s">
        <v>11072</v>
      </c>
      <c r="K499" t="s">
        <v>10884</v>
      </c>
      <c r="L499" t="s">
        <v>9570</v>
      </c>
      <c r="M499" t="s">
        <v>32</v>
      </c>
      <c r="N499" t="s">
        <v>33</v>
      </c>
      <c r="O499" t="s">
        <v>34</v>
      </c>
      <c r="P499" t="s">
        <v>20</v>
      </c>
      <c r="Q499" t="s">
        <v>20</v>
      </c>
      <c r="R499" t="s">
        <v>11073</v>
      </c>
      <c r="S499" t="s">
        <v>6889</v>
      </c>
    </row>
    <row r="500" spans="1:19" x14ac:dyDescent="0.45">
      <c r="A500" t="s">
        <v>12382</v>
      </c>
      <c r="B500" t="s">
        <v>20</v>
      </c>
      <c r="C500" t="s">
        <v>2653</v>
      </c>
      <c r="D500" t="s">
        <v>2654</v>
      </c>
      <c r="E500" t="s">
        <v>57</v>
      </c>
      <c r="F500" t="s">
        <v>20</v>
      </c>
      <c r="G500" t="s">
        <v>23</v>
      </c>
      <c r="H500" t="s">
        <v>11456</v>
      </c>
      <c r="I500" t="s">
        <v>11457</v>
      </c>
      <c r="J500" t="s">
        <v>11458</v>
      </c>
      <c r="K500" t="s">
        <v>11459</v>
      </c>
      <c r="L500" t="s">
        <v>3418</v>
      </c>
      <c r="M500" t="s">
        <v>32</v>
      </c>
      <c r="N500" t="s">
        <v>62</v>
      </c>
      <c r="O500" t="s">
        <v>34</v>
      </c>
      <c r="P500" t="s">
        <v>20</v>
      </c>
      <c r="Q500" t="s">
        <v>20</v>
      </c>
      <c r="R500" t="s">
        <v>11460</v>
      </c>
      <c r="S500" t="s">
        <v>20</v>
      </c>
    </row>
    <row r="501" spans="1:19" x14ac:dyDescent="0.45">
      <c r="A501" t="s">
        <v>261</v>
      </c>
      <c r="B501" t="s">
        <v>20</v>
      </c>
      <c r="C501" t="s">
        <v>685</v>
      </c>
      <c r="D501" t="s">
        <v>686</v>
      </c>
      <c r="E501" t="s">
        <v>2487</v>
      </c>
      <c r="F501" t="s">
        <v>20</v>
      </c>
      <c r="G501" t="s">
        <v>23</v>
      </c>
      <c r="H501" t="s">
        <v>11400</v>
      </c>
      <c r="I501" t="s">
        <v>11401</v>
      </c>
      <c r="J501" t="s">
        <v>11402</v>
      </c>
      <c r="K501" t="s">
        <v>11403</v>
      </c>
      <c r="L501" t="s">
        <v>3418</v>
      </c>
      <c r="M501" t="s">
        <v>32</v>
      </c>
      <c r="N501" t="s">
        <v>62</v>
      </c>
      <c r="O501" t="s">
        <v>34</v>
      </c>
      <c r="P501" t="s">
        <v>20</v>
      </c>
      <c r="Q501" t="s">
        <v>20</v>
      </c>
      <c r="R501" t="s">
        <v>11404</v>
      </c>
      <c r="S501" t="s">
        <v>20</v>
      </c>
    </row>
    <row r="502" spans="1:19" x14ac:dyDescent="0.45">
      <c r="A502" t="s">
        <v>12382</v>
      </c>
      <c r="B502" t="s">
        <v>20</v>
      </c>
      <c r="C502" t="s">
        <v>494</v>
      </c>
      <c r="D502" t="s">
        <v>495</v>
      </c>
      <c r="E502" t="s">
        <v>38</v>
      </c>
      <c r="F502" t="s">
        <v>20</v>
      </c>
      <c r="G502" t="s">
        <v>23</v>
      </c>
      <c r="H502" t="s">
        <v>496</v>
      </c>
      <c r="I502" t="s">
        <v>497</v>
      </c>
      <c r="J502" t="s">
        <v>498</v>
      </c>
      <c r="K502" t="s">
        <v>499</v>
      </c>
      <c r="L502" t="s">
        <v>53</v>
      </c>
      <c r="M502" t="s">
        <v>136</v>
      </c>
      <c r="N502" t="s">
        <v>33</v>
      </c>
      <c r="O502" t="s">
        <v>34</v>
      </c>
      <c r="P502" t="s">
        <v>20</v>
      </c>
      <c r="Q502" t="s">
        <v>20</v>
      </c>
      <c r="R502" t="s">
        <v>500</v>
      </c>
      <c r="S502" t="s">
        <v>20</v>
      </c>
    </row>
    <row r="503" spans="1:19" x14ac:dyDescent="0.45">
      <c r="A503" t="s">
        <v>12382</v>
      </c>
      <c r="B503" t="s">
        <v>20</v>
      </c>
      <c r="C503" t="s">
        <v>2609</v>
      </c>
      <c r="D503" t="s">
        <v>2610</v>
      </c>
      <c r="E503" t="s">
        <v>38</v>
      </c>
      <c r="F503" t="s">
        <v>20</v>
      </c>
      <c r="G503" t="s">
        <v>23</v>
      </c>
      <c r="H503" t="s">
        <v>2611</v>
      </c>
      <c r="I503" t="s">
        <v>2612</v>
      </c>
      <c r="J503" t="s">
        <v>2613</v>
      </c>
      <c r="K503" t="s">
        <v>2614</v>
      </c>
      <c r="L503" t="s">
        <v>53</v>
      </c>
      <c r="M503" t="s">
        <v>136</v>
      </c>
      <c r="N503" t="s">
        <v>33</v>
      </c>
      <c r="O503" t="s">
        <v>34</v>
      </c>
      <c r="P503" t="s">
        <v>20</v>
      </c>
      <c r="Q503" t="s">
        <v>20</v>
      </c>
      <c r="R503" t="s">
        <v>2615</v>
      </c>
      <c r="S503" t="s">
        <v>20</v>
      </c>
    </row>
    <row r="504" spans="1:19" x14ac:dyDescent="0.45">
      <c r="A504" t="s">
        <v>261</v>
      </c>
      <c r="B504" t="s">
        <v>20</v>
      </c>
      <c r="C504" t="s">
        <v>954</v>
      </c>
      <c r="D504" t="s">
        <v>955</v>
      </c>
      <c r="E504" t="s">
        <v>38</v>
      </c>
      <c r="F504" t="s">
        <v>20</v>
      </c>
      <c r="G504" t="s">
        <v>23</v>
      </c>
      <c r="H504" t="s">
        <v>13807</v>
      </c>
      <c r="I504" t="s">
        <v>13808</v>
      </c>
      <c r="J504" t="s">
        <v>13809</v>
      </c>
      <c r="K504" t="s">
        <v>13810</v>
      </c>
      <c r="L504" t="s">
        <v>3418</v>
      </c>
      <c r="M504" t="s">
        <v>112</v>
      </c>
      <c r="N504" t="s">
        <v>146</v>
      </c>
      <c r="O504" t="s">
        <v>34</v>
      </c>
      <c r="P504" t="s">
        <v>20</v>
      </c>
      <c r="Q504" t="s">
        <v>20</v>
      </c>
      <c r="R504" t="s">
        <v>13811</v>
      </c>
      <c r="S504" t="s">
        <v>20</v>
      </c>
    </row>
    <row r="505" spans="1:19" x14ac:dyDescent="0.45">
      <c r="A505" t="s">
        <v>516</v>
      </c>
      <c r="B505" t="s">
        <v>20</v>
      </c>
      <c r="C505" t="s">
        <v>10337</v>
      </c>
      <c r="D505" t="s">
        <v>6069</v>
      </c>
      <c r="E505" t="s">
        <v>38</v>
      </c>
      <c r="F505" t="s">
        <v>20</v>
      </c>
      <c r="G505" t="s">
        <v>23</v>
      </c>
      <c r="H505" t="s">
        <v>10338</v>
      </c>
      <c r="I505" t="s">
        <v>10339</v>
      </c>
      <c r="J505" t="s">
        <v>10910</v>
      </c>
      <c r="K505" t="s">
        <v>10911</v>
      </c>
      <c r="L505" t="s">
        <v>8094</v>
      </c>
      <c r="M505" t="s">
        <v>32</v>
      </c>
      <c r="N505" t="s">
        <v>33</v>
      </c>
      <c r="O505" t="s">
        <v>34</v>
      </c>
      <c r="P505" t="s">
        <v>20</v>
      </c>
      <c r="Q505" t="s">
        <v>20</v>
      </c>
      <c r="R505" t="s">
        <v>10912</v>
      </c>
      <c r="S505" t="s">
        <v>10340</v>
      </c>
    </row>
    <row r="506" spans="1:19" x14ac:dyDescent="0.45">
      <c r="A506" t="s">
        <v>358</v>
      </c>
      <c r="B506" t="s">
        <v>20</v>
      </c>
      <c r="C506" t="s">
        <v>3587</v>
      </c>
      <c r="D506" t="s">
        <v>3588</v>
      </c>
      <c r="E506" t="s">
        <v>57</v>
      </c>
      <c r="F506" t="s">
        <v>20</v>
      </c>
      <c r="G506" t="s">
        <v>23</v>
      </c>
      <c r="H506" t="s">
        <v>6459</v>
      </c>
      <c r="I506" t="s">
        <v>6543</v>
      </c>
      <c r="J506" t="s">
        <v>6544</v>
      </c>
      <c r="K506" t="s">
        <v>6545</v>
      </c>
      <c r="L506" t="s">
        <v>722</v>
      </c>
      <c r="M506" t="s">
        <v>32</v>
      </c>
      <c r="N506" t="s">
        <v>62</v>
      </c>
      <c r="O506" t="s">
        <v>34</v>
      </c>
      <c r="P506" t="s">
        <v>8377</v>
      </c>
      <c r="Q506" t="s">
        <v>20</v>
      </c>
      <c r="R506" t="s">
        <v>6546</v>
      </c>
      <c r="S506" t="s">
        <v>20</v>
      </c>
    </row>
    <row r="507" spans="1:19" x14ac:dyDescent="0.45">
      <c r="A507" t="s">
        <v>1598</v>
      </c>
      <c r="B507" t="s">
        <v>20</v>
      </c>
      <c r="C507" t="s">
        <v>5261</v>
      </c>
      <c r="D507" t="s">
        <v>5262</v>
      </c>
      <c r="E507" t="s">
        <v>57</v>
      </c>
      <c r="F507" t="s">
        <v>20</v>
      </c>
      <c r="G507" t="s">
        <v>23</v>
      </c>
      <c r="H507" t="s">
        <v>7298</v>
      </c>
      <c r="I507" t="s">
        <v>7299</v>
      </c>
      <c r="J507" t="s">
        <v>7300</v>
      </c>
      <c r="K507" t="s">
        <v>7301</v>
      </c>
      <c r="L507" t="s">
        <v>13871</v>
      </c>
      <c r="M507" t="s">
        <v>32</v>
      </c>
      <c r="N507" t="s">
        <v>62</v>
      </c>
      <c r="O507" t="s">
        <v>34</v>
      </c>
      <c r="P507" t="s">
        <v>20</v>
      </c>
      <c r="Q507" t="s">
        <v>20</v>
      </c>
      <c r="R507" t="s">
        <v>7070</v>
      </c>
      <c r="S507" t="s">
        <v>20</v>
      </c>
    </row>
    <row r="508" spans="1:19" x14ac:dyDescent="0.45">
      <c r="A508" t="s">
        <v>2278</v>
      </c>
      <c r="B508" t="s">
        <v>20</v>
      </c>
      <c r="C508" t="s">
        <v>12433</v>
      </c>
      <c r="D508" t="s">
        <v>6099</v>
      </c>
      <c r="E508" t="s">
        <v>38</v>
      </c>
      <c r="F508" t="s">
        <v>20</v>
      </c>
      <c r="G508" t="s">
        <v>23</v>
      </c>
      <c r="H508" t="s">
        <v>12434</v>
      </c>
      <c r="I508" t="s">
        <v>12435</v>
      </c>
      <c r="J508" t="s">
        <v>12436</v>
      </c>
      <c r="K508" t="s">
        <v>12437</v>
      </c>
      <c r="L508" t="s">
        <v>6527</v>
      </c>
      <c r="M508" t="s">
        <v>112</v>
      </c>
      <c r="N508" t="s">
        <v>678</v>
      </c>
      <c r="O508" t="s">
        <v>34</v>
      </c>
      <c r="P508" t="s">
        <v>20</v>
      </c>
      <c r="Q508" t="s">
        <v>20</v>
      </c>
      <c r="R508" t="s">
        <v>12438</v>
      </c>
      <c r="S508" t="s">
        <v>13851</v>
      </c>
    </row>
    <row r="509" spans="1:19" x14ac:dyDescent="0.45">
      <c r="A509" t="s">
        <v>2553</v>
      </c>
      <c r="B509" t="s">
        <v>20</v>
      </c>
      <c r="C509" t="s">
        <v>2554</v>
      </c>
      <c r="D509" t="s">
        <v>2555</v>
      </c>
      <c r="E509" t="s">
        <v>38</v>
      </c>
      <c r="F509" t="s">
        <v>20</v>
      </c>
      <c r="G509" t="s">
        <v>23</v>
      </c>
      <c r="H509" t="s">
        <v>2556</v>
      </c>
      <c r="I509" t="s">
        <v>2557</v>
      </c>
      <c r="J509" t="s">
        <v>2558</v>
      </c>
      <c r="K509" t="s">
        <v>2559</v>
      </c>
      <c r="L509" t="s">
        <v>3418</v>
      </c>
      <c r="M509" t="s">
        <v>32</v>
      </c>
      <c r="N509" t="s">
        <v>33</v>
      </c>
      <c r="O509" t="s">
        <v>34</v>
      </c>
      <c r="P509" t="s">
        <v>20</v>
      </c>
      <c r="Q509" t="s">
        <v>20</v>
      </c>
      <c r="R509" t="s">
        <v>2560</v>
      </c>
      <c r="S509" t="s">
        <v>20</v>
      </c>
    </row>
    <row r="510" spans="1:19" x14ac:dyDescent="0.45">
      <c r="A510" t="s">
        <v>12382</v>
      </c>
      <c r="B510" t="s">
        <v>20</v>
      </c>
      <c r="C510" t="s">
        <v>1568</v>
      </c>
      <c r="D510" t="s">
        <v>1569</v>
      </c>
      <c r="E510" t="s">
        <v>57</v>
      </c>
      <c r="F510" t="s">
        <v>20</v>
      </c>
      <c r="G510" t="s">
        <v>23</v>
      </c>
      <c r="H510" t="s">
        <v>7964</v>
      </c>
      <c r="I510" t="s">
        <v>7965</v>
      </c>
      <c r="J510" t="s">
        <v>7966</v>
      </c>
      <c r="K510" t="s">
        <v>7967</v>
      </c>
      <c r="L510" t="s">
        <v>2769</v>
      </c>
      <c r="M510" t="s">
        <v>102</v>
      </c>
      <c r="N510" t="s">
        <v>62</v>
      </c>
      <c r="O510" t="s">
        <v>34</v>
      </c>
      <c r="P510" t="s">
        <v>20</v>
      </c>
      <c r="Q510" t="s">
        <v>20</v>
      </c>
      <c r="R510" t="s">
        <v>7968</v>
      </c>
      <c r="S510" t="s">
        <v>20</v>
      </c>
    </row>
    <row r="511" spans="1:19" x14ac:dyDescent="0.45">
      <c r="A511" t="s">
        <v>12382</v>
      </c>
      <c r="B511" t="s">
        <v>20</v>
      </c>
      <c r="C511" t="s">
        <v>4791</v>
      </c>
      <c r="D511" t="s">
        <v>4792</v>
      </c>
      <c r="E511" t="s">
        <v>57</v>
      </c>
      <c r="F511" t="s">
        <v>20</v>
      </c>
      <c r="G511" t="s">
        <v>23</v>
      </c>
      <c r="H511" t="s">
        <v>11486</v>
      </c>
      <c r="I511" t="s">
        <v>11487</v>
      </c>
      <c r="J511" t="s">
        <v>11488</v>
      </c>
      <c r="K511" t="s">
        <v>11489</v>
      </c>
      <c r="L511" t="s">
        <v>3418</v>
      </c>
      <c r="M511" t="s">
        <v>32</v>
      </c>
      <c r="N511" t="s">
        <v>62</v>
      </c>
      <c r="O511" t="s">
        <v>34</v>
      </c>
      <c r="P511" t="s">
        <v>20</v>
      </c>
      <c r="Q511" t="s">
        <v>20</v>
      </c>
      <c r="R511" t="s">
        <v>11490</v>
      </c>
      <c r="S511" t="s">
        <v>20</v>
      </c>
    </row>
    <row r="512" spans="1:19" x14ac:dyDescent="0.45">
      <c r="A512" t="s">
        <v>1598</v>
      </c>
      <c r="B512" t="s">
        <v>20</v>
      </c>
      <c r="C512" t="s">
        <v>7676</v>
      </c>
      <c r="D512" t="s">
        <v>5866</v>
      </c>
      <c r="E512" t="s">
        <v>38</v>
      </c>
      <c r="F512" t="s">
        <v>20</v>
      </c>
      <c r="G512" t="s">
        <v>23</v>
      </c>
      <c r="H512" t="s">
        <v>7677</v>
      </c>
      <c r="I512" t="s">
        <v>7678</v>
      </c>
      <c r="J512" t="s">
        <v>7679</v>
      </c>
      <c r="K512" t="s">
        <v>7680</v>
      </c>
      <c r="L512" t="s">
        <v>2769</v>
      </c>
      <c r="M512" t="s">
        <v>32</v>
      </c>
      <c r="N512" t="s">
        <v>62</v>
      </c>
      <c r="O512" t="s">
        <v>34</v>
      </c>
      <c r="P512" t="s">
        <v>20</v>
      </c>
      <c r="Q512" t="s">
        <v>20</v>
      </c>
      <c r="R512" t="s">
        <v>7070</v>
      </c>
      <c r="S512" t="s">
        <v>20</v>
      </c>
    </row>
    <row r="513" spans="1:19" x14ac:dyDescent="0.45">
      <c r="A513" t="s">
        <v>12382</v>
      </c>
      <c r="B513" t="s">
        <v>20</v>
      </c>
      <c r="C513" t="s">
        <v>608</v>
      </c>
      <c r="D513" t="s">
        <v>609</v>
      </c>
      <c r="E513" t="s">
        <v>38</v>
      </c>
      <c r="F513" t="s">
        <v>20</v>
      </c>
      <c r="G513" t="s">
        <v>23</v>
      </c>
      <c r="H513" t="s">
        <v>610</v>
      </c>
      <c r="I513" t="s">
        <v>611</v>
      </c>
      <c r="J513" t="s">
        <v>612</v>
      </c>
      <c r="K513" t="s">
        <v>613</v>
      </c>
      <c r="L513" t="s">
        <v>3418</v>
      </c>
      <c r="M513" t="s">
        <v>32</v>
      </c>
      <c r="N513" t="s">
        <v>33</v>
      </c>
      <c r="O513" t="s">
        <v>34</v>
      </c>
      <c r="P513" t="s">
        <v>20</v>
      </c>
      <c r="Q513" t="s">
        <v>20</v>
      </c>
      <c r="R513" t="s">
        <v>614</v>
      </c>
      <c r="S513" t="s">
        <v>20</v>
      </c>
    </row>
    <row r="514" spans="1:19" x14ac:dyDescent="0.45">
      <c r="A514" t="s">
        <v>12382</v>
      </c>
      <c r="B514" t="s">
        <v>20</v>
      </c>
      <c r="C514" t="s">
        <v>5088</v>
      </c>
      <c r="D514" t="s">
        <v>5089</v>
      </c>
      <c r="E514" t="s">
        <v>57</v>
      </c>
      <c r="F514" t="s">
        <v>20</v>
      </c>
      <c r="G514" t="s">
        <v>23</v>
      </c>
      <c r="H514" t="s">
        <v>11441</v>
      </c>
      <c r="I514" t="s">
        <v>11442</v>
      </c>
      <c r="J514" t="s">
        <v>11443</v>
      </c>
      <c r="K514" t="s">
        <v>11444</v>
      </c>
      <c r="L514" t="s">
        <v>3418</v>
      </c>
      <c r="M514" t="s">
        <v>32</v>
      </c>
      <c r="N514" t="s">
        <v>62</v>
      </c>
      <c r="O514" t="s">
        <v>34</v>
      </c>
      <c r="P514" t="s">
        <v>20</v>
      </c>
      <c r="Q514" t="s">
        <v>20</v>
      </c>
      <c r="R514" t="s">
        <v>11445</v>
      </c>
      <c r="S514" t="s">
        <v>20</v>
      </c>
    </row>
    <row r="515" spans="1:19" x14ac:dyDescent="0.45">
      <c r="A515" t="s">
        <v>516</v>
      </c>
      <c r="B515" t="s">
        <v>20</v>
      </c>
      <c r="C515" t="s">
        <v>11740</v>
      </c>
      <c r="D515" t="s">
        <v>6100</v>
      </c>
      <c r="E515" t="s">
        <v>38</v>
      </c>
      <c r="F515" t="s">
        <v>20</v>
      </c>
      <c r="G515" t="s">
        <v>23</v>
      </c>
      <c r="H515" t="s">
        <v>11741</v>
      </c>
      <c r="I515" t="s">
        <v>11742</v>
      </c>
      <c r="J515" t="s">
        <v>12681</v>
      </c>
      <c r="K515" t="s">
        <v>12682</v>
      </c>
      <c r="L515" t="s">
        <v>6524</v>
      </c>
      <c r="M515" t="s">
        <v>12431</v>
      </c>
      <c r="N515" t="s">
        <v>33</v>
      </c>
      <c r="O515" t="s">
        <v>34</v>
      </c>
      <c r="P515" t="s">
        <v>20</v>
      </c>
      <c r="Q515" t="s">
        <v>20</v>
      </c>
      <c r="R515" t="s">
        <v>12683</v>
      </c>
      <c r="S515" t="s">
        <v>11743</v>
      </c>
    </row>
    <row r="516" spans="1:19" x14ac:dyDescent="0.45">
      <c r="A516" t="s">
        <v>6679</v>
      </c>
      <c r="B516" t="s">
        <v>20</v>
      </c>
      <c r="C516" t="s">
        <v>13891</v>
      </c>
      <c r="D516" t="s">
        <v>5918</v>
      </c>
      <c r="E516" t="s">
        <v>38</v>
      </c>
      <c r="F516" t="s">
        <v>20</v>
      </c>
      <c r="G516" t="s">
        <v>23</v>
      </c>
      <c r="H516" t="s">
        <v>13892</v>
      </c>
      <c r="I516" t="s">
        <v>13893</v>
      </c>
      <c r="J516" t="s">
        <v>13894</v>
      </c>
      <c r="K516" t="s">
        <v>13895</v>
      </c>
      <c r="L516" t="s">
        <v>9126</v>
      </c>
      <c r="M516" t="s">
        <v>3910</v>
      </c>
      <c r="N516" t="s">
        <v>2727</v>
      </c>
      <c r="O516" t="s">
        <v>34</v>
      </c>
      <c r="P516" t="s">
        <v>20</v>
      </c>
      <c r="Q516" t="s">
        <v>20</v>
      </c>
      <c r="R516" t="s">
        <v>14270</v>
      </c>
      <c r="S516" t="s">
        <v>20</v>
      </c>
    </row>
    <row r="517" spans="1:19" x14ac:dyDescent="0.45">
      <c r="A517" t="s">
        <v>572</v>
      </c>
      <c r="B517" t="s">
        <v>20</v>
      </c>
      <c r="C517" t="s">
        <v>1729</v>
      </c>
      <c r="D517" t="s">
        <v>1730</v>
      </c>
      <c r="E517" t="s">
        <v>57</v>
      </c>
      <c r="F517" t="s">
        <v>20</v>
      </c>
      <c r="G517" t="s">
        <v>23</v>
      </c>
      <c r="H517" t="s">
        <v>7996</v>
      </c>
      <c r="I517" t="s">
        <v>7997</v>
      </c>
      <c r="J517" t="s">
        <v>7998</v>
      </c>
      <c r="K517" t="s">
        <v>7999</v>
      </c>
      <c r="L517" t="s">
        <v>2769</v>
      </c>
      <c r="M517" t="s">
        <v>102</v>
      </c>
      <c r="N517" t="s">
        <v>62</v>
      </c>
      <c r="O517" t="s">
        <v>34</v>
      </c>
      <c r="P517" t="s">
        <v>20</v>
      </c>
      <c r="Q517" t="s">
        <v>20</v>
      </c>
      <c r="R517" t="s">
        <v>8000</v>
      </c>
      <c r="S517" t="s">
        <v>20</v>
      </c>
    </row>
    <row r="518" spans="1:19" x14ac:dyDescent="0.45">
      <c r="A518" t="s">
        <v>6679</v>
      </c>
      <c r="B518" t="s">
        <v>20</v>
      </c>
      <c r="C518" t="s">
        <v>13896</v>
      </c>
      <c r="D518" t="s">
        <v>5576</v>
      </c>
      <c r="E518" t="s">
        <v>38</v>
      </c>
      <c r="F518" t="s">
        <v>20</v>
      </c>
      <c r="G518" t="s">
        <v>23</v>
      </c>
      <c r="H518" t="s">
        <v>13897</v>
      </c>
      <c r="I518" t="s">
        <v>13898</v>
      </c>
      <c r="J518" t="s">
        <v>13899</v>
      </c>
      <c r="K518" t="s">
        <v>13900</v>
      </c>
      <c r="L518" t="s">
        <v>9126</v>
      </c>
      <c r="M518" t="s">
        <v>3910</v>
      </c>
      <c r="N518" t="s">
        <v>2727</v>
      </c>
      <c r="O518" t="s">
        <v>34</v>
      </c>
      <c r="P518" t="s">
        <v>20</v>
      </c>
      <c r="Q518" t="s">
        <v>20</v>
      </c>
      <c r="R518" t="s">
        <v>14270</v>
      </c>
      <c r="S518" t="s">
        <v>20</v>
      </c>
    </row>
    <row r="519" spans="1:19" x14ac:dyDescent="0.45">
      <c r="A519" t="s">
        <v>12382</v>
      </c>
      <c r="B519" t="s">
        <v>20</v>
      </c>
      <c r="C519" t="s">
        <v>4218</v>
      </c>
      <c r="D519" t="s">
        <v>4219</v>
      </c>
      <c r="E519" t="s">
        <v>57</v>
      </c>
      <c r="F519" t="s">
        <v>20</v>
      </c>
      <c r="G519" t="s">
        <v>23</v>
      </c>
      <c r="H519" t="s">
        <v>11568</v>
      </c>
      <c r="I519" t="s">
        <v>11569</v>
      </c>
      <c r="J519" t="s">
        <v>11570</v>
      </c>
      <c r="K519" t="s">
        <v>11571</v>
      </c>
      <c r="L519" t="s">
        <v>3418</v>
      </c>
      <c r="M519" t="s">
        <v>32</v>
      </c>
      <c r="N519" t="s">
        <v>62</v>
      </c>
      <c r="O519" t="s">
        <v>34</v>
      </c>
      <c r="P519" t="s">
        <v>20</v>
      </c>
      <c r="Q519" t="s">
        <v>20</v>
      </c>
      <c r="R519" t="s">
        <v>11572</v>
      </c>
      <c r="S519" t="s">
        <v>20</v>
      </c>
    </row>
    <row r="520" spans="1:19" x14ac:dyDescent="0.45">
      <c r="A520" t="s">
        <v>12382</v>
      </c>
      <c r="B520" t="s">
        <v>20</v>
      </c>
      <c r="C520" t="s">
        <v>1205</v>
      </c>
      <c r="D520" t="s">
        <v>1206</v>
      </c>
      <c r="E520" t="s">
        <v>38</v>
      </c>
      <c r="F520" t="s">
        <v>20</v>
      </c>
      <c r="G520" t="s">
        <v>23</v>
      </c>
      <c r="H520" t="s">
        <v>1878</v>
      </c>
      <c r="I520" t="s">
        <v>1879</v>
      </c>
      <c r="J520" t="s">
        <v>1880</v>
      </c>
      <c r="K520" t="s">
        <v>1881</v>
      </c>
      <c r="L520" t="s">
        <v>53</v>
      </c>
      <c r="M520" t="s">
        <v>112</v>
      </c>
      <c r="N520" t="s">
        <v>146</v>
      </c>
      <c r="O520" t="s">
        <v>34</v>
      </c>
      <c r="P520" t="s">
        <v>20</v>
      </c>
      <c r="Q520" t="s">
        <v>20</v>
      </c>
      <c r="R520" t="s">
        <v>1882</v>
      </c>
      <c r="S520" t="s">
        <v>20</v>
      </c>
    </row>
    <row r="521" spans="1:19" x14ac:dyDescent="0.45">
      <c r="A521" t="s">
        <v>12382</v>
      </c>
      <c r="B521" t="s">
        <v>20</v>
      </c>
      <c r="C521" t="s">
        <v>11430</v>
      </c>
      <c r="D521" t="s">
        <v>6195</v>
      </c>
      <c r="E521" t="s">
        <v>57</v>
      </c>
      <c r="F521" t="s">
        <v>20</v>
      </c>
      <c r="G521" t="s">
        <v>23</v>
      </c>
      <c r="H521" t="s">
        <v>11431</v>
      </c>
      <c r="I521" t="s">
        <v>11432</v>
      </c>
      <c r="J521" t="s">
        <v>11433</v>
      </c>
      <c r="K521" t="s">
        <v>11434</v>
      </c>
      <c r="L521" t="s">
        <v>3418</v>
      </c>
      <c r="M521" t="s">
        <v>32</v>
      </c>
      <c r="N521" t="s">
        <v>62</v>
      </c>
      <c r="O521" t="s">
        <v>34</v>
      </c>
      <c r="P521" t="s">
        <v>20</v>
      </c>
      <c r="Q521" t="s">
        <v>20</v>
      </c>
      <c r="R521" t="s">
        <v>11435</v>
      </c>
      <c r="S521" t="s">
        <v>20</v>
      </c>
    </row>
    <row r="522" spans="1:19" x14ac:dyDescent="0.45">
      <c r="A522" t="s">
        <v>12382</v>
      </c>
      <c r="B522" t="s">
        <v>20</v>
      </c>
      <c r="C522" t="s">
        <v>284</v>
      </c>
      <c r="D522" t="s">
        <v>285</v>
      </c>
      <c r="E522" t="s">
        <v>38</v>
      </c>
      <c r="F522" t="s">
        <v>20</v>
      </c>
      <c r="G522" t="s">
        <v>23</v>
      </c>
      <c r="H522" t="s">
        <v>286</v>
      </c>
      <c r="I522" t="s">
        <v>287</v>
      </c>
      <c r="J522" t="s">
        <v>288</v>
      </c>
      <c r="K522" t="s">
        <v>289</v>
      </c>
      <c r="L522" t="s">
        <v>290</v>
      </c>
      <c r="M522" t="s">
        <v>136</v>
      </c>
      <c r="N522" t="s">
        <v>33</v>
      </c>
      <c r="O522" t="s">
        <v>34</v>
      </c>
      <c r="P522" t="s">
        <v>20</v>
      </c>
      <c r="Q522" t="s">
        <v>20</v>
      </c>
      <c r="R522" t="s">
        <v>291</v>
      </c>
      <c r="S522" t="s">
        <v>20</v>
      </c>
    </row>
    <row r="523" spans="1:19" x14ac:dyDescent="0.45">
      <c r="A523" t="s">
        <v>261</v>
      </c>
      <c r="B523" t="s">
        <v>20</v>
      </c>
      <c r="C523" t="s">
        <v>1272</v>
      </c>
      <c r="D523" t="s">
        <v>1273</v>
      </c>
      <c r="E523" t="s">
        <v>57</v>
      </c>
      <c r="F523" t="s">
        <v>20</v>
      </c>
      <c r="G523" t="s">
        <v>23</v>
      </c>
      <c r="H523" t="s">
        <v>1274</v>
      </c>
      <c r="I523" t="s">
        <v>1275</v>
      </c>
      <c r="J523" t="s">
        <v>1276</v>
      </c>
      <c r="K523" t="s">
        <v>1277</v>
      </c>
      <c r="L523" t="s">
        <v>43</v>
      </c>
      <c r="M523" t="s">
        <v>32</v>
      </c>
      <c r="N523" t="s">
        <v>62</v>
      </c>
      <c r="O523" t="s">
        <v>34</v>
      </c>
      <c r="P523" t="s">
        <v>20</v>
      </c>
      <c r="Q523" t="s">
        <v>20</v>
      </c>
      <c r="R523" t="s">
        <v>268</v>
      </c>
      <c r="S523" t="s">
        <v>20</v>
      </c>
    </row>
    <row r="524" spans="1:19" x14ac:dyDescent="0.45">
      <c r="A524" t="s">
        <v>12382</v>
      </c>
      <c r="B524" t="s">
        <v>20</v>
      </c>
      <c r="C524" t="s">
        <v>215</v>
      </c>
      <c r="D524" t="s">
        <v>216</v>
      </c>
      <c r="E524" t="s">
        <v>38</v>
      </c>
      <c r="F524" t="s">
        <v>20</v>
      </c>
      <c r="G524" t="s">
        <v>23</v>
      </c>
      <c r="H524" t="s">
        <v>217</v>
      </c>
      <c r="I524" t="s">
        <v>218</v>
      </c>
      <c r="J524" t="s">
        <v>219</v>
      </c>
      <c r="K524" t="s">
        <v>220</v>
      </c>
      <c r="L524" t="s">
        <v>31</v>
      </c>
      <c r="M524" t="s">
        <v>32</v>
      </c>
      <c r="N524" t="s">
        <v>33</v>
      </c>
      <c r="O524" t="s">
        <v>34</v>
      </c>
      <c r="P524" t="s">
        <v>20</v>
      </c>
      <c r="Q524" t="s">
        <v>20</v>
      </c>
      <c r="R524" t="s">
        <v>221</v>
      </c>
      <c r="S524" t="s">
        <v>222</v>
      </c>
    </row>
    <row r="525" spans="1:19" x14ac:dyDescent="0.45">
      <c r="A525" t="s">
        <v>12382</v>
      </c>
      <c r="B525" t="s">
        <v>20</v>
      </c>
      <c r="C525" t="s">
        <v>11491</v>
      </c>
      <c r="D525" t="s">
        <v>5964</v>
      </c>
      <c r="E525" t="s">
        <v>57</v>
      </c>
      <c r="F525" t="s">
        <v>20</v>
      </c>
      <c r="G525" t="s">
        <v>23</v>
      </c>
      <c r="H525" t="s">
        <v>11492</v>
      </c>
      <c r="I525" t="s">
        <v>11493</v>
      </c>
      <c r="J525" t="s">
        <v>11494</v>
      </c>
      <c r="K525" t="s">
        <v>11495</v>
      </c>
      <c r="L525" t="s">
        <v>3418</v>
      </c>
      <c r="M525" t="s">
        <v>32</v>
      </c>
      <c r="N525" t="s">
        <v>62</v>
      </c>
      <c r="O525" t="s">
        <v>34</v>
      </c>
      <c r="P525" t="s">
        <v>20</v>
      </c>
      <c r="Q525" t="s">
        <v>20</v>
      </c>
      <c r="R525" t="s">
        <v>11496</v>
      </c>
      <c r="S525" t="s">
        <v>20</v>
      </c>
    </row>
    <row r="526" spans="1:19" x14ac:dyDescent="0.45">
      <c r="A526" t="s">
        <v>446</v>
      </c>
      <c r="B526" t="s">
        <v>20</v>
      </c>
      <c r="C526" t="s">
        <v>447</v>
      </c>
      <c r="D526" t="s">
        <v>448</v>
      </c>
      <c r="E526" t="s">
        <v>57</v>
      </c>
      <c r="F526" t="s">
        <v>20</v>
      </c>
      <c r="G526" t="s">
        <v>23</v>
      </c>
      <c r="H526" t="s">
        <v>11502</v>
      </c>
      <c r="I526" t="s">
        <v>11503</v>
      </c>
      <c r="J526" t="s">
        <v>11504</v>
      </c>
      <c r="K526" t="s">
        <v>11505</v>
      </c>
      <c r="L526" t="s">
        <v>9155</v>
      </c>
      <c r="M526" t="s">
        <v>438</v>
      </c>
      <c r="N526" t="s">
        <v>62</v>
      </c>
      <c r="O526" t="s">
        <v>34</v>
      </c>
      <c r="P526" t="s">
        <v>20</v>
      </c>
      <c r="Q526" t="s">
        <v>20</v>
      </c>
      <c r="R526" t="s">
        <v>11506</v>
      </c>
      <c r="S526" t="s">
        <v>20</v>
      </c>
    </row>
    <row r="527" spans="1:19" x14ac:dyDescent="0.45">
      <c r="A527" t="s">
        <v>607</v>
      </c>
      <c r="B527" t="s">
        <v>20</v>
      </c>
      <c r="C527" t="s">
        <v>687</v>
      </c>
      <c r="D527" t="s">
        <v>688</v>
      </c>
      <c r="E527" t="s">
        <v>38</v>
      </c>
      <c r="F527" t="s">
        <v>20</v>
      </c>
      <c r="G527" t="s">
        <v>23</v>
      </c>
      <c r="H527" t="s">
        <v>689</v>
      </c>
      <c r="I527" t="s">
        <v>690</v>
      </c>
      <c r="J527" t="s">
        <v>691</v>
      </c>
      <c r="K527" t="s">
        <v>692</v>
      </c>
      <c r="L527" t="s">
        <v>3418</v>
      </c>
      <c r="M527" t="s">
        <v>112</v>
      </c>
      <c r="N527" t="s">
        <v>119</v>
      </c>
      <c r="O527" t="s">
        <v>34</v>
      </c>
      <c r="P527" t="s">
        <v>20</v>
      </c>
      <c r="Q527" t="s">
        <v>20</v>
      </c>
      <c r="R527" t="s">
        <v>693</v>
      </c>
      <c r="S527" t="s">
        <v>20</v>
      </c>
    </row>
    <row r="528" spans="1:19" x14ac:dyDescent="0.45">
      <c r="A528" t="s">
        <v>12382</v>
      </c>
      <c r="B528" t="s">
        <v>20</v>
      </c>
      <c r="C528" t="s">
        <v>11618</v>
      </c>
      <c r="D528" t="s">
        <v>11619</v>
      </c>
      <c r="E528" t="s">
        <v>57</v>
      </c>
      <c r="F528" t="s">
        <v>20</v>
      </c>
      <c r="G528" t="s">
        <v>23</v>
      </c>
      <c r="H528" t="s">
        <v>11620</v>
      </c>
      <c r="I528" t="s">
        <v>11621</v>
      </c>
      <c r="J528" t="s">
        <v>11622</v>
      </c>
      <c r="K528" t="s">
        <v>11623</v>
      </c>
      <c r="L528" t="s">
        <v>3418</v>
      </c>
      <c r="M528" t="s">
        <v>32</v>
      </c>
      <c r="N528" t="s">
        <v>62</v>
      </c>
      <c r="O528" t="s">
        <v>34</v>
      </c>
      <c r="P528" t="s">
        <v>20</v>
      </c>
      <c r="Q528" t="s">
        <v>20</v>
      </c>
      <c r="R528" t="s">
        <v>11624</v>
      </c>
      <c r="S528" t="s">
        <v>20</v>
      </c>
    </row>
    <row r="529" spans="1:19" x14ac:dyDescent="0.45">
      <c r="A529" t="s">
        <v>12382</v>
      </c>
      <c r="B529" t="s">
        <v>20</v>
      </c>
      <c r="C529" t="s">
        <v>11333</v>
      </c>
      <c r="D529" t="s">
        <v>6076</v>
      </c>
      <c r="E529" t="s">
        <v>57</v>
      </c>
      <c r="F529" t="s">
        <v>20</v>
      </c>
      <c r="G529" t="s">
        <v>23</v>
      </c>
      <c r="H529" t="s">
        <v>11334</v>
      </c>
      <c r="I529" t="s">
        <v>11335</v>
      </c>
      <c r="J529" t="s">
        <v>11336</v>
      </c>
      <c r="K529" t="s">
        <v>11337</v>
      </c>
      <c r="L529" t="s">
        <v>3418</v>
      </c>
      <c r="M529" t="s">
        <v>32</v>
      </c>
      <c r="N529" t="s">
        <v>62</v>
      </c>
      <c r="O529" t="s">
        <v>34</v>
      </c>
      <c r="P529" t="s">
        <v>20</v>
      </c>
      <c r="Q529" t="s">
        <v>20</v>
      </c>
      <c r="R529" t="s">
        <v>11338</v>
      </c>
      <c r="S529" t="s">
        <v>20</v>
      </c>
    </row>
    <row r="530" spans="1:19" x14ac:dyDescent="0.45">
      <c r="A530" t="s">
        <v>12382</v>
      </c>
      <c r="B530" t="s">
        <v>20</v>
      </c>
      <c r="C530" t="s">
        <v>1283</v>
      </c>
      <c r="D530" t="s">
        <v>1284</v>
      </c>
      <c r="E530" t="s">
        <v>57</v>
      </c>
      <c r="F530" t="s">
        <v>20</v>
      </c>
      <c r="G530" t="s">
        <v>23</v>
      </c>
      <c r="H530" t="s">
        <v>11380</v>
      </c>
      <c r="I530" t="s">
        <v>11381</v>
      </c>
      <c r="J530" t="s">
        <v>11382</v>
      </c>
      <c r="K530" t="s">
        <v>11383</v>
      </c>
      <c r="L530" t="s">
        <v>3418</v>
      </c>
      <c r="M530" t="s">
        <v>32</v>
      </c>
      <c r="N530" t="s">
        <v>62</v>
      </c>
      <c r="O530" t="s">
        <v>34</v>
      </c>
      <c r="P530" t="s">
        <v>20</v>
      </c>
      <c r="Q530" t="s">
        <v>20</v>
      </c>
      <c r="R530" t="s">
        <v>11384</v>
      </c>
      <c r="S530" t="s">
        <v>20</v>
      </c>
    </row>
    <row r="531" spans="1:19" x14ac:dyDescent="0.45">
      <c r="A531" t="s">
        <v>12382</v>
      </c>
      <c r="B531" t="s">
        <v>20</v>
      </c>
      <c r="C531" t="s">
        <v>11349</v>
      </c>
      <c r="D531" t="s">
        <v>4120</v>
      </c>
      <c r="E531" t="s">
        <v>57</v>
      </c>
      <c r="F531" t="s">
        <v>20</v>
      </c>
      <c r="G531" t="s">
        <v>23</v>
      </c>
      <c r="H531" t="s">
        <v>11350</v>
      </c>
      <c r="I531" t="s">
        <v>11351</v>
      </c>
      <c r="J531" t="s">
        <v>11352</v>
      </c>
      <c r="K531" t="s">
        <v>11353</v>
      </c>
      <c r="L531" t="s">
        <v>3418</v>
      </c>
      <c r="M531" t="s">
        <v>32</v>
      </c>
      <c r="N531" t="s">
        <v>62</v>
      </c>
      <c r="O531" t="s">
        <v>34</v>
      </c>
      <c r="P531" t="s">
        <v>20</v>
      </c>
      <c r="Q531" t="s">
        <v>20</v>
      </c>
      <c r="R531" t="s">
        <v>11354</v>
      </c>
      <c r="S531" t="s">
        <v>20</v>
      </c>
    </row>
    <row r="532" spans="1:19" x14ac:dyDescent="0.45">
      <c r="A532" t="s">
        <v>358</v>
      </c>
      <c r="B532" t="s">
        <v>20</v>
      </c>
      <c r="C532" t="s">
        <v>887</v>
      </c>
      <c r="D532" t="s">
        <v>888</v>
      </c>
      <c r="E532" t="s">
        <v>38</v>
      </c>
      <c r="F532" t="s">
        <v>20</v>
      </c>
      <c r="G532" t="s">
        <v>23</v>
      </c>
      <c r="H532" t="s">
        <v>12144</v>
      </c>
      <c r="I532" t="s">
        <v>12145</v>
      </c>
      <c r="J532" t="s">
        <v>20</v>
      </c>
      <c r="K532" t="s">
        <v>12684</v>
      </c>
      <c r="L532" t="s">
        <v>6524</v>
      </c>
      <c r="M532" t="s">
        <v>12431</v>
      </c>
      <c r="N532" t="s">
        <v>33</v>
      </c>
      <c r="O532" t="s">
        <v>34</v>
      </c>
      <c r="P532" t="s">
        <v>20</v>
      </c>
      <c r="Q532" t="s">
        <v>20</v>
      </c>
      <c r="R532" t="s">
        <v>20</v>
      </c>
      <c r="S532" t="s">
        <v>12146</v>
      </c>
    </row>
    <row r="533" spans="1:19" x14ac:dyDescent="0.45">
      <c r="A533" t="s">
        <v>314</v>
      </c>
      <c r="B533" t="s">
        <v>20</v>
      </c>
      <c r="C533" t="s">
        <v>315</v>
      </c>
      <c r="D533" t="s">
        <v>316</v>
      </c>
      <c r="E533" t="s">
        <v>38</v>
      </c>
      <c r="F533" t="s">
        <v>20</v>
      </c>
      <c r="G533" t="s">
        <v>23</v>
      </c>
      <c r="H533" t="s">
        <v>317</v>
      </c>
      <c r="I533" t="s">
        <v>318</v>
      </c>
      <c r="J533" t="s">
        <v>319</v>
      </c>
      <c r="K533" t="s">
        <v>320</v>
      </c>
      <c r="L533" t="s">
        <v>3418</v>
      </c>
      <c r="M533" t="s">
        <v>32</v>
      </c>
      <c r="N533" t="s">
        <v>33</v>
      </c>
      <c r="O533" t="s">
        <v>34</v>
      </c>
      <c r="P533" t="s">
        <v>20</v>
      </c>
      <c r="Q533" t="s">
        <v>20</v>
      </c>
      <c r="R533" t="s">
        <v>321</v>
      </c>
      <c r="S533" t="s">
        <v>20</v>
      </c>
    </row>
    <row r="534" spans="1:19" x14ac:dyDescent="0.45">
      <c r="A534" t="s">
        <v>607</v>
      </c>
      <c r="B534" t="s">
        <v>20</v>
      </c>
      <c r="C534" t="s">
        <v>7111</v>
      </c>
      <c r="D534" t="s">
        <v>7112</v>
      </c>
      <c r="E534" t="s">
        <v>2487</v>
      </c>
      <c r="F534" t="s">
        <v>20</v>
      </c>
      <c r="G534" t="s">
        <v>23</v>
      </c>
      <c r="H534" t="s">
        <v>7113</v>
      </c>
      <c r="I534" t="s">
        <v>7114</v>
      </c>
      <c r="J534" t="s">
        <v>7115</v>
      </c>
      <c r="K534" t="s">
        <v>7116</v>
      </c>
      <c r="L534" t="s">
        <v>3418</v>
      </c>
      <c r="M534" t="s">
        <v>32</v>
      </c>
      <c r="N534" t="s">
        <v>62</v>
      </c>
      <c r="O534" t="s">
        <v>34</v>
      </c>
      <c r="P534" t="s">
        <v>20</v>
      </c>
      <c r="Q534" t="s">
        <v>20</v>
      </c>
      <c r="R534" t="s">
        <v>7117</v>
      </c>
      <c r="S534" t="s">
        <v>20</v>
      </c>
    </row>
    <row r="535" spans="1:19" x14ac:dyDescent="0.45">
      <c r="A535" t="s">
        <v>12382</v>
      </c>
      <c r="B535" t="s">
        <v>20</v>
      </c>
      <c r="C535" t="s">
        <v>2309</v>
      </c>
      <c r="D535" t="s">
        <v>2310</v>
      </c>
      <c r="E535" t="s">
        <v>57</v>
      </c>
      <c r="F535" t="s">
        <v>20</v>
      </c>
      <c r="G535" t="s">
        <v>23</v>
      </c>
      <c r="H535" t="s">
        <v>11275</v>
      </c>
      <c r="I535" t="s">
        <v>11276</v>
      </c>
      <c r="J535" t="s">
        <v>11277</v>
      </c>
      <c r="K535" t="s">
        <v>11278</v>
      </c>
      <c r="L535" t="s">
        <v>3418</v>
      </c>
      <c r="M535" t="s">
        <v>32</v>
      </c>
      <c r="N535" t="s">
        <v>62</v>
      </c>
      <c r="O535" t="s">
        <v>34</v>
      </c>
      <c r="P535" t="s">
        <v>20</v>
      </c>
      <c r="Q535" t="s">
        <v>20</v>
      </c>
      <c r="R535" t="s">
        <v>11279</v>
      </c>
      <c r="S535" t="s">
        <v>20</v>
      </c>
    </row>
    <row r="536" spans="1:19" x14ac:dyDescent="0.45">
      <c r="A536" t="s">
        <v>12382</v>
      </c>
      <c r="B536" t="s">
        <v>20</v>
      </c>
      <c r="C536" t="s">
        <v>11307</v>
      </c>
      <c r="D536" t="s">
        <v>11238</v>
      </c>
      <c r="E536" t="s">
        <v>57</v>
      </c>
      <c r="F536" t="s">
        <v>20</v>
      </c>
      <c r="G536" t="s">
        <v>23</v>
      </c>
      <c r="H536" t="s">
        <v>11308</v>
      </c>
      <c r="I536" t="s">
        <v>11309</v>
      </c>
      <c r="J536" t="s">
        <v>11310</v>
      </c>
      <c r="K536" t="s">
        <v>11311</v>
      </c>
      <c r="L536" t="s">
        <v>3418</v>
      </c>
      <c r="M536" t="s">
        <v>32</v>
      </c>
      <c r="N536" t="s">
        <v>62</v>
      </c>
      <c r="O536" t="s">
        <v>34</v>
      </c>
      <c r="P536" t="s">
        <v>20</v>
      </c>
      <c r="Q536" t="s">
        <v>20</v>
      </c>
      <c r="R536" t="s">
        <v>11312</v>
      </c>
      <c r="S536" t="s">
        <v>20</v>
      </c>
    </row>
    <row r="537" spans="1:19" x14ac:dyDescent="0.45">
      <c r="A537" t="s">
        <v>516</v>
      </c>
      <c r="B537" t="s">
        <v>20</v>
      </c>
      <c r="C537" t="s">
        <v>11751</v>
      </c>
      <c r="D537" t="s">
        <v>6070</v>
      </c>
      <c r="E537" t="s">
        <v>38</v>
      </c>
      <c r="F537" t="s">
        <v>20</v>
      </c>
      <c r="G537" t="s">
        <v>23</v>
      </c>
      <c r="H537" t="s">
        <v>11752</v>
      </c>
      <c r="I537" t="s">
        <v>11753</v>
      </c>
      <c r="J537" t="s">
        <v>12685</v>
      </c>
      <c r="K537" t="s">
        <v>12686</v>
      </c>
      <c r="L537" t="s">
        <v>6524</v>
      </c>
      <c r="M537" t="s">
        <v>12431</v>
      </c>
      <c r="N537" t="s">
        <v>33</v>
      </c>
      <c r="O537" t="s">
        <v>34</v>
      </c>
      <c r="P537" t="s">
        <v>20</v>
      </c>
      <c r="Q537" t="s">
        <v>20</v>
      </c>
      <c r="R537" t="s">
        <v>12687</v>
      </c>
      <c r="S537" t="s">
        <v>11754</v>
      </c>
    </row>
    <row r="538" spans="1:19" x14ac:dyDescent="0.45">
      <c r="A538" t="s">
        <v>6679</v>
      </c>
      <c r="B538" t="s">
        <v>20</v>
      </c>
      <c r="C538" t="s">
        <v>9511</v>
      </c>
      <c r="D538" t="s">
        <v>5952</v>
      </c>
      <c r="E538" t="s">
        <v>29</v>
      </c>
      <c r="F538" t="s">
        <v>20</v>
      </c>
      <c r="G538" t="s">
        <v>23</v>
      </c>
      <c r="H538" t="s">
        <v>14468</v>
      </c>
      <c r="I538" t="s">
        <v>14469</v>
      </c>
      <c r="J538" t="s">
        <v>14470</v>
      </c>
      <c r="K538" t="s">
        <v>14471</v>
      </c>
      <c r="L538" t="s">
        <v>6533</v>
      </c>
      <c r="M538" t="s">
        <v>416</v>
      </c>
      <c r="N538" t="s">
        <v>119</v>
      </c>
      <c r="O538" t="s">
        <v>34</v>
      </c>
      <c r="P538" t="s">
        <v>20</v>
      </c>
      <c r="Q538" t="s">
        <v>20</v>
      </c>
      <c r="R538" t="s">
        <v>14472</v>
      </c>
      <c r="S538" t="s">
        <v>20</v>
      </c>
    </row>
    <row r="539" spans="1:19" x14ac:dyDescent="0.45">
      <c r="A539" t="s">
        <v>12382</v>
      </c>
      <c r="B539" t="s">
        <v>20</v>
      </c>
      <c r="C539" t="s">
        <v>1066</v>
      </c>
      <c r="D539" t="s">
        <v>1067</v>
      </c>
      <c r="E539" t="s">
        <v>4007</v>
      </c>
      <c r="F539" t="s">
        <v>20</v>
      </c>
      <c r="G539" t="s">
        <v>23</v>
      </c>
      <c r="H539" t="s">
        <v>1068</v>
      </c>
      <c r="I539" t="s">
        <v>1069</v>
      </c>
      <c r="J539" t="s">
        <v>1070</v>
      </c>
      <c r="K539" t="s">
        <v>1071</v>
      </c>
      <c r="L539" t="s">
        <v>53</v>
      </c>
      <c r="M539" t="s">
        <v>136</v>
      </c>
      <c r="N539" t="s">
        <v>33</v>
      </c>
      <c r="O539" t="s">
        <v>34</v>
      </c>
      <c r="P539" t="s">
        <v>20</v>
      </c>
      <c r="Q539" t="s">
        <v>20</v>
      </c>
      <c r="R539" t="s">
        <v>1072</v>
      </c>
      <c r="S539" t="s">
        <v>20</v>
      </c>
    </row>
    <row r="540" spans="1:19" x14ac:dyDescent="0.45">
      <c r="A540" t="s">
        <v>133</v>
      </c>
      <c r="B540" t="s">
        <v>20</v>
      </c>
      <c r="C540" t="s">
        <v>9206</v>
      </c>
      <c r="D540" t="s">
        <v>9207</v>
      </c>
      <c r="E540" t="s">
        <v>38</v>
      </c>
      <c r="F540" t="s">
        <v>20</v>
      </c>
      <c r="G540" t="s">
        <v>23</v>
      </c>
      <c r="H540" t="s">
        <v>9208</v>
      </c>
      <c r="I540" t="s">
        <v>9209</v>
      </c>
      <c r="J540" t="s">
        <v>9210</v>
      </c>
      <c r="K540" t="s">
        <v>9211</v>
      </c>
      <c r="L540" t="s">
        <v>8109</v>
      </c>
      <c r="M540" t="s">
        <v>112</v>
      </c>
      <c r="N540" t="s">
        <v>113</v>
      </c>
      <c r="O540" t="s">
        <v>34</v>
      </c>
      <c r="P540" t="s">
        <v>20</v>
      </c>
      <c r="Q540" t="s">
        <v>20</v>
      </c>
      <c r="R540" t="s">
        <v>9212</v>
      </c>
      <c r="S540" t="s">
        <v>20</v>
      </c>
    </row>
    <row r="541" spans="1:19" x14ac:dyDescent="0.45">
      <c r="A541" t="s">
        <v>12382</v>
      </c>
      <c r="B541" t="s">
        <v>20</v>
      </c>
      <c r="C541" t="s">
        <v>912</v>
      </c>
      <c r="D541" t="s">
        <v>913</v>
      </c>
      <c r="E541" t="s">
        <v>38</v>
      </c>
      <c r="F541" t="s">
        <v>20</v>
      </c>
      <c r="G541" t="s">
        <v>23</v>
      </c>
      <c r="H541" t="s">
        <v>914</v>
      </c>
      <c r="I541" t="s">
        <v>915</v>
      </c>
      <c r="J541" t="s">
        <v>916</v>
      </c>
      <c r="K541" t="s">
        <v>917</v>
      </c>
      <c r="L541" t="s">
        <v>53</v>
      </c>
      <c r="M541" t="s">
        <v>136</v>
      </c>
      <c r="N541" t="s">
        <v>33</v>
      </c>
      <c r="O541" t="s">
        <v>34</v>
      </c>
      <c r="P541" t="s">
        <v>20</v>
      </c>
      <c r="Q541" t="s">
        <v>20</v>
      </c>
      <c r="R541" t="s">
        <v>918</v>
      </c>
      <c r="S541" t="s">
        <v>20</v>
      </c>
    </row>
    <row r="542" spans="1:19" x14ac:dyDescent="0.45">
      <c r="A542" t="s">
        <v>12382</v>
      </c>
      <c r="B542" t="s">
        <v>20</v>
      </c>
      <c r="C542" t="s">
        <v>4953</v>
      </c>
      <c r="D542" t="s">
        <v>4954</v>
      </c>
      <c r="E542" t="s">
        <v>57</v>
      </c>
      <c r="F542" t="s">
        <v>20</v>
      </c>
      <c r="G542" t="s">
        <v>23</v>
      </c>
      <c r="H542" t="s">
        <v>11603</v>
      </c>
      <c r="I542" t="s">
        <v>11604</v>
      </c>
      <c r="J542" t="s">
        <v>11605</v>
      </c>
      <c r="K542" t="s">
        <v>11606</v>
      </c>
      <c r="L542" t="s">
        <v>3418</v>
      </c>
      <c r="M542" t="s">
        <v>32</v>
      </c>
      <c r="N542" t="s">
        <v>62</v>
      </c>
      <c r="O542" t="s">
        <v>34</v>
      </c>
      <c r="P542" t="s">
        <v>20</v>
      </c>
      <c r="Q542" t="s">
        <v>20</v>
      </c>
      <c r="R542" t="s">
        <v>11607</v>
      </c>
      <c r="S542" t="s">
        <v>20</v>
      </c>
    </row>
    <row r="543" spans="1:19" x14ac:dyDescent="0.45">
      <c r="A543" t="s">
        <v>12382</v>
      </c>
      <c r="B543" t="s">
        <v>20</v>
      </c>
      <c r="C543" t="s">
        <v>2622</v>
      </c>
      <c r="D543" t="s">
        <v>2623</v>
      </c>
      <c r="E543" t="s">
        <v>117</v>
      </c>
      <c r="F543" t="s">
        <v>20</v>
      </c>
      <c r="G543" t="s">
        <v>23</v>
      </c>
      <c r="H543" t="s">
        <v>2624</v>
      </c>
      <c r="I543" t="s">
        <v>2625</v>
      </c>
      <c r="J543" t="s">
        <v>2626</v>
      </c>
      <c r="K543" t="s">
        <v>2627</v>
      </c>
      <c r="L543" t="s">
        <v>43</v>
      </c>
      <c r="M543" t="s">
        <v>32</v>
      </c>
      <c r="N543" t="s">
        <v>33</v>
      </c>
      <c r="O543" t="s">
        <v>34</v>
      </c>
      <c r="P543" t="s">
        <v>20</v>
      </c>
      <c r="Q543" t="s">
        <v>20</v>
      </c>
      <c r="R543" t="s">
        <v>2628</v>
      </c>
      <c r="S543" t="s">
        <v>20</v>
      </c>
    </row>
    <row r="544" spans="1:19" x14ac:dyDescent="0.45">
      <c r="A544" t="s">
        <v>6977</v>
      </c>
      <c r="B544" t="s">
        <v>20</v>
      </c>
      <c r="C544" t="s">
        <v>6978</v>
      </c>
      <c r="D544" t="s">
        <v>6186</v>
      </c>
      <c r="E544" t="s">
        <v>2487</v>
      </c>
      <c r="F544" t="s">
        <v>20</v>
      </c>
      <c r="G544" t="s">
        <v>23</v>
      </c>
      <c r="H544" t="s">
        <v>6979</v>
      </c>
      <c r="I544" t="s">
        <v>6980</v>
      </c>
      <c r="J544" t="s">
        <v>6981</v>
      </c>
      <c r="K544" t="s">
        <v>6982</v>
      </c>
      <c r="L544" t="s">
        <v>3418</v>
      </c>
      <c r="M544" t="s">
        <v>32</v>
      </c>
      <c r="N544" t="s">
        <v>62</v>
      </c>
      <c r="O544" t="s">
        <v>34</v>
      </c>
      <c r="P544" t="s">
        <v>20</v>
      </c>
      <c r="Q544" t="s">
        <v>20</v>
      </c>
      <c r="R544" t="s">
        <v>6983</v>
      </c>
      <c r="S544" t="s">
        <v>20</v>
      </c>
    </row>
    <row r="545" spans="1:19" x14ac:dyDescent="0.45">
      <c r="A545" t="s">
        <v>563</v>
      </c>
      <c r="B545" t="s">
        <v>20</v>
      </c>
      <c r="C545" t="s">
        <v>8001</v>
      </c>
      <c r="D545" t="s">
        <v>8002</v>
      </c>
      <c r="E545" t="s">
        <v>2487</v>
      </c>
      <c r="F545" t="s">
        <v>20</v>
      </c>
      <c r="G545" t="s">
        <v>23</v>
      </c>
      <c r="H545" t="s">
        <v>8003</v>
      </c>
      <c r="I545" t="s">
        <v>8004</v>
      </c>
      <c r="J545" t="s">
        <v>8005</v>
      </c>
      <c r="K545" t="s">
        <v>8006</v>
      </c>
      <c r="L545" t="s">
        <v>3418</v>
      </c>
      <c r="M545" t="s">
        <v>32</v>
      </c>
      <c r="N545" t="s">
        <v>62</v>
      </c>
      <c r="O545" t="s">
        <v>34</v>
      </c>
      <c r="P545" t="s">
        <v>20</v>
      </c>
      <c r="Q545" t="s">
        <v>20</v>
      </c>
      <c r="R545" t="s">
        <v>8007</v>
      </c>
      <c r="S545" t="s">
        <v>20</v>
      </c>
    </row>
    <row r="546" spans="1:19" x14ac:dyDescent="0.45">
      <c r="A546" t="s">
        <v>943</v>
      </c>
      <c r="B546" t="s">
        <v>20</v>
      </c>
      <c r="C546" t="s">
        <v>3434</v>
      </c>
      <c r="D546" t="s">
        <v>3435</v>
      </c>
      <c r="E546" t="s">
        <v>38</v>
      </c>
      <c r="F546" t="s">
        <v>20</v>
      </c>
      <c r="G546" t="s">
        <v>23</v>
      </c>
      <c r="H546" t="s">
        <v>10314</v>
      </c>
      <c r="I546" t="s">
        <v>10315</v>
      </c>
      <c r="J546" t="s">
        <v>10783</v>
      </c>
      <c r="K546" t="s">
        <v>10784</v>
      </c>
      <c r="L546" t="s">
        <v>10764</v>
      </c>
      <c r="M546" t="s">
        <v>32</v>
      </c>
      <c r="N546" t="s">
        <v>33</v>
      </c>
      <c r="O546" t="s">
        <v>34</v>
      </c>
      <c r="P546" t="s">
        <v>20</v>
      </c>
      <c r="Q546" t="s">
        <v>20</v>
      </c>
      <c r="R546" t="s">
        <v>10785</v>
      </c>
      <c r="S546" t="s">
        <v>10316</v>
      </c>
    </row>
    <row r="547" spans="1:19" x14ac:dyDescent="0.45">
      <c r="A547" t="s">
        <v>79</v>
      </c>
      <c r="B547" t="s">
        <v>20</v>
      </c>
      <c r="C547" t="s">
        <v>857</v>
      </c>
      <c r="D547" t="s">
        <v>858</v>
      </c>
      <c r="E547" t="s">
        <v>57</v>
      </c>
      <c r="F547" t="s">
        <v>20</v>
      </c>
      <c r="G547" t="s">
        <v>23</v>
      </c>
      <c r="H547" t="s">
        <v>11476</v>
      </c>
      <c r="I547" t="s">
        <v>11477</v>
      </c>
      <c r="J547" t="s">
        <v>11478</v>
      </c>
      <c r="K547" t="s">
        <v>11479</v>
      </c>
      <c r="L547" t="s">
        <v>3418</v>
      </c>
      <c r="M547" t="s">
        <v>32</v>
      </c>
      <c r="N547" t="s">
        <v>62</v>
      </c>
      <c r="O547" t="s">
        <v>34</v>
      </c>
      <c r="P547" t="s">
        <v>20</v>
      </c>
      <c r="Q547" t="s">
        <v>20</v>
      </c>
      <c r="R547" t="s">
        <v>11480</v>
      </c>
      <c r="S547" t="s">
        <v>20</v>
      </c>
    </row>
    <row r="548" spans="1:19" x14ac:dyDescent="0.45">
      <c r="A548" t="s">
        <v>3096</v>
      </c>
      <c r="B548" t="s">
        <v>20</v>
      </c>
      <c r="C548" t="s">
        <v>11043</v>
      </c>
      <c r="D548" t="s">
        <v>11044</v>
      </c>
      <c r="E548" t="s">
        <v>57</v>
      </c>
      <c r="F548" t="s">
        <v>20</v>
      </c>
      <c r="G548" t="s">
        <v>23</v>
      </c>
      <c r="H548" t="s">
        <v>11045</v>
      </c>
      <c r="I548" t="s">
        <v>11046</v>
      </c>
      <c r="J548" t="s">
        <v>11047</v>
      </c>
      <c r="K548" t="s">
        <v>11048</v>
      </c>
      <c r="L548" t="s">
        <v>3418</v>
      </c>
      <c r="M548" t="s">
        <v>3105</v>
      </c>
      <c r="N548" t="s">
        <v>62</v>
      </c>
      <c r="O548" t="s">
        <v>34</v>
      </c>
      <c r="P548" t="s">
        <v>20</v>
      </c>
      <c r="Q548" t="s">
        <v>20</v>
      </c>
      <c r="R548" t="s">
        <v>11049</v>
      </c>
      <c r="S548" t="s">
        <v>20</v>
      </c>
    </row>
    <row r="549" spans="1:19" x14ac:dyDescent="0.45">
      <c r="A549" t="s">
        <v>777</v>
      </c>
      <c r="B549" t="s">
        <v>20</v>
      </c>
      <c r="C549" t="s">
        <v>11557</v>
      </c>
      <c r="D549" t="s">
        <v>5963</v>
      </c>
      <c r="E549" t="s">
        <v>57</v>
      </c>
      <c r="F549" t="s">
        <v>20</v>
      </c>
      <c r="G549" t="s">
        <v>23</v>
      </c>
      <c r="H549" t="s">
        <v>11558</v>
      </c>
      <c r="I549" t="s">
        <v>11559</v>
      </c>
      <c r="J549" t="s">
        <v>11560</v>
      </c>
      <c r="K549" t="s">
        <v>11561</v>
      </c>
      <c r="L549" t="s">
        <v>3418</v>
      </c>
      <c r="M549" t="s">
        <v>32</v>
      </c>
      <c r="N549" t="s">
        <v>62</v>
      </c>
      <c r="O549" t="s">
        <v>34</v>
      </c>
      <c r="P549" t="s">
        <v>20</v>
      </c>
      <c r="Q549" t="s">
        <v>20</v>
      </c>
      <c r="R549" t="s">
        <v>11562</v>
      </c>
      <c r="S549" t="s">
        <v>20</v>
      </c>
    </row>
    <row r="550" spans="1:19" x14ac:dyDescent="0.45">
      <c r="A550" t="s">
        <v>269</v>
      </c>
      <c r="B550" t="s">
        <v>20</v>
      </c>
      <c r="C550" t="s">
        <v>625</v>
      </c>
      <c r="D550" t="s">
        <v>626</v>
      </c>
      <c r="E550" t="s">
        <v>57</v>
      </c>
      <c r="F550" t="s">
        <v>20</v>
      </c>
      <c r="G550" t="s">
        <v>23</v>
      </c>
      <c r="H550" t="s">
        <v>627</v>
      </c>
      <c r="I550" t="s">
        <v>628</v>
      </c>
      <c r="J550" t="s">
        <v>629</v>
      </c>
      <c r="K550" t="s">
        <v>630</v>
      </c>
      <c r="L550" t="s">
        <v>43</v>
      </c>
      <c r="M550" t="s">
        <v>32</v>
      </c>
      <c r="N550" t="s">
        <v>62</v>
      </c>
      <c r="O550" t="s">
        <v>34</v>
      </c>
      <c r="P550" t="s">
        <v>20</v>
      </c>
      <c r="Q550" t="s">
        <v>20</v>
      </c>
      <c r="R550" t="s">
        <v>253</v>
      </c>
      <c r="S550" t="s">
        <v>20</v>
      </c>
    </row>
    <row r="551" spans="1:19" x14ac:dyDescent="0.45">
      <c r="A551" t="s">
        <v>1027</v>
      </c>
      <c r="B551" t="s">
        <v>20</v>
      </c>
      <c r="C551" t="s">
        <v>4279</v>
      </c>
      <c r="D551" t="s">
        <v>4280</v>
      </c>
      <c r="E551" t="s">
        <v>57</v>
      </c>
      <c r="F551" t="s">
        <v>20</v>
      </c>
      <c r="G551" t="s">
        <v>23</v>
      </c>
      <c r="H551" t="s">
        <v>6490</v>
      </c>
      <c r="I551" t="s">
        <v>6550</v>
      </c>
      <c r="J551" t="s">
        <v>6551</v>
      </c>
      <c r="K551" t="s">
        <v>6552</v>
      </c>
      <c r="L551" t="s">
        <v>722</v>
      </c>
      <c r="M551" t="s">
        <v>32</v>
      </c>
      <c r="N551" t="s">
        <v>62</v>
      </c>
      <c r="O551" t="s">
        <v>34</v>
      </c>
      <c r="P551" t="s">
        <v>20</v>
      </c>
      <c r="Q551" t="s">
        <v>20</v>
      </c>
      <c r="R551" t="s">
        <v>253</v>
      </c>
      <c r="S551" t="s">
        <v>20</v>
      </c>
    </row>
    <row r="552" spans="1:19" x14ac:dyDescent="0.45">
      <c r="A552" t="s">
        <v>505</v>
      </c>
      <c r="B552" t="s">
        <v>20</v>
      </c>
      <c r="C552" t="s">
        <v>2480</v>
      </c>
      <c r="D552" t="s">
        <v>2481</v>
      </c>
      <c r="E552" t="s">
        <v>57</v>
      </c>
      <c r="F552" t="s">
        <v>20</v>
      </c>
      <c r="G552" t="s">
        <v>23</v>
      </c>
      <c r="H552" t="s">
        <v>6501</v>
      </c>
      <c r="I552" t="s">
        <v>6593</v>
      </c>
      <c r="J552" t="s">
        <v>6594</v>
      </c>
      <c r="K552" t="s">
        <v>6595</v>
      </c>
      <c r="L552" t="s">
        <v>722</v>
      </c>
      <c r="M552" t="s">
        <v>32</v>
      </c>
      <c r="N552" t="s">
        <v>62</v>
      </c>
      <c r="O552" t="s">
        <v>34</v>
      </c>
      <c r="P552" t="s">
        <v>20</v>
      </c>
      <c r="Q552" t="s">
        <v>20</v>
      </c>
      <c r="R552" t="s">
        <v>6596</v>
      </c>
      <c r="S552" t="s">
        <v>20</v>
      </c>
    </row>
    <row r="553" spans="1:19" x14ac:dyDescent="0.45">
      <c r="A553" t="s">
        <v>35</v>
      </c>
      <c r="B553" t="s">
        <v>20</v>
      </c>
      <c r="C553" t="s">
        <v>2599</v>
      </c>
      <c r="D553" t="s">
        <v>2600</v>
      </c>
      <c r="E553" t="s">
        <v>38</v>
      </c>
      <c r="F553" t="s">
        <v>20</v>
      </c>
      <c r="G553" t="s">
        <v>23</v>
      </c>
      <c r="H553" t="s">
        <v>2601</v>
      </c>
      <c r="I553" t="s">
        <v>2602</v>
      </c>
      <c r="J553" t="s">
        <v>2603</v>
      </c>
      <c r="K553" t="s">
        <v>2604</v>
      </c>
      <c r="L553" t="s">
        <v>43</v>
      </c>
      <c r="M553" t="s">
        <v>32</v>
      </c>
      <c r="N553" t="s">
        <v>33</v>
      </c>
      <c r="O553" t="s">
        <v>34</v>
      </c>
      <c r="P553" t="s">
        <v>20</v>
      </c>
      <c r="Q553" t="s">
        <v>20</v>
      </c>
      <c r="R553" t="s">
        <v>2605</v>
      </c>
      <c r="S553" t="s">
        <v>2606</v>
      </c>
    </row>
    <row r="554" spans="1:19" x14ac:dyDescent="0.45">
      <c r="A554" t="s">
        <v>79</v>
      </c>
      <c r="B554" t="s">
        <v>20</v>
      </c>
      <c r="C554" t="s">
        <v>14327</v>
      </c>
      <c r="D554" t="s">
        <v>80</v>
      </c>
      <c r="E554" t="s">
        <v>38</v>
      </c>
      <c r="F554" t="s">
        <v>20</v>
      </c>
      <c r="G554" t="s">
        <v>23</v>
      </c>
      <c r="H554" t="s">
        <v>14473</v>
      </c>
      <c r="I554" t="s">
        <v>14360</v>
      </c>
      <c r="J554" t="s">
        <v>14474</v>
      </c>
      <c r="K554" t="s">
        <v>14475</v>
      </c>
      <c r="L554" t="s">
        <v>6525</v>
      </c>
      <c r="M554" t="s">
        <v>538</v>
      </c>
      <c r="N554" t="s">
        <v>119</v>
      </c>
      <c r="O554" t="s">
        <v>34</v>
      </c>
      <c r="P554" t="s">
        <v>20</v>
      </c>
      <c r="Q554" t="s">
        <v>20</v>
      </c>
      <c r="R554" t="s">
        <v>14476</v>
      </c>
      <c r="S554" t="s">
        <v>14477</v>
      </c>
    </row>
    <row r="555" spans="1:19" x14ac:dyDescent="0.45">
      <c r="A555" t="s">
        <v>505</v>
      </c>
      <c r="B555" t="s">
        <v>20</v>
      </c>
      <c r="C555" t="s">
        <v>1622</v>
      </c>
      <c r="D555" t="s">
        <v>1623</v>
      </c>
      <c r="E555" t="s">
        <v>57</v>
      </c>
      <c r="F555" t="s">
        <v>20</v>
      </c>
      <c r="G555" t="s">
        <v>23</v>
      </c>
      <c r="H555" t="s">
        <v>6497</v>
      </c>
      <c r="I555" t="s">
        <v>6514</v>
      </c>
      <c r="J555" t="s">
        <v>6597</v>
      </c>
      <c r="K555" t="s">
        <v>6598</v>
      </c>
      <c r="L555" t="s">
        <v>722</v>
      </c>
      <c r="M555" t="s">
        <v>32</v>
      </c>
      <c r="N555" t="s">
        <v>62</v>
      </c>
      <c r="O555" t="s">
        <v>34</v>
      </c>
      <c r="P555" t="s">
        <v>20</v>
      </c>
      <c r="Q555" t="s">
        <v>20</v>
      </c>
      <c r="R555" t="s">
        <v>253</v>
      </c>
      <c r="S555" t="s">
        <v>20</v>
      </c>
    </row>
    <row r="556" spans="1:19" x14ac:dyDescent="0.45">
      <c r="A556" t="s">
        <v>261</v>
      </c>
      <c r="B556" t="s">
        <v>20</v>
      </c>
      <c r="C556" t="s">
        <v>7773</v>
      </c>
      <c r="D556" t="s">
        <v>7774</v>
      </c>
      <c r="E556" t="s">
        <v>2487</v>
      </c>
      <c r="F556" t="s">
        <v>20</v>
      </c>
      <c r="G556" t="s">
        <v>23</v>
      </c>
      <c r="H556" t="s">
        <v>7775</v>
      </c>
      <c r="I556" t="s">
        <v>7776</v>
      </c>
      <c r="J556" t="s">
        <v>7777</v>
      </c>
      <c r="K556" t="s">
        <v>7778</v>
      </c>
      <c r="L556" t="s">
        <v>3418</v>
      </c>
      <c r="M556" t="s">
        <v>32</v>
      </c>
      <c r="N556" t="s">
        <v>62</v>
      </c>
      <c r="O556" t="s">
        <v>34</v>
      </c>
      <c r="P556" t="s">
        <v>20</v>
      </c>
      <c r="Q556" t="s">
        <v>20</v>
      </c>
      <c r="R556" t="s">
        <v>7779</v>
      </c>
      <c r="S556" t="s">
        <v>20</v>
      </c>
    </row>
    <row r="557" spans="1:19" x14ac:dyDescent="0.45">
      <c r="A557" t="s">
        <v>395</v>
      </c>
      <c r="B557" t="s">
        <v>20</v>
      </c>
      <c r="C557" t="s">
        <v>7744</v>
      </c>
      <c r="D557" t="s">
        <v>7745</v>
      </c>
      <c r="E557" t="s">
        <v>2487</v>
      </c>
      <c r="F557" t="s">
        <v>20</v>
      </c>
      <c r="G557" t="s">
        <v>23</v>
      </c>
      <c r="H557" t="s">
        <v>7746</v>
      </c>
      <c r="I557" t="s">
        <v>7747</v>
      </c>
      <c r="J557" t="s">
        <v>7748</v>
      </c>
      <c r="K557" t="s">
        <v>7749</v>
      </c>
      <c r="L557" t="s">
        <v>9126</v>
      </c>
      <c r="M557" t="s">
        <v>132</v>
      </c>
      <c r="N557" t="s">
        <v>62</v>
      </c>
      <c r="O557" t="s">
        <v>34</v>
      </c>
      <c r="P557" t="s">
        <v>20</v>
      </c>
      <c r="Q557" t="s">
        <v>20</v>
      </c>
      <c r="R557" t="s">
        <v>7750</v>
      </c>
      <c r="S557" t="s">
        <v>20</v>
      </c>
    </row>
    <row r="558" spans="1:19" x14ac:dyDescent="0.45">
      <c r="A558" t="s">
        <v>276</v>
      </c>
      <c r="B558" t="s">
        <v>20</v>
      </c>
      <c r="C558" t="s">
        <v>277</v>
      </c>
      <c r="D558" t="s">
        <v>278</v>
      </c>
      <c r="E558" t="s">
        <v>38</v>
      </c>
      <c r="F558" t="s">
        <v>20</v>
      </c>
      <c r="G558" t="s">
        <v>23</v>
      </c>
      <c r="H558" t="s">
        <v>279</v>
      </c>
      <c r="I558" t="s">
        <v>280</v>
      </c>
      <c r="J558" t="s">
        <v>281</v>
      </c>
      <c r="K558" t="s">
        <v>282</v>
      </c>
      <c r="L558" t="s">
        <v>101</v>
      </c>
      <c r="M558" t="s">
        <v>112</v>
      </c>
      <c r="N558" t="s">
        <v>62</v>
      </c>
      <c r="O558" t="s">
        <v>34</v>
      </c>
      <c r="P558" t="s">
        <v>20</v>
      </c>
      <c r="Q558" t="s">
        <v>20</v>
      </c>
      <c r="R558" t="s">
        <v>283</v>
      </c>
      <c r="S558" t="s">
        <v>20</v>
      </c>
    </row>
    <row r="559" spans="1:19" x14ac:dyDescent="0.45">
      <c r="A559" t="s">
        <v>211</v>
      </c>
      <c r="B559" t="s">
        <v>20</v>
      </c>
      <c r="C559" t="s">
        <v>2176</v>
      </c>
      <c r="D559" t="s">
        <v>2177</v>
      </c>
      <c r="E559" t="s">
        <v>38</v>
      </c>
      <c r="F559" t="s">
        <v>20</v>
      </c>
      <c r="G559" t="s">
        <v>23</v>
      </c>
      <c r="H559" t="s">
        <v>11769</v>
      </c>
      <c r="I559" t="s">
        <v>11770</v>
      </c>
      <c r="J559" t="s">
        <v>11771</v>
      </c>
      <c r="K559" t="s">
        <v>11772</v>
      </c>
      <c r="L559" t="s">
        <v>3998</v>
      </c>
      <c r="M559" t="s">
        <v>102</v>
      </c>
      <c r="N559" t="s">
        <v>146</v>
      </c>
      <c r="O559" t="s">
        <v>34</v>
      </c>
      <c r="P559" t="s">
        <v>20</v>
      </c>
      <c r="Q559" t="s">
        <v>20</v>
      </c>
      <c r="R559" t="s">
        <v>11773</v>
      </c>
      <c r="S559" t="s">
        <v>20</v>
      </c>
    </row>
    <row r="560" spans="1:19" x14ac:dyDescent="0.45">
      <c r="A560" t="s">
        <v>386</v>
      </c>
      <c r="B560" t="s">
        <v>20</v>
      </c>
      <c r="C560" t="s">
        <v>387</v>
      </c>
      <c r="D560" t="s">
        <v>388</v>
      </c>
      <c r="E560" t="s">
        <v>57</v>
      </c>
      <c r="F560" t="s">
        <v>20</v>
      </c>
      <c r="G560" t="s">
        <v>23</v>
      </c>
      <c r="H560" t="s">
        <v>7051</v>
      </c>
      <c r="I560" t="s">
        <v>7052</v>
      </c>
      <c r="J560" t="s">
        <v>7053</v>
      </c>
      <c r="K560" t="s">
        <v>7054</v>
      </c>
      <c r="L560" t="s">
        <v>14478</v>
      </c>
      <c r="M560" t="s">
        <v>32</v>
      </c>
      <c r="N560" t="s">
        <v>45</v>
      </c>
      <c r="O560" t="s">
        <v>34</v>
      </c>
      <c r="P560" t="s">
        <v>20</v>
      </c>
      <c r="Q560" t="s">
        <v>20</v>
      </c>
      <c r="R560" t="s">
        <v>7055</v>
      </c>
      <c r="S560" t="s">
        <v>20</v>
      </c>
    </row>
    <row r="561" spans="1:19" x14ac:dyDescent="0.45">
      <c r="A561" t="s">
        <v>120</v>
      </c>
      <c r="B561" t="s">
        <v>20</v>
      </c>
      <c r="C561" t="s">
        <v>12691</v>
      </c>
      <c r="D561" t="s">
        <v>12083</v>
      </c>
      <c r="E561" t="s">
        <v>57</v>
      </c>
      <c r="F561" t="s">
        <v>20</v>
      </c>
      <c r="G561" t="s">
        <v>23</v>
      </c>
      <c r="H561" t="s">
        <v>12692</v>
      </c>
      <c r="I561" t="s">
        <v>12693</v>
      </c>
      <c r="J561" t="s">
        <v>12694</v>
      </c>
      <c r="K561" t="s">
        <v>12695</v>
      </c>
      <c r="L561" t="s">
        <v>3418</v>
      </c>
      <c r="M561" t="s">
        <v>102</v>
      </c>
      <c r="N561" t="s">
        <v>62</v>
      </c>
      <c r="O561" t="s">
        <v>34</v>
      </c>
      <c r="P561" t="s">
        <v>20</v>
      </c>
      <c r="Q561" t="s">
        <v>20</v>
      </c>
      <c r="R561" t="s">
        <v>12696</v>
      </c>
      <c r="S561" t="s">
        <v>20</v>
      </c>
    </row>
    <row r="562" spans="1:19" x14ac:dyDescent="0.45">
      <c r="A562" t="s">
        <v>114</v>
      </c>
      <c r="B562" t="s">
        <v>20</v>
      </c>
      <c r="C562" t="s">
        <v>7387</v>
      </c>
      <c r="D562" t="s">
        <v>7388</v>
      </c>
      <c r="E562" t="s">
        <v>2487</v>
      </c>
      <c r="F562" t="s">
        <v>20</v>
      </c>
      <c r="G562" t="s">
        <v>23</v>
      </c>
      <c r="H562" t="s">
        <v>7389</v>
      </c>
      <c r="I562" t="s">
        <v>7390</v>
      </c>
      <c r="J562" t="s">
        <v>7391</v>
      </c>
      <c r="K562" t="s">
        <v>7392</v>
      </c>
      <c r="L562" t="s">
        <v>3418</v>
      </c>
      <c r="M562" t="s">
        <v>32</v>
      </c>
      <c r="N562" t="s">
        <v>62</v>
      </c>
      <c r="O562" t="s">
        <v>34</v>
      </c>
      <c r="P562" t="s">
        <v>20</v>
      </c>
      <c r="Q562" t="s">
        <v>20</v>
      </c>
      <c r="R562" t="s">
        <v>7393</v>
      </c>
      <c r="S562" t="s">
        <v>20</v>
      </c>
    </row>
    <row r="563" spans="1:19" x14ac:dyDescent="0.45">
      <c r="A563" t="s">
        <v>1613</v>
      </c>
      <c r="B563" t="s">
        <v>20</v>
      </c>
      <c r="C563" t="s">
        <v>2234</v>
      </c>
      <c r="D563" t="s">
        <v>2235</v>
      </c>
      <c r="E563" t="s">
        <v>38</v>
      </c>
      <c r="F563" t="s">
        <v>20</v>
      </c>
      <c r="G563" t="s">
        <v>23</v>
      </c>
      <c r="H563" t="s">
        <v>2236</v>
      </c>
      <c r="I563" t="s">
        <v>2237</v>
      </c>
      <c r="J563" t="s">
        <v>2238</v>
      </c>
      <c r="K563" t="s">
        <v>2239</v>
      </c>
      <c r="L563" t="s">
        <v>31</v>
      </c>
      <c r="M563" t="s">
        <v>32</v>
      </c>
      <c r="N563" t="s">
        <v>33</v>
      </c>
      <c r="O563" t="s">
        <v>34</v>
      </c>
      <c r="P563" t="s">
        <v>20</v>
      </c>
      <c r="Q563" t="s">
        <v>20</v>
      </c>
      <c r="R563" t="s">
        <v>2240</v>
      </c>
      <c r="S563" t="s">
        <v>2241</v>
      </c>
    </row>
    <row r="564" spans="1:19" x14ac:dyDescent="0.45">
      <c r="A564" t="s">
        <v>261</v>
      </c>
      <c r="B564" t="s">
        <v>20</v>
      </c>
      <c r="C564" t="s">
        <v>262</v>
      </c>
      <c r="D564" t="s">
        <v>263</v>
      </c>
      <c r="E564" t="s">
        <v>29</v>
      </c>
      <c r="F564" t="s">
        <v>20</v>
      </c>
      <c r="G564" t="s">
        <v>23</v>
      </c>
      <c r="H564" t="s">
        <v>264</v>
      </c>
      <c r="I564" t="s">
        <v>265</v>
      </c>
      <c r="J564" t="s">
        <v>266</v>
      </c>
      <c r="K564" t="s">
        <v>267</v>
      </c>
      <c r="L564" t="s">
        <v>9619</v>
      </c>
      <c r="M564" t="s">
        <v>32</v>
      </c>
      <c r="N564" t="s">
        <v>62</v>
      </c>
      <c r="O564" t="s">
        <v>34</v>
      </c>
      <c r="P564" t="s">
        <v>20</v>
      </c>
      <c r="Q564" t="s">
        <v>20</v>
      </c>
      <c r="R564" t="s">
        <v>268</v>
      </c>
      <c r="S564" t="s">
        <v>20</v>
      </c>
    </row>
    <row r="565" spans="1:19" x14ac:dyDescent="0.45">
      <c r="A565" t="s">
        <v>1027</v>
      </c>
      <c r="B565" t="s">
        <v>20</v>
      </c>
      <c r="C565" t="s">
        <v>2373</v>
      </c>
      <c r="D565" t="s">
        <v>2374</v>
      </c>
      <c r="E565" t="s">
        <v>57</v>
      </c>
      <c r="F565" t="s">
        <v>20</v>
      </c>
      <c r="G565" t="s">
        <v>23</v>
      </c>
      <c r="H565" t="s">
        <v>6503</v>
      </c>
      <c r="I565" t="s">
        <v>6516</v>
      </c>
      <c r="J565" t="s">
        <v>6599</v>
      </c>
      <c r="K565" t="s">
        <v>6600</v>
      </c>
      <c r="L565" t="s">
        <v>722</v>
      </c>
      <c r="M565" t="s">
        <v>32</v>
      </c>
      <c r="N565" t="s">
        <v>62</v>
      </c>
      <c r="O565" t="s">
        <v>34</v>
      </c>
      <c r="P565" t="s">
        <v>20</v>
      </c>
      <c r="Q565" t="s">
        <v>20</v>
      </c>
      <c r="R565" t="s">
        <v>253</v>
      </c>
      <c r="S565" t="s">
        <v>20</v>
      </c>
    </row>
    <row r="566" spans="1:19" x14ac:dyDescent="0.45">
      <c r="A566" t="s">
        <v>515</v>
      </c>
      <c r="B566" t="s">
        <v>20</v>
      </c>
      <c r="C566" t="s">
        <v>13221</v>
      </c>
      <c r="D566" t="s">
        <v>6281</v>
      </c>
      <c r="E566" t="s">
        <v>38</v>
      </c>
      <c r="F566" t="s">
        <v>20</v>
      </c>
      <c r="G566" t="s">
        <v>23</v>
      </c>
      <c r="H566" t="s">
        <v>13222</v>
      </c>
      <c r="I566" t="s">
        <v>13223</v>
      </c>
      <c r="J566" t="s">
        <v>13224</v>
      </c>
      <c r="K566" t="s">
        <v>13225</v>
      </c>
      <c r="L566" t="s">
        <v>3418</v>
      </c>
      <c r="M566" t="s">
        <v>132</v>
      </c>
      <c r="N566" t="s">
        <v>195</v>
      </c>
      <c r="O566" t="s">
        <v>34</v>
      </c>
      <c r="P566" t="s">
        <v>20</v>
      </c>
      <c r="Q566" t="s">
        <v>20</v>
      </c>
      <c r="R566" t="s">
        <v>13226</v>
      </c>
      <c r="S566" t="s">
        <v>20</v>
      </c>
    </row>
    <row r="567" spans="1:19" x14ac:dyDescent="0.45">
      <c r="A567" t="s">
        <v>26</v>
      </c>
      <c r="B567" t="s">
        <v>20</v>
      </c>
      <c r="C567" t="s">
        <v>389</v>
      </c>
      <c r="D567" t="s">
        <v>390</v>
      </c>
      <c r="E567" t="s">
        <v>38</v>
      </c>
      <c r="F567" t="s">
        <v>20</v>
      </c>
      <c r="G567" t="s">
        <v>23</v>
      </c>
      <c r="H567" t="s">
        <v>391</v>
      </c>
      <c r="I567" t="s">
        <v>392</v>
      </c>
      <c r="J567" t="s">
        <v>393</v>
      </c>
      <c r="K567" t="s">
        <v>394</v>
      </c>
      <c r="L567" t="s">
        <v>101</v>
      </c>
      <c r="M567" t="s">
        <v>205</v>
      </c>
      <c r="N567" t="s">
        <v>62</v>
      </c>
      <c r="O567" t="s">
        <v>34</v>
      </c>
      <c r="P567" t="s">
        <v>20</v>
      </c>
      <c r="Q567" t="s">
        <v>20</v>
      </c>
      <c r="R567" t="s">
        <v>206</v>
      </c>
      <c r="S567" t="s">
        <v>20</v>
      </c>
    </row>
    <row r="568" spans="1:19" x14ac:dyDescent="0.45">
      <c r="A568" t="s">
        <v>81</v>
      </c>
      <c r="B568" t="s">
        <v>20</v>
      </c>
      <c r="C568" t="s">
        <v>1499</v>
      </c>
      <c r="D568" t="s">
        <v>1500</v>
      </c>
      <c r="E568" t="s">
        <v>38</v>
      </c>
      <c r="F568" t="s">
        <v>20</v>
      </c>
      <c r="G568" t="s">
        <v>23</v>
      </c>
      <c r="H568" t="s">
        <v>10381</v>
      </c>
      <c r="I568" t="s">
        <v>10382</v>
      </c>
      <c r="J568" t="s">
        <v>11141</v>
      </c>
      <c r="K568" t="s">
        <v>11142</v>
      </c>
      <c r="L568" t="s">
        <v>9570</v>
      </c>
      <c r="M568" t="s">
        <v>32</v>
      </c>
      <c r="N568" t="s">
        <v>33</v>
      </c>
      <c r="O568" t="s">
        <v>34</v>
      </c>
      <c r="P568" t="s">
        <v>20</v>
      </c>
      <c r="Q568" t="s">
        <v>20</v>
      </c>
      <c r="R568" t="s">
        <v>11143</v>
      </c>
      <c r="S568" t="s">
        <v>10383</v>
      </c>
    </row>
    <row r="569" spans="1:19" x14ac:dyDescent="0.45">
      <c r="A569" t="s">
        <v>729</v>
      </c>
      <c r="B569" t="s">
        <v>20</v>
      </c>
      <c r="C569" t="s">
        <v>730</v>
      </c>
      <c r="D569" t="s">
        <v>731</v>
      </c>
      <c r="E569" t="s">
        <v>57</v>
      </c>
      <c r="F569" t="s">
        <v>20</v>
      </c>
      <c r="G569" t="s">
        <v>23</v>
      </c>
      <c r="H569" t="s">
        <v>732</v>
      </c>
      <c r="I569" t="s">
        <v>733</v>
      </c>
      <c r="J569" t="s">
        <v>734</v>
      </c>
      <c r="K569" t="s">
        <v>735</v>
      </c>
      <c r="L569" t="s">
        <v>3418</v>
      </c>
      <c r="M569" t="s">
        <v>102</v>
      </c>
      <c r="N569" t="s">
        <v>33</v>
      </c>
      <c r="O569" t="s">
        <v>34</v>
      </c>
      <c r="P569" t="s">
        <v>20</v>
      </c>
      <c r="Q569" t="s">
        <v>20</v>
      </c>
      <c r="R569" t="s">
        <v>736</v>
      </c>
      <c r="S569" t="s">
        <v>20</v>
      </c>
    </row>
    <row r="570" spans="1:19" x14ac:dyDescent="0.45">
      <c r="A570" t="s">
        <v>211</v>
      </c>
      <c r="B570" t="s">
        <v>20</v>
      </c>
      <c r="C570" t="s">
        <v>636</v>
      </c>
      <c r="D570" t="s">
        <v>637</v>
      </c>
      <c r="E570" t="s">
        <v>38</v>
      </c>
      <c r="F570" t="s">
        <v>20</v>
      </c>
      <c r="G570" t="s">
        <v>23</v>
      </c>
      <c r="H570" t="s">
        <v>14479</v>
      </c>
      <c r="I570" t="s">
        <v>14480</v>
      </c>
      <c r="J570" t="s">
        <v>14481</v>
      </c>
      <c r="K570" t="s">
        <v>14482</v>
      </c>
      <c r="L570" t="s">
        <v>9126</v>
      </c>
      <c r="M570" t="s">
        <v>112</v>
      </c>
      <c r="N570" t="s">
        <v>146</v>
      </c>
      <c r="O570" t="s">
        <v>34</v>
      </c>
      <c r="P570" t="s">
        <v>20</v>
      </c>
      <c r="Q570" t="s">
        <v>20</v>
      </c>
      <c r="R570" t="s">
        <v>14483</v>
      </c>
      <c r="S570" t="s">
        <v>20</v>
      </c>
    </row>
    <row r="571" spans="1:19" x14ac:dyDescent="0.45">
      <c r="A571" t="s">
        <v>64</v>
      </c>
      <c r="B571" t="s">
        <v>20</v>
      </c>
      <c r="C571" t="s">
        <v>148</v>
      </c>
      <c r="D571" t="s">
        <v>149</v>
      </c>
      <c r="E571" t="s">
        <v>38</v>
      </c>
      <c r="F571" t="s">
        <v>20</v>
      </c>
      <c r="G571" t="s">
        <v>23</v>
      </c>
      <c r="H571" t="s">
        <v>12153</v>
      </c>
      <c r="I571" t="s">
        <v>12154</v>
      </c>
      <c r="J571" t="s">
        <v>12464</v>
      </c>
      <c r="K571" t="s">
        <v>12465</v>
      </c>
      <c r="L571" t="s">
        <v>6524</v>
      </c>
      <c r="M571" t="s">
        <v>12431</v>
      </c>
      <c r="N571" t="s">
        <v>33</v>
      </c>
      <c r="O571" t="s">
        <v>34</v>
      </c>
      <c r="P571" t="s">
        <v>20</v>
      </c>
      <c r="Q571" t="s">
        <v>20</v>
      </c>
      <c r="R571" t="s">
        <v>12466</v>
      </c>
      <c r="S571" t="s">
        <v>12155</v>
      </c>
    </row>
    <row r="572" spans="1:19" x14ac:dyDescent="0.45">
      <c r="A572" t="s">
        <v>563</v>
      </c>
      <c r="B572" t="s">
        <v>20</v>
      </c>
      <c r="C572" t="s">
        <v>3683</v>
      </c>
      <c r="D572" t="s">
        <v>3684</v>
      </c>
      <c r="E572" t="s">
        <v>57</v>
      </c>
      <c r="F572" t="s">
        <v>20</v>
      </c>
      <c r="G572" t="s">
        <v>23</v>
      </c>
      <c r="H572" t="s">
        <v>8027</v>
      </c>
      <c r="I572" t="s">
        <v>8028</v>
      </c>
      <c r="J572" t="s">
        <v>8029</v>
      </c>
      <c r="K572" t="s">
        <v>8030</v>
      </c>
      <c r="L572" t="s">
        <v>9155</v>
      </c>
      <c r="M572" t="s">
        <v>32</v>
      </c>
      <c r="N572" t="s">
        <v>62</v>
      </c>
      <c r="O572" t="s">
        <v>34</v>
      </c>
      <c r="P572" t="s">
        <v>20</v>
      </c>
      <c r="Q572" t="s">
        <v>20</v>
      </c>
      <c r="R572" t="s">
        <v>7060</v>
      </c>
      <c r="S572" t="s">
        <v>20</v>
      </c>
    </row>
    <row r="573" spans="1:19" x14ac:dyDescent="0.45">
      <c r="A573" t="s">
        <v>1027</v>
      </c>
      <c r="B573" t="s">
        <v>20</v>
      </c>
      <c r="C573" t="s">
        <v>1028</v>
      </c>
      <c r="D573" t="s">
        <v>1029</v>
      </c>
      <c r="E573" t="s">
        <v>38</v>
      </c>
      <c r="F573" t="s">
        <v>20</v>
      </c>
      <c r="G573" t="s">
        <v>23</v>
      </c>
      <c r="H573" t="s">
        <v>1030</v>
      </c>
      <c r="I573" t="s">
        <v>1031</v>
      </c>
      <c r="J573" t="s">
        <v>1032</v>
      </c>
      <c r="K573" t="s">
        <v>1033</v>
      </c>
      <c r="L573" t="s">
        <v>209</v>
      </c>
      <c r="M573" t="s">
        <v>32</v>
      </c>
      <c r="N573" t="s">
        <v>33</v>
      </c>
      <c r="O573" t="s">
        <v>34</v>
      </c>
      <c r="P573" t="s">
        <v>20</v>
      </c>
      <c r="Q573" t="s">
        <v>20</v>
      </c>
      <c r="R573" t="s">
        <v>1034</v>
      </c>
      <c r="S573" t="s">
        <v>20</v>
      </c>
    </row>
    <row r="574" spans="1:19" x14ac:dyDescent="0.45">
      <c r="A574" t="s">
        <v>335</v>
      </c>
      <c r="B574" t="s">
        <v>20</v>
      </c>
      <c r="C574" t="s">
        <v>1008</v>
      </c>
      <c r="D574" t="s">
        <v>1009</v>
      </c>
      <c r="E574" t="s">
        <v>38</v>
      </c>
      <c r="F574" t="s">
        <v>20</v>
      </c>
      <c r="G574" t="s">
        <v>23</v>
      </c>
      <c r="H574" t="s">
        <v>1010</v>
      </c>
      <c r="I574" t="s">
        <v>1011</v>
      </c>
      <c r="J574" t="s">
        <v>1012</v>
      </c>
      <c r="K574" t="s">
        <v>1013</v>
      </c>
      <c r="L574" t="s">
        <v>31</v>
      </c>
      <c r="M574" t="s">
        <v>32</v>
      </c>
      <c r="N574" t="s">
        <v>33</v>
      </c>
      <c r="O574" t="s">
        <v>34</v>
      </c>
      <c r="P574" t="s">
        <v>20</v>
      </c>
      <c r="Q574" t="s">
        <v>20</v>
      </c>
      <c r="R574" t="s">
        <v>1014</v>
      </c>
      <c r="S574" t="s">
        <v>1015</v>
      </c>
    </row>
    <row r="575" spans="1:19" x14ac:dyDescent="0.45">
      <c r="A575" t="s">
        <v>525</v>
      </c>
      <c r="B575" t="s">
        <v>20</v>
      </c>
      <c r="C575" t="s">
        <v>526</v>
      </c>
      <c r="D575" t="s">
        <v>527</v>
      </c>
      <c r="E575" t="s">
        <v>38</v>
      </c>
      <c r="F575" t="s">
        <v>20</v>
      </c>
      <c r="G575" t="s">
        <v>23</v>
      </c>
      <c r="H575" t="s">
        <v>13852</v>
      </c>
      <c r="I575" t="s">
        <v>13853</v>
      </c>
      <c r="J575" t="s">
        <v>13854</v>
      </c>
      <c r="K575" t="s">
        <v>13855</v>
      </c>
      <c r="L575" t="s">
        <v>9683</v>
      </c>
      <c r="M575" t="s">
        <v>112</v>
      </c>
      <c r="N575" t="s">
        <v>195</v>
      </c>
      <c r="O575" t="s">
        <v>34</v>
      </c>
      <c r="P575" t="s">
        <v>20</v>
      </c>
      <c r="Q575" t="s">
        <v>20</v>
      </c>
      <c r="R575" t="s">
        <v>13856</v>
      </c>
      <c r="S575" t="s">
        <v>20</v>
      </c>
    </row>
    <row r="576" spans="1:19" x14ac:dyDescent="0.45">
      <c r="A576" t="s">
        <v>239</v>
      </c>
      <c r="B576" t="s">
        <v>20</v>
      </c>
      <c r="C576" t="s">
        <v>7512</v>
      </c>
      <c r="D576" t="s">
        <v>7513</v>
      </c>
      <c r="E576" t="s">
        <v>2487</v>
      </c>
      <c r="F576" t="s">
        <v>20</v>
      </c>
      <c r="G576" t="s">
        <v>23</v>
      </c>
      <c r="H576" t="s">
        <v>7514</v>
      </c>
      <c r="I576" t="s">
        <v>7515</v>
      </c>
      <c r="J576" t="s">
        <v>7516</v>
      </c>
      <c r="K576" t="s">
        <v>7517</v>
      </c>
      <c r="L576" t="s">
        <v>3418</v>
      </c>
      <c r="M576" t="s">
        <v>32</v>
      </c>
      <c r="N576" t="s">
        <v>62</v>
      </c>
      <c r="O576" t="s">
        <v>34</v>
      </c>
      <c r="P576" t="s">
        <v>20</v>
      </c>
      <c r="Q576" t="s">
        <v>20</v>
      </c>
      <c r="R576" t="s">
        <v>7518</v>
      </c>
      <c r="S576" t="s">
        <v>20</v>
      </c>
    </row>
    <row r="577" spans="1:19" x14ac:dyDescent="0.45">
      <c r="A577" t="s">
        <v>85</v>
      </c>
      <c r="B577" t="s">
        <v>20</v>
      </c>
      <c r="C577" t="s">
        <v>2616</v>
      </c>
      <c r="D577" t="s">
        <v>2617</v>
      </c>
      <c r="E577" t="s">
        <v>57</v>
      </c>
      <c r="F577" t="s">
        <v>20</v>
      </c>
      <c r="G577" t="s">
        <v>23</v>
      </c>
      <c r="H577" t="s">
        <v>2618</v>
      </c>
      <c r="I577" t="s">
        <v>2619</v>
      </c>
      <c r="J577" t="s">
        <v>2620</v>
      </c>
      <c r="K577" t="s">
        <v>2621</v>
      </c>
      <c r="L577" t="s">
        <v>43</v>
      </c>
      <c r="M577" t="s">
        <v>92</v>
      </c>
      <c r="N577" t="s">
        <v>62</v>
      </c>
      <c r="O577" t="s">
        <v>34</v>
      </c>
      <c r="P577" t="s">
        <v>20</v>
      </c>
      <c r="Q577" t="s">
        <v>20</v>
      </c>
      <c r="R577" t="s">
        <v>93</v>
      </c>
      <c r="S577" t="s">
        <v>20</v>
      </c>
    </row>
    <row r="578" spans="1:19" x14ac:dyDescent="0.45">
      <c r="A578" t="s">
        <v>26</v>
      </c>
      <c r="B578" t="s">
        <v>20</v>
      </c>
      <c r="C578" t="s">
        <v>462</v>
      </c>
      <c r="D578" t="s">
        <v>463</v>
      </c>
      <c r="E578" t="s">
        <v>38</v>
      </c>
      <c r="F578" t="s">
        <v>20</v>
      </c>
      <c r="G578" t="s">
        <v>23</v>
      </c>
      <c r="H578" t="s">
        <v>464</v>
      </c>
      <c r="I578" t="s">
        <v>465</v>
      </c>
      <c r="J578" t="s">
        <v>466</v>
      </c>
      <c r="K578" t="s">
        <v>467</v>
      </c>
      <c r="L578" t="s">
        <v>101</v>
      </c>
      <c r="M578" t="s">
        <v>205</v>
      </c>
      <c r="N578" t="s">
        <v>62</v>
      </c>
      <c r="O578" t="s">
        <v>34</v>
      </c>
      <c r="P578" t="s">
        <v>20</v>
      </c>
      <c r="Q578" t="s">
        <v>20</v>
      </c>
      <c r="R578" t="s">
        <v>206</v>
      </c>
      <c r="S578" t="s">
        <v>20</v>
      </c>
    </row>
    <row r="579" spans="1:19" x14ac:dyDescent="0.45">
      <c r="A579" t="s">
        <v>379</v>
      </c>
      <c r="B579" t="s">
        <v>20</v>
      </c>
      <c r="C579" t="s">
        <v>2147</v>
      </c>
      <c r="D579" t="s">
        <v>2148</v>
      </c>
      <c r="E579" t="s">
        <v>57</v>
      </c>
      <c r="F579" t="s">
        <v>20</v>
      </c>
      <c r="G579" t="s">
        <v>23</v>
      </c>
      <c r="H579" t="s">
        <v>8935</v>
      </c>
      <c r="I579" t="s">
        <v>9217</v>
      </c>
      <c r="J579" t="s">
        <v>9218</v>
      </c>
      <c r="K579" t="s">
        <v>9219</v>
      </c>
      <c r="L579" t="s">
        <v>2769</v>
      </c>
      <c r="M579" t="s">
        <v>102</v>
      </c>
      <c r="N579" t="s">
        <v>62</v>
      </c>
      <c r="O579" t="s">
        <v>34</v>
      </c>
      <c r="P579" t="s">
        <v>20</v>
      </c>
      <c r="Q579" t="s">
        <v>20</v>
      </c>
      <c r="R579" t="s">
        <v>9220</v>
      </c>
      <c r="S579" t="s">
        <v>20</v>
      </c>
    </row>
    <row r="580" spans="1:19" x14ac:dyDescent="0.45">
      <c r="A580" t="s">
        <v>1027</v>
      </c>
      <c r="B580" t="s">
        <v>20</v>
      </c>
      <c r="C580" t="s">
        <v>1590</v>
      </c>
      <c r="D580" t="s">
        <v>1591</v>
      </c>
      <c r="E580" t="s">
        <v>38</v>
      </c>
      <c r="F580" t="s">
        <v>20</v>
      </c>
      <c r="G580" t="s">
        <v>23</v>
      </c>
      <c r="H580" t="s">
        <v>1592</v>
      </c>
      <c r="I580" t="s">
        <v>1593</v>
      </c>
      <c r="J580" t="s">
        <v>1594</v>
      </c>
      <c r="K580" t="s">
        <v>1595</v>
      </c>
      <c r="L580" t="s">
        <v>209</v>
      </c>
      <c r="M580" t="s">
        <v>32</v>
      </c>
      <c r="N580" t="s">
        <v>33</v>
      </c>
      <c r="O580" t="s">
        <v>34</v>
      </c>
      <c r="P580" t="s">
        <v>20</v>
      </c>
      <c r="Q580" t="s">
        <v>20</v>
      </c>
      <c r="R580" t="s">
        <v>1596</v>
      </c>
      <c r="S580" t="s">
        <v>20</v>
      </c>
    </row>
    <row r="581" spans="1:19" x14ac:dyDescent="0.45">
      <c r="A581" t="s">
        <v>231</v>
      </c>
      <c r="B581" t="s">
        <v>20</v>
      </c>
      <c r="C581" t="s">
        <v>432</v>
      </c>
      <c r="D581" t="s">
        <v>433</v>
      </c>
      <c r="E581" t="s">
        <v>57</v>
      </c>
      <c r="F581" t="s">
        <v>20</v>
      </c>
      <c r="G581" t="s">
        <v>23</v>
      </c>
      <c r="H581" t="s">
        <v>11344</v>
      </c>
      <c r="I581" t="s">
        <v>11345</v>
      </c>
      <c r="J581" t="s">
        <v>11346</v>
      </c>
      <c r="K581" t="s">
        <v>11347</v>
      </c>
      <c r="L581" t="s">
        <v>3418</v>
      </c>
      <c r="M581" t="s">
        <v>32</v>
      </c>
      <c r="N581" t="s">
        <v>62</v>
      </c>
      <c r="O581" t="s">
        <v>34</v>
      </c>
      <c r="P581" t="s">
        <v>6527</v>
      </c>
      <c r="Q581" t="s">
        <v>20</v>
      </c>
      <c r="R581" t="s">
        <v>11348</v>
      </c>
      <c r="S581" t="s">
        <v>20</v>
      </c>
    </row>
    <row r="582" spans="1:19" x14ac:dyDescent="0.45">
      <c r="A582" t="s">
        <v>869</v>
      </c>
      <c r="B582" t="s">
        <v>20</v>
      </c>
      <c r="C582" t="s">
        <v>1073</v>
      </c>
      <c r="D582" t="s">
        <v>1074</v>
      </c>
      <c r="E582" t="s">
        <v>2487</v>
      </c>
      <c r="F582" t="s">
        <v>20</v>
      </c>
      <c r="G582" t="s">
        <v>23</v>
      </c>
      <c r="H582" t="s">
        <v>7000</v>
      </c>
      <c r="I582" t="s">
        <v>7001</v>
      </c>
      <c r="J582" t="s">
        <v>7002</v>
      </c>
      <c r="K582" t="s">
        <v>7003</v>
      </c>
      <c r="L582" t="s">
        <v>3418</v>
      </c>
      <c r="M582" t="s">
        <v>32</v>
      </c>
      <c r="N582" t="s">
        <v>62</v>
      </c>
      <c r="O582" t="s">
        <v>34</v>
      </c>
      <c r="P582" t="s">
        <v>20</v>
      </c>
      <c r="Q582" t="s">
        <v>20</v>
      </c>
      <c r="R582" t="s">
        <v>7004</v>
      </c>
      <c r="S582" t="s">
        <v>20</v>
      </c>
    </row>
    <row r="583" spans="1:19" x14ac:dyDescent="0.45">
      <c r="A583" t="s">
        <v>64</v>
      </c>
      <c r="B583" t="s">
        <v>20</v>
      </c>
      <c r="C583" t="s">
        <v>9729</v>
      </c>
      <c r="D583" t="s">
        <v>4246</v>
      </c>
      <c r="E583" t="s">
        <v>6863</v>
      </c>
      <c r="F583" t="s">
        <v>20</v>
      </c>
      <c r="G583" t="s">
        <v>23</v>
      </c>
      <c r="H583" t="s">
        <v>9960</v>
      </c>
      <c r="I583" t="s">
        <v>9961</v>
      </c>
      <c r="J583" t="s">
        <v>11123</v>
      </c>
      <c r="K583" t="s">
        <v>11007</v>
      </c>
      <c r="L583" t="s">
        <v>3998</v>
      </c>
      <c r="M583" t="s">
        <v>32</v>
      </c>
      <c r="N583" t="s">
        <v>33</v>
      </c>
      <c r="O583" t="s">
        <v>34</v>
      </c>
      <c r="P583" t="s">
        <v>20</v>
      </c>
      <c r="Q583" t="s">
        <v>20</v>
      </c>
      <c r="R583" t="s">
        <v>11124</v>
      </c>
      <c r="S583" t="s">
        <v>20</v>
      </c>
    </row>
    <row r="584" spans="1:19" x14ac:dyDescent="0.45">
      <c r="A584" t="s">
        <v>572</v>
      </c>
      <c r="B584" t="s">
        <v>20</v>
      </c>
      <c r="C584" t="s">
        <v>806</v>
      </c>
      <c r="D584" t="s">
        <v>807</v>
      </c>
      <c r="E584" t="s">
        <v>29</v>
      </c>
      <c r="F584" t="s">
        <v>20</v>
      </c>
      <c r="G584" t="s">
        <v>23</v>
      </c>
      <c r="H584" t="s">
        <v>7612</v>
      </c>
      <c r="I584" t="s">
        <v>7613</v>
      </c>
      <c r="J584" t="s">
        <v>7614</v>
      </c>
      <c r="K584" t="s">
        <v>7615</v>
      </c>
      <c r="L584" t="s">
        <v>2769</v>
      </c>
      <c r="M584" t="s">
        <v>102</v>
      </c>
      <c r="N584" t="s">
        <v>62</v>
      </c>
      <c r="O584" t="s">
        <v>34</v>
      </c>
      <c r="P584" t="s">
        <v>20</v>
      </c>
      <c r="Q584" t="s">
        <v>20</v>
      </c>
      <c r="R584" t="s">
        <v>7616</v>
      </c>
      <c r="S584" t="s">
        <v>20</v>
      </c>
    </row>
    <row r="585" spans="1:19" x14ac:dyDescent="0.45">
      <c r="A585" t="s">
        <v>729</v>
      </c>
      <c r="B585" t="s">
        <v>20</v>
      </c>
      <c r="C585" t="s">
        <v>2522</v>
      </c>
      <c r="D585" t="s">
        <v>2523</v>
      </c>
      <c r="E585" t="s">
        <v>38</v>
      </c>
      <c r="F585" t="s">
        <v>20</v>
      </c>
      <c r="G585" t="s">
        <v>23</v>
      </c>
      <c r="H585" t="s">
        <v>2524</v>
      </c>
      <c r="I585" t="s">
        <v>2525</v>
      </c>
      <c r="J585" t="s">
        <v>2526</v>
      </c>
      <c r="K585" t="s">
        <v>2527</v>
      </c>
      <c r="L585" t="s">
        <v>43</v>
      </c>
      <c r="M585" t="s">
        <v>32</v>
      </c>
      <c r="N585" t="s">
        <v>33</v>
      </c>
      <c r="O585" t="s">
        <v>34</v>
      </c>
      <c r="P585" t="s">
        <v>20</v>
      </c>
      <c r="Q585" t="s">
        <v>20</v>
      </c>
      <c r="R585" t="s">
        <v>2528</v>
      </c>
      <c r="S585" t="s">
        <v>20</v>
      </c>
    </row>
    <row r="586" spans="1:19" x14ac:dyDescent="0.45">
      <c r="A586" t="s">
        <v>729</v>
      </c>
      <c r="B586" t="s">
        <v>20</v>
      </c>
      <c r="C586" t="s">
        <v>6540</v>
      </c>
      <c r="D586" t="s">
        <v>5768</v>
      </c>
      <c r="E586" t="s">
        <v>38</v>
      </c>
      <c r="F586" t="s">
        <v>20</v>
      </c>
      <c r="G586" t="s">
        <v>23</v>
      </c>
      <c r="H586" t="s">
        <v>10509</v>
      </c>
      <c r="I586" t="s">
        <v>10510</v>
      </c>
      <c r="J586" t="s">
        <v>10511</v>
      </c>
      <c r="K586" t="s">
        <v>10512</v>
      </c>
      <c r="L586" t="s">
        <v>2769</v>
      </c>
      <c r="M586" t="s">
        <v>112</v>
      </c>
      <c r="N586" t="s">
        <v>1224</v>
      </c>
      <c r="O586" t="s">
        <v>34</v>
      </c>
      <c r="P586" t="s">
        <v>20</v>
      </c>
      <c r="Q586" t="s">
        <v>20</v>
      </c>
      <c r="R586" t="s">
        <v>10513</v>
      </c>
      <c r="S586" t="s">
        <v>20</v>
      </c>
    </row>
    <row r="587" spans="1:19" x14ac:dyDescent="0.45">
      <c r="A587" t="s">
        <v>777</v>
      </c>
      <c r="B587" t="s">
        <v>20</v>
      </c>
      <c r="C587" t="s">
        <v>6934</v>
      </c>
      <c r="D587" t="s">
        <v>6007</v>
      </c>
      <c r="E587" t="s">
        <v>2487</v>
      </c>
      <c r="F587" t="s">
        <v>20</v>
      </c>
      <c r="G587" t="s">
        <v>23</v>
      </c>
      <c r="H587" t="s">
        <v>6935</v>
      </c>
      <c r="I587" t="s">
        <v>6936</v>
      </c>
      <c r="J587" t="s">
        <v>6937</v>
      </c>
      <c r="K587" t="s">
        <v>6938</v>
      </c>
      <c r="L587" t="s">
        <v>3418</v>
      </c>
      <c r="M587" t="s">
        <v>32</v>
      </c>
      <c r="N587" t="s">
        <v>62</v>
      </c>
      <c r="O587" t="s">
        <v>34</v>
      </c>
      <c r="P587" t="s">
        <v>20</v>
      </c>
      <c r="Q587" t="s">
        <v>20</v>
      </c>
      <c r="R587" t="s">
        <v>6939</v>
      </c>
      <c r="S587" t="s">
        <v>20</v>
      </c>
    </row>
    <row r="588" spans="1:19" x14ac:dyDescent="0.45">
      <c r="A588" t="s">
        <v>246</v>
      </c>
      <c r="B588" t="s">
        <v>20</v>
      </c>
      <c r="C588" t="s">
        <v>1312</v>
      </c>
      <c r="D588" t="s">
        <v>1313</v>
      </c>
      <c r="E588" t="s">
        <v>57</v>
      </c>
      <c r="F588" t="s">
        <v>20</v>
      </c>
      <c r="G588" t="s">
        <v>23</v>
      </c>
      <c r="H588" t="s">
        <v>1437</v>
      </c>
      <c r="I588" t="s">
        <v>1438</v>
      </c>
      <c r="J588" t="s">
        <v>1439</v>
      </c>
      <c r="K588" t="s">
        <v>1440</v>
      </c>
      <c r="L588" t="s">
        <v>43</v>
      </c>
      <c r="M588" t="s">
        <v>32</v>
      </c>
      <c r="N588" t="s">
        <v>62</v>
      </c>
      <c r="O588" t="s">
        <v>34</v>
      </c>
      <c r="P588" t="s">
        <v>20</v>
      </c>
      <c r="Q588" t="s">
        <v>20</v>
      </c>
      <c r="R588" t="s">
        <v>253</v>
      </c>
      <c r="S588" t="s">
        <v>20</v>
      </c>
    </row>
    <row r="589" spans="1:19" x14ac:dyDescent="0.45">
      <c r="A589" t="s">
        <v>54</v>
      </c>
      <c r="B589" t="s">
        <v>20</v>
      </c>
      <c r="C589" t="s">
        <v>55</v>
      </c>
      <c r="D589" t="s">
        <v>56</v>
      </c>
      <c r="E589" t="s">
        <v>57</v>
      </c>
      <c r="F589" t="s">
        <v>20</v>
      </c>
      <c r="G589" t="s">
        <v>23</v>
      </c>
      <c r="H589" t="s">
        <v>58</v>
      </c>
      <c r="I589" t="s">
        <v>59</v>
      </c>
      <c r="J589" t="s">
        <v>60</v>
      </c>
      <c r="K589" t="s">
        <v>61</v>
      </c>
      <c r="L589" t="s">
        <v>9126</v>
      </c>
      <c r="M589" t="s">
        <v>32</v>
      </c>
      <c r="N589" t="s">
        <v>62</v>
      </c>
      <c r="O589" t="s">
        <v>34</v>
      </c>
      <c r="P589" t="s">
        <v>20</v>
      </c>
      <c r="Q589" t="s">
        <v>20</v>
      </c>
      <c r="R589" t="s">
        <v>63</v>
      </c>
      <c r="S589" t="s">
        <v>20</v>
      </c>
    </row>
    <row r="590" spans="1:19" x14ac:dyDescent="0.45">
      <c r="A590" t="s">
        <v>511</v>
      </c>
      <c r="B590" t="s">
        <v>20</v>
      </c>
      <c r="C590" t="s">
        <v>512</v>
      </c>
      <c r="D590" t="s">
        <v>513</v>
      </c>
      <c r="E590" t="s">
        <v>38</v>
      </c>
      <c r="F590" t="s">
        <v>20</v>
      </c>
      <c r="G590" t="s">
        <v>23</v>
      </c>
      <c r="H590" t="s">
        <v>11792</v>
      </c>
      <c r="I590" t="s">
        <v>11793</v>
      </c>
      <c r="J590" t="s">
        <v>11794</v>
      </c>
      <c r="K590" t="s">
        <v>11795</v>
      </c>
      <c r="L590" t="s">
        <v>8109</v>
      </c>
      <c r="M590" t="s">
        <v>3105</v>
      </c>
      <c r="N590" t="s">
        <v>62</v>
      </c>
      <c r="O590" t="s">
        <v>34</v>
      </c>
      <c r="P590" t="s">
        <v>20</v>
      </c>
      <c r="Q590" t="s">
        <v>20</v>
      </c>
      <c r="R590" t="s">
        <v>11796</v>
      </c>
      <c r="S590" t="s">
        <v>20</v>
      </c>
    </row>
    <row r="591" spans="1:19" x14ac:dyDescent="0.45">
      <c r="A591" t="s">
        <v>114</v>
      </c>
      <c r="B591" t="s">
        <v>20</v>
      </c>
      <c r="C591" t="s">
        <v>7326</v>
      </c>
      <c r="D591" t="s">
        <v>7327</v>
      </c>
      <c r="E591" t="s">
        <v>2487</v>
      </c>
      <c r="F591" t="s">
        <v>20</v>
      </c>
      <c r="G591" t="s">
        <v>23</v>
      </c>
      <c r="H591" t="s">
        <v>7328</v>
      </c>
      <c r="I591" t="s">
        <v>7329</v>
      </c>
      <c r="J591" t="s">
        <v>7330</v>
      </c>
      <c r="K591" t="s">
        <v>7331</v>
      </c>
      <c r="L591" t="s">
        <v>3418</v>
      </c>
      <c r="M591" t="s">
        <v>32</v>
      </c>
      <c r="N591" t="s">
        <v>62</v>
      </c>
      <c r="O591" t="s">
        <v>34</v>
      </c>
      <c r="P591" t="s">
        <v>20</v>
      </c>
      <c r="Q591" t="s">
        <v>20</v>
      </c>
      <c r="R591" t="s">
        <v>7332</v>
      </c>
      <c r="S591" t="s">
        <v>20</v>
      </c>
    </row>
    <row r="592" spans="1:19" x14ac:dyDescent="0.45">
      <c r="A592" t="s">
        <v>64</v>
      </c>
      <c r="B592" t="s">
        <v>20</v>
      </c>
      <c r="C592" t="s">
        <v>1767</v>
      </c>
      <c r="D592" t="s">
        <v>1768</v>
      </c>
      <c r="E592" t="s">
        <v>57</v>
      </c>
      <c r="F592" t="s">
        <v>20</v>
      </c>
      <c r="G592" t="s">
        <v>23</v>
      </c>
      <c r="H592" t="s">
        <v>1769</v>
      </c>
      <c r="I592" t="s">
        <v>1770</v>
      </c>
      <c r="J592" t="s">
        <v>1771</v>
      </c>
      <c r="K592" t="s">
        <v>1772</v>
      </c>
      <c r="L592" t="s">
        <v>43</v>
      </c>
      <c r="M592" t="s">
        <v>32</v>
      </c>
      <c r="N592" t="s">
        <v>62</v>
      </c>
      <c r="O592" t="s">
        <v>34</v>
      </c>
      <c r="P592" t="s">
        <v>20</v>
      </c>
      <c r="Q592" t="s">
        <v>20</v>
      </c>
      <c r="R592" t="s">
        <v>154</v>
      </c>
      <c r="S592" t="s">
        <v>20</v>
      </c>
    </row>
    <row r="593" spans="1:19" x14ac:dyDescent="0.45">
      <c r="A593" t="s">
        <v>26</v>
      </c>
      <c r="B593" t="s">
        <v>20</v>
      </c>
      <c r="C593" t="s">
        <v>1373</v>
      </c>
      <c r="D593" t="s">
        <v>1374</v>
      </c>
      <c r="E593" t="s">
        <v>38</v>
      </c>
      <c r="F593" t="s">
        <v>20</v>
      </c>
      <c r="G593" t="s">
        <v>23</v>
      </c>
      <c r="H593" t="s">
        <v>1375</v>
      </c>
      <c r="I593" t="s">
        <v>1376</v>
      </c>
      <c r="J593" t="s">
        <v>1377</v>
      </c>
      <c r="K593" t="s">
        <v>1378</v>
      </c>
      <c r="L593" t="s">
        <v>101</v>
      </c>
      <c r="M593" t="s">
        <v>205</v>
      </c>
      <c r="N593" t="s">
        <v>62</v>
      </c>
      <c r="O593" t="s">
        <v>34</v>
      </c>
      <c r="P593" t="s">
        <v>20</v>
      </c>
      <c r="Q593" t="s">
        <v>20</v>
      </c>
      <c r="R593" t="s">
        <v>206</v>
      </c>
      <c r="S593" t="s">
        <v>20</v>
      </c>
    </row>
    <row r="594" spans="1:19" x14ac:dyDescent="0.45">
      <c r="A594" t="s">
        <v>706</v>
      </c>
      <c r="B594" t="s">
        <v>20</v>
      </c>
      <c r="C594" t="s">
        <v>7075</v>
      </c>
      <c r="D594" t="s">
        <v>5774</v>
      </c>
      <c r="E594" t="s">
        <v>57</v>
      </c>
      <c r="F594" t="s">
        <v>20</v>
      </c>
      <c r="G594" t="s">
        <v>23</v>
      </c>
      <c r="H594" t="s">
        <v>7076</v>
      </c>
      <c r="I594" t="s">
        <v>7077</v>
      </c>
      <c r="J594" t="s">
        <v>7078</v>
      </c>
      <c r="K594" t="s">
        <v>7079</v>
      </c>
      <c r="L594" t="s">
        <v>2769</v>
      </c>
      <c r="M594" t="s">
        <v>32</v>
      </c>
      <c r="N594" t="s">
        <v>62</v>
      </c>
      <c r="O594" t="s">
        <v>34</v>
      </c>
      <c r="P594" t="s">
        <v>20</v>
      </c>
      <c r="Q594" t="s">
        <v>20</v>
      </c>
      <c r="R594" t="s">
        <v>6988</v>
      </c>
      <c r="S594" t="s">
        <v>20</v>
      </c>
    </row>
    <row r="595" spans="1:19" x14ac:dyDescent="0.45">
      <c r="A595" t="s">
        <v>6989</v>
      </c>
      <c r="B595" t="s">
        <v>20</v>
      </c>
      <c r="C595" t="s">
        <v>1760</v>
      </c>
      <c r="D595" t="s">
        <v>1761</v>
      </c>
      <c r="E595" t="s">
        <v>57</v>
      </c>
      <c r="F595" t="s">
        <v>20</v>
      </c>
      <c r="G595" t="s">
        <v>23</v>
      </c>
      <c r="H595" t="s">
        <v>1762</v>
      </c>
      <c r="I595" t="s">
        <v>1763</v>
      </c>
      <c r="J595" t="s">
        <v>1764</v>
      </c>
      <c r="K595" t="s">
        <v>1765</v>
      </c>
      <c r="L595" t="s">
        <v>43</v>
      </c>
      <c r="M595" t="s">
        <v>32</v>
      </c>
      <c r="N595" t="s">
        <v>62</v>
      </c>
      <c r="O595" t="s">
        <v>34</v>
      </c>
      <c r="P595" t="s">
        <v>20</v>
      </c>
      <c r="Q595" t="s">
        <v>20</v>
      </c>
      <c r="R595" t="s">
        <v>1766</v>
      </c>
      <c r="S595" t="s">
        <v>20</v>
      </c>
    </row>
    <row r="596" spans="1:19" x14ac:dyDescent="0.45">
      <c r="A596" t="s">
        <v>46</v>
      </c>
      <c r="B596" t="s">
        <v>20</v>
      </c>
      <c r="C596" t="s">
        <v>197</v>
      </c>
      <c r="D596" t="s">
        <v>198</v>
      </c>
      <c r="E596" t="s">
        <v>29</v>
      </c>
      <c r="F596" t="s">
        <v>20</v>
      </c>
      <c r="G596" t="s">
        <v>23</v>
      </c>
      <c r="H596" t="s">
        <v>199</v>
      </c>
      <c r="I596" t="s">
        <v>200</v>
      </c>
      <c r="J596" t="s">
        <v>201</v>
      </c>
      <c r="K596" t="s">
        <v>202</v>
      </c>
      <c r="L596" t="s">
        <v>6525</v>
      </c>
      <c r="M596" t="s">
        <v>538</v>
      </c>
      <c r="N596" t="s">
        <v>33</v>
      </c>
      <c r="O596" t="s">
        <v>34</v>
      </c>
      <c r="P596" t="s">
        <v>20</v>
      </c>
      <c r="Q596" t="s">
        <v>20</v>
      </c>
      <c r="R596" t="s">
        <v>13227</v>
      </c>
      <c r="S596" t="s">
        <v>20</v>
      </c>
    </row>
    <row r="597" spans="1:19" x14ac:dyDescent="0.45">
      <c r="A597" t="s">
        <v>54</v>
      </c>
      <c r="B597" t="s">
        <v>20</v>
      </c>
      <c r="C597" t="s">
        <v>1701</v>
      </c>
      <c r="D597" t="s">
        <v>1702</v>
      </c>
      <c r="E597" t="s">
        <v>2487</v>
      </c>
      <c r="F597" t="s">
        <v>20</v>
      </c>
      <c r="G597" t="s">
        <v>23</v>
      </c>
      <c r="H597" t="s">
        <v>7540</v>
      </c>
      <c r="I597" t="s">
        <v>7541</v>
      </c>
      <c r="J597" t="s">
        <v>7542</v>
      </c>
      <c r="K597" t="s">
        <v>7543</v>
      </c>
      <c r="L597" t="s">
        <v>3418</v>
      </c>
      <c r="M597" t="s">
        <v>32</v>
      </c>
      <c r="N597" t="s">
        <v>62</v>
      </c>
      <c r="O597" t="s">
        <v>34</v>
      </c>
      <c r="P597" t="s">
        <v>20</v>
      </c>
      <c r="Q597" t="s">
        <v>20</v>
      </c>
      <c r="R597" t="s">
        <v>7544</v>
      </c>
      <c r="S597" t="s">
        <v>20</v>
      </c>
    </row>
    <row r="598" spans="1:19" x14ac:dyDescent="0.45">
      <c r="A598" t="s">
        <v>120</v>
      </c>
      <c r="B598" t="s">
        <v>20</v>
      </c>
      <c r="C598" t="s">
        <v>2183</v>
      </c>
      <c r="D598" t="s">
        <v>2184</v>
      </c>
      <c r="E598" t="s">
        <v>57</v>
      </c>
      <c r="F598" t="s">
        <v>20</v>
      </c>
      <c r="G598" t="s">
        <v>23</v>
      </c>
      <c r="H598" t="s">
        <v>11625</v>
      </c>
      <c r="I598" t="s">
        <v>11626</v>
      </c>
      <c r="J598" t="s">
        <v>11627</v>
      </c>
      <c r="K598" t="s">
        <v>11628</v>
      </c>
      <c r="L598" t="s">
        <v>3418</v>
      </c>
      <c r="M598" t="s">
        <v>32</v>
      </c>
      <c r="N598" t="s">
        <v>62</v>
      </c>
      <c r="O598" t="s">
        <v>34</v>
      </c>
      <c r="P598" t="s">
        <v>20</v>
      </c>
      <c r="Q598" t="s">
        <v>20</v>
      </c>
      <c r="R598" t="s">
        <v>11629</v>
      </c>
      <c r="S598" t="s">
        <v>20</v>
      </c>
    </row>
    <row r="599" spans="1:19" x14ac:dyDescent="0.45">
      <c r="A599" t="s">
        <v>358</v>
      </c>
      <c r="B599" t="s">
        <v>20</v>
      </c>
      <c r="C599" t="s">
        <v>2214</v>
      </c>
      <c r="D599" t="s">
        <v>2215</v>
      </c>
      <c r="E599" t="s">
        <v>38</v>
      </c>
      <c r="F599" t="s">
        <v>20</v>
      </c>
      <c r="G599" t="s">
        <v>23</v>
      </c>
      <c r="H599" t="s">
        <v>11744</v>
      </c>
      <c r="I599" t="s">
        <v>11745</v>
      </c>
      <c r="J599" t="s">
        <v>12718</v>
      </c>
      <c r="K599" t="s">
        <v>12719</v>
      </c>
      <c r="L599" t="s">
        <v>6524</v>
      </c>
      <c r="M599" t="s">
        <v>12431</v>
      </c>
      <c r="N599" t="s">
        <v>33</v>
      </c>
      <c r="O599" t="s">
        <v>34</v>
      </c>
      <c r="P599" t="s">
        <v>20</v>
      </c>
      <c r="Q599" t="s">
        <v>20</v>
      </c>
      <c r="R599" t="s">
        <v>12720</v>
      </c>
      <c r="S599" t="s">
        <v>11746</v>
      </c>
    </row>
    <row r="600" spans="1:19" x14ac:dyDescent="0.45">
      <c r="A600" t="s">
        <v>358</v>
      </c>
      <c r="B600" t="s">
        <v>20</v>
      </c>
      <c r="C600" t="s">
        <v>1241</v>
      </c>
      <c r="D600" t="s">
        <v>1242</v>
      </c>
      <c r="E600" t="s">
        <v>38</v>
      </c>
      <c r="F600" t="s">
        <v>20</v>
      </c>
      <c r="G600" t="s">
        <v>23</v>
      </c>
      <c r="H600" t="s">
        <v>1243</v>
      </c>
      <c r="I600" t="s">
        <v>1244</v>
      </c>
      <c r="J600" t="s">
        <v>1245</v>
      </c>
      <c r="K600" t="s">
        <v>1246</v>
      </c>
      <c r="L600" t="s">
        <v>101</v>
      </c>
      <c r="M600" t="s">
        <v>112</v>
      </c>
      <c r="N600" t="s">
        <v>62</v>
      </c>
      <c r="O600" t="s">
        <v>34</v>
      </c>
      <c r="P600" t="s">
        <v>20</v>
      </c>
      <c r="Q600" t="s">
        <v>20</v>
      </c>
      <c r="R600" t="s">
        <v>361</v>
      </c>
      <c r="S600" t="s">
        <v>20</v>
      </c>
    </row>
    <row r="601" spans="1:19" x14ac:dyDescent="0.45">
      <c r="A601" t="s">
        <v>4482</v>
      </c>
      <c r="B601" t="s">
        <v>20</v>
      </c>
      <c r="C601" t="s">
        <v>8606</v>
      </c>
      <c r="D601" t="s">
        <v>5589</v>
      </c>
      <c r="E601" t="s">
        <v>38</v>
      </c>
      <c r="F601" t="s">
        <v>20</v>
      </c>
      <c r="G601" t="s">
        <v>23</v>
      </c>
      <c r="H601" t="s">
        <v>10346</v>
      </c>
      <c r="I601" t="s">
        <v>10347</v>
      </c>
      <c r="J601" t="s">
        <v>10907</v>
      </c>
      <c r="K601" t="s">
        <v>10908</v>
      </c>
      <c r="L601" t="s">
        <v>9570</v>
      </c>
      <c r="M601" t="s">
        <v>32</v>
      </c>
      <c r="N601" t="s">
        <v>33</v>
      </c>
      <c r="O601" t="s">
        <v>34</v>
      </c>
      <c r="P601" t="s">
        <v>20</v>
      </c>
      <c r="Q601" t="s">
        <v>20</v>
      </c>
      <c r="R601" t="s">
        <v>10909</v>
      </c>
      <c r="S601" t="s">
        <v>20</v>
      </c>
    </row>
    <row r="602" spans="1:19" x14ac:dyDescent="0.45">
      <c r="A602" t="s">
        <v>869</v>
      </c>
      <c r="B602" t="s">
        <v>20</v>
      </c>
      <c r="C602" t="s">
        <v>2249</v>
      </c>
      <c r="D602" t="s">
        <v>2250</v>
      </c>
      <c r="E602" t="s">
        <v>57</v>
      </c>
      <c r="F602" t="s">
        <v>20</v>
      </c>
      <c r="G602" t="s">
        <v>23</v>
      </c>
      <c r="H602" t="s">
        <v>2251</v>
      </c>
      <c r="I602" t="s">
        <v>2252</v>
      </c>
      <c r="J602" t="s">
        <v>2253</v>
      </c>
      <c r="K602" t="s">
        <v>2254</v>
      </c>
      <c r="L602" t="s">
        <v>43</v>
      </c>
      <c r="M602" t="s">
        <v>32</v>
      </c>
      <c r="N602" t="s">
        <v>62</v>
      </c>
      <c r="O602" t="s">
        <v>34</v>
      </c>
      <c r="P602" t="s">
        <v>20</v>
      </c>
      <c r="Q602" t="s">
        <v>20</v>
      </c>
      <c r="R602" t="s">
        <v>2255</v>
      </c>
      <c r="S602" t="s">
        <v>20</v>
      </c>
    </row>
    <row r="603" spans="1:19" x14ac:dyDescent="0.45">
      <c r="A603" t="s">
        <v>802</v>
      </c>
      <c r="B603" t="s">
        <v>20</v>
      </c>
      <c r="C603" t="s">
        <v>2044</v>
      </c>
      <c r="D603" t="s">
        <v>2045</v>
      </c>
      <c r="E603" t="s">
        <v>29</v>
      </c>
      <c r="F603" t="s">
        <v>20</v>
      </c>
      <c r="G603" t="s">
        <v>23</v>
      </c>
      <c r="H603" t="s">
        <v>2046</v>
      </c>
      <c r="I603" t="s">
        <v>2047</v>
      </c>
      <c r="J603" t="s">
        <v>2048</v>
      </c>
      <c r="K603" t="s">
        <v>2049</v>
      </c>
      <c r="L603" t="s">
        <v>43</v>
      </c>
      <c r="M603" t="s">
        <v>32</v>
      </c>
      <c r="N603" t="s">
        <v>62</v>
      </c>
      <c r="O603" t="s">
        <v>34</v>
      </c>
      <c r="P603" t="s">
        <v>20</v>
      </c>
      <c r="Q603" t="s">
        <v>20</v>
      </c>
      <c r="R603" t="s">
        <v>2050</v>
      </c>
      <c r="S603" t="s">
        <v>20</v>
      </c>
    </row>
    <row r="604" spans="1:19" x14ac:dyDescent="0.45">
      <c r="A604" t="s">
        <v>358</v>
      </c>
      <c r="B604" t="s">
        <v>20</v>
      </c>
      <c r="C604" t="s">
        <v>359</v>
      </c>
      <c r="D604" t="s">
        <v>360</v>
      </c>
      <c r="E604" t="s">
        <v>38</v>
      </c>
      <c r="F604" t="s">
        <v>20</v>
      </c>
      <c r="G604" t="s">
        <v>23</v>
      </c>
      <c r="H604" t="s">
        <v>12481</v>
      </c>
      <c r="I604" t="s">
        <v>12482</v>
      </c>
      <c r="J604" t="s">
        <v>12483</v>
      </c>
      <c r="K604" t="s">
        <v>12484</v>
      </c>
      <c r="L604" t="s">
        <v>6524</v>
      </c>
      <c r="M604" t="s">
        <v>12431</v>
      </c>
      <c r="N604" t="s">
        <v>33</v>
      </c>
      <c r="O604" t="s">
        <v>34</v>
      </c>
      <c r="P604" t="s">
        <v>20</v>
      </c>
      <c r="Q604" t="s">
        <v>20</v>
      </c>
      <c r="R604" t="s">
        <v>12485</v>
      </c>
      <c r="S604" t="s">
        <v>12486</v>
      </c>
    </row>
    <row r="605" spans="1:19" x14ac:dyDescent="0.45">
      <c r="A605" t="s">
        <v>358</v>
      </c>
      <c r="B605" t="s">
        <v>20</v>
      </c>
      <c r="C605" t="s">
        <v>2453</v>
      </c>
      <c r="D605" t="s">
        <v>2454</v>
      </c>
      <c r="E605" t="s">
        <v>38</v>
      </c>
      <c r="F605" t="s">
        <v>20</v>
      </c>
      <c r="G605" t="s">
        <v>23</v>
      </c>
      <c r="H605" t="s">
        <v>2455</v>
      </c>
      <c r="I605" t="s">
        <v>2456</v>
      </c>
      <c r="J605" t="s">
        <v>2457</v>
      </c>
      <c r="K605" t="s">
        <v>2458</v>
      </c>
      <c r="L605" t="s">
        <v>101</v>
      </c>
      <c r="M605" t="s">
        <v>112</v>
      </c>
      <c r="N605" t="s">
        <v>62</v>
      </c>
      <c r="O605" t="s">
        <v>34</v>
      </c>
      <c r="P605" t="s">
        <v>20</v>
      </c>
      <c r="Q605" t="s">
        <v>20</v>
      </c>
      <c r="R605" t="s">
        <v>2459</v>
      </c>
      <c r="S605" t="s">
        <v>20</v>
      </c>
    </row>
    <row r="606" spans="1:19" x14ac:dyDescent="0.45">
      <c r="A606" t="s">
        <v>505</v>
      </c>
      <c r="B606" t="s">
        <v>20</v>
      </c>
      <c r="C606" t="s">
        <v>6610</v>
      </c>
      <c r="D606" t="s">
        <v>6611</v>
      </c>
      <c r="E606" t="s">
        <v>57</v>
      </c>
      <c r="F606" t="s">
        <v>20</v>
      </c>
      <c r="G606" t="s">
        <v>23</v>
      </c>
      <c r="H606" t="s">
        <v>6612</v>
      </c>
      <c r="I606" t="s">
        <v>6519</v>
      </c>
      <c r="J606" t="s">
        <v>6613</v>
      </c>
      <c r="K606" t="s">
        <v>6614</v>
      </c>
      <c r="L606" t="s">
        <v>722</v>
      </c>
      <c r="M606" t="s">
        <v>32</v>
      </c>
      <c r="N606" t="s">
        <v>62</v>
      </c>
      <c r="O606" t="s">
        <v>34</v>
      </c>
      <c r="P606" t="s">
        <v>20</v>
      </c>
      <c r="Q606" t="s">
        <v>20</v>
      </c>
      <c r="R606" t="s">
        <v>253</v>
      </c>
      <c r="S606" t="s">
        <v>20</v>
      </c>
    </row>
    <row r="607" spans="1:19" x14ac:dyDescent="0.45">
      <c r="A607" t="s">
        <v>928</v>
      </c>
      <c r="B607" t="s">
        <v>20</v>
      </c>
      <c r="C607" t="s">
        <v>6615</v>
      </c>
      <c r="D607" t="s">
        <v>6110</v>
      </c>
      <c r="E607" t="s">
        <v>38</v>
      </c>
      <c r="F607" t="s">
        <v>20</v>
      </c>
      <c r="G607" t="s">
        <v>23</v>
      </c>
      <c r="H607" t="s">
        <v>6505</v>
      </c>
      <c r="I607" t="s">
        <v>6616</v>
      </c>
      <c r="J607" t="s">
        <v>6617</v>
      </c>
      <c r="K607" t="s">
        <v>6618</v>
      </c>
      <c r="L607" t="s">
        <v>6521</v>
      </c>
      <c r="M607" t="s">
        <v>112</v>
      </c>
      <c r="N607" t="s">
        <v>146</v>
      </c>
      <c r="O607" t="s">
        <v>34</v>
      </c>
      <c r="P607" t="s">
        <v>20</v>
      </c>
      <c r="Q607" t="s">
        <v>20</v>
      </c>
      <c r="R607" t="s">
        <v>6619</v>
      </c>
      <c r="S607" t="s">
        <v>20</v>
      </c>
    </row>
    <row r="608" spans="1:19" x14ac:dyDescent="0.45">
      <c r="A608" t="s">
        <v>79</v>
      </c>
      <c r="B608" t="s">
        <v>20</v>
      </c>
      <c r="C608" t="s">
        <v>1883</v>
      </c>
      <c r="D608" t="s">
        <v>1884</v>
      </c>
      <c r="E608" t="s">
        <v>57</v>
      </c>
      <c r="F608" t="s">
        <v>20</v>
      </c>
      <c r="G608" t="s">
        <v>23</v>
      </c>
      <c r="H608" t="s">
        <v>11536</v>
      </c>
      <c r="I608" t="s">
        <v>11537</v>
      </c>
      <c r="J608" t="s">
        <v>11538</v>
      </c>
      <c r="K608" t="s">
        <v>11539</v>
      </c>
      <c r="L608" t="s">
        <v>3418</v>
      </c>
      <c r="M608" t="s">
        <v>32</v>
      </c>
      <c r="N608" t="s">
        <v>62</v>
      </c>
      <c r="O608" t="s">
        <v>34</v>
      </c>
      <c r="P608" t="s">
        <v>20</v>
      </c>
      <c r="Q608" t="s">
        <v>20</v>
      </c>
      <c r="R608" t="s">
        <v>11540</v>
      </c>
      <c r="S608" t="s">
        <v>20</v>
      </c>
    </row>
    <row r="609" spans="1:19" x14ac:dyDescent="0.45">
      <c r="A609" t="s">
        <v>114</v>
      </c>
      <c r="B609" t="s">
        <v>20</v>
      </c>
      <c r="C609" t="s">
        <v>11551</v>
      </c>
      <c r="D609" t="s">
        <v>778</v>
      </c>
      <c r="E609" t="s">
        <v>57</v>
      </c>
      <c r="F609" t="s">
        <v>20</v>
      </c>
      <c r="G609" t="s">
        <v>23</v>
      </c>
      <c r="H609" t="s">
        <v>11552</v>
      </c>
      <c r="I609" t="s">
        <v>11553</v>
      </c>
      <c r="J609" t="s">
        <v>11554</v>
      </c>
      <c r="K609" t="s">
        <v>11555</v>
      </c>
      <c r="L609" t="s">
        <v>3418</v>
      </c>
      <c r="M609" t="s">
        <v>32</v>
      </c>
      <c r="N609" t="s">
        <v>62</v>
      </c>
      <c r="O609" t="s">
        <v>34</v>
      </c>
      <c r="P609" t="s">
        <v>6524</v>
      </c>
      <c r="Q609" t="s">
        <v>20</v>
      </c>
      <c r="R609" t="s">
        <v>11556</v>
      </c>
      <c r="S609" t="s">
        <v>20</v>
      </c>
    </row>
    <row r="610" spans="1:19" x14ac:dyDescent="0.45">
      <c r="A610" t="s">
        <v>133</v>
      </c>
      <c r="B610" t="s">
        <v>20</v>
      </c>
      <c r="C610" t="s">
        <v>328</v>
      </c>
      <c r="D610" t="s">
        <v>329</v>
      </c>
      <c r="E610" t="s">
        <v>29</v>
      </c>
      <c r="F610" t="s">
        <v>20</v>
      </c>
      <c r="G610" t="s">
        <v>23</v>
      </c>
      <c r="H610" t="s">
        <v>330</v>
      </c>
      <c r="I610" t="s">
        <v>331</v>
      </c>
      <c r="J610" t="s">
        <v>332</v>
      </c>
      <c r="K610" t="s">
        <v>333</v>
      </c>
      <c r="L610" t="s">
        <v>9574</v>
      </c>
      <c r="M610" t="s">
        <v>32</v>
      </c>
      <c r="N610" t="s">
        <v>33</v>
      </c>
      <c r="O610" t="s">
        <v>34</v>
      </c>
      <c r="P610" t="s">
        <v>20</v>
      </c>
      <c r="Q610" t="s">
        <v>20</v>
      </c>
      <c r="R610" t="s">
        <v>334</v>
      </c>
      <c r="S610" t="s">
        <v>20</v>
      </c>
    </row>
    <row r="611" spans="1:19" x14ac:dyDescent="0.45">
      <c r="A611" t="s">
        <v>246</v>
      </c>
      <c r="B611" t="s">
        <v>20</v>
      </c>
      <c r="C611" t="s">
        <v>6853</v>
      </c>
      <c r="D611" t="s">
        <v>6109</v>
      </c>
      <c r="E611" t="s">
        <v>38</v>
      </c>
      <c r="F611" t="s">
        <v>20</v>
      </c>
      <c r="G611" t="s">
        <v>23</v>
      </c>
      <c r="H611" t="s">
        <v>6854</v>
      </c>
      <c r="I611" t="s">
        <v>6855</v>
      </c>
      <c r="J611" t="s">
        <v>10997</v>
      </c>
      <c r="K611" t="s">
        <v>10998</v>
      </c>
      <c r="L611" t="s">
        <v>9570</v>
      </c>
      <c r="M611" t="s">
        <v>32</v>
      </c>
      <c r="N611" t="s">
        <v>33</v>
      </c>
      <c r="O611" t="s">
        <v>34</v>
      </c>
      <c r="P611" t="s">
        <v>20</v>
      </c>
      <c r="Q611" t="s">
        <v>20</v>
      </c>
      <c r="R611" t="s">
        <v>10999</v>
      </c>
      <c r="S611" t="s">
        <v>6856</v>
      </c>
    </row>
    <row r="612" spans="1:19" x14ac:dyDescent="0.45">
      <c r="A612" t="s">
        <v>239</v>
      </c>
      <c r="B612" t="s">
        <v>20</v>
      </c>
      <c r="C612" t="s">
        <v>4176</v>
      </c>
      <c r="D612" t="s">
        <v>4177</v>
      </c>
      <c r="E612" t="s">
        <v>57</v>
      </c>
      <c r="F612" t="s">
        <v>20</v>
      </c>
      <c r="G612" t="s">
        <v>23</v>
      </c>
      <c r="H612" t="s">
        <v>9044</v>
      </c>
      <c r="I612" t="s">
        <v>9578</v>
      </c>
      <c r="J612" t="s">
        <v>9579</v>
      </c>
      <c r="K612" t="s">
        <v>9580</v>
      </c>
      <c r="L612" t="s">
        <v>3418</v>
      </c>
      <c r="M612" t="s">
        <v>32</v>
      </c>
      <c r="N612" t="s">
        <v>62</v>
      </c>
      <c r="O612" t="s">
        <v>34</v>
      </c>
      <c r="P612" t="s">
        <v>20</v>
      </c>
      <c r="Q612" t="s">
        <v>20</v>
      </c>
      <c r="R612" t="s">
        <v>9581</v>
      </c>
      <c r="S612" t="s">
        <v>20</v>
      </c>
    </row>
    <row r="613" spans="1:19" x14ac:dyDescent="0.45">
      <c r="A613" t="s">
        <v>706</v>
      </c>
      <c r="B613" t="s">
        <v>20</v>
      </c>
      <c r="C613" t="s">
        <v>3261</v>
      </c>
      <c r="D613" t="s">
        <v>3262</v>
      </c>
      <c r="E613" t="s">
        <v>57</v>
      </c>
      <c r="F613" t="s">
        <v>20</v>
      </c>
      <c r="G613" t="s">
        <v>23</v>
      </c>
      <c r="H613" t="s">
        <v>7141</v>
      </c>
      <c r="I613" t="s">
        <v>7142</v>
      </c>
      <c r="J613" t="s">
        <v>7143</v>
      </c>
      <c r="K613" t="s">
        <v>7144</v>
      </c>
      <c r="L613" t="s">
        <v>6527</v>
      </c>
      <c r="M613" t="s">
        <v>32</v>
      </c>
      <c r="N613" t="s">
        <v>62</v>
      </c>
      <c r="O613" t="s">
        <v>34</v>
      </c>
      <c r="P613" t="s">
        <v>20</v>
      </c>
      <c r="Q613" t="s">
        <v>20</v>
      </c>
      <c r="R613" t="s">
        <v>6988</v>
      </c>
      <c r="S613" t="s">
        <v>20</v>
      </c>
    </row>
    <row r="614" spans="1:19" x14ac:dyDescent="0.45">
      <c r="A614" t="s">
        <v>525</v>
      </c>
      <c r="B614" t="s">
        <v>20</v>
      </c>
      <c r="C614" t="s">
        <v>595</v>
      </c>
      <c r="D614" t="s">
        <v>596</v>
      </c>
      <c r="E614" t="s">
        <v>57</v>
      </c>
      <c r="F614" t="s">
        <v>20</v>
      </c>
      <c r="G614" t="s">
        <v>23</v>
      </c>
      <c r="H614" t="s">
        <v>597</v>
      </c>
      <c r="I614" t="s">
        <v>598</v>
      </c>
      <c r="J614" t="s">
        <v>599</v>
      </c>
      <c r="K614" t="s">
        <v>600</v>
      </c>
      <c r="L614" t="s">
        <v>43</v>
      </c>
      <c r="M614" t="s">
        <v>32</v>
      </c>
      <c r="N614" t="s">
        <v>62</v>
      </c>
      <c r="O614" t="s">
        <v>34</v>
      </c>
      <c r="P614" t="s">
        <v>20</v>
      </c>
      <c r="Q614" t="s">
        <v>20</v>
      </c>
      <c r="R614" t="s">
        <v>253</v>
      </c>
      <c r="S614" t="s">
        <v>20</v>
      </c>
    </row>
    <row r="615" spans="1:19" x14ac:dyDescent="0.45">
      <c r="A615" t="s">
        <v>1598</v>
      </c>
      <c r="B615" t="s">
        <v>20</v>
      </c>
      <c r="C615" t="s">
        <v>7145</v>
      </c>
      <c r="D615" t="s">
        <v>5628</v>
      </c>
      <c r="E615" t="s">
        <v>57</v>
      </c>
      <c r="F615" t="s">
        <v>20</v>
      </c>
      <c r="G615" t="s">
        <v>23</v>
      </c>
      <c r="H615" t="s">
        <v>7146</v>
      </c>
      <c r="I615" t="s">
        <v>7147</v>
      </c>
      <c r="J615" t="s">
        <v>7148</v>
      </c>
      <c r="K615" t="s">
        <v>7149</v>
      </c>
      <c r="L615" t="s">
        <v>13871</v>
      </c>
      <c r="M615" t="s">
        <v>32</v>
      </c>
      <c r="N615" t="s">
        <v>62</v>
      </c>
      <c r="O615" t="s">
        <v>34</v>
      </c>
      <c r="P615" t="s">
        <v>20</v>
      </c>
      <c r="Q615" t="s">
        <v>20</v>
      </c>
      <c r="R615" t="s">
        <v>7070</v>
      </c>
      <c r="S615" t="s">
        <v>20</v>
      </c>
    </row>
    <row r="616" spans="1:19" x14ac:dyDescent="0.45">
      <c r="A616" t="s">
        <v>114</v>
      </c>
      <c r="B616" t="s">
        <v>20</v>
      </c>
      <c r="C616" t="s">
        <v>115</v>
      </c>
      <c r="D616" t="s">
        <v>116</v>
      </c>
      <c r="E616" t="s">
        <v>2487</v>
      </c>
      <c r="F616" t="s">
        <v>20</v>
      </c>
      <c r="G616" t="s">
        <v>23</v>
      </c>
      <c r="H616" t="s">
        <v>7159</v>
      </c>
      <c r="I616" t="s">
        <v>7160</v>
      </c>
      <c r="J616" t="s">
        <v>7161</v>
      </c>
      <c r="K616" t="s">
        <v>7162</v>
      </c>
      <c r="L616" t="s">
        <v>3418</v>
      </c>
      <c r="M616" t="s">
        <v>32</v>
      </c>
      <c r="N616" t="s">
        <v>62</v>
      </c>
      <c r="O616" t="s">
        <v>34</v>
      </c>
      <c r="P616" t="s">
        <v>20</v>
      </c>
      <c r="Q616" t="s">
        <v>20</v>
      </c>
      <c r="R616" t="s">
        <v>7163</v>
      </c>
      <c r="S616" t="s">
        <v>20</v>
      </c>
    </row>
    <row r="617" spans="1:19" x14ac:dyDescent="0.45">
      <c r="A617" t="s">
        <v>706</v>
      </c>
      <c r="B617" t="s">
        <v>20</v>
      </c>
      <c r="C617" t="s">
        <v>2242</v>
      </c>
      <c r="D617" t="s">
        <v>2243</v>
      </c>
      <c r="E617" t="s">
        <v>57</v>
      </c>
      <c r="F617" t="s">
        <v>20</v>
      </c>
      <c r="G617" t="s">
        <v>23</v>
      </c>
      <c r="H617" t="s">
        <v>7939</v>
      </c>
      <c r="I617" t="s">
        <v>7940</v>
      </c>
      <c r="J617" t="s">
        <v>7941</v>
      </c>
      <c r="K617" t="s">
        <v>7942</v>
      </c>
      <c r="L617" t="s">
        <v>2769</v>
      </c>
      <c r="M617" t="s">
        <v>32</v>
      </c>
      <c r="N617" t="s">
        <v>62</v>
      </c>
      <c r="O617" t="s">
        <v>34</v>
      </c>
      <c r="P617" t="s">
        <v>6524</v>
      </c>
      <c r="Q617" t="s">
        <v>20</v>
      </c>
      <c r="R617" t="s">
        <v>6988</v>
      </c>
      <c r="S617" t="s">
        <v>20</v>
      </c>
    </row>
    <row r="618" spans="1:19" x14ac:dyDescent="0.45">
      <c r="A618" t="s">
        <v>1980</v>
      </c>
      <c r="B618" t="s">
        <v>20</v>
      </c>
      <c r="C618" t="s">
        <v>1981</v>
      </c>
      <c r="D618" t="s">
        <v>1982</v>
      </c>
      <c r="E618" t="s">
        <v>57</v>
      </c>
      <c r="F618" t="s">
        <v>20</v>
      </c>
      <c r="G618" t="s">
        <v>23</v>
      </c>
      <c r="H618" t="s">
        <v>11410</v>
      </c>
      <c r="I618" t="s">
        <v>11411</v>
      </c>
      <c r="J618" t="s">
        <v>11412</v>
      </c>
      <c r="K618" t="s">
        <v>11413</v>
      </c>
      <c r="L618" t="s">
        <v>3418</v>
      </c>
      <c r="M618" t="s">
        <v>32</v>
      </c>
      <c r="N618" t="s">
        <v>62</v>
      </c>
      <c r="O618" t="s">
        <v>34</v>
      </c>
      <c r="P618" t="s">
        <v>20</v>
      </c>
      <c r="Q618" t="s">
        <v>20</v>
      </c>
      <c r="R618" t="s">
        <v>11414</v>
      </c>
      <c r="S618" t="s">
        <v>20</v>
      </c>
    </row>
    <row r="619" spans="1:19" x14ac:dyDescent="0.45">
      <c r="A619" t="s">
        <v>505</v>
      </c>
      <c r="B619" t="s">
        <v>20</v>
      </c>
      <c r="C619" t="s">
        <v>2707</v>
      </c>
      <c r="D619" t="s">
        <v>2708</v>
      </c>
      <c r="E619" t="s">
        <v>38</v>
      </c>
      <c r="F619" t="s">
        <v>20</v>
      </c>
      <c r="G619" t="s">
        <v>23</v>
      </c>
      <c r="H619" t="s">
        <v>2709</v>
      </c>
      <c r="I619" t="s">
        <v>2710</v>
      </c>
      <c r="J619" t="s">
        <v>2711</v>
      </c>
      <c r="K619" t="s">
        <v>1627</v>
      </c>
      <c r="L619" t="s">
        <v>209</v>
      </c>
      <c r="M619" t="s">
        <v>32</v>
      </c>
      <c r="N619" t="s">
        <v>33</v>
      </c>
      <c r="O619" t="s">
        <v>34</v>
      </c>
      <c r="P619" t="s">
        <v>20</v>
      </c>
      <c r="Q619" t="s">
        <v>20</v>
      </c>
      <c r="R619" t="s">
        <v>2712</v>
      </c>
      <c r="S619" t="s">
        <v>20</v>
      </c>
    </row>
    <row r="620" spans="1:19" x14ac:dyDescent="0.45">
      <c r="A620" t="s">
        <v>2700</v>
      </c>
      <c r="B620" t="s">
        <v>20</v>
      </c>
      <c r="C620" t="s">
        <v>2701</v>
      </c>
      <c r="D620" t="s">
        <v>2702</v>
      </c>
      <c r="E620" t="s">
        <v>38</v>
      </c>
      <c r="F620" t="s">
        <v>20</v>
      </c>
      <c r="G620" t="s">
        <v>23</v>
      </c>
      <c r="H620" t="s">
        <v>2703</v>
      </c>
      <c r="I620" t="s">
        <v>2704</v>
      </c>
      <c r="J620" t="s">
        <v>2705</v>
      </c>
      <c r="K620" t="s">
        <v>2706</v>
      </c>
      <c r="L620" t="s">
        <v>3418</v>
      </c>
      <c r="M620" t="s">
        <v>112</v>
      </c>
      <c r="N620" t="s">
        <v>62</v>
      </c>
      <c r="O620" t="s">
        <v>34</v>
      </c>
      <c r="P620" t="s">
        <v>20</v>
      </c>
      <c r="Q620" t="s">
        <v>20</v>
      </c>
      <c r="R620" t="s">
        <v>313</v>
      </c>
      <c r="S620" t="s">
        <v>20</v>
      </c>
    </row>
    <row r="621" spans="1:19" x14ac:dyDescent="0.45">
      <c r="A621" t="s">
        <v>35</v>
      </c>
      <c r="B621" t="s">
        <v>20</v>
      </c>
      <c r="C621" t="s">
        <v>1868</v>
      </c>
      <c r="D621" t="s">
        <v>1869</v>
      </c>
      <c r="E621" t="s">
        <v>38</v>
      </c>
      <c r="F621" t="s">
        <v>20</v>
      </c>
      <c r="G621" t="s">
        <v>23</v>
      </c>
      <c r="H621" t="s">
        <v>10494</v>
      </c>
      <c r="I621" t="s">
        <v>10495</v>
      </c>
      <c r="J621" t="s">
        <v>10496</v>
      </c>
      <c r="K621" t="s">
        <v>10497</v>
      </c>
      <c r="L621" t="s">
        <v>3418</v>
      </c>
      <c r="M621" t="s">
        <v>32</v>
      </c>
      <c r="N621" t="s">
        <v>62</v>
      </c>
      <c r="O621" t="s">
        <v>34</v>
      </c>
      <c r="P621" t="s">
        <v>20</v>
      </c>
      <c r="Q621" t="s">
        <v>20</v>
      </c>
      <c r="R621" t="s">
        <v>10498</v>
      </c>
      <c r="S621" t="s">
        <v>20</v>
      </c>
    </row>
    <row r="622" spans="1:19" x14ac:dyDescent="0.45">
      <c r="A622" t="s">
        <v>120</v>
      </c>
      <c r="B622" t="s">
        <v>20</v>
      </c>
      <c r="C622" t="s">
        <v>12736</v>
      </c>
      <c r="D622" t="s">
        <v>5780</v>
      </c>
      <c r="E622" t="s">
        <v>57</v>
      </c>
      <c r="F622" t="s">
        <v>20</v>
      </c>
      <c r="G622" t="s">
        <v>23</v>
      </c>
      <c r="H622" t="s">
        <v>12737</v>
      </c>
      <c r="I622" t="s">
        <v>12738</v>
      </c>
      <c r="J622" t="s">
        <v>12739</v>
      </c>
      <c r="K622" t="s">
        <v>12740</v>
      </c>
      <c r="L622" t="s">
        <v>3418</v>
      </c>
      <c r="M622" t="s">
        <v>102</v>
      </c>
      <c r="N622" t="s">
        <v>62</v>
      </c>
      <c r="O622" t="s">
        <v>34</v>
      </c>
      <c r="P622" t="s">
        <v>20</v>
      </c>
      <c r="Q622" t="s">
        <v>20</v>
      </c>
      <c r="R622" t="s">
        <v>12741</v>
      </c>
      <c r="S622" t="s">
        <v>20</v>
      </c>
    </row>
    <row r="623" spans="1:19" x14ac:dyDescent="0.45">
      <c r="A623" t="s">
        <v>362</v>
      </c>
      <c r="B623" t="s">
        <v>20</v>
      </c>
      <c r="C623" t="s">
        <v>8079</v>
      </c>
      <c r="D623" t="s">
        <v>8080</v>
      </c>
      <c r="E623" t="s">
        <v>57</v>
      </c>
      <c r="F623" t="s">
        <v>20</v>
      </c>
      <c r="G623" t="s">
        <v>23</v>
      </c>
      <c r="H623" t="s">
        <v>8081</v>
      </c>
      <c r="I623" t="s">
        <v>8082</v>
      </c>
      <c r="J623" t="s">
        <v>8083</v>
      </c>
      <c r="K623" t="s">
        <v>8084</v>
      </c>
      <c r="L623" t="s">
        <v>2769</v>
      </c>
      <c r="M623" t="s">
        <v>6932</v>
      </c>
      <c r="N623" t="s">
        <v>62</v>
      </c>
      <c r="O623" t="s">
        <v>34</v>
      </c>
      <c r="P623" t="s">
        <v>20</v>
      </c>
      <c r="Q623" t="s">
        <v>20</v>
      </c>
      <c r="R623" t="s">
        <v>8085</v>
      </c>
      <c r="S623" t="s">
        <v>20</v>
      </c>
    </row>
    <row r="624" spans="1:19" x14ac:dyDescent="0.45">
      <c r="A624" t="s">
        <v>362</v>
      </c>
      <c r="B624" t="s">
        <v>20</v>
      </c>
      <c r="C624" t="s">
        <v>8079</v>
      </c>
      <c r="D624" t="s">
        <v>8080</v>
      </c>
      <c r="E624" t="s">
        <v>57</v>
      </c>
      <c r="F624" t="s">
        <v>20</v>
      </c>
      <c r="G624" t="s">
        <v>23</v>
      </c>
      <c r="H624" t="s">
        <v>8081</v>
      </c>
      <c r="I624" t="s">
        <v>8082</v>
      </c>
      <c r="J624" t="s">
        <v>8083</v>
      </c>
      <c r="K624" t="s">
        <v>8084</v>
      </c>
      <c r="L624" t="s">
        <v>2769</v>
      </c>
      <c r="M624" t="s">
        <v>32</v>
      </c>
      <c r="N624" t="s">
        <v>62</v>
      </c>
      <c r="O624" t="s">
        <v>34</v>
      </c>
      <c r="P624" t="s">
        <v>20</v>
      </c>
      <c r="Q624" t="s">
        <v>20</v>
      </c>
      <c r="R624" t="s">
        <v>253</v>
      </c>
      <c r="S624" t="s">
        <v>20</v>
      </c>
    </row>
    <row r="625" spans="1:19" x14ac:dyDescent="0.45">
      <c r="A625" t="s">
        <v>563</v>
      </c>
      <c r="B625" t="s">
        <v>20</v>
      </c>
      <c r="C625" t="s">
        <v>7302</v>
      </c>
      <c r="D625" t="s">
        <v>6059</v>
      </c>
      <c r="E625" t="s">
        <v>57</v>
      </c>
      <c r="F625" t="s">
        <v>20</v>
      </c>
      <c r="G625" t="s">
        <v>23</v>
      </c>
      <c r="H625" t="s">
        <v>7303</v>
      </c>
      <c r="I625" t="s">
        <v>7304</v>
      </c>
      <c r="J625" t="s">
        <v>7305</v>
      </c>
      <c r="K625" t="s">
        <v>7306</v>
      </c>
      <c r="L625" t="s">
        <v>9155</v>
      </c>
      <c r="M625" t="s">
        <v>32</v>
      </c>
      <c r="N625" t="s">
        <v>62</v>
      </c>
      <c r="O625" t="s">
        <v>34</v>
      </c>
      <c r="P625" t="s">
        <v>20</v>
      </c>
      <c r="Q625" t="s">
        <v>20</v>
      </c>
      <c r="R625" t="s">
        <v>7307</v>
      </c>
      <c r="S625" t="s">
        <v>20</v>
      </c>
    </row>
    <row r="626" spans="1:19" x14ac:dyDescent="0.45">
      <c r="A626" t="s">
        <v>85</v>
      </c>
      <c r="B626" t="s">
        <v>20</v>
      </c>
      <c r="C626" t="s">
        <v>488</v>
      </c>
      <c r="D626" t="s">
        <v>489</v>
      </c>
      <c r="E626" t="s">
        <v>2487</v>
      </c>
      <c r="F626" t="s">
        <v>20</v>
      </c>
      <c r="G626" t="s">
        <v>23</v>
      </c>
      <c r="H626" t="s">
        <v>7911</v>
      </c>
      <c r="I626" t="s">
        <v>7912</v>
      </c>
      <c r="J626" t="s">
        <v>7913</v>
      </c>
      <c r="K626" t="s">
        <v>7914</v>
      </c>
      <c r="L626" t="s">
        <v>3418</v>
      </c>
      <c r="M626" t="s">
        <v>7029</v>
      </c>
      <c r="N626" t="s">
        <v>62</v>
      </c>
      <c r="O626" t="s">
        <v>34</v>
      </c>
      <c r="P626" t="s">
        <v>20</v>
      </c>
      <c r="Q626" t="s">
        <v>20</v>
      </c>
      <c r="R626" t="s">
        <v>7915</v>
      </c>
      <c r="S626" t="s">
        <v>20</v>
      </c>
    </row>
    <row r="627" spans="1:19" x14ac:dyDescent="0.45">
      <c r="A627" t="s">
        <v>1189</v>
      </c>
      <c r="B627" t="s">
        <v>20</v>
      </c>
      <c r="C627" t="s">
        <v>9947</v>
      </c>
      <c r="D627" t="s">
        <v>6023</v>
      </c>
      <c r="E627" t="s">
        <v>38</v>
      </c>
      <c r="F627" t="s">
        <v>20</v>
      </c>
      <c r="G627" t="s">
        <v>23</v>
      </c>
      <c r="H627" t="s">
        <v>9948</v>
      </c>
      <c r="I627" t="s">
        <v>9949</v>
      </c>
      <c r="J627" t="s">
        <v>11006</v>
      </c>
      <c r="K627" t="s">
        <v>11007</v>
      </c>
      <c r="L627" t="s">
        <v>13871</v>
      </c>
      <c r="M627" t="s">
        <v>32</v>
      </c>
      <c r="N627" t="s">
        <v>33</v>
      </c>
      <c r="O627" t="s">
        <v>34</v>
      </c>
      <c r="P627" t="s">
        <v>20</v>
      </c>
      <c r="Q627" t="s">
        <v>20</v>
      </c>
      <c r="R627" t="s">
        <v>11008</v>
      </c>
      <c r="S627" t="s">
        <v>20</v>
      </c>
    </row>
    <row r="628" spans="1:19" x14ac:dyDescent="0.45">
      <c r="A628" t="s">
        <v>239</v>
      </c>
      <c r="B628" t="s">
        <v>20</v>
      </c>
      <c r="C628" t="s">
        <v>649</v>
      </c>
      <c r="D628" t="s">
        <v>650</v>
      </c>
      <c r="E628" t="s">
        <v>38</v>
      </c>
      <c r="F628" t="s">
        <v>20</v>
      </c>
      <c r="G628" t="s">
        <v>23</v>
      </c>
      <c r="H628" t="s">
        <v>651</v>
      </c>
      <c r="I628" t="s">
        <v>652</v>
      </c>
      <c r="J628" t="s">
        <v>653</v>
      </c>
      <c r="K628" t="s">
        <v>52</v>
      </c>
      <c r="L628" t="s">
        <v>9155</v>
      </c>
      <c r="M628" t="s">
        <v>32</v>
      </c>
      <c r="N628" t="s">
        <v>33</v>
      </c>
      <c r="O628" t="s">
        <v>34</v>
      </c>
      <c r="P628" t="s">
        <v>20</v>
      </c>
      <c r="Q628" t="s">
        <v>20</v>
      </c>
      <c r="R628" t="s">
        <v>9114</v>
      </c>
      <c r="S628" t="s">
        <v>20</v>
      </c>
    </row>
    <row r="629" spans="1:19" x14ac:dyDescent="0.45">
      <c r="A629" t="s">
        <v>261</v>
      </c>
      <c r="B629" t="s">
        <v>20</v>
      </c>
      <c r="C629" t="s">
        <v>2354</v>
      </c>
      <c r="D629" t="s">
        <v>2355</v>
      </c>
      <c r="E629" t="s">
        <v>57</v>
      </c>
      <c r="F629" t="s">
        <v>20</v>
      </c>
      <c r="G629" t="s">
        <v>23</v>
      </c>
      <c r="H629" t="s">
        <v>2356</v>
      </c>
      <c r="I629" t="s">
        <v>2357</v>
      </c>
      <c r="J629" t="s">
        <v>2358</v>
      </c>
      <c r="K629" t="s">
        <v>2359</v>
      </c>
      <c r="L629" t="s">
        <v>43</v>
      </c>
      <c r="M629" t="s">
        <v>32</v>
      </c>
      <c r="N629" t="s">
        <v>62</v>
      </c>
      <c r="O629" t="s">
        <v>34</v>
      </c>
      <c r="P629" t="s">
        <v>20</v>
      </c>
      <c r="Q629" t="s">
        <v>20</v>
      </c>
      <c r="R629" t="s">
        <v>268</v>
      </c>
      <c r="S629" t="s">
        <v>20</v>
      </c>
    </row>
    <row r="630" spans="1:19" x14ac:dyDescent="0.45">
      <c r="A630" t="s">
        <v>169</v>
      </c>
      <c r="B630" t="s">
        <v>20</v>
      </c>
      <c r="C630" t="s">
        <v>7183</v>
      </c>
      <c r="D630" t="s">
        <v>6229</v>
      </c>
      <c r="E630" t="s">
        <v>57</v>
      </c>
      <c r="F630" t="s">
        <v>20</v>
      </c>
      <c r="G630" t="s">
        <v>23</v>
      </c>
      <c r="H630" t="s">
        <v>7184</v>
      </c>
      <c r="I630" t="s">
        <v>7185</v>
      </c>
      <c r="J630" t="s">
        <v>7186</v>
      </c>
      <c r="K630" t="s">
        <v>7187</v>
      </c>
      <c r="L630" t="s">
        <v>2769</v>
      </c>
      <c r="M630" t="s">
        <v>32</v>
      </c>
      <c r="N630" t="s">
        <v>62</v>
      </c>
      <c r="O630" t="s">
        <v>34</v>
      </c>
      <c r="P630" t="s">
        <v>20</v>
      </c>
      <c r="Q630" t="s">
        <v>20</v>
      </c>
      <c r="R630" t="s">
        <v>7085</v>
      </c>
      <c r="S630" t="s">
        <v>20</v>
      </c>
    </row>
    <row r="631" spans="1:19" x14ac:dyDescent="0.45">
      <c r="A631" t="s">
        <v>809</v>
      </c>
      <c r="B631" t="s">
        <v>20</v>
      </c>
      <c r="C631" t="s">
        <v>2402</v>
      </c>
      <c r="D631" t="s">
        <v>2403</v>
      </c>
      <c r="E631" t="s">
        <v>38</v>
      </c>
      <c r="F631" t="s">
        <v>20</v>
      </c>
      <c r="G631" t="s">
        <v>23</v>
      </c>
      <c r="H631" t="s">
        <v>7118</v>
      </c>
      <c r="I631" t="s">
        <v>7119</v>
      </c>
      <c r="J631" t="s">
        <v>7120</v>
      </c>
      <c r="K631" t="s">
        <v>7121</v>
      </c>
      <c r="L631" t="s">
        <v>290</v>
      </c>
      <c r="M631" t="s">
        <v>112</v>
      </c>
      <c r="N631" t="s">
        <v>113</v>
      </c>
      <c r="O631" t="s">
        <v>34</v>
      </c>
      <c r="P631" t="s">
        <v>20</v>
      </c>
      <c r="Q631" t="s">
        <v>20</v>
      </c>
      <c r="R631" t="s">
        <v>7122</v>
      </c>
      <c r="S631" t="s">
        <v>20</v>
      </c>
    </row>
    <row r="632" spans="1:19" x14ac:dyDescent="0.45">
      <c r="A632" t="s">
        <v>79</v>
      </c>
      <c r="B632" t="s">
        <v>20</v>
      </c>
      <c r="C632" t="s">
        <v>694</v>
      </c>
      <c r="D632" t="s">
        <v>695</v>
      </c>
      <c r="E632" t="s">
        <v>2487</v>
      </c>
      <c r="F632" t="s">
        <v>20</v>
      </c>
      <c r="G632" t="s">
        <v>23</v>
      </c>
      <c r="H632" t="s">
        <v>7262</v>
      </c>
      <c r="I632" t="s">
        <v>7263</v>
      </c>
      <c r="J632" t="s">
        <v>7264</v>
      </c>
      <c r="K632" t="s">
        <v>7265</v>
      </c>
      <c r="L632" t="s">
        <v>3418</v>
      </c>
      <c r="M632" t="s">
        <v>32</v>
      </c>
      <c r="N632" t="s">
        <v>62</v>
      </c>
      <c r="O632" t="s">
        <v>34</v>
      </c>
      <c r="P632" t="s">
        <v>20</v>
      </c>
      <c r="Q632" t="s">
        <v>20</v>
      </c>
      <c r="R632" t="s">
        <v>7266</v>
      </c>
      <c r="S632" t="s">
        <v>20</v>
      </c>
    </row>
    <row r="633" spans="1:19" x14ac:dyDescent="0.45">
      <c r="A633" t="s">
        <v>425</v>
      </c>
      <c r="B633" t="s">
        <v>20</v>
      </c>
      <c r="C633" t="s">
        <v>2460</v>
      </c>
      <c r="D633" t="s">
        <v>2461</v>
      </c>
      <c r="E633" t="s">
        <v>57</v>
      </c>
      <c r="F633" t="s">
        <v>20</v>
      </c>
      <c r="G633" t="s">
        <v>23</v>
      </c>
      <c r="H633" t="s">
        <v>2462</v>
      </c>
      <c r="I633" t="s">
        <v>2463</v>
      </c>
      <c r="J633" t="s">
        <v>2464</v>
      </c>
      <c r="K633" t="s">
        <v>2465</v>
      </c>
      <c r="L633" t="s">
        <v>43</v>
      </c>
      <c r="M633" t="s">
        <v>32</v>
      </c>
      <c r="N633" t="s">
        <v>62</v>
      </c>
      <c r="O633" t="s">
        <v>34</v>
      </c>
      <c r="P633" t="s">
        <v>20</v>
      </c>
      <c r="Q633" t="s">
        <v>20</v>
      </c>
      <c r="R633" t="s">
        <v>528</v>
      </c>
      <c r="S633" t="s">
        <v>20</v>
      </c>
    </row>
    <row r="634" spans="1:19" x14ac:dyDescent="0.45">
      <c r="A634" t="s">
        <v>1975</v>
      </c>
      <c r="B634" t="s">
        <v>20</v>
      </c>
      <c r="C634" t="s">
        <v>2331</v>
      </c>
      <c r="D634" t="s">
        <v>2332</v>
      </c>
      <c r="E634" t="s">
        <v>57</v>
      </c>
      <c r="F634" t="s">
        <v>20</v>
      </c>
      <c r="G634" t="s">
        <v>23</v>
      </c>
      <c r="H634" t="s">
        <v>8926</v>
      </c>
      <c r="I634" t="s">
        <v>9115</v>
      </c>
      <c r="J634" t="s">
        <v>9116</v>
      </c>
      <c r="K634" t="s">
        <v>9117</v>
      </c>
      <c r="L634" t="s">
        <v>2769</v>
      </c>
      <c r="M634" t="s">
        <v>32</v>
      </c>
      <c r="N634" t="s">
        <v>62</v>
      </c>
      <c r="O634" t="s">
        <v>34</v>
      </c>
      <c r="P634" t="s">
        <v>20</v>
      </c>
      <c r="Q634" t="s">
        <v>20</v>
      </c>
      <c r="R634" t="s">
        <v>9118</v>
      </c>
      <c r="S634" t="s">
        <v>20</v>
      </c>
    </row>
    <row r="635" spans="1:19" x14ac:dyDescent="0.45">
      <c r="A635" t="s">
        <v>1016</v>
      </c>
      <c r="B635" t="s">
        <v>20</v>
      </c>
      <c r="C635" t="s">
        <v>1954</v>
      </c>
      <c r="D635" t="s">
        <v>1955</v>
      </c>
      <c r="E635" t="s">
        <v>38</v>
      </c>
      <c r="F635" t="s">
        <v>20</v>
      </c>
      <c r="G635" t="s">
        <v>23</v>
      </c>
      <c r="H635" t="s">
        <v>9536</v>
      </c>
      <c r="I635" t="s">
        <v>9568</v>
      </c>
      <c r="J635" t="s">
        <v>10979</v>
      </c>
      <c r="K635" t="s">
        <v>10980</v>
      </c>
      <c r="L635" t="s">
        <v>9570</v>
      </c>
      <c r="M635" t="s">
        <v>2100</v>
      </c>
      <c r="N635" t="s">
        <v>33</v>
      </c>
      <c r="O635" t="s">
        <v>34</v>
      </c>
      <c r="P635" t="s">
        <v>6527</v>
      </c>
      <c r="Q635" t="s">
        <v>20</v>
      </c>
      <c r="R635" t="s">
        <v>10981</v>
      </c>
      <c r="S635" t="s">
        <v>20</v>
      </c>
    </row>
    <row r="636" spans="1:19" x14ac:dyDescent="0.45">
      <c r="A636" t="s">
        <v>261</v>
      </c>
      <c r="B636" t="s">
        <v>20</v>
      </c>
      <c r="C636" t="s">
        <v>2391</v>
      </c>
      <c r="D636" t="s">
        <v>2392</v>
      </c>
      <c r="E636" t="s">
        <v>38</v>
      </c>
      <c r="F636" t="s">
        <v>20</v>
      </c>
      <c r="G636" t="s">
        <v>23</v>
      </c>
      <c r="H636" t="s">
        <v>9950</v>
      </c>
      <c r="I636" t="s">
        <v>9951</v>
      </c>
      <c r="J636" t="s">
        <v>11086</v>
      </c>
      <c r="K636" t="s">
        <v>11057</v>
      </c>
      <c r="L636" t="s">
        <v>3998</v>
      </c>
      <c r="M636" t="s">
        <v>32</v>
      </c>
      <c r="N636" t="s">
        <v>33</v>
      </c>
      <c r="O636" t="s">
        <v>34</v>
      </c>
      <c r="P636" t="s">
        <v>20</v>
      </c>
      <c r="Q636" t="s">
        <v>20</v>
      </c>
      <c r="R636" t="s">
        <v>11087</v>
      </c>
      <c r="S636" t="s">
        <v>20</v>
      </c>
    </row>
    <row r="637" spans="1:19" x14ac:dyDescent="0.45">
      <c r="A637" t="s">
        <v>26</v>
      </c>
      <c r="B637" t="s">
        <v>20</v>
      </c>
      <c r="C637" t="s">
        <v>373</v>
      </c>
      <c r="D637" t="s">
        <v>374</v>
      </c>
      <c r="E637" t="s">
        <v>38</v>
      </c>
      <c r="F637" t="s">
        <v>20</v>
      </c>
      <c r="G637" t="s">
        <v>23</v>
      </c>
      <c r="H637" t="s">
        <v>375</v>
      </c>
      <c r="I637" t="s">
        <v>376</v>
      </c>
      <c r="J637" t="s">
        <v>377</v>
      </c>
      <c r="K637" t="s">
        <v>378</v>
      </c>
      <c r="L637" t="s">
        <v>101</v>
      </c>
      <c r="M637" t="s">
        <v>205</v>
      </c>
      <c r="N637" t="s">
        <v>62</v>
      </c>
      <c r="O637" t="s">
        <v>34</v>
      </c>
      <c r="P637" t="s">
        <v>20</v>
      </c>
      <c r="Q637" t="s">
        <v>20</v>
      </c>
      <c r="R637" t="s">
        <v>206</v>
      </c>
      <c r="S637" t="s">
        <v>20</v>
      </c>
    </row>
    <row r="638" spans="1:19" x14ac:dyDescent="0.45">
      <c r="A638" t="s">
        <v>362</v>
      </c>
      <c r="B638" t="s">
        <v>20</v>
      </c>
      <c r="C638" t="s">
        <v>3929</v>
      </c>
      <c r="D638" t="s">
        <v>3930</v>
      </c>
      <c r="E638" t="s">
        <v>57</v>
      </c>
      <c r="F638" t="s">
        <v>20</v>
      </c>
      <c r="G638" t="s">
        <v>23</v>
      </c>
      <c r="H638" t="s">
        <v>7943</v>
      </c>
      <c r="I638" t="s">
        <v>7944</v>
      </c>
      <c r="J638" t="s">
        <v>7945</v>
      </c>
      <c r="K638" t="s">
        <v>7946</v>
      </c>
      <c r="L638" t="s">
        <v>2769</v>
      </c>
      <c r="M638" t="s">
        <v>32</v>
      </c>
      <c r="N638" t="s">
        <v>62</v>
      </c>
      <c r="O638" t="s">
        <v>34</v>
      </c>
      <c r="P638" t="s">
        <v>20</v>
      </c>
      <c r="Q638" t="s">
        <v>20</v>
      </c>
      <c r="R638" t="s">
        <v>253</v>
      </c>
      <c r="S638" t="s">
        <v>20</v>
      </c>
    </row>
    <row r="639" spans="1:19" x14ac:dyDescent="0.45">
      <c r="A639" t="s">
        <v>246</v>
      </c>
      <c r="B639" t="s">
        <v>20</v>
      </c>
      <c r="C639" t="s">
        <v>529</v>
      </c>
      <c r="D639" t="s">
        <v>530</v>
      </c>
      <c r="E639" t="s">
        <v>57</v>
      </c>
      <c r="F639" t="s">
        <v>20</v>
      </c>
      <c r="G639" t="s">
        <v>23</v>
      </c>
      <c r="H639" t="s">
        <v>531</v>
      </c>
      <c r="I639" t="s">
        <v>532</v>
      </c>
      <c r="J639" t="s">
        <v>533</v>
      </c>
      <c r="K639" t="s">
        <v>534</v>
      </c>
      <c r="L639" t="s">
        <v>9683</v>
      </c>
      <c r="M639" t="s">
        <v>32</v>
      </c>
      <c r="N639" t="s">
        <v>62</v>
      </c>
      <c r="O639" t="s">
        <v>34</v>
      </c>
      <c r="P639" t="s">
        <v>6527</v>
      </c>
      <c r="Q639" t="s">
        <v>20</v>
      </c>
      <c r="R639" t="s">
        <v>253</v>
      </c>
      <c r="S639" t="s">
        <v>20</v>
      </c>
    </row>
    <row r="640" spans="1:19" x14ac:dyDescent="0.45">
      <c r="A640" t="s">
        <v>386</v>
      </c>
      <c r="B640" t="s">
        <v>20</v>
      </c>
      <c r="C640" t="s">
        <v>1517</v>
      </c>
      <c r="D640" t="s">
        <v>1518</v>
      </c>
      <c r="E640" t="s">
        <v>38</v>
      </c>
      <c r="F640" t="s">
        <v>20</v>
      </c>
      <c r="G640" t="s">
        <v>23</v>
      </c>
      <c r="H640" t="s">
        <v>11758</v>
      </c>
      <c r="I640" t="s">
        <v>11759</v>
      </c>
      <c r="J640" t="s">
        <v>12508</v>
      </c>
      <c r="K640" t="s">
        <v>12509</v>
      </c>
      <c r="L640" t="s">
        <v>6524</v>
      </c>
      <c r="M640" t="s">
        <v>12431</v>
      </c>
      <c r="N640" t="s">
        <v>33</v>
      </c>
      <c r="O640" t="s">
        <v>34</v>
      </c>
      <c r="P640" t="s">
        <v>20</v>
      </c>
      <c r="Q640" t="s">
        <v>20</v>
      </c>
      <c r="R640" t="s">
        <v>12510</v>
      </c>
      <c r="S640" t="s">
        <v>11760</v>
      </c>
    </row>
    <row r="641" spans="1:19" x14ac:dyDescent="0.45">
      <c r="A641" t="s">
        <v>231</v>
      </c>
      <c r="B641" t="s">
        <v>20</v>
      </c>
      <c r="C641" t="s">
        <v>963</v>
      </c>
      <c r="D641" t="s">
        <v>964</v>
      </c>
      <c r="E641" t="s">
        <v>38</v>
      </c>
      <c r="F641" t="s">
        <v>20</v>
      </c>
      <c r="G641" t="s">
        <v>23</v>
      </c>
      <c r="H641" t="s">
        <v>965</v>
      </c>
      <c r="I641" t="s">
        <v>966</v>
      </c>
      <c r="J641" t="s">
        <v>967</v>
      </c>
      <c r="K641" t="s">
        <v>968</v>
      </c>
      <c r="L641" t="s">
        <v>13871</v>
      </c>
      <c r="M641" t="s">
        <v>32</v>
      </c>
      <c r="N641" t="s">
        <v>33</v>
      </c>
      <c r="O641" t="s">
        <v>34</v>
      </c>
      <c r="P641" t="s">
        <v>20</v>
      </c>
      <c r="Q641" t="s">
        <v>20</v>
      </c>
      <c r="R641" t="s">
        <v>969</v>
      </c>
      <c r="S641" t="s">
        <v>20</v>
      </c>
    </row>
    <row r="642" spans="1:19" x14ac:dyDescent="0.45">
      <c r="A642" t="s">
        <v>3902</v>
      </c>
      <c r="B642" t="s">
        <v>20</v>
      </c>
      <c r="C642" t="s">
        <v>12751</v>
      </c>
      <c r="D642" t="s">
        <v>6049</v>
      </c>
      <c r="E642" t="s">
        <v>38</v>
      </c>
      <c r="F642" t="s">
        <v>20</v>
      </c>
      <c r="G642" t="s">
        <v>23</v>
      </c>
      <c r="H642" t="s">
        <v>12752</v>
      </c>
      <c r="I642" t="s">
        <v>12753</v>
      </c>
      <c r="J642" t="s">
        <v>12754</v>
      </c>
      <c r="K642" t="s">
        <v>12755</v>
      </c>
      <c r="L642" t="s">
        <v>6533</v>
      </c>
      <c r="M642" t="s">
        <v>112</v>
      </c>
      <c r="N642" t="s">
        <v>146</v>
      </c>
      <c r="O642" t="s">
        <v>34</v>
      </c>
      <c r="P642" t="s">
        <v>20</v>
      </c>
      <c r="Q642" t="s">
        <v>20</v>
      </c>
      <c r="R642" t="s">
        <v>12756</v>
      </c>
      <c r="S642" t="s">
        <v>20</v>
      </c>
    </row>
    <row r="643" spans="1:19" x14ac:dyDescent="0.45">
      <c r="A643" t="s">
        <v>26</v>
      </c>
      <c r="B643" t="s">
        <v>20</v>
      </c>
      <c r="C643" t="s">
        <v>1143</v>
      </c>
      <c r="D643" t="s">
        <v>1144</v>
      </c>
      <c r="E643" t="s">
        <v>38</v>
      </c>
      <c r="F643" t="s">
        <v>20</v>
      </c>
      <c r="G643" t="s">
        <v>23</v>
      </c>
      <c r="H643" t="s">
        <v>1145</v>
      </c>
      <c r="I643" t="s">
        <v>1146</v>
      </c>
      <c r="J643" t="s">
        <v>1147</v>
      </c>
      <c r="K643" t="s">
        <v>1148</v>
      </c>
      <c r="L643" t="s">
        <v>101</v>
      </c>
      <c r="M643" t="s">
        <v>205</v>
      </c>
      <c r="N643" t="s">
        <v>62</v>
      </c>
      <c r="O643" t="s">
        <v>34</v>
      </c>
      <c r="P643" t="s">
        <v>20</v>
      </c>
      <c r="Q643" t="s">
        <v>20</v>
      </c>
      <c r="R643" t="s">
        <v>206</v>
      </c>
      <c r="S643" t="s">
        <v>20</v>
      </c>
    </row>
    <row r="644" spans="1:19" x14ac:dyDescent="0.45">
      <c r="A644" t="s">
        <v>2432</v>
      </c>
      <c r="B644" t="s">
        <v>20</v>
      </c>
      <c r="C644" t="s">
        <v>6829</v>
      </c>
      <c r="D644" t="s">
        <v>6830</v>
      </c>
      <c r="E644" t="s">
        <v>38</v>
      </c>
      <c r="F644" t="s">
        <v>20</v>
      </c>
      <c r="G644" t="s">
        <v>23</v>
      </c>
      <c r="H644" t="s">
        <v>6831</v>
      </c>
      <c r="I644" t="s">
        <v>6832</v>
      </c>
      <c r="J644" t="s">
        <v>10853</v>
      </c>
      <c r="K644" t="s">
        <v>10854</v>
      </c>
      <c r="L644" t="s">
        <v>3998</v>
      </c>
      <c r="M644" t="s">
        <v>32</v>
      </c>
      <c r="N644" t="s">
        <v>33</v>
      </c>
      <c r="O644" t="s">
        <v>34</v>
      </c>
      <c r="P644" t="s">
        <v>20</v>
      </c>
      <c r="Q644" t="s">
        <v>20</v>
      </c>
      <c r="R644" t="s">
        <v>10855</v>
      </c>
      <c r="S644" t="s">
        <v>20</v>
      </c>
    </row>
    <row r="645" spans="1:19" x14ac:dyDescent="0.45">
      <c r="A645" t="s">
        <v>809</v>
      </c>
      <c r="B645" t="s">
        <v>20</v>
      </c>
      <c r="C645" t="s">
        <v>1177</v>
      </c>
      <c r="D645" t="s">
        <v>1178</v>
      </c>
      <c r="E645" t="s">
        <v>38</v>
      </c>
      <c r="F645" t="s">
        <v>20</v>
      </c>
      <c r="G645" t="s">
        <v>23</v>
      </c>
      <c r="H645" t="s">
        <v>1539</v>
      </c>
      <c r="I645" t="s">
        <v>1540</v>
      </c>
      <c r="J645" t="s">
        <v>1541</v>
      </c>
      <c r="K645" t="s">
        <v>1542</v>
      </c>
      <c r="L645" t="s">
        <v>31</v>
      </c>
      <c r="M645" t="s">
        <v>32</v>
      </c>
      <c r="N645" t="s">
        <v>33</v>
      </c>
      <c r="O645" t="s">
        <v>34</v>
      </c>
      <c r="P645" t="s">
        <v>20</v>
      </c>
      <c r="Q645" t="s">
        <v>20</v>
      </c>
      <c r="R645" t="s">
        <v>1543</v>
      </c>
      <c r="S645" t="s">
        <v>1544</v>
      </c>
    </row>
    <row r="646" spans="1:19" x14ac:dyDescent="0.45">
      <c r="A646" t="s">
        <v>921</v>
      </c>
      <c r="B646" t="s">
        <v>20</v>
      </c>
      <c r="C646" t="s">
        <v>12761</v>
      </c>
      <c r="D646" t="s">
        <v>9890</v>
      </c>
      <c r="E646" t="s">
        <v>38</v>
      </c>
      <c r="F646" t="s">
        <v>20</v>
      </c>
      <c r="G646" t="s">
        <v>23</v>
      </c>
      <c r="H646" t="s">
        <v>12762</v>
      </c>
      <c r="I646" t="s">
        <v>12763</v>
      </c>
      <c r="J646" t="s">
        <v>12764</v>
      </c>
      <c r="K646" t="s">
        <v>12765</v>
      </c>
      <c r="L646" t="s">
        <v>6524</v>
      </c>
      <c r="M646" t="s">
        <v>12431</v>
      </c>
      <c r="N646" t="s">
        <v>33</v>
      </c>
      <c r="O646" t="s">
        <v>34</v>
      </c>
      <c r="P646" t="s">
        <v>20</v>
      </c>
      <c r="Q646" t="s">
        <v>20</v>
      </c>
      <c r="R646" t="s">
        <v>12766</v>
      </c>
      <c r="S646" t="s">
        <v>20</v>
      </c>
    </row>
    <row r="647" spans="1:19" x14ac:dyDescent="0.45">
      <c r="A647" t="s">
        <v>505</v>
      </c>
      <c r="B647" t="s">
        <v>20</v>
      </c>
      <c r="C647" t="s">
        <v>6624</v>
      </c>
      <c r="D647" t="s">
        <v>5690</v>
      </c>
      <c r="E647" t="s">
        <v>57</v>
      </c>
      <c r="F647" t="s">
        <v>20</v>
      </c>
      <c r="G647" t="s">
        <v>23</v>
      </c>
      <c r="H647" t="s">
        <v>6481</v>
      </c>
      <c r="I647" t="s">
        <v>6625</v>
      </c>
      <c r="J647" t="s">
        <v>6626</v>
      </c>
      <c r="K647" t="s">
        <v>6627</v>
      </c>
      <c r="L647" t="s">
        <v>722</v>
      </c>
      <c r="M647" t="s">
        <v>32</v>
      </c>
      <c r="N647" t="s">
        <v>62</v>
      </c>
      <c r="O647" t="s">
        <v>34</v>
      </c>
      <c r="P647" t="s">
        <v>20</v>
      </c>
      <c r="Q647" t="s">
        <v>20</v>
      </c>
      <c r="R647" t="s">
        <v>253</v>
      </c>
      <c r="S647" t="s">
        <v>20</v>
      </c>
    </row>
    <row r="648" spans="1:19" x14ac:dyDescent="0.45">
      <c r="A648" t="s">
        <v>706</v>
      </c>
      <c r="B648" t="s">
        <v>20</v>
      </c>
      <c r="C648" t="s">
        <v>2938</v>
      </c>
      <c r="D648" t="s">
        <v>2939</v>
      </c>
      <c r="E648" t="s">
        <v>57</v>
      </c>
      <c r="F648" t="s">
        <v>20</v>
      </c>
      <c r="G648" t="s">
        <v>23</v>
      </c>
      <c r="H648" t="s">
        <v>6984</v>
      </c>
      <c r="I648" t="s">
        <v>6985</v>
      </c>
      <c r="J648" t="s">
        <v>6986</v>
      </c>
      <c r="K648" t="s">
        <v>6987</v>
      </c>
      <c r="L648" t="s">
        <v>2769</v>
      </c>
      <c r="M648" t="s">
        <v>32</v>
      </c>
      <c r="N648" t="s">
        <v>62</v>
      </c>
      <c r="O648" t="s">
        <v>34</v>
      </c>
      <c r="P648" t="s">
        <v>6527</v>
      </c>
      <c r="Q648" t="s">
        <v>20</v>
      </c>
      <c r="R648" t="s">
        <v>6988</v>
      </c>
      <c r="S648" t="s">
        <v>20</v>
      </c>
    </row>
    <row r="649" spans="1:19" x14ac:dyDescent="0.45">
      <c r="A649" t="s">
        <v>128</v>
      </c>
      <c r="B649" t="s">
        <v>20</v>
      </c>
      <c r="C649" t="s">
        <v>7644</v>
      </c>
      <c r="D649" t="s">
        <v>7645</v>
      </c>
      <c r="E649" t="s">
        <v>2487</v>
      </c>
      <c r="F649" t="s">
        <v>20</v>
      </c>
      <c r="G649" t="s">
        <v>23</v>
      </c>
      <c r="H649" t="s">
        <v>7646</v>
      </c>
      <c r="I649" t="s">
        <v>7647</v>
      </c>
      <c r="J649" t="s">
        <v>7648</v>
      </c>
      <c r="K649" t="s">
        <v>7649</v>
      </c>
      <c r="L649" t="s">
        <v>3418</v>
      </c>
      <c r="M649" t="s">
        <v>32</v>
      </c>
      <c r="N649" t="s">
        <v>62</v>
      </c>
      <c r="O649" t="s">
        <v>34</v>
      </c>
      <c r="P649" t="s">
        <v>20</v>
      </c>
      <c r="Q649" t="s">
        <v>20</v>
      </c>
      <c r="R649" t="s">
        <v>7650</v>
      </c>
      <c r="S649" t="s">
        <v>20</v>
      </c>
    </row>
    <row r="650" spans="1:19" x14ac:dyDescent="0.45">
      <c r="A650" t="s">
        <v>715</v>
      </c>
      <c r="B650" t="s">
        <v>20</v>
      </c>
      <c r="C650" t="s">
        <v>4459</v>
      </c>
      <c r="D650" t="s">
        <v>4460</v>
      </c>
      <c r="E650" t="s">
        <v>57</v>
      </c>
      <c r="F650" t="s">
        <v>20</v>
      </c>
      <c r="G650" t="s">
        <v>23</v>
      </c>
      <c r="H650" t="s">
        <v>9022</v>
      </c>
      <c r="I650" t="s">
        <v>9134</v>
      </c>
      <c r="J650" t="s">
        <v>9135</v>
      </c>
      <c r="K650" t="s">
        <v>9136</v>
      </c>
      <c r="L650" t="s">
        <v>3418</v>
      </c>
      <c r="M650" t="s">
        <v>102</v>
      </c>
      <c r="N650" t="s">
        <v>62</v>
      </c>
      <c r="O650" t="s">
        <v>34</v>
      </c>
      <c r="P650" t="s">
        <v>20</v>
      </c>
      <c r="Q650" t="s">
        <v>20</v>
      </c>
      <c r="R650" t="s">
        <v>9137</v>
      </c>
      <c r="S650" t="s">
        <v>20</v>
      </c>
    </row>
    <row r="651" spans="1:19" x14ac:dyDescent="0.45">
      <c r="A651" t="s">
        <v>85</v>
      </c>
      <c r="B651" t="s">
        <v>20</v>
      </c>
      <c r="C651" t="s">
        <v>2504</v>
      </c>
      <c r="D651" t="s">
        <v>2505</v>
      </c>
      <c r="E651" t="s">
        <v>2487</v>
      </c>
      <c r="F651" t="s">
        <v>20</v>
      </c>
      <c r="G651" t="s">
        <v>23</v>
      </c>
      <c r="H651" t="s">
        <v>7025</v>
      </c>
      <c r="I651" t="s">
        <v>7026</v>
      </c>
      <c r="J651" t="s">
        <v>7027</v>
      </c>
      <c r="K651" t="s">
        <v>7028</v>
      </c>
      <c r="L651" t="s">
        <v>3418</v>
      </c>
      <c r="M651" t="s">
        <v>7029</v>
      </c>
      <c r="N651" t="s">
        <v>62</v>
      </c>
      <c r="O651" t="s">
        <v>34</v>
      </c>
      <c r="P651" t="s">
        <v>20</v>
      </c>
      <c r="Q651" t="s">
        <v>20</v>
      </c>
      <c r="R651" t="s">
        <v>7030</v>
      </c>
      <c r="S651" t="s">
        <v>20</v>
      </c>
    </row>
    <row r="652" spans="1:19" x14ac:dyDescent="0.45">
      <c r="A652" t="s">
        <v>425</v>
      </c>
      <c r="B652" t="s">
        <v>20</v>
      </c>
      <c r="C652" t="s">
        <v>1799</v>
      </c>
      <c r="D652" t="s">
        <v>1800</v>
      </c>
      <c r="E652" t="s">
        <v>29</v>
      </c>
      <c r="F652" t="s">
        <v>20</v>
      </c>
      <c r="G652" t="s">
        <v>23</v>
      </c>
      <c r="H652" t="s">
        <v>2548</v>
      </c>
      <c r="I652" t="s">
        <v>2549</v>
      </c>
      <c r="J652" t="s">
        <v>2550</v>
      </c>
      <c r="K652" t="s">
        <v>2551</v>
      </c>
      <c r="L652" t="s">
        <v>31</v>
      </c>
      <c r="M652" t="s">
        <v>32</v>
      </c>
      <c r="N652" t="s">
        <v>33</v>
      </c>
      <c r="O652" t="s">
        <v>34</v>
      </c>
      <c r="P652" t="s">
        <v>20</v>
      </c>
      <c r="Q652" t="s">
        <v>20</v>
      </c>
      <c r="R652" t="s">
        <v>2552</v>
      </c>
      <c r="S652" t="s">
        <v>20</v>
      </c>
    </row>
    <row r="653" spans="1:19" x14ac:dyDescent="0.45">
      <c r="A653" t="s">
        <v>71</v>
      </c>
      <c r="B653" t="s">
        <v>20</v>
      </c>
      <c r="C653" t="s">
        <v>3453</v>
      </c>
      <c r="D653" t="s">
        <v>3454</v>
      </c>
      <c r="E653" t="s">
        <v>38</v>
      </c>
      <c r="F653" t="s">
        <v>20</v>
      </c>
      <c r="G653" t="s">
        <v>23</v>
      </c>
      <c r="H653" t="s">
        <v>7009</v>
      </c>
      <c r="I653" t="s">
        <v>7010</v>
      </c>
      <c r="J653" t="s">
        <v>7011</v>
      </c>
      <c r="K653" t="s">
        <v>7012</v>
      </c>
      <c r="L653" t="s">
        <v>3998</v>
      </c>
      <c r="M653" t="s">
        <v>112</v>
      </c>
      <c r="N653" t="s">
        <v>146</v>
      </c>
      <c r="O653" t="s">
        <v>34</v>
      </c>
      <c r="P653" t="s">
        <v>20</v>
      </c>
      <c r="Q653" t="s">
        <v>20</v>
      </c>
      <c r="R653" t="s">
        <v>7013</v>
      </c>
      <c r="S653" t="s">
        <v>20</v>
      </c>
    </row>
    <row r="654" spans="1:19" x14ac:dyDescent="0.45">
      <c r="A654" t="s">
        <v>239</v>
      </c>
      <c r="B654" t="s">
        <v>20</v>
      </c>
      <c r="C654" t="s">
        <v>9611</v>
      </c>
      <c r="D654" t="s">
        <v>6445</v>
      </c>
      <c r="E654" t="s">
        <v>57</v>
      </c>
      <c r="F654" t="s">
        <v>20</v>
      </c>
      <c r="G654" t="s">
        <v>23</v>
      </c>
      <c r="H654" t="s">
        <v>9053</v>
      </c>
      <c r="I654" t="s">
        <v>9612</v>
      </c>
      <c r="J654" t="s">
        <v>9613</v>
      </c>
      <c r="K654" t="s">
        <v>9614</v>
      </c>
      <c r="L654" t="s">
        <v>3418</v>
      </c>
      <c r="M654" t="s">
        <v>32</v>
      </c>
      <c r="N654" t="s">
        <v>62</v>
      </c>
      <c r="O654" t="s">
        <v>34</v>
      </c>
      <c r="P654" t="s">
        <v>20</v>
      </c>
      <c r="Q654" t="s">
        <v>20</v>
      </c>
      <c r="R654" t="s">
        <v>9615</v>
      </c>
      <c r="S654" t="s">
        <v>20</v>
      </c>
    </row>
    <row r="655" spans="1:19" x14ac:dyDescent="0.45">
      <c r="A655" t="s">
        <v>3902</v>
      </c>
      <c r="B655" t="s">
        <v>20</v>
      </c>
      <c r="C655" t="s">
        <v>4352</v>
      </c>
      <c r="D655" t="s">
        <v>4353</v>
      </c>
      <c r="E655" t="s">
        <v>38</v>
      </c>
      <c r="F655" t="s">
        <v>20</v>
      </c>
      <c r="G655" t="s">
        <v>23</v>
      </c>
      <c r="H655" t="s">
        <v>9003</v>
      </c>
      <c r="I655" t="s">
        <v>9138</v>
      </c>
      <c r="J655" t="s">
        <v>9139</v>
      </c>
      <c r="K655" t="s">
        <v>9140</v>
      </c>
      <c r="L655" t="s">
        <v>6513</v>
      </c>
      <c r="M655" t="s">
        <v>3910</v>
      </c>
      <c r="N655" t="s">
        <v>119</v>
      </c>
      <c r="O655" t="s">
        <v>34</v>
      </c>
      <c r="P655" t="s">
        <v>20</v>
      </c>
      <c r="Q655" t="s">
        <v>20</v>
      </c>
      <c r="R655" t="s">
        <v>9141</v>
      </c>
      <c r="S655" t="s">
        <v>20</v>
      </c>
    </row>
    <row r="656" spans="1:19" x14ac:dyDescent="0.45">
      <c r="A656" t="s">
        <v>1613</v>
      </c>
      <c r="B656" t="s">
        <v>20</v>
      </c>
      <c r="C656" t="s">
        <v>1805</v>
      </c>
      <c r="D656" t="s">
        <v>1806</v>
      </c>
      <c r="E656" t="s">
        <v>38</v>
      </c>
      <c r="F656" t="s">
        <v>20</v>
      </c>
      <c r="G656" t="s">
        <v>23</v>
      </c>
      <c r="H656" t="s">
        <v>7986</v>
      </c>
      <c r="I656" t="s">
        <v>7987</v>
      </c>
      <c r="J656" t="s">
        <v>7988</v>
      </c>
      <c r="K656" t="s">
        <v>7989</v>
      </c>
      <c r="L656" t="s">
        <v>7506</v>
      </c>
      <c r="M656" t="s">
        <v>112</v>
      </c>
      <c r="N656" t="s">
        <v>195</v>
      </c>
      <c r="O656" t="s">
        <v>34</v>
      </c>
      <c r="P656" t="s">
        <v>20</v>
      </c>
      <c r="Q656" t="s">
        <v>20</v>
      </c>
      <c r="R656" t="s">
        <v>7990</v>
      </c>
      <c r="S656" t="s">
        <v>20</v>
      </c>
    </row>
    <row r="657" spans="1:19" x14ac:dyDescent="0.45">
      <c r="A657" t="s">
        <v>777</v>
      </c>
      <c r="B657" t="s">
        <v>20</v>
      </c>
      <c r="C657" t="s">
        <v>7709</v>
      </c>
      <c r="D657" t="s">
        <v>6045</v>
      </c>
      <c r="E657" t="s">
        <v>2487</v>
      </c>
      <c r="F657" t="s">
        <v>20</v>
      </c>
      <c r="G657" t="s">
        <v>23</v>
      </c>
      <c r="H657" t="s">
        <v>7710</v>
      </c>
      <c r="I657" t="s">
        <v>7711</v>
      </c>
      <c r="J657" t="s">
        <v>7712</v>
      </c>
      <c r="K657" t="s">
        <v>7713</v>
      </c>
      <c r="L657" t="s">
        <v>3418</v>
      </c>
      <c r="M657" t="s">
        <v>32</v>
      </c>
      <c r="N657" t="s">
        <v>62</v>
      </c>
      <c r="O657" t="s">
        <v>34</v>
      </c>
      <c r="P657" t="s">
        <v>20</v>
      </c>
      <c r="Q657" t="s">
        <v>20</v>
      </c>
      <c r="R657" t="s">
        <v>7714</v>
      </c>
      <c r="S657" t="s">
        <v>20</v>
      </c>
    </row>
    <row r="658" spans="1:19" x14ac:dyDescent="0.45">
      <c r="A658" t="s">
        <v>269</v>
      </c>
      <c r="B658" t="s">
        <v>20</v>
      </c>
      <c r="C658" t="s">
        <v>1526</v>
      </c>
      <c r="D658" t="s">
        <v>1527</v>
      </c>
      <c r="E658" t="s">
        <v>57</v>
      </c>
      <c r="F658" t="s">
        <v>20</v>
      </c>
      <c r="G658" t="s">
        <v>23</v>
      </c>
      <c r="H658" t="s">
        <v>1528</v>
      </c>
      <c r="I658" t="s">
        <v>1529</v>
      </c>
      <c r="J658" t="s">
        <v>1530</v>
      </c>
      <c r="K658" t="s">
        <v>1531</v>
      </c>
      <c r="L658" t="s">
        <v>43</v>
      </c>
      <c r="M658" t="s">
        <v>32</v>
      </c>
      <c r="N658" t="s">
        <v>62</v>
      </c>
      <c r="O658" t="s">
        <v>34</v>
      </c>
      <c r="P658" t="s">
        <v>20</v>
      </c>
      <c r="Q658" t="s">
        <v>20</v>
      </c>
      <c r="R658" t="s">
        <v>253</v>
      </c>
      <c r="S658" t="s">
        <v>20</v>
      </c>
    </row>
    <row r="659" spans="1:19" x14ac:dyDescent="0.45">
      <c r="A659" t="s">
        <v>54</v>
      </c>
      <c r="B659" t="s">
        <v>20</v>
      </c>
      <c r="C659" t="s">
        <v>1213</v>
      </c>
      <c r="D659" t="s">
        <v>1214</v>
      </c>
      <c r="E659" t="s">
        <v>38</v>
      </c>
      <c r="F659" t="s">
        <v>20</v>
      </c>
      <c r="G659" t="s">
        <v>23</v>
      </c>
      <c r="H659" t="s">
        <v>13862</v>
      </c>
      <c r="I659" t="s">
        <v>13863</v>
      </c>
      <c r="J659" t="s">
        <v>13864</v>
      </c>
      <c r="K659" t="s">
        <v>13865</v>
      </c>
      <c r="L659" t="s">
        <v>3418</v>
      </c>
      <c r="M659" t="s">
        <v>32</v>
      </c>
      <c r="N659" t="s">
        <v>62</v>
      </c>
      <c r="O659" t="s">
        <v>34</v>
      </c>
      <c r="P659" t="s">
        <v>20</v>
      </c>
      <c r="Q659" t="s">
        <v>20</v>
      </c>
      <c r="R659" t="s">
        <v>13866</v>
      </c>
      <c r="S659" t="s">
        <v>20</v>
      </c>
    </row>
    <row r="660" spans="1:19" x14ac:dyDescent="0.45">
      <c r="A660" t="s">
        <v>379</v>
      </c>
      <c r="B660" t="s">
        <v>20</v>
      </c>
      <c r="C660" t="s">
        <v>1629</v>
      </c>
      <c r="D660" t="s">
        <v>1630</v>
      </c>
      <c r="E660" t="s">
        <v>2487</v>
      </c>
      <c r="F660" t="s">
        <v>20</v>
      </c>
      <c r="G660" t="s">
        <v>23</v>
      </c>
      <c r="H660" t="s">
        <v>6990</v>
      </c>
      <c r="I660" t="s">
        <v>6991</v>
      </c>
      <c r="J660" t="s">
        <v>6992</v>
      </c>
      <c r="K660" t="s">
        <v>6993</v>
      </c>
      <c r="L660" t="s">
        <v>3418</v>
      </c>
      <c r="M660" t="s">
        <v>32</v>
      </c>
      <c r="N660" t="s">
        <v>62</v>
      </c>
      <c r="O660" t="s">
        <v>34</v>
      </c>
      <c r="P660" t="s">
        <v>20</v>
      </c>
      <c r="Q660" t="s">
        <v>20</v>
      </c>
      <c r="R660" t="s">
        <v>6994</v>
      </c>
      <c r="S660" t="s">
        <v>20</v>
      </c>
    </row>
    <row r="661" spans="1:19" x14ac:dyDescent="0.45">
      <c r="A661" t="s">
        <v>120</v>
      </c>
      <c r="B661" t="s">
        <v>20</v>
      </c>
      <c r="C661" t="s">
        <v>2779</v>
      </c>
      <c r="D661" t="s">
        <v>2780</v>
      </c>
      <c r="E661" t="s">
        <v>57</v>
      </c>
      <c r="F661" t="s">
        <v>20</v>
      </c>
      <c r="G661" t="s">
        <v>23</v>
      </c>
      <c r="H661" t="s">
        <v>11497</v>
      </c>
      <c r="I661" t="s">
        <v>11498</v>
      </c>
      <c r="J661" t="s">
        <v>11499</v>
      </c>
      <c r="K661" t="s">
        <v>11500</v>
      </c>
      <c r="L661" t="s">
        <v>3418</v>
      </c>
      <c r="M661" t="s">
        <v>32</v>
      </c>
      <c r="N661" t="s">
        <v>62</v>
      </c>
      <c r="O661" t="s">
        <v>34</v>
      </c>
      <c r="P661" t="s">
        <v>20</v>
      </c>
      <c r="Q661" t="s">
        <v>20</v>
      </c>
      <c r="R661" t="s">
        <v>11501</v>
      </c>
      <c r="S661" t="s">
        <v>20</v>
      </c>
    </row>
    <row r="662" spans="1:19" x14ac:dyDescent="0.45">
      <c r="A662" t="s">
        <v>261</v>
      </c>
      <c r="B662" t="s">
        <v>20</v>
      </c>
      <c r="C662" t="s">
        <v>322</v>
      </c>
      <c r="D662" t="s">
        <v>323</v>
      </c>
      <c r="E662" t="s">
        <v>2487</v>
      </c>
      <c r="F662" t="s">
        <v>20</v>
      </c>
      <c r="G662" t="s">
        <v>23</v>
      </c>
      <c r="H662" t="s">
        <v>7934</v>
      </c>
      <c r="I662" t="s">
        <v>7935</v>
      </c>
      <c r="J662" t="s">
        <v>7936</v>
      </c>
      <c r="K662" t="s">
        <v>7937</v>
      </c>
      <c r="L662" t="s">
        <v>3418</v>
      </c>
      <c r="M662" t="s">
        <v>32</v>
      </c>
      <c r="N662" t="s">
        <v>62</v>
      </c>
      <c r="O662" t="s">
        <v>34</v>
      </c>
      <c r="P662" t="s">
        <v>20</v>
      </c>
      <c r="Q662" t="s">
        <v>20</v>
      </c>
      <c r="R662" t="s">
        <v>7938</v>
      </c>
      <c r="S662" t="s">
        <v>20</v>
      </c>
    </row>
    <row r="663" spans="1:19" x14ac:dyDescent="0.45">
      <c r="A663" t="s">
        <v>3159</v>
      </c>
      <c r="B663" t="s">
        <v>20</v>
      </c>
      <c r="C663" t="s">
        <v>7105</v>
      </c>
      <c r="D663" t="s">
        <v>5876</v>
      </c>
      <c r="E663" t="s">
        <v>2487</v>
      </c>
      <c r="F663" t="s">
        <v>20</v>
      </c>
      <c r="G663" t="s">
        <v>23</v>
      </c>
      <c r="H663" t="s">
        <v>7106</v>
      </c>
      <c r="I663" t="s">
        <v>7107</v>
      </c>
      <c r="J663" t="s">
        <v>7108</v>
      </c>
      <c r="K663" t="s">
        <v>7109</v>
      </c>
      <c r="L663" t="s">
        <v>3418</v>
      </c>
      <c r="M663" t="s">
        <v>6932</v>
      </c>
      <c r="N663" t="s">
        <v>62</v>
      </c>
      <c r="O663" t="s">
        <v>34</v>
      </c>
      <c r="P663" t="s">
        <v>20</v>
      </c>
      <c r="Q663" t="s">
        <v>20</v>
      </c>
      <c r="R663" t="s">
        <v>7110</v>
      </c>
      <c r="S663" t="s">
        <v>20</v>
      </c>
    </row>
    <row r="664" spans="1:19" x14ac:dyDescent="0.45">
      <c r="A664" t="s">
        <v>729</v>
      </c>
      <c r="B664" t="s">
        <v>20</v>
      </c>
      <c r="C664" t="s">
        <v>737</v>
      </c>
      <c r="D664" t="s">
        <v>738</v>
      </c>
      <c r="E664" t="s">
        <v>38</v>
      </c>
      <c r="F664" t="s">
        <v>20</v>
      </c>
      <c r="G664" t="s">
        <v>23</v>
      </c>
      <c r="H664" t="s">
        <v>739</v>
      </c>
      <c r="I664" t="s">
        <v>740</v>
      </c>
      <c r="J664" t="s">
        <v>741</v>
      </c>
      <c r="K664" t="s">
        <v>742</v>
      </c>
      <c r="L664" t="s">
        <v>6523</v>
      </c>
      <c r="M664" t="s">
        <v>112</v>
      </c>
      <c r="N664" t="s">
        <v>45</v>
      </c>
      <c r="O664" t="s">
        <v>34</v>
      </c>
      <c r="P664" t="s">
        <v>20</v>
      </c>
      <c r="Q664" t="s">
        <v>20</v>
      </c>
      <c r="R664" t="s">
        <v>743</v>
      </c>
      <c r="S664" t="s">
        <v>20</v>
      </c>
    </row>
    <row r="665" spans="1:19" x14ac:dyDescent="0.45">
      <c r="A665" t="s">
        <v>928</v>
      </c>
      <c r="B665" t="s">
        <v>20</v>
      </c>
      <c r="C665" t="s">
        <v>1942</v>
      </c>
      <c r="D665" t="s">
        <v>1943</v>
      </c>
      <c r="E665" t="s">
        <v>57</v>
      </c>
      <c r="F665" t="s">
        <v>20</v>
      </c>
      <c r="G665" t="s">
        <v>23</v>
      </c>
      <c r="H665" t="s">
        <v>1944</v>
      </c>
      <c r="I665" t="s">
        <v>1945</v>
      </c>
      <c r="J665" t="s">
        <v>1946</v>
      </c>
      <c r="K665" t="s">
        <v>1947</v>
      </c>
      <c r="L665" t="s">
        <v>43</v>
      </c>
      <c r="M665" t="s">
        <v>32</v>
      </c>
      <c r="N665" t="s">
        <v>62</v>
      </c>
      <c r="O665" t="s">
        <v>34</v>
      </c>
      <c r="P665" t="s">
        <v>20</v>
      </c>
      <c r="Q665" t="s">
        <v>20</v>
      </c>
      <c r="R665" t="s">
        <v>935</v>
      </c>
      <c r="S665" t="s">
        <v>20</v>
      </c>
    </row>
    <row r="666" spans="1:19" x14ac:dyDescent="0.45">
      <c r="A666" t="s">
        <v>4056</v>
      </c>
      <c r="B666" t="s">
        <v>20</v>
      </c>
      <c r="C666" t="s">
        <v>7859</v>
      </c>
      <c r="D666" t="s">
        <v>5850</v>
      </c>
      <c r="E666" t="s">
        <v>2487</v>
      </c>
      <c r="F666" t="s">
        <v>20</v>
      </c>
      <c r="G666" t="s">
        <v>23</v>
      </c>
      <c r="H666" t="s">
        <v>7860</v>
      </c>
      <c r="I666" t="s">
        <v>7861</v>
      </c>
      <c r="J666" t="s">
        <v>7862</v>
      </c>
      <c r="K666" t="s">
        <v>7863</v>
      </c>
      <c r="L666" t="s">
        <v>3418</v>
      </c>
      <c r="M666" t="s">
        <v>32</v>
      </c>
      <c r="N666" t="s">
        <v>62</v>
      </c>
      <c r="O666" t="s">
        <v>34</v>
      </c>
      <c r="P666" t="s">
        <v>20</v>
      </c>
      <c r="Q666" t="s">
        <v>20</v>
      </c>
      <c r="R666" t="s">
        <v>7864</v>
      </c>
      <c r="S666" t="s">
        <v>20</v>
      </c>
    </row>
    <row r="667" spans="1:19" x14ac:dyDescent="0.45">
      <c r="A667" t="s">
        <v>2225</v>
      </c>
      <c r="B667" t="s">
        <v>20</v>
      </c>
      <c r="C667" t="s">
        <v>9231</v>
      </c>
      <c r="D667" t="s">
        <v>6060</v>
      </c>
      <c r="E667" t="s">
        <v>57</v>
      </c>
      <c r="F667" t="s">
        <v>20</v>
      </c>
      <c r="G667" t="s">
        <v>23</v>
      </c>
      <c r="H667" t="s">
        <v>9040</v>
      </c>
      <c r="I667" t="s">
        <v>9232</v>
      </c>
      <c r="J667" t="s">
        <v>9233</v>
      </c>
      <c r="K667" t="s">
        <v>9234</v>
      </c>
      <c r="L667" t="s">
        <v>3418</v>
      </c>
      <c r="M667" t="s">
        <v>32</v>
      </c>
      <c r="N667" t="s">
        <v>62</v>
      </c>
      <c r="O667" t="s">
        <v>34</v>
      </c>
      <c r="P667" t="s">
        <v>20</v>
      </c>
      <c r="Q667" t="s">
        <v>20</v>
      </c>
      <c r="R667" t="s">
        <v>9235</v>
      </c>
      <c r="S667" t="s">
        <v>20</v>
      </c>
    </row>
    <row r="668" spans="1:19" x14ac:dyDescent="0.45">
      <c r="A668" t="s">
        <v>310</v>
      </c>
      <c r="B668" t="s">
        <v>20</v>
      </c>
      <c r="C668" t="s">
        <v>343</v>
      </c>
      <c r="D668" t="s">
        <v>344</v>
      </c>
      <c r="E668" t="s">
        <v>38</v>
      </c>
      <c r="F668" t="s">
        <v>20</v>
      </c>
      <c r="G668" t="s">
        <v>23</v>
      </c>
      <c r="H668" t="s">
        <v>345</v>
      </c>
      <c r="I668" t="s">
        <v>346</v>
      </c>
      <c r="J668" t="s">
        <v>347</v>
      </c>
      <c r="K668" t="s">
        <v>348</v>
      </c>
      <c r="L668" t="s">
        <v>101</v>
      </c>
      <c r="M668" t="s">
        <v>112</v>
      </c>
      <c r="N668" t="s">
        <v>62</v>
      </c>
      <c r="O668" t="s">
        <v>34</v>
      </c>
      <c r="P668" t="s">
        <v>20</v>
      </c>
      <c r="Q668" t="s">
        <v>20</v>
      </c>
      <c r="R668" t="s">
        <v>313</v>
      </c>
      <c r="S668" t="s">
        <v>20</v>
      </c>
    </row>
    <row r="669" spans="1:19" x14ac:dyDescent="0.45">
      <c r="A669" t="s">
        <v>1278</v>
      </c>
      <c r="B669" t="s">
        <v>20</v>
      </c>
      <c r="C669" t="s">
        <v>1279</v>
      </c>
      <c r="D669" t="s">
        <v>1280</v>
      </c>
      <c r="E669" t="s">
        <v>38</v>
      </c>
      <c r="F669" t="s">
        <v>20</v>
      </c>
      <c r="G669" t="s">
        <v>23</v>
      </c>
      <c r="H669" t="s">
        <v>13204</v>
      </c>
      <c r="I669" t="s">
        <v>13205</v>
      </c>
      <c r="J669" t="s">
        <v>13206</v>
      </c>
      <c r="K669" t="s">
        <v>13207</v>
      </c>
      <c r="L669" t="s">
        <v>13871</v>
      </c>
      <c r="M669" t="s">
        <v>3632</v>
      </c>
      <c r="N669" t="s">
        <v>119</v>
      </c>
      <c r="O669" t="s">
        <v>34</v>
      </c>
      <c r="P669" t="s">
        <v>20</v>
      </c>
      <c r="Q669" t="s">
        <v>20</v>
      </c>
      <c r="R669" t="s">
        <v>13208</v>
      </c>
      <c r="S669" t="s">
        <v>20</v>
      </c>
    </row>
    <row r="670" spans="1:19" x14ac:dyDescent="0.45">
      <c r="A670" t="s">
        <v>505</v>
      </c>
      <c r="B670" t="s">
        <v>20</v>
      </c>
      <c r="C670" t="s">
        <v>6631</v>
      </c>
      <c r="D670" t="s">
        <v>6238</v>
      </c>
      <c r="E670" t="s">
        <v>57</v>
      </c>
      <c r="F670" t="s">
        <v>20</v>
      </c>
      <c r="G670" t="s">
        <v>23</v>
      </c>
      <c r="H670" t="s">
        <v>6509</v>
      </c>
      <c r="I670" t="s">
        <v>6535</v>
      </c>
      <c r="J670" t="s">
        <v>6632</v>
      </c>
      <c r="K670" t="s">
        <v>6633</v>
      </c>
      <c r="L670" t="s">
        <v>722</v>
      </c>
      <c r="M670" t="s">
        <v>32</v>
      </c>
      <c r="N670" t="s">
        <v>62</v>
      </c>
      <c r="O670" t="s">
        <v>34</v>
      </c>
      <c r="P670" t="s">
        <v>20</v>
      </c>
      <c r="Q670" t="s">
        <v>20</v>
      </c>
      <c r="R670" t="s">
        <v>253</v>
      </c>
      <c r="S670" t="s">
        <v>20</v>
      </c>
    </row>
    <row r="671" spans="1:19" x14ac:dyDescent="0.45">
      <c r="A671" t="s">
        <v>777</v>
      </c>
      <c r="B671" t="s">
        <v>20</v>
      </c>
      <c r="C671" t="s">
        <v>7896</v>
      </c>
      <c r="D671" t="s">
        <v>5712</v>
      </c>
      <c r="E671" t="s">
        <v>57</v>
      </c>
      <c r="F671" t="s">
        <v>20</v>
      </c>
      <c r="G671" t="s">
        <v>23</v>
      </c>
      <c r="H671" t="s">
        <v>7897</v>
      </c>
      <c r="I671" t="s">
        <v>7898</v>
      </c>
      <c r="J671" t="s">
        <v>7899</v>
      </c>
      <c r="K671" t="s">
        <v>7900</v>
      </c>
      <c r="L671" t="s">
        <v>2769</v>
      </c>
      <c r="M671" t="s">
        <v>32</v>
      </c>
      <c r="N671" t="s">
        <v>62</v>
      </c>
      <c r="O671" t="s">
        <v>34</v>
      </c>
      <c r="P671" t="s">
        <v>20</v>
      </c>
      <c r="Q671" t="s">
        <v>20</v>
      </c>
      <c r="R671" t="s">
        <v>6988</v>
      </c>
      <c r="S671" t="s">
        <v>20</v>
      </c>
    </row>
    <row r="672" spans="1:19" x14ac:dyDescent="0.45">
      <c r="A672" t="s">
        <v>139</v>
      </c>
      <c r="B672" t="s">
        <v>20</v>
      </c>
      <c r="C672" t="s">
        <v>870</v>
      </c>
      <c r="D672" t="s">
        <v>871</v>
      </c>
      <c r="E672" t="s">
        <v>2487</v>
      </c>
      <c r="F672" t="s">
        <v>20</v>
      </c>
      <c r="G672" t="s">
        <v>23</v>
      </c>
      <c r="H672" t="s">
        <v>7947</v>
      </c>
      <c r="I672" t="s">
        <v>7948</v>
      </c>
      <c r="J672" t="s">
        <v>7949</v>
      </c>
      <c r="K672" t="s">
        <v>7950</v>
      </c>
      <c r="L672" t="s">
        <v>3418</v>
      </c>
      <c r="M672" t="s">
        <v>32</v>
      </c>
      <c r="N672" t="s">
        <v>62</v>
      </c>
      <c r="O672" t="s">
        <v>34</v>
      </c>
      <c r="P672" t="s">
        <v>20</v>
      </c>
      <c r="Q672" t="s">
        <v>20</v>
      </c>
      <c r="R672" t="s">
        <v>7951</v>
      </c>
      <c r="S672" t="s">
        <v>20</v>
      </c>
    </row>
    <row r="673" spans="1:19" x14ac:dyDescent="0.45">
      <c r="A673" t="s">
        <v>120</v>
      </c>
      <c r="B673" t="s">
        <v>20</v>
      </c>
      <c r="C673" t="s">
        <v>744</v>
      </c>
      <c r="D673" t="s">
        <v>745</v>
      </c>
      <c r="E673" t="s">
        <v>38</v>
      </c>
      <c r="F673" t="s">
        <v>20</v>
      </c>
      <c r="G673" t="s">
        <v>23</v>
      </c>
      <c r="H673" t="s">
        <v>746</v>
      </c>
      <c r="I673" t="s">
        <v>747</v>
      </c>
      <c r="J673" t="s">
        <v>748</v>
      </c>
      <c r="K673" t="s">
        <v>749</v>
      </c>
      <c r="L673" t="s">
        <v>6513</v>
      </c>
      <c r="M673" t="s">
        <v>750</v>
      </c>
      <c r="N673" t="s">
        <v>62</v>
      </c>
      <c r="O673" t="s">
        <v>34</v>
      </c>
      <c r="P673" t="s">
        <v>20</v>
      </c>
      <c r="Q673" t="s">
        <v>20</v>
      </c>
      <c r="R673" t="s">
        <v>751</v>
      </c>
      <c r="S673" t="s">
        <v>20</v>
      </c>
    </row>
    <row r="674" spans="1:19" x14ac:dyDescent="0.45">
      <c r="A674" t="s">
        <v>1735</v>
      </c>
      <c r="B674" t="s">
        <v>20</v>
      </c>
      <c r="C674" t="s">
        <v>1843</v>
      </c>
      <c r="D674" t="s">
        <v>1844</v>
      </c>
      <c r="E674" t="s">
        <v>38</v>
      </c>
      <c r="F674" t="s">
        <v>20</v>
      </c>
      <c r="G674" t="s">
        <v>23</v>
      </c>
      <c r="H674" t="s">
        <v>10350</v>
      </c>
      <c r="I674" t="s">
        <v>10351</v>
      </c>
      <c r="J674" t="s">
        <v>10992</v>
      </c>
      <c r="K674" t="s">
        <v>10952</v>
      </c>
      <c r="L674" t="s">
        <v>9570</v>
      </c>
      <c r="M674" t="s">
        <v>32</v>
      </c>
      <c r="N674" t="s">
        <v>33</v>
      </c>
      <c r="O674" t="s">
        <v>34</v>
      </c>
      <c r="P674" t="s">
        <v>20</v>
      </c>
      <c r="Q674" t="s">
        <v>20</v>
      </c>
      <c r="R674" t="s">
        <v>10993</v>
      </c>
      <c r="S674" t="s">
        <v>10352</v>
      </c>
    </row>
    <row r="675" spans="1:19" x14ac:dyDescent="0.45">
      <c r="A675" t="s">
        <v>1043</v>
      </c>
      <c r="B675" t="s">
        <v>20</v>
      </c>
      <c r="C675" t="s">
        <v>1044</v>
      </c>
      <c r="D675" t="s">
        <v>1045</v>
      </c>
      <c r="E675" t="s">
        <v>29</v>
      </c>
      <c r="F675" t="s">
        <v>20</v>
      </c>
      <c r="G675" t="s">
        <v>23</v>
      </c>
      <c r="H675" t="s">
        <v>1046</v>
      </c>
      <c r="I675" t="s">
        <v>1047</v>
      </c>
      <c r="J675" t="s">
        <v>1048</v>
      </c>
      <c r="K675" t="s">
        <v>185</v>
      </c>
      <c r="L675" t="s">
        <v>3418</v>
      </c>
      <c r="M675" t="s">
        <v>438</v>
      </c>
      <c r="N675" t="s">
        <v>33</v>
      </c>
      <c r="O675" t="s">
        <v>34</v>
      </c>
      <c r="P675" t="s">
        <v>20</v>
      </c>
      <c r="Q675" t="s">
        <v>20</v>
      </c>
      <c r="R675" t="s">
        <v>1049</v>
      </c>
      <c r="S675" t="s">
        <v>20</v>
      </c>
    </row>
    <row r="676" spans="1:19" x14ac:dyDescent="0.45">
      <c r="A676" t="s">
        <v>94</v>
      </c>
      <c r="B676" t="s">
        <v>20</v>
      </c>
      <c r="C676" t="s">
        <v>548</v>
      </c>
      <c r="D676" t="s">
        <v>549</v>
      </c>
      <c r="E676" t="s">
        <v>38</v>
      </c>
      <c r="F676" t="s">
        <v>20</v>
      </c>
      <c r="G676" t="s">
        <v>23</v>
      </c>
      <c r="H676" t="s">
        <v>11783</v>
      </c>
      <c r="I676" t="s">
        <v>11784</v>
      </c>
      <c r="J676" t="s">
        <v>11785</v>
      </c>
      <c r="K676" t="s">
        <v>11786</v>
      </c>
      <c r="L676" t="s">
        <v>6525</v>
      </c>
      <c r="M676" t="s">
        <v>32</v>
      </c>
      <c r="N676" t="s">
        <v>146</v>
      </c>
      <c r="O676" t="s">
        <v>34</v>
      </c>
      <c r="P676" t="s">
        <v>20</v>
      </c>
      <c r="Q676" t="s">
        <v>20</v>
      </c>
      <c r="R676" t="s">
        <v>11787</v>
      </c>
      <c r="S676" t="s">
        <v>20</v>
      </c>
    </row>
    <row r="677" spans="1:19" x14ac:dyDescent="0.45">
      <c r="A677" t="s">
        <v>114</v>
      </c>
      <c r="B677" t="s">
        <v>20</v>
      </c>
      <c r="C677" t="s">
        <v>9984</v>
      </c>
      <c r="D677" t="s">
        <v>5837</v>
      </c>
      <c r="E677" t="s">
        <v>2487</v>
      </c>
      <c r="F677" t="s">
        <v>20</v>
      </c>
      <c r="G677" t="s">
        <v>23</v>
      </c>
      <c r="H677" t="s">
        <v>10435</v>
      </c>
      <c r="I677" t="s">
        <v>10436</v>
      </c>
      <c r="J677" t="s">
        <v>10437</v>
      </c>
      <c r="K677" t="s">
        <v>10438</v>
      </c>
      <c r="L677" t="s">
        <v>3418</v>
      </c>
      <c r="M677" t="s">
        <v>32</v>
      </c>
      <c r="N677" t="s">
        <v>62</v>
      </c>
      <c r="O677" t="s">
        <v>34</v>
      </c>
      <c r="P677" t="s">
        <v>20</v>
      </c>
      <c r="Q677" t="s">
        <v>20</v>
      </c>
      <c r="R677" t="s">
        <v>10439</v>
      </c>
      <c r="S677" t="s">
        <v>20</v>
      </c>
    </row>
    <row r="678" spans="1:19" x14ac:dyDescent="0.45">
      <c r="A678" t="s">
        <v>511</v>
      </c>
      <c r="B678" t="s">
        <v>20</v>
      </c>
      <c r="C678" t="s">
        <v>8431</v>
      </c>
      <c r="D678" t="s">
        <v>6218</v>
      </c>
      <c r="E678" t="s">
        <v>57</v>
      </c>
      <c r="F678" t="s">
        <v>20</v>
      </c>
      <c r="G678" t="s">
        <v>23</v>
      </c>
      <c r="H678" t="s">
        <v>8967</v>
      </c>
      <c r="I678" t="s">
        <v>9156</v>
      </c>
      <c r="J678" t="s">
        <v>9157</v>
      </c>
      <c r="K678" t="s">
        <v>9158</v>
      </c>
      <c r="L678" t="s">
        <v>7506</v>
      </c>
      <c r="M678" t="s">
        <v>3105</v>
      </c>
      <c r="N678" t="s">
        <v>62</v>
      </c>
      <c r="O678" t="s">
        <v>34</v>
      </c>
      <c r="P678" t="s">
        <v>20</v>
      </c>
      <c r="Q678" t="s">
        <v>20</v>
      </c>
      <c r="R678" t="s">
        <v>9159</v>
      </c>
      <c r="S678" t="s">
        <v>20</v>
      </c>
    </row>
    <row r="679" spans="1:19" x14ac:dyDescent="0.45">
      <c r="A679" t="s">
        <v>64</v>
      </c>
      <c r="B679" t="s">
        <v>20</v>
      </c>
      <c r="C679" t="s">
        <v>1396</v>
      </c>
      <c r="D679" t="s">
        <v>1397</v>
      </c>
      <c r="E679" t="s">
        <v>38</v>
      </c>
      <c r="F679" t="s">
        <v>20</v>
      </c>
      <c r="G679" t="s">
        <v>23</v>
      </c>
      <c r="H679" t="s">
        <v>9546</v>
      </c>
      <c r="I679" t="s">
        <v>9560</v>
      </c>
      <c r="J679" t="s">
        <v>10780</v>
      </c>
      <c r="K679" t="s">
        <v>10781</v>
      </c>
      <c r="L679" t="s">
        <v>8094</v>
      </c>
      <c r="M679" t="s">
        <v>32</v>
      </c>
      <c r="N679" t="s">
        <v>33</v>
      </c>
      <c r="O679" t="s">
        <v>34</v>
      </c>
      <c r="P679" t="s">
        <v>20</v>
      </c>
      <c r="Q679" t="s">
        <v>20</v>
      </c>
      <c r="R679" t="s">
        <v>10782</v>
      </c>
      <c r="S679" t="s">
        <v>9561</v>
      </c>
    </row>
    <row r="680" spans="1:19" x14ac:dyDescent="0.45">
      <c r="A680" t="s">
        <v>1278</v>
      </c>
      <c r="B680" t="s">
        <v>20</v>
      </c>
      <c r="C680" t="s">
        <v>2324</v>
      </c>
      <c r="D680" t="s">
        <v>2325</v>
      </c>
      <c r="E680" t="s">
        <v>38</v>
      </c>
      <c r="F680" t="s">
        <v>20</v>
      </c>
      <c r="G680" t="s">
        <v>23</v>
      </c>
      <c r="H680" t="s">
        <v>2326</v>
      </c>
      <c r="I680" t="s">
        <v>2327</v>
      </c>
      <c r="J680" t="s">
        <v>2328</v>
      </c>
      <c r="K680" t="s">
        <v>2329</v>
      </c>
      <c r="L680" t="s">
        <v>2330</v>
      </c>
      <c r="M680" t="s">
        <v>44</v>
      </c>
      <c r="N680" t="s">
        <v>45</v>
      </c>
      <c r="O680" t="s">
        <v>34</v>
      </c>
      <c r="P680" t="s">
        <v>20</v>
      </c>
      <c r="Q680" t="s">
        <v>20</v>
      </c>
      <c r="R680" t="s">
        <v>11507</v>
      </c>
      <c r="S680" t="s">
        <v>20</v>
      </c>
    </row>
    <row r="681" spans="1:19" x14ac:dyDescent="0.45">
      <c r="A681" t="s">
        <v>928</v>
      </c>
      <c r="B681" t="s">
        <v>20</v>
      </c>
      <c r="C681" t="s">
        <v>996</v>
      </c>
      <c r="D681" t="s">
        <v>997</v>
      </c>
      <c r="E681" t="s">
        <v>2487</v>
      </c>
      <c r="F681" t="s">
        <v>20</v>
      </c>
      <c r="G681" t="s">
        <v>23</v>
      </c>
      <c r="H681" t="s">
        <v>7382</v>
      </c>
      <c r="I681" t="s">
        <v>7383</v>
      </c>
      <c r="J681" t="s">
        <v>7384</v>
      </c>
      <c r="K681" t="s">
        <v>7385</v>
      </c>
      <c r="L681" t="s">
        <v>3418</v>
      </c>
      <c r="M681" t="s">
        <v>32</v>
      </c>
      <c r="N681" t="s">
        <v>62</v>
      </c>
      <c r="O681" t="s">
        <v>34</v>
      </c>
      <c r="P681" t="s">
        <v>20</v>
      </c>
      <c r="Q681" t="s">
        <v>20</v>
      </c>
      <c r="R681" t="s">
        <v>7386</v>
      </c>
      <c r="S681" t="s">
        <v>20</v>
      </c>
    </row>
    <row r="682" spans="1:19" x14ac:dyDescent="0.45">
      <c r="A682" t="s">
        <v>94</v>
      </c>
      <c r="B682" t="s">
        <v>20</v>
      </c>
      <c r="C682" t="s">
        <v>2383</v>
      </c>
      <c r="D682" t="s">
        <v>2384</v>
      </c>
      <c r="E682" t="s">
        <v>2487</v>
      </c>
      <c r="F682" t="s">
        <v>20</v>
      </c>
      <c r="G682" t="s">
        <v>23</v>
      </c>
      <c r="H682" t="s">
        <v>7891</v>
      </c>
      <c r="I682" t="s">
        <v>7892</v>
      </c>
      <c r="J682" t="s">
        <v>7893</v>
      </c>
      <c r="K682" t="s">
        <v>7894</v>
      </c>
      <c r="L682" t="s">
        <v>3418</v>
      </c>
      <c r="M682" t="s">
        <v>32</v>
      </c>
      <c r="N682" t="s">
        <v>62</v>
      </c>
      <c r="O682" t="s">
        <v>34</v>
      </c>
      <c r="P682" t="s">
        <v>20</v>
      </c>
      <c r="Q682" t="s">
        <v>20</v>
      </c>
      <c r="R682" t="s">
        <v>7895</v>
      </c>
      <c r="S682" t="s">
        <v>20</v>
      </c>
    </row>
    <row r="683" spans="1:19" x14ac:dyDescent="0.45">
      <c r="A683" t="s">
        <v>120</v>
      </c>
      <c r="B683" t="s">
        <v>20</v>
      </c>
      <c r="C683" t="s">
        <v>11247</v>
      </c>
      <c r="D683" t="s">
        <v>6133</v>
      </c>
      <c r="E683" t="s">
        <v>38</v>
      </c>
      <c r="F683" t="s">
        <v>20</v>
      </c>
      <c r="G683" t="s">
        <v>23</v>
      </c>
      <c r="H683" t="s">
        <v>11248</v>
      </c>
      <c r="I683" t="s">
        <v>11249</v>
      </c>
      <c r="J683" t="s">
        <v>12776</v>
      </c>
      <c r="K683" t="s">
        <v>12777</v>
      </c>
      <c r="L683" t="s">
        <v>6524</v>
      </c>
      <c r="M683" t="s">
        <v>32</v>
      </c>
      <c r="N683" t="s">
        <v>33</v>
      </c>
      <c r="O683" t="s">
        <v>34</v>
      </c>
      <c r="P683" t="s">
        <v>20</v>
      </c>
      <c r="Q683" t="s">
        <v>20</v>
      </c>
      <c r="R683" t="s">
        <v>12778</v>
      </c>
      <c r="S683" t="s">
        <v>20</v>
      </c>
    </row>
    <row r="684" spans="1:19" x14ac:dyDescent="0.45">
      <c r="A684" t="s">
        <v>943</v>
      </c>
      <c r="B684" t="s">
        <v>20</v>
      </c>
      <c r="C684" t="s">
        <v>944</v>
      </c>
      <c r="D684" t="s">
        <v>945</v>
      </c>
      <c r="E684" t="s">
        <v>29</v>
      </c>
      <c r="F684" t="s">
        <v>20</v>
      </c>
      <c r="G684" t="s">
        <v>23</v>
      </c>
      <c r="H684" t="s">
        <v>7218</v>
      </c>
      <c r="I684" t="s">
        <v>7219</v>
      </c>
      <c r="J684" t="s">
        <v>7220</v>
      </c>
      <c r="K684" t="s">
        <v>7221</v>
      </c>
      <c r="L684" t="s">
        <v>2769</v>
      </c>
      <c r="M684" t="s">
        <v>32</v>
      </c>
      <c r="N684" t="s">
        <v>62</v>
      </c>
      <c r="O684" t="s">
        <v>34</v>
      </c>
      <c r="P684" t="s">
        <v>20</v>
      </c>
      <c r="Q684" t="s">
        <v>20</v>
      </c>
      <c r="R684" t="s">
        <v>7070</v>
      </c>
      <c r="S684" t="s">
        <v>20</v>
      </c>
    </row>
    <row r="685" spans="1:19" x14ac:dyDescent="0.45">
      <c r="A685" t="s">
        <v>120</v>
      </c>
      <c r="B685" t="s">
        <v>20</v>
      </c>
      <c r="C685" t="s">
        <v>11290</v>
      </c>
      <c r="D685" t="s">
        <v>6121</v>
      </c>
      <c r="E685" t="s">
        <v>57</v>
      </c>
      <c r="F685" t="s">
        <v>20</v>
      </c>
      <c r="G685" t="s">
        <v>23</v>
      </c>
      <c r="H685" t="s">
        <v>11291</v>
      </c>
      <c r="I685" t="s">
        <v>11292</v>
      </c>
      <c r="J685" t="s">
        <v>11293</v>
      </c>
      <c r="K685" t="s">
        <v>11294</v>
      </c>
      <c r="L685" t="s">
        <v>3418</v>
      </c>
      <c r="M685" t="s">
        <v>32</v>
      </c>
      <c r="N685" t="s">
        <v>62</v>
      </c>
      <c r="O685" t="s">
        <v>34</v>
      </c>
      <c r="P685" t="s">
        <v>20</v>
      </c>
      <c r="Q685" t="s">
        <v>20</v>
      </c>
      <c r="R685" t="s">
        <v>11295</v>
      </c>
      <c r="S685" t="s">
        <v>20</v>
      </c>
    </row>
    <row r="686" spans="1:19" x14ac:dyDescent="0.45">
      <c r="A686" t="s">
        <v>3096</v>
      </c>
      <c r="B686" t="s">
        <v>20</v>
      </c>
      <c r="C686" t="s">
        <v>10982</v>
      </c>
      <c r="D686" t="s">
        <v>10983</v>
      </c>
      <c r="E686" t="s">
        <v>57</v>
      </c>
      <c r="F686" t="s">
        <v>20</v>
      </c>
      <c r="G686" t="s">
        <v>23</v>
      </c>
      <c r="H686" t="s">
        <v>10984</v>
      </c>
      <c r="I686" t="s">
        <v>10985</v>
      </c>
      <c r="J686" t="s">
        <v>10986</v>
      </c>
      <c r="K686" t="s">
        <v>10987</v>
      </c>
      <c r="L686" t="s">
        <v>3418</v>
      </c>
      <c r="M686" t="s">
        <v>3105</v>
      </c>
      <c r="N686" t="s">
        <v>62</v>
      </c>
      <c r="O686" t="s">
        <v>34</v>
      </c>
      <c r="P686" t="s">
        <v>20</v>
      </c>
      <c r="Q686" t="s">
        <v>20</v>
      </c>
      <c r="R686" t="s">
        <v>10988</v>
      </c>
      <c r="S686" t="s">
        <v>20</v>
      </c>
    </row>
    <row r="687" spans="1:19" x14ac:dyDescent="0.45">
      <c r="A687" t="s">
        <v>26</v>
      </c>
      <c r="B687" t="s">
        <v>20</v>
      </c>
      <c r="C687" t="s">
        <v>27</v>
      </c>
      <c r="D687" t="s">
        <v>28</v>
      </c>
      <c r="E687" t="s">
        <v>38</v>
      </c>
      <c r="F687" t="s">
        <v>20</v>
      </c>
      <c r="G687" t="s">
        <v>23</v>
      </c>
      <c r="H687" t="s">
        <v>2316</v>
      </c>
      <c r="I687" t="s">
        <v>2317</v>
      </c>
      <c r="J687" t="s">
        <v>2318</v>
      </c>
      <c r="K687" t="s">
        <v>2319</v>
      </c>
      <c r="L687" t="s">
        <v>101</v>
      </c>
      <c r="M687" t="s">
        <v>205</v>
      </c>
      <c r="N687" t="s">
        <v>62</v>
      </c>
      <c r="O687" t="s">
        <v>34</v>
      </c>
      <c r="P687" t="s">
        <v>20</v>
      </c>
      <c r="Q687" t="s">
        <v>20</v>
      </c>
      <c r="R687" t="s">
        <v>206</v>
      </c>
      <c r="S687" t="s">
        <v>20</v>
      </c>
    </row>
    <row r="688" spans="1:19" x14ac:dyDescent="0.45">
      <c r="A688" t="s">
        <v>211</v>
      </c>
      <c r="B688" t="s">
        <v>20</v>
      </c>
      <c r="C688" t="s">
        <v>1908</v>
      </c>
      <c r="D688" t="s">
        <v>1909</v>
      </c>
      <c r="E688" t="s">
        <v>38</v>
      </c>
      <c r="F688" t="s">
        <v>20</v>
      </c>
      <c r="G688" t="s">
        <v>23</v>
      </c>
      <c r="H688" t="s">
        <v>12581</v>
      </c>
      <c r="I688" t="s">
        <v>12582</v>
      </c>
      <c r="J688" t="s">
        <v>12583</v>
      </c>
      <c r="K688" t="s">
        <v>12584</v>
      </c>
      <c r="L688" t="s">
        <v>3418</v>
      </c>
      <c r="M688" t="s">
        <v>102</v>
      </c>
      <c r="N688" t="s">
        <v>146</v>
      </c>
      <c r="O688" t="s">
        <v>34</v>
      </c>
      <c r="P688" t="s">
        <v>20</v>
      </c>
      <c r="Q688" t="s">
        <v>20</v>
      </c>
      <c r="R688" t="s">
        <v>12585</v>
      </c>
      <c r="S688" t="s">
        <v>20</v>
      </c>
    </row>
    <row r="689" spans="1:19" x14ac:dyDescent="0.45">
      <c r="A689" t="s">
        <v>26</v>
      </c>
      <c r="B689" t="s">
        <v>20</v>
      </c>
      <c r="C689" t="s">
        <v>700</v>
      </c>
      <c r="D689" t="s">
        <v>701</v>
      </c>
      <c r="E689" t="s">
        <v>38</v>
      </c>
      <c r="F689" t="s">
        <v>20</v>
      </c>
      <c r="G689" t="s">
        <v>23</v>
      </c>
      <c r="H689" t="s">
        <v>702</v>
      </c>
      <c r="I689" t="s">
        <v>703</v>
      </c>
      <c r="J689" t="s">
        <v>704</v>
      </c>
      <c r="K689" t="s">
        <v>705</v>
      </c>
      <c r="L689" t="s">
        <v>101</v>
      </c>
      <c r="M689" t="s">
        <v>205</v>
      </c>
      <c r="N689" t="s">
        <v>62</v>
      </c>
      <c r="O689" t="s">
        <v>34</v>
      </c>
      <c r="P689" t="s">
        <v>20</v>
      </c>
      <c r="Q689" t="s">
        <v>20</v>
      </c>
      <c r="R689" t="s">
        <v>206</v>
      </c>
      <c r="S689" t="s">
        <v>20</v>
      </c>
    </row>
    <row r="690" spans="1:19" x14ac:dyDescent="0.45">
      <c r="A690" t="s">
        <v>413</v>
      </c>
      <c r="B690" t="s">
        <v>20</v>
      </c>
      <c r="C690" t="s">
        <v>758</v>
      </c>
      <c r="D690" t="s">
        <v>759</v>
      </c>
      <c r="E690" t="s">
        <v>57</v>
      </c>
      <c r="F690" t="s">
        <v>20</v>
      </c>
      <c r="G690" t="s">
        <v>23</v>
      </c>
      <c r="H690" t="s">
        <v>10753</v>
      </c>
      <c r="I690" t="s">
        <v>10754</v>
      </c>
      <c r="J690" t="s">
        <v>10755</v>
      </c>
      <c r="K690" t="s">
        <v>10756</v>
      </c>
      <c r="L690" t="s">
        <v>7506</v>
      </c>
      <c r="M690" t="s">
        <v>3105</v>
      </c>
      <c r="N690" t="s">
        <v>62</v>
      </c>
      <c r="O690" t="s">
        <v>34</v>
      </c>
      <c r="P690" t="s">
        <v>20</v>
      </c>
      <c r="Q690" t="s">
        <v>20</v>
      </c>
      <c r="R690" t="s">
        <v>10757</v>
      </c>
      <c r="S690" t="s">
        <v>20</v>
      </c>
    </row>
    <row r="691" spans="1:19" x14ac:dyDescent="0.45">
      <c r="A691" t="s">
        <v>26</v>
      </c>
      <c r="B691" t="s">
        <v>20</v>
      </c>
      <c r="C691" t="s">
        <v>1427</v>
      </c>
      <c r="D691" t="s">
        <v>1428</v>
      </c>
      <c r="E691" t="s">
        <v>38</v>
      </c>
      <c r="F691" t="s">
        <v>20</v>
      </c>
      <c r="G691" t="s">
        <v>23</v>
      </c>
      <c r="H691" t="s">
        <v>1429</v>
      </c>
      <c r="I691" t="s">
        <v>1430</v>
      </c>
      <c r="J691" t="s">
        <v>1431</v>
      </c>
      <c r="K691" t="s">
        <v>1432</v>
      </c>
      <c r="L691" t="s">
        <v>101</v>
      </c>
      <c r="M691" t="s">
        <v>205</v>
      </c>
      <c r="N691" t="s">
        <v>62</v>
      </c>
      <c r="O691" t="s">
        <v>34</v>
      </c>
      <c r="P691" t="s">
        <v>20</v>
      </c>
      <c r="Q691" t="s">
        <v>20</v>
      </c>
      <c r="R691" t="s">
        <v>206</v>
      </c>
      <c r="S691" t="s">
        <v>20</v>
      </c>
    </row>
    <row r="692" spans="1:19" x14ac:dyDescent="0.45">
      <c r="A692" t="s">
        <v>6989</v>
      </c>
      <c r="B692" t="s">
        <v>20</v>
      </c>
      <c r="C692" t="s">
        <v>2134</v>
      </c>
      <c r="D692" t="s">
        <v>2135</v>
      </c>
      <c r="E692" t="s">
        <v>57</v>
      </c>
      <c r="F692" t="s">
        <v>20</v>
      </c>
      <c r="G692" t="s">
        <v>23</v>
      </c>
      <c r="H692" t="s">
        <v>2136</v>
      </c>
      <c r="I692" t="s">
        <v>2137</v>
      </c>
      <c r="J692" t="s">
        <v>2138</v>
      </c>
      <c r="K692" t="s">
        <v>2139</v>
      </c>
      <c r="L692" t="s">
        <v>43</v>
      </c>
      <c r="M692" t="s">
        <v>32</v>
      </c>
      <c r="N692" t="s">
        <v>62</v>
      </c>
      <c r="O692" t="s">
        <v>34</v>
      </c>
      <c r="P692" t="s">
        <v>20</v>
      </c>
      <c r="Q692" t="s">
        <v>20</v>
      </c>
      <c r="R692" t="s">
        <v>2140</v>
      </c>
      <c r="S692" t="s">
        <v>20</v>
      </c>
    </row>
    <row r="693" spans="1:19" x14ac:dyDescent="0.45">
      <c r="A693" t="s">
        <v>1137</v>
      </c>
      <c r="B693" t="s">
        <v>20</v>
      </c>
      <c r="C693" t="s">
        <v>1932</v>
      </c>
      <c r="D693" t="s">
        <v>1933</v>
      </c>
      <c r="E693" t="s">
        <v>29</v>
      </c>
      <c r="F693" t="s">
        <v>20</v>
      </c>
      <c r="G693" t="s">
        <v>23</v>
      </c>
      <c r="H693" t="s">
        <v>7789</v>
      </c>
      <c r="I693" t="s">
        <v>7790</v>
      </c>
      <c r="J693" t="s">
        <v>7791</v>
      </c>
      <c r="K693" t="s">
        <v>7792</v>
      </c>
      <c r="L693" t="s">
        <v>2769</v>
      </c>
      <c r="M693" t="s">
        <v>32</v>
      </c>
      <c r="N693" t="s">
        <v>62</v>
      </c>
      <c r="O693" t="s">
        <v>34</v>
      </c>
      <c r="P693" t="s">
        <v>20</v>
      </c>
      <c r="Q693" t="s">
        <v>20</v>
      </c>
      <c r="R693" t="s">
        <v>253</v>
      </c>
      <c r="S693" t="s">
        <v>20</v>
      </c>
    </row>
    <row r="694" spans="1:19" x14ac:dyDescent="0.45">
      <c r="A694" t="s">
        <v>921</v>
      </c>
      <c r="B694" t="s">
        <v>20</v>
      </c>
      <c r="C694" t="s">
        <v>12779</v>
      </c>
      <c r="D694" t="s">
        <v>6032</v>
      </c>
      <c r="E694" t="s">
        <v>38</v>
      </c>
      <c r="F694" t="s">
        <v>20</v>
      </c>
      <c r="G694" t="s">
        <v>23</v>
      </c>
      <c r="H694" t="s">
        <v>12780</v>
      </c>
      <c r="I694" t="s">
        <v>12781</v>
      </c>
      <c r="J694" t="s">
        <v>12782</v>
      </c>
      <c r="K694" t="s">
        <v>12783</v>
      </c>
      <c r="L694" t="s">
        <v>3418</v>
      </c>
      <c r="M694" t="s">
        <v>112</v>
      </c>
      <c r="N694" t="s">
        <v>195</v>
      </c>
      <c r="O694" t="s">
        <v>34</v>
      </c>
      <c r="P694" t="s">
        <v>20</v>
      </c>
      <c r="Q694" t="s">
        <v>20</v>
      </c>
      <c r="R694" t="s">
        <v>12784</v>
      </c>
      <c r="S694" t="s">
        <v>20</v>
      </c>
    </row>
    <row r="695" spans="1:19" x14ac:dyDescent="0.45">
      <c r="A695" t="s">
        <v>1016</v>
      </c>
      <c r="B695" t="s">
        <v>20</v>
      </c>
      <c r="C695" t="s">
        <v>6909</v>
      </c>
      <c r="D695" t="s">
        <v>5987</v>
      </c>
      <c r="E695" t="s">
        <v>38</v>
      </c>
      <c r="F695" t="s">
        <v>20</v>
      </c>
      <c r="G695" t="s">
        <v>23</v>
      </c>
      <c r="H695" t="s">
        <v>6910</v>
      </c>
      <c r="I695" t="s">
        <v>6911</v>
      </c>
      <c r="J695" t="s">
        <v>11131</v>
      </c>
      <c r="K695" t="s">
        <v>10956</v>
      </c>
      <c r="L695" t="s">
        <v>9619</v>
      </c>
      <c r="M695" t="s">
        <v>32</v>
      </c>
      <c r="N695" t="s">
        <v>33</v>
      </c>
      <c r="O695" t="s">
        <v>34</v>
      </c>
      <c r="P695" t="s">
        <v>20</v>
      </c>
      <c r="Q695" t="s">
        <v>20</v>
      </c>
      <c r="R695" t="s">
        <v>11132</v>
      </c>
      <c r="S695" t="s">
        <v>20</v>
      </c>
    </row>
    <row r="696" spans="1:19" x14ac:dyDescent="0.45">
      <c r="A696" t="s">
        <v>413</v>
      </c>
      <c r="B696" t="s">
        <v>20</v>
      </c>
      <c r="C696" t="s">
        <v>11022</v>
      </c>
      <c r="D696" t="s">
        <v>6132</v>
      </c>
      <c r="E696" t="s">
        <v>57</v>
      </c>
      <c r="F696" t="s">
        <v>20</v>
      </c>
      <c r="G696" t="s">
        <v>23</v>
      </c>
      <c r="H696" t="s">
        <v>11023</v>
      </c>
      <c r="I696" t="s">
        <v>11024</v>
      </c>
      <c r="J696" t="s">
        <v>11025</v>
      </c>
      <c r="K696" t="s">
        <v>11026</v>
      </c>
      <c r="L696" t="s">
        <v>3418</v>
      </c>
      <c r="M696" t="s">
        <v>3105</v>
      </c>
      <c r="N696" t="s">
        <v>62</v>
      </c>
      <c r="O696" t="s">
        <v>34</v>
      </c>
      <c r="P696" t="s">
        <v>20</v>
      </c>
      <c r="Q696" t="s">
        <v>20</v>
      </c>
      <c r="R696" t="s">
        <v>11027</v>
      </c>
      <c r="S696" t="s">
        <v>20</v>
      </c>
    </row>
    <row r="697" spans="1:19" x14ac:dyDescent="0.45">
      <c r="A697" t="s">
        <v>64</v>
      </c>
      <c r="B697" t="s">
        <v>20</v>
      </c>
      <c r="C697" t="s">
        <v>2510</v>
      </c>
      <c r="D697" t="s">
        <v>2511</v>
      </c>
      <c r="E697" t="s">
        <v>57</v>
      </c>
      <c r="F697" t="s">
        <v>20</v>
      </c>
      <c r="G697" t="s">
        <v>23</v>
      </c>
      <c r="H697" t="s">
        <v>2512</v>
      </c>
      <c r="I697" t="s">
        <v>2513</v>
      </c>
      <c r="J697" t="s">
        <v>2514</v>
      </c>
      <c r="K697" t="s">
        <v>2515</v>
      </c>
      <c r="L697" t="s">
        <v>43</v>
      </c>
      <c r="M697" t="s">
        <v>32</v>
      </c>
      <c r="N697" t="s">
        <v>62</v>
      </c>
      <c r="O697" t="s">
        <v>34</v>
      </c>
      <c r="P697" t="s">
        <v>20</v>
      </c>
      <c r="Q697" t="s">
        <v>20</v>
      </c>
      <c r="R697" t="s">
        <v>154</v>
      </c>
      <c r="S697" t="s">
        <v>20</v>
      </c>
    </row>
    <row r="698" spans="1:19" x14ac:dyDescent="0.45">
      <c r="A698" t="s">
        <v>114</v>
      </c>
      <c r="B698" t="s">
        <v>20</v>
      </c>
      <c r="C698" t="s">
        <v>10029</v>
      </c>
      <c r="D698" t="s">
        <v>5782</v>
      </c>
      <c r="E698" t="s">
        <v>38</v>
      </c>
      <c r="F698" t="s">
        <v>20</v>
      </c>
      <c r="G698" t="s">
        <v>23</v>
      </c>
      <c r="H698" t="s">
        <v>10030</v>
      </c>
      <c r="I698" t="s">
        <v>10031</v>
      </c>
      <c r="J698" t="s">
        <v>10032</v>
      </c>
      <c r="K698" t="s">
        <v>10033</v>
      </c>
      <c r="L698" t="s">
        <v>3998</v>
      </c>
      <c r="M698" t="s">
        <v>32</v>
      </c>
      <c r="N698" t="s">
        <v>45</v>
      </c>
      <c r="O698" t="s">
        <v>34</v>
      </c>
      <c r="P698" t="s">
        <v>20</v>
      </c>
      <c r="Q698" t="s">
        <v>20</v>
      </c>
      <c r="R698" t="s">
        <v>10034</v>
      </c>
      <c r="S698" t="s">
        <v>20</v>
      </c>
    </row>
    <row r="699" spans="1:19" x14ac:dyDescent="0.45">
      <c r="A699" t="s">
        <v>1980</v>
      </c>
      <c r="B699" t="s">
        <v>20</v>
      </c>
      <c r="C699" t="s">
        <v>7014</v>
      </c>
      <c r="D699" t="s">
        <v>7015</v>
      </c>
      <c r="E699" t="s">
        <v>57</v>
      </c>
      <c r="F699" t="s">
        <v>20</v>
      </c>
      <c r="G699" t="s">
        <v>23</v>
      </c>
      <c r="H699" t="s">
        <v>11365</v>
      </c>
      <c r="I699" t="s">
        <v>11366</v>
      </c>
      <c r="J699" t="s">
        <v>11367</v>
      </c>
      <c r="K699" t="s">
        <v>11368</v>
      </c>
      <c r="L699" t="s">
        <v>3418</v>
      </c>
      <c r="M699" t="s">
        <v>32</v>
      </c>
      <c r="N699" t="s">
        <v>62</v>
      </c>
      <c r="O699" t="s">
        <v>34</v>
      </c>
      <c r="P699" t="s">
        <v>20</v>
      </c>
      <c r="Q699" t="s">
        <v>20</v>
      </c>
      <c r="R699" t="s">
        <v>11369</v>
      </c>
      <c r="S699" t="s">
        <v>20</v>
      </c>
    </row>
    <row r="700" spans="1:19" x14ac:dyDescent="0.45">
      <c r="A700" t="s">
        <v>261</v>
      </c>
      <c r="B700" t="s">
        <v>20</v>
      </c>
      <c r="C700" t="s">
        <v>2297</v>
      </c>
      <c r="D700" t="s">
        <v>2298</v>
      </c>
      <c r="E700" t="s">
        <v>2487</v>
      </c>
      <c r="F700" t="s">
        <v>20</v>
      </c>
      <c r="G700" t="s">
        <v>23</v>
      </c>
      <c r="H700" t="s">
        <v>7690</v>
      </c>
      <c r="I700" t="s">
        <v>7691</v>
      </c>
      <c r="J700" t="s">
        <v>7692</v>
      </c>
      <c r="K700" t="s">
        <v>7693</v>
      </c>
      <c r="L700" t="s">
        <v>3418</v>
      </c>
      <c r="M700" t="s">
        <v>32</v>
      </c>
      <c r="N700" t="s">
        <v>62</v>
      </c>
      <c r="O700" t="s">
        <v>34</v>
      </c>
      <c r="P700" t="s">
        <v>20</v>
      </c>
      <c r="Q700" t="s">
        <v>20</v>
      </c>
      <c r="R700" t="s">
        <v>7694</v>
      </c>
      <c r="S700" t="s">
        <v>20</v>
      </c>
    </row>
    <row r="701" spans="1:19" x14ac:dyDescent="0.45">
      <c r="A701" t="s">
        <v>413</v>
      </c>
      <c r="B701" t="s">
        <v>20</v>
      </c>
      <c r="C701" t="s">
        <v>11066</v>
      </c>
      <c r="D701" t="s">
        <v>6012</v>
      </c>
      <c r="E701" t="s">
        <v>2487</v>
      </c>
      <c r="F701" t="s">
        <v>20</v>
      </c>
      <c r="G701" t="s">
        <v>23</v>
      </c>
      <c r="H701" t="s">
        <v>11077</v>
      </c>
      <c r="I701" t="s">
        <v>11078</v>
      </c>
      <c r="J701" t="s">
        <v>11079</v>
      </c>
      <c r="K701" t="s">
        <v>11080</v>
      </c>
      <c r="L701" t="s">
        <v>3418</v>
      </c>
      <c r="M701" t="s">
        <v>3105</v>
      </c>
      <c r="N701" t="s">
        <v>62</v>
      </c>
      <c r="O701" t="s">
        <v>34</v>
      </c>
      <c r="P701" t="s">
        <v>20</v>
      </c>
      <c r="Q701" t="s">
        <v>20</v>
      </c>
      <c r="R701" t="s">
        <v>11081</v>
      </c>
      <c r="S701" t="s">
        <v>20</v>
      </c>
    </row>
    <row r="702" spans="1:19" x14ac:dyDescent="0.45">
      <c r="A702" t="s">
        <v>706</v>
      </c>
      <c r="B702" t="s">
        <v>20</v>
      </c>
      <c r="C702" t="s">
        <v>3253</v>
      </c>
      <c r="D702" t="s">
        <v>3254</v>
      </c>
      <c r="E702" t="s">
        <v>57</v>
      </c>
      <c r="F702" t="s">
        <v>20</v>
      </c>
      <c r="G702" t="s">
        <v>23</v>
      </c>
      <c r="H702" t="s">
        <v>7368</v>
      </c>
      <c r="I702" t="s">
        <v>7369</v>
      </c>
      <c r="J702" t="s">
        <v>7370</v>
      </c>
      <c r="K702" t="s">
        <v>7371</v>
      </c>
      <c r="L702" t="s">
        <v>2769</v>
      </c>
      <c r="M702" t="s">
        <v>32</v>
      </c>
      <c r="N702" t="s">
        <v>62</v>
      </c>
      <c r="O702" t="s">
        <v>34</v>
      </c>
      <c r="P702" t="s">
        <v>20</v>
      </c>
      <c r="Q702" t="s">
        <v>20</v>
      </c>
      <c r="R702" t="s">
        <v>6988</v>
      </c>
      <c r="S702" t="s">
        <v>20</v>
      </c>
    </row>
    <row r="703" spans="1:19" x14ac:dyDescent="0.45">
      <c r="A703" t="s">
        <v>505</v>
      </c>
      <c r="B703" t="s">
        <v>20</v>
      </c>
      <c r="C703" t="s">
        <v>1661</v>
      </c>
      <c r="D703" t="s">
        <v>1662</v>
      </c>
      <c r="E703" t="s">
        <v>38</v>
      </c>
      <c r="F703" t="s">
        <v>20</v>
      </c>
      <c r="G703" t="s">
        <v>23</v>
      </c>
      <c r="H703" t="s">
        <v>1663</v>
      </c>
      <c r="I703" t="s">
        <v>1664</v>
      </c>
      <c r="J703" t="s">
        <v>1665</v>
      </c>
      <c r="K703" t="s">
        <v>1666</v>
      </c>
      <c r="L703" t="s">
        <v>209</v>
      </c>
      <c r="M703" t="s">
        <v>32</v>
      </c>
      <c r="N703" t="s">
        <v>33</v>
      </c>
      <c r="O703" t="s">
        <v>34</v>
      </c>
      <c r="P703" t="s">
        <v>20</v>
      </c>
      <c r="Q703" t="s">
        <v>20</v>
      </c>
      <c r="R703" t="s">
        <v>1667</v>
      </c>
      <c r="S703" t="s">
        <v>20</v>
      </c>
    </row>
    <row r="704" spans="1:19" x14ac:dyDescent="0.45">
      <c r="A704" t="s">
        <v>525</v>
      </c>
      <c r="B704" t="s">
        <v>20</v>
      </c>
      <c r="C704" t="s">
        <v>829</v>
      </c>
      <c r="D704" t="s">
        <v>830</v>
      </c>
      <c r="E704" t="s">
        <v>29</v>
      </c>
      <c r="F704" t="s">
        <v>20</v>
      </c>
      <c r="G704" t="s">
        <v>23</v>
      </c>
      <c r="H704" t="s">
        <v>904</v>
      </c>
      <c r="I704" t="s">
        <v>905</v>
      </c>
      <c r="J704" t="s">
        <v>906</v>
      </c>
      <c r="K704" t="s">
        <v>907</v>
      </c>
      <c r="L704" t="s">
        <v>9683</v>
      </c>
      <c r="M704" t="s">
        <v>32</v>
      </c>
      <c r="N704" t="s">
        <v>195</v>
      </c>
      <c r="O704" t="s">
        <v>34</v>
      </c>
      <c r="P704" t="s">
        <v>20</v>
      </c>
      <c r="Q704" t="s">
        <v>20</v>
      </c>
      <c r="R704" t="s">
        <v>13045</v>
      </c>
      <c r="S704" t="s">
        <v>20</v>
      </c>
    </row>
    <row r="705" spans="1:19" x14ac:dyDescent="0.45">
      <c r="A705" t="s">
        <v>869</v>
      </c>
      <c r="B705" t="s">
        <v>20</v>
      </c>
      <c r="C705" t="s">
        <v>1164</v>
      </c>
      <c r="D705" t="s">
        <v>1165</v>
      </c>
      <c r="E705" t="s">
        <v>38</v>
      </c>
      <c r="F705" t="s">
        <v>20</v>
      </c>
      <c r="G705" t="s">
        <v>23</v>
      </c>
      <c r="H705" t="s">
        <v>6901</v>
      </c>
      <c r="I705" t="s">
        <v>6902</v>
      </c>
      <c r="J705" t="s">
        <v>11120</v>
      </c>
      <c r="K705" t="s">
        <v>11121</v>
      </c>
      <c r="L705" t="s">
        <v>9570</v>
      </c>
      <c r="M705" t="s">
        <v>32</v>
      </c>
      <c r="N705" t="s">
        <v>33</v>
      </c>
      <c r="O705" t="s">
        <v>34</v>
      </c>
      <c r="P705" t="s">
        <v>20</v>
      </c>
      <c r="Q705" t="s">
        <v>20</v>
      </c>
      <c r="R705" t="s">
        <v>11122</v>
      </c>
      <c r="S705" t="s">
        <v>6903</v>
      </c>
    </row>
    <row r="706" spans="1:19" x14ac:dyDescent="0.45">
      <c r="A706" t="s">
        <v>239</v>
      </c>
      <c r="B706" t="s">
        <v>20</v>
      </c>
      <c r="C706" t="s">
        <v>4810</v>
      </c>
      <c r="D706" t="s">
        <v>4811</v>
      </c>
      <c r="E706" t="s">
        <v>57</v>
      </c>
      <c r="F706" t="s">
        <v>20</v>
      </c>
      <c r="G706" t="s">
        <v>23</v>
      </c>
      <c r="H706" t="s">
        <v>9041</v>
      </c>
      <c r="I706" t="s">
        <v>9587</v>
      </c>
      <c r="J706" t="s">
        <v>9588</v>
      </c>
      <c r="K706" t="s">
        <v>9589</v>
      </c>
      <c r="L706" t="s">
        <v>3418</v>
      </c>
      <c r="M706" t="s">
        <v>32</v>
      </c>
      <c r="N706" t="s">
        <v>62</v>
      </c>
      <c r="O706" t="s">
        <v>34</v>
      </c>
      <c r="P706" t="s">
        <v>20</v>
      </c>
      <c r="Q706" t="s">
        <v>20</v>
      </c>
      <c r="R706" t="s">
        <v>9590</v>
      </c>
      <c r="S706" t="s">
        <v>20</v>
      </c>
    </row>
    <row r="707" spans="1:19" x14ac:dyDescent="0.45">
      <c r="A707" t="s">
        <v>6977</v>
      </c>
      <c r="B707" t="s">
        <v>20</v>
      </c>
      <c r="C707" t="s">
        <v>7957</v>
      </c>
      <c r="D707" t="s">
        <v>7958</v>
      </c>
      <c r="E707" t="s">
        <v>2487</v>
      </c>
      <c r="F707" t="s">
        <v>20</v>
      </c>
      <c r="G707" t="s">
        <v>23</v>
      </c>
      <c r="H707" t="s">
        <v>7959</v>
      </c>
      <c r="I707" t="s">
        <v>7960</v>
      </c>
      <c r="J707" t="s">
        <v>7961</v>
      </c>
      <c r="K707" t="s">
        <v>7962</v>
      </c>
      <c r="L707" t="s">
        <v>3418</v>
      </c>
      <c r="M707" t="s">
        <v>32</v>
      </c>
      <c r="N707" t="s">
        <v>62</v>
      </c>
      <c r="O707" t="s">
        <v>34</v>
      </c>
      <c r="P707" t="s">
        <v>20</v>
      </c>
      <c r="Q707" t="s">
        <v>20</v>
      </c>
      <c r="R707" t="s">
        <v>7963</v>
      </c>
      <c r="S707" t="s">
        <v>20</v>
      </c>
    </row>
    <row r="708" spans="1:19" x14ac:dyDescent="0.45">
      <c r="A708" t="s">
        <v>310</v>
      </c>
      <c r="B708" t="s">
        <v>20</v>
      </c>
      <c r="C708" t="s">
        <v>816</v>
      </c>
      <c r="D708" t="s">
        <v>817</v>
      </c>
      <c r="E708" t="s">
        <v>38</v>
      </c>
      <c r="F708" t="s">
        <v>20</v>
      </c>
      <c r="G708" t="s">
        <v>23</v>
      </c>
      <c r="H708" t="s">
        <v>6806</v>
      </c>
      <c r="I708" t="s">
        <v>6807</v>
      </c>
      <c r="J708" t="s">
        <v>10840</v>
      </c>
      <c r="K708" t="s">
        <v>10841</v>
      </c>
      <c r="L708" t="s">
        <v>8109</v>
      </c>
      <c r="M708" t="s">
        <v>32</v>
      </c>
      <c r="N708" t="s">
        <v>33</v>
      </c>
      <c r="O708" t="s">
        <v>34</v>
      </c>
      <c r="P708" t="s">
        <v>20</v>
      </c>
      <c r="Q708" t="s">
        <v>20</v>
      </c>
      <c r="R708" t="s">
        <v>10842</v>
      </c>
      <c r="S708" t="s">
        <v>6808</v>
      </c>
    </row>
    <row r="709" spans="1:19" x14ac:dyDescent="0.45">
      <c r="A709" t="s">
        <v>516</v>
      </c>
      <c r="B709" t="s">
        <v>20</v>
      </c>
      <c r="C709" t="s">
        <v>6871</v>
      </c>
      <c r="D709" t="s">
        <v>6430</v>
      </c>
      <c r="E709" t="s">
        <v>38</v>
      </c>
      <c r="F709" t="s">
        <v>20</v>
      </c>
      <c r="G709" t="s">
        <v>23</v>
      </c>
      <c r="H709" t="s">
        <v>6872</v>
      </c>
      <c r="I709" t="s">
        <v>6873</v>
      </c>
      <c r="J709" t="s">
        <v>11040</v>
      </c>
      <c r="K709" t="s">
        <v>11041</v>
      </c>
      <c r="L709" t="s">
        <v>9570</v>
      </c>
      <c r="M709" t="s">
        <v>32</v>
      </c>
      <c r="N709" t="s">
        <v>33</v>
      </c>
      <c r="O709" t="s">
        <v>34</v>
      </c>
      <c r="P709" t="s">
        <v>20</v>
      </c>
      <c r="Q709" t="s">
        <v>20</v>
      </c>
      <c r="R709" t="s">
        <v>11042</v>
      </c>
      <c r="S709" t="s">
        <v>6874</v>
      </c>
    </row>
    <row r="710" spans="1:19" x14ac:dyDescent="0.45">
      <c r="A710" t="s">
        <v>173</v>
      </c>
      <c r="B710" t="s">
        <v>20</v>
      </c>
      <c r="C710" t="s">
        <v>174</v>
      </c>
      <c r="D710" t="s">
        <v>175</v>
      </c>
      <c r="E710" t="s">
        <v>38</v>
      </c>
      <c r="F710" t="s">
        <v>20</v>
      </c>
      <c r="G710" t="s">
        <v>23</v>
      </c>
      <c r="H710" t="s">
        <v>176</v>
      </c>
      <c r="I710" t="s">
        <v>177</v>
      </c>
      <c r="J710" t="s">
        <v>178</v>
      </c>
      <c r="K710" t="s">
        <v>179</v>
      </c>
      <c r="L710" t="s">
        <v>6521</v>
      </c>
      <c r="M710" t="s">
        <v>102</v>
      </c>
      <c r="N710" t="s">
        <v>62</v>
      </c>
      <c r="O710" t="s">
        <v>34</v>
      </c>
      <c r="P710" t="s">
        <v>20</v>
      </c>
      <c r="Q710" t="s">
        <v>20</v>
      </c>
      <c r="R710" t="s">
        <v>103</v>
      </c>
      <c r="S710" t="s">
        <v>20</v>
      </c>
    </row>
    <row r="711" spans="1:19" x14ac:dyDescent="0.45">
      <c r="A711" t="s">
        <v>120</v>
      </c>
      <c r="B711" t="s">
        <v>20</v>
      </c>
      <c r="C711" t="s">
        <v>8717</v>
      </c>
      <c r="D711" t="s">
        <v>5804</v>
      </c>
      <c r="E711" t="s">
        <v>57</v>
      </c>
      <c r="F711" t="s">
        <v>20</v>
      </c>
      <c r="G711" t="s">
        <v>23</v>
      </c>
      <c r="H711" t="s">
        <v>11296</v>
      </c>
      <c r="I711" t="s">
        <v>11297</v>
      </c>
      <c r="J711" t="s">
        <v>11298</v>
      </c>
      <c r="K711" t="s">
        <v>11299</v>
      </c>
      <c r="L711" t="s">
        <v>3418</v>
      </c>
      <c r="M711" t="s">
        <v>32</v>
      </c>
      <c r="N711" t="s">
        <v>62</v>
      </c>
      <c r="O711" t="s">
        <v>34</v>
      </c>
      <c r="P711" t="s">
        <v>20</v>
      </c>
      <c r="Q711" t="s">
        <v>20</v>
      </c>
      <c r="R711" t="s">
        <v>11300</v>
      </c>
      <c r="S711" t="s">
        <v>20</v>
      </c>
    </row>
    <row r="712" spans="1:19" x14ac:dyDescent="0.45">
      <c r="A712" t="s">
        <v>79</v>
      </c>
      <c r="B712" t="s">
        <v>20</v>
      </c>
      <c r="C712" t="s">
        <v>861</v>
      </c>
      <c r="D712" t="s">
        <v>862</v>
      </c>
      <c r="E712" t="s">
        <v>57</v>
      </c>
      <c r="F712" t="s">
        <v>20</v>
      </c>
      <c r="G712" t="s">
        <v>23</v>
      </c>
      <c r="H712" t="s">
        <v>11573</v>
      </c>
      <c r="I712" t="s">
        <v>11574</v>
      </c>
      <c r="J712" t="s">
        <v>11575</v>
      </c>
      <c r="K712" t="s">
        <v>11576</v>
      </c>
      <c r="L712" t="s">
        <v>3418</v>
      </c>
      <c r="M712" t="s">
        <v>32</v>
      </c>
      <c r="N712" t="s">
        <v>62</v>
      </c>
      <c r="O712" t="s">
        <v>34</v>
      </c>
      <c r="P712" t="s">
        <v>20</v>
      </c>
      <c r="Q712" t="s">
        <v>20</v>
      </c>
      <c r="R712" t="s">
        <v>11577</v>
      </c>
      <c r="S712" t="s">
        <v>20</v>
      </c>
    </row>
    <row r="713" spans="1:19" x14ac:dyDescent="0.45">
      <c r="A713" t="s">
        <v>79</v>
      </c>
      <c r="B713" t="s">
        <v>20</v>
      </c>
      <c r="C713" t="s">
        <v>1383</v>
      </c>
      <c r="D713" t="s">
        <v>1384</v>
      </c>
      <c r="E713" t="s">
        <v>38</v>
      </c>
      <c r="F713" t="s">
        <v>20</v>
      </c>
      <c r="G713" t="s">
        <v>23</v>
      </c>
      <c r="H713" t="s">
        <v>9938</v>
      </c>
      <c r="I713" t="s">
        <v>9939</v>
      </c>
      <c r="J713" t="s">
        <v>10285</v>
      </c>
      <c r="K713" t="s">
        <v>10286</v>
      </c>
      <c r="L713" t="s">
        <v>3998</v>
      </c>
      <c r="M713" t="s">
        <v>44</v>
      </c>
      <c r="N713" t="s">
        <v>119</v>
      </c>
      <c r="O713" t="s">
        <v>34</v>
      </c>
      <c r="P713" t="s">
        <v>20</v>
      </c>
      <c r="Q713" t="s">
        <v>20</v>
      </c>
      <c r="R713" t="s">
        <v>10287</v>
      </c>
      <c r="S713" t="s">
        <v>9940</v>
      </c>
    </row>
    <row r="714" spans="1:19" x14ac:dyDescent="0.45">
      <c r="A714" t="s">
        <v>706</v>
      </c>
      <c r="B714" t="s">
        <v>20</v>
      </c>
      <c r="C714" t="s">
        <v>6940</v>
      </c>
      <c r="D714" t="s">
        <v>5820</v>
      </c>
      <c r="E714" t="s">
        <v>2487</v>
      </c>
      <c r="F714" t="s">
        <v>20</v>
      </c>
      <c r="G714" t="s">
        <v>23</v>
      </c>
      <c r="H714" t="s">
        <v>6941</v>
      </c>
      <c r="I714" t="s">
        <v>6942</v>
      </c>
      <c r="J714" t="s">
        <v>6943</v>
      </c>
      <c r="K714" t="s">
        <v>6944</v>
      </c>
      <c r="L714" t="s">
        <v>3418</v>
      </c>
      <c r="M714" t="s">
        <v>136</v>
      </c>
      <c r="N714" t="s">
        <v>62</v>
      </c>
      <c r="O714" t="s">
        <v>34</v>
      </c>
      <c r="P714" t="s">
        <v>20</v>
      </c>
      <c r="Q714" t="s">
        <v>20</v>
      </c>
      <c r="R714" t="s">
        <v>6945</v>
      </c>
      <c r="S714" t="s">
        <v>20</v>
      </c>
    </row>
    <row r="715" spans="1:19" x14ac:dyDescent="0.45">
      <c r="A715" t="s">
        <v>173</v>
      </c>
      <c r="B715" t="s">
        <v>20</v>
      </c>
      <c r="C715" t="s">
        <v>1408</v>
      </c>
      <c r="D715" t="s">
        <v>1409</v>
      </c>
      <c r="E715" t="s">
        <v>2487</v>
      </c>
      <c r="F715" t="s">
        <v>20</v>
      </c>
      <c r="G715" t="s">
        <v>23</v>
      </c>
      <c r="H715" t="s">
        <v>7719</v>
      </c>
      <c r="I715" t="s">
        <v>7720</v>
      </c>
      <c r="J715" t="s">
        <v>7721</v>
      </c>
      <c r="K715" t="s">
        <v>7722</v>
      </c>
      <c r="L715" t="s">
        <v>3418</v>
      </c>
      <c r="M715" t="s">
        <v>102</v>
      </c>
      <c r="N715" t="s">
        <v>62</v>
      </c>
      <c r="O715" t="s">
        <v>34</v>
      </c>
      <c r="P715" t="s">
        <v>20</v>
      </c>
      <c r="Q715" t="s">
        <v>20</v>
      </c>
      <c r="R715" t="s">
        <v>7723</v>
      </c>
      <c r="S715" t="s">
        <v>20</v>
      </c>
    </row>
    <row r="716" spans="1:19" x14ac:dyDescent="0.45">
      <c r="A716" t="s">
        <v>79</v>
      </c>
      <c r="B716" t="s">
        <v>20</v>
      </c>
      <c r="C716" t="s">
        <v>2839</v>
      </c>
      <c r="D716" t="s">
        <v>2840</v>
      </c>
      <c r="E716" t="s">
        <v>38</v>
      </c>
      <c r="F716" t="s">
        <v>20</v>
      </c>
      <c r="G716" t="s">
        <v>23</v>
      </c>
      <c r="H716" t="s">
        <v>11761</v>
      </c>
      <c r="I716" t="s">
        <v>11762</v>
      </c>
      <c r="J716" t="s">
        <v>12798</v>
      </c>
      <c r="K716" t="s">
        <v>12799</v>
      </c>
      <c r="L716" t="s">
        <v>6524</v>
      </c>
      <c r="M716" t="s">
        <v>12431</v>
      </c>
      <c r="N716" t="s">
        <v>33</v>
      </c>
      <c r="O716" t="s">
        <v>34</v>
      </c>
      <c r="P716" t="s">
        <v>20</v>
      </c>
      <c r="Q716" t="s">
        <v>20</v>
      </c>
      <c r="R716" t="s">
        <v>12800</v>
      </c>
      <c r="S716" t="s">
        <v>11763</v>
      </c>
    </row>
    <row r="717" spans="1:19" x14ac:dyDescent="0.45">
      <c r="A717" t="s">
        <v>1137</v>
      </c>
      <c r="B717" t="s">
        <v>20</v>
      </c>
      <c r="C717" t="s">
        <v>7623</v>
      </c>
      <c r="D717" t="s">
        <v>6220</v>
      </c>
      <c r="E717" t="s">
        <v>57</v>
      </c>
      <c r="F717" t="s">
        <v>20</v>
      </c>
      <c r="G717" t="s">
        <v>23</v>
      </c>
      <c r="H717" t="s">
        <v>7624</v>
      </c>
      <c r="I717" t="s">
        <v>7625</v>
      </c>
      <c r="J717" t="s">
        <v>7626</v>
      </c>
      <c r="K717" t="s">
        <v>7627</v>
      </c>
      <c r="L717" t="s">
        <v>2769</v>
      </c>
      <c r="M717" t="s">
        <v>32</v>
      </c>
      <c r="N717" t="s">
        <v>62</v>
      </c>
      <c r="O717" t="s">
        <v>34</v>
      </c>
      <c r="P717" t="s">
        <v>20</v>
      </c>
      <c r="Q717" t="s">
        <v>20</v>
      </c>
      <c r="R717" t="s">
        <v>253</v>
      </c>
      <c r="S717" t="s">
        <v>20</v>
      </c>
    </row>
    <row r="718" spans="1:19" x14ac:dyDescent="0.45">
      <c r="A718" t="s">
        <v>64</v>
      </c>
      <c r="B718" t="s">
        <v>20</v>
      </c>
      <c r="C718" t="s">
        <v>2303</v>
      </c>
      <c r="D718" t="s">
        <v>2304</v>
      </c>
      <c r="E718" t="s">
        <v>57</v>
      </c>
      <c r="F718" t="s">
        <v>20</v>
      </c>
      <c r="G718" t="s">
        <v>23</v>
      </c>
      <c r="H718" t="s">
        <v>2305</v>
      </c>
      <c r="I718" t="s">
        <v>2306</v>
      </c>
      <c r="J718" t="s">
        <v>2307</v>
      </c>
      <c r="K718" t="s">
        <v>2308</v>
      </c>
      <c r="L718" t="s">
        <v>43</v>
      </c>
      <c r="M718" t="s">
        <v>32</v>
      </c>
      <c r="N718" t="s">
        <v>62</v>
      </c>
      <c r="O718" t="s">
        <v>34</v>
      </c>
      <c r="P718" t="s">
        <v>20</v>
      </c>
      <c r="Q718" t="s">
        <v>20</v>
      </c>
      <c r="R718" t="s">
        <v>154</v>
      </c>
      <c r="S718" t="s">
        <v>20</v>
      </c>
    </row>
    <row r="719" spans="1:19" x14ac:dyDescent="0.45">
      <c r="A719" t="s">
        <v>1980</v>
      </c>
      <c r="B719" t="s">
        <v>20</v>
      </c>
      <c r="C719" t="s">
        <v>11301</v>
      </c>
      <c r="D719" t="s">
        <v>6300</v>
      </c>
      <c r="E719" t="s">
        <v>57</v>
      </c>
      <c r="F719" t="s">
        <v>20</v>
      </c>
      <c r="G719" t="s">
        <v>23</v>
      </c>
      <c r="H719" t="s">
        <v>11302</v>
      </c>
      <c r="I719" t="s">
        <v>11303</v>
      </c>
      <c r="J719" t="s">
        <v>11304</v>
      </c>
      <c r="K719" t="s">
        <v>11305</v>
      </c>
      <c r="L719" t="s">
        <v>3418</v>
      </c>
      <c r="M719" t="s">
        <v>32</v>
      </c>
      <c r="N719" t="s">
        <v>62</v>
      </c>
      <c r="O719" t="s">
        <v>34</v>
      </c>
      <c r="P719" t="s">
        <v>20</v>
      </c>
      <c r="Q719" t="s">
        <v>20</v>
      </c>
      <c r="R719" t="s">
        <v>11306</v>
      </c>
      <c r="S719" t="s">
        <v>20</v>
      </c>
    </row>
    <row r="720" spans="1:19" x14ac:dyDescent="0.45">
      <c r="A720" t="s">
        <v>777</v>
      </c>
      <c r="B720" t="s">
        <v>20</v>
      </c>
      <c r="C720" t="s">
        <v>7413</v>
      </c>
      <c r="D720" t="s">
        <v>5906</v>
      </c>
      <c r="E720" t="s">
        <v>2487</v>
      </c>
      <c r="F720" t="s">
        <v>20</v>
      </c>
      <c r="G720" t="s">
        <v>23</v>
      </c>
      <c r="H720" t="s">
        <v>7414</v>
      </c>
      <c r="I720" t="s">
        <v>7415</v>
      </c>
      <c r="J720" t="s">
        <v>7416</v>
      </c>
      <c r="K720" t="s">
        <v>7417</v>
      </c>
      <c r="L720" t="s">
        <v>3418</v>
      </c>
      <c r="M720" t="s">
        <v>32</v>
      </c>
      <c r="N720" t="s">
        <v>62</v>
      </c>
      <c r="O720" t="s">
        <v>34</v>
      </c>
      <c r="P720" t="s">
        <v>20</v>
      </c>
      <c r="Q720" t="s">
        <v>20</v>
      </c>
      <c r="R720" t="s">
        <v>7418</v>
      </c>
      <c r="S720" t="s">
        <v>20</v>
      </c>
    </row>
    <row r="721" spans="1:19" x14ac:dyDescent="0.45">
      <c r="A721" t="s">
        <v>114</v>
      </c>
      <c r="B721" t="s">
        <v>20</v>
      </c>
      <c r="C721" t="s">
        <v>10040</v>
      </c>
      <c r="D721" t="s">
        <v>6432</v>
      </c>
      <c r="E721" t="s">
        <v>38</v>
      </c>
      <c r="F721" t="s">
        <v>20</v>
      </c>
      <c r="G721" t="s">
        <v>23</v>
      </c>
      <c r="H721" t="s">
        <v>10041</v>
      </c>
      <c r="I721" t="s">
        <v>10042</v>
      </c>
      <c r="J721" t="s">
        <v>10043</v>
      </c>
      <c r="K721" t="s">
        <v>10044</v>
      </c>
      <c r="L721" t="s">
        <v>3998</v>
      </c>
      <c r="M721" t="s">
        <v>32</v>
      </c>
      <c r="N721" t="s">
        <v>45</v>
      </c>
      <c r="O721" t="s">
        <v>34</v>
      </c>
      <c r="P721" t="s">
        <v>20</v>
      </c>
      <c r="Q721" t="s">
        <v>20</v>
      </c>
      <c r="R721" t="s">
        <v>12608</v>
      </c>
      <c r="S721" t="s">
        <v>20</v>
      </c>
    </row>
    <row r="722" spans="1:19" x14ac:dyDescent="0.45">
      <c r="A722" t="s">
        <v>64</v>
      </c>
      <c r="B722" t="s">
        <v>20</v>
      </c>
      <c r="C722" t="s">
        <v>349</v>
      </c>
      <c r="D722" t="s">
        <v>350</v>
      </c>
      <c r="E722" t="s">
        <v>38</v>
      </c>
      <c r="F722" t="s">
        <v>20</v>
      </c>
      <c r="G722" t="s">
        <v>23</v>
      </c>
      <c r="H722" t="s">
        <v>6511</v>
      </c>
      <c r="I722" t="s">
        <v>6580</v>
      </c>
      <c r="J722" t="s">
        <v>6581</v>
      </c>
      <c r="K722" t="s">
        <v>6582</v>
      </c>
      <c r="L722" t="s">
        <v>3998</v>
      </c>
      <c r="M722" t="s">
        <v>112</v>
      </c>
      <c r="N722" t="s">
        <v>146</v>
      </c>
      <c r="O722" t="s">
        <v>34</v>
      </c>
      <c r="P722" t="s">
        <v>20</v>
      </c>
      <c r="Q722" t="s">
        <v>20</v>
      </c>
      <c r="R722" t="s">
        <v>6583</v>
      </c>
      <c r="S722" t="s">
        <v>20</v>
      </c>
    </row>
    <row r="723" spans="1:19" x14ac:dyDescent="0.45">
      <c r="A723" t="s">
        <v>358</v>
      </c>
      <c r="B723" t="s">
        <v>20</v>
      </c>
      <c r="C723" t="s">
        <v>2496</v>
      </c>
      <c r="D723" t="s">
        <v>2497</v>
      </c>
      <c r="E723" t="s">
        <v>38</v>
      </c>
      <c r="F723" t="s">
        <v>20</v>
      </c>
      <c r="G723" t="s">
        <v>23</v>
      </c>
      <c r="H723" t="s">
        <v>13237</v>
      </c>
      <c r="I723" t="s">
        <v>13238</v>
      </c>
      <c r="J723" t="s">
        <v>13239</v>
      </c>
      <c r="K723" t="s">
        <v>13240</v>
      </c>
      <c r="L723" t="s">
        <v>3418</v>
      </c>
      <c r="M723" t="s">
        <v>112</v>
      </c>
      <c r="N723" t="s">
        <v>146</v>
      </c>
      <c r="O723" t="s">
        <v>34</v>
      </c>
      <c r="P723" t="s">
        <v>20</v>
      </c>
      <c r="Q723" t="s">
        <v>20</v>
      </c>
      <c r="R723" t="s">
        <v>13241</v>
      </c>
      <c r="S723" t="s">
        <v>20</v>
      </c>
    </row>
    <row r="724" spans="1:19" x14ac:dyDescent="0.45">
      <c r="A724" t="s">
        <v>2432</v>
      </c>
      <c r="B724" t="s">
        <v>20</v>
      </c>
      <c r="C724" t="s">
        <v>2433</v>
      </c>
      <c r="D724" t="s">
        <v>2434</v>
      </c>
      <c r="E724" t="s">
        <v>29</v>
      </c>
      <c r="F724" t="s">
        <v>20</v>
      </c>
      <c r="G724" t="s">
        <v>23</v>
      </c>
      <c r="H724" t="s">
        <v>2435</v>
      </c>
      <c r="I724" t="s">
        <v>800</v>
      </c>
      <c r="J724" t="s">
        <v>2436</v>
      </c>
      <c r="K724" t="s">
        <v>2437</v>
      </c>
      <c r="L724" t="s">
        <v>31</v>
      </c>
      <c r="M724" t="s">
        <v>32</v>
      </c>
      <c r="N724" t="s">
        <v>33</v>
      </c>
      <c r="O724" t="s">
        <v>34</v>
      </c>
      <c r="P724" t="s">
        <v>20</v>
      </c>
      <c r="Q724" t="s">
        <v>20</v>
      </c>
      <c r="R724" t="s">
        <v>2438</v>
      </c>
      <c r="S724" t="s">
        <v>20</v>
      </c>
    </row>
    <row r="725" spans="1:19" x14ac:dyDescent="0.45">
      <c r="A725" t="s">
        <v>3096</v>
      </c>
      <c r="B725" t="s">
        <v>20</v>
      </c>
      <c r="C725" t="s">
        <v>4133</v>
      </c>
      <c r="D725" t="s">
        <v>4134</v>
      </c>
      <c r="E725" t="s">
        <v>57</v>
      </c>
      <c r="F725" t="s">
        <v>20</v>
      </c>
      <c r="G725" t="s">
        <v>23</v>
      </c>
      <c r="H725" t="s">
        <v>11159</v>
      </c>
      <c r="I725" t="s">
        <v>11160</v>
      </c>
      <c r="J725" t="s">
        <v>11161</v>
      </c>
      <c r="K725" t="s">
        <v>11162</v>
      </c>
      <c r="L725" t="s">
        <v>3418</v>
      </c>
      <c r="M725" t="s">
        <v>3105</v>
      </c>
      <c r="N725" t="s">
        <v>62</v>
      </c>
      <c r="O725" t="s">
        <v>34</v>
      </c>
      <c r="P725" t="s">
        <v>20</v>
      </c>
      <c r="Q725" t="s">
        <v>20</v>
      </c>
      <c r="R725" t="s">
        <v>11163</v>
      </c>
      <c r="S725" t="s">
        <v>20</v>
      </c>
    </row>
    <row r="726" spans="1:19" x14ac:dyDescent="0.45">
      <c r="A726" t="s">
        <v>231</v>
      </c>
      <c r="B726" t="s">
        <v>20</v>
      </c>
      <c r="C726" t="s">
        <v>232</v>
      </c>
      <c r="D726" t="s">
        <v>233</v>
      </c>
      <c r="E726" t="s">
        <v>29</v>
      </c>
      <c r="F726" t="s">
        <v>20</v>
      </c>
      <c r="G726" t="s">
        <v>23</v>
      </c>
      <c r="H726" t="s">
        <v>234</v>
      </c>
      <c r="I726" t="s">
        <v>235</v>
      </c>
      <c r="J726" t="s">
        <v>236</v>
      </c>
      <c r="K726" t="s">
        <v>237</v>
      </c>
      <c r="L726" t="s">
        <v>31</v>
      </c>
      <c r="M726" t="s">
        <v>32</v>
      </c>
      <c r="N726" t="s">
        <v>33</v>
      </c>
      <c r="O726" t="s">
        <v>34</v>
      </c>
      <c r="P726" t="s">
        <v>20</v>
      </c>
      <c r="Q726" t="s">
        <v>20</v>
      </c>
      <c r="R726" t="s">
        <v>238</v>
      </c>
      <c r="S726" t="s">
        <v>20</v>
      </c>
    </row>
    <row r="727" spans="1:19" x14ac:dyDescent="0.45">
      <c r="A727" t="s">
        <v>777</v>
      </c>
      <c r="B727" t="s">
        <v>20</v>
      </c>
      <c r="C727" t="s">
        <v>11514</v>
      </c>
      <c r="D727" t="s">
        <v>5920</v>
      </c>
      <c r="E727" t="s">
        <v>57</v>
      </c>
      <c r="F727" t="s">
        <v>20</v>
      </c>
      <c r="G727" t="s">
        <v>23</v>
      </c>
      <c r="H727" t="s">
        <v>11515</v>
      </c>
      <c r="I727" t="s">
        <v>11516</v>
      </c>
      <c r="J727" t="s">
        <v>11517</v>
      </c>
      <c r="K727" t="s">
        <v>11518</v>
      </c>
      <c r="L727" t="s">
        <v>3418</v>
      </c>
      <c r="M727" t="s">
        <v>32</v>
      </c>
      <c r="N727" t="s">
        <v>62</v>
      </c>
      <c r="O727" t="s">
        <v>34</v>
      </c>
      <c r="P727" t="s">
        <v>20</v>
      </c>
      <c r="Q727" t="s">
        <v>20</v>
      </c>
      <c r="R727" t="s">
        <v>11519</v>
      </c>
      <c r="S727" t="s">
        <v>20</v>
      </c>
    </row>
    <row r="728" spans="1:19" x14ac:dyDescent="0.45">
      <c r="A728" t="s">
        <v>104</v>
      </c>
      <c r="B728" t="s">
        <v>20</v>
      </c>
      <c r="C728" t="s">
        <v>7519</v>
      </c>
      <c r="D728" t="s">
        <v>7520</v>
      </c>
      <c r="E728" t="s">
        <v>38</v>
      </c>
      <c r="F728" t="s">
        <v>20</v>
      </c>
      <c r="G728" t="s">
        <v>23</v>
      </c>
      <c r="H728" t="s">
        <v>7521</v>
      </c>
      <c r="I728" t="s">
        <v>7522</v>
      </c>
      <c r="J728" t="s">
        <v>7523</v>
      </c>
      <c r="K728" t="s">
        <v>7524</v>
      </c>
      <c r="L728" t="s">
        <v>5398</v>
      </c>
      <c r="M728" t="s">
        <v>2953</v>
      </c>
      <c r="N728" t="s">
        <v>119</v>
      </c>
      <c r="O728" t="s">
        <v>34</v>
      </c>
      <c r="P728" t="s">
        <v>20</v>
      </c>
      <c r="Q728" t="s">
        <v>20</v>
      </c>
      <c r="R728" t="s">
        <v>7525</v>
      </c>
      <c r="S728" t="s">
        <v>20</v>
      </c>
    </row>
    <row r="729" spans="1:19" x14ac:dyDescent="0.45">
      <c r="A729" t="s">
        <v>120</v>
      </c>
      <c r="B729" t="s">
        <v>20</v>
      </c>
      <c r="C729" t="s">
        <v>1119</v>
      </c>
      <c r="D729" t="s">
        <v>1120</v>
      </c>
      <c r="E729" t="s">
        <v>38</v>
      </c>
      <c r="F729" t="s">
        <v>20</v>
      </c>
      <c r="G729" t="s">
        <v>23</v>
      </c>
      <c r="H729" t="s">
        <v>1121</v>
      </c>
      <c r="I729" t="s">
        <v>1122</v>
      </c>
      <c r="J729" t="s">
        <v>1123</v>
      </c>
      <c r="K729" t="s">
        <v>1124</v>
      </c>
      <c r="L729" t="s">
        <v>6527</v>
      </c>
      <c r="M729" t="s">
        <v>112</v>
      </c>
      <c r="N729" t="s">
        <v>195</v>
      </c>
      <c r="O729" t="s">
        <v>34</v>
      </c>
      <c r="P729" t="s">
        <v>20</v>
      </c>
      <c r="Q729" t="s">
        <v>20</v>
      </c>
      <c r="R729" t="s">
        <v>10419</v>
      </c>
      <c r="S729" t="s">
        <v>20</v>
      </c>
    </row>
    <row r="730" spans="1:19" x14ac:dyDescent="0.45">
      <c r="A730" t="s">
        <v>386</v>
      </c>
      <c r="B730" t="s">
        <v>20</v>
      </c>
      <c r="C730" t="s">
        <v>1251</v>
      </c>
      <c r="D730" t="s">
        <v>1252</v>
      </c>
      <c r="E730" t="s">
        <v>38</v>
      </c>
      <c r="F730" t="s">
        <v>20</v>
      </c>
      <c r="G730" t="s">
        <v>23</v>
      </c>
      <c r="H730" t="s">
        <v>1253</v>
      </c>
      <c r="I730" t="s">
        <v>1254</v>
      </c>
      <c r="J730" t="s">
        <v>1255</v>
      </c>
      <c r="K730" t="s">
        <v>1256</v>
      </c>
      <c r="L730" t="s">
        <v>31</v>
      </c>
      <c r="M730" t="s">
        <v>32</v>
      </c>
      <c r="N730" t="s">
        <v>33</v>
      </c>
      <c r="O730" t="s">
        <v>34</v>
      </c>
      <c r="P730" t="s">
        <v>20</v>
      </c>
      <c r="Q730" t="s">
        <v>20</v>
      </c>
      <c r="R730" t="s">
        <v>1257</v>
      </c>
      <c r="S730" t="s">
        <v>1258</v>
      </c>
    </row>
    <row r="731" spans="1:19" x14ac:dyDescent="0.45">
      <c r="A731" t="s">
        <v>35</v>
      </c>
      <c r="B731" t="s">
        <v>20</v>
      </c>
      <c r="C731" t="s">
        <v>449</v>
      </c>
      <c r="D731" t="s">
        <v>450</v>
      </c>
      <c r="E731" t="s">
        <v>38</v>
      </c>
      <c r="F731" t="s">
        <v>20</v>
      </c>
      <c r="G731" t="s">
        <v>23</v>
      </c>
      <c r="H731" t="s">
        <v>7244</v>
      </c>
      <c r="I731" t="s">
        <v>7245</v>
      </c>
      <c r="J731" t="s">
        <v>7246</v>
      </c>
      <c r="K731" t="s">
        <v>7247</v>
      </c>
      <c r="L731" t="s">
        <v>6513</v>
      </c>
      <c r="M731" t="s">
        <v>32</v>
      </c>
      <c r="N731" t="s">
        <v>45</v>
      </c>
      <c r="O731" t="s">
        <v>34</v>
      </c>
      <c r="P731" t="s">
        <v>20</v>
      </c>
      <c r="Q731" t="s">
        <v>20</v>
      </c>
      <c r="R731" t="s">
        <v>7248</v>
      </c>
      <c r="S731" t="s">
        <v>20</v>
      </c>
    </row>
    <row r="732" spans="1:19" x14ac:dyDescent="0.45">
      <c r="A732" t="s">
        <v>79</v>
      </c>
      <c r="B732" t="s">
        <v>20</v>
      </c>
      <c r="C732" t="s">
        <v>1195</v>
      </c>
      <c r="D732" t="s">
        <v>1196</v>
      </c>
      <c r="E732" t="s">
        <v>57</v>
      </c>
      <c r="F732" t="s">
        <v>20</v>
      </c>
      <c r="G732" t="s">
        <v>23</v>
      </c>
      <c r="H732" t="s">
        <v>11360</v>
      </c>
      <c r="I732" t="s">
        <v>11361</v>
      </c>
      <c r="J732" t="s">
        <v>11362</v>
      </c>
      <c r="K732" t="s">
        <v>11363</v>
      </c>
      <c r="L732" t="s">
        <v>3418</v>
      </c>
      <c r="M732" t="s">
        <v>32</v>
      </c>
      <c r="N732" t="s">
        <v>62</v>
      </c>
      <c r="O732" t="s">
        <v>34</v>
      </c>
      <c r="P732" t="s">
        <v>20</v>
      </c>
      <c r="Q732" t="s">
        <v>20</v>
      </c>
      <c r="R732" t="s">
        <v>11364</v>
      </c>
      <c r="S732" t="s">
        <v>20</v>
      </c>
    </row>
    <row r="733" spans="1:19" x14ac:dyDescent="0.45">
      <c r="A733" t="s">
        <v>729</v>
      </c>
      <c r="B733" t="s">
        <v>20</v>
      </c>
      <c r="C733" t="s">
        <v>781</v>
      </c>
      <c r="D733" t="s">
        <v>782</v>
      </c>
      <c r="E733" t="s">
        <v>38</v>
      </c>
      <c r="F733" t="s">
        <v>20</v>
      </c>
      <c r="G733" t="s">
        <v>23</v>
      </c>
      <c r="H733" t="s">
        <v>12614</v>
      </c>
      <c r="I733" t="s">
        <v>12615</v>
      </c>
      <c r="J733" t="s">
        <v>12616</v>
      </c>
      <c r="K733" t="s">
        <v>12617</v>
      </c>
      <c r="L733" t="s">
        <v>3418</v>
      </c>
      <c r="M733" t="s">
        <v>102</v>
      </c>
      <c r="N733" t="s">
        <v>62</v>
      </c>
      <c r="O733" t="s">
        <v>34</v>
      </c>
      <c r="P733" t="s">
        <v>20</v>
      </c>
      <c r="Q733" t="s">
        <v>20</v>
      </c>
      <c r="R733" t="s">
        <v>12618</v>
      </c>
      <c r="S733" t="s">
        <v>20</v>
      </c>
    </row>
    <row r="734" spans="1:19" x14ac:dyDescent="0.45">
      <c r="A734" t="s">
        <v>515</v>
      </c>
      <c r="B734" t="s">
        <v>20</v>
      </c>
      <c r="C734" t="s">
        <v>1813</v>
      </c>
      <c r="D734" t="s">
        <v>1814</v>
      </c>
      <c r="E734" t="s">
        <v>29</v>
      </c>
      <c r="F734" t="s">
        <v>20</v>
      </c>
      <c r="G734" t="s">
        <v>23</v>
      </c>
      <c r="H734" t="s">
        <v>1815</v>
      </c>
      <c r="I734" t="s">
        <v>1816</v>
      </c>
      <c r="J734" t="s">
        <v>1817</v>
      </c>
      <c r="K734" t="s">
        <v>1818</v>
      </c>
      <c r="L734" t="s">
        <v>3998</v>
      </c>
      <c r="M734" t="s">
        <v>32</v>
      </c>
      <c r="N734" t="s">
        <v>33</v>
      </c>
      <c r="O734" t="s">
        <v>34</v>
      </c>
      <c r="P734" t="s">
        <v>20</v>
      </c>
      <c r="Q734" t="s">
        <v>20</v>
      </c>
      <c r="R734" t="s">
        <v>1819</v>
      </c>
      <c r="S734" t="s">
        <v>20</v>
      </c>
    </row>
    <row r="735" spans="1:19" x14ac:dyDescent="0.45">
      <c r="A735" t="s">
        <v>211</v>
      </c>
      <c r="B735" t="s">
        <v>20</v>
      </c>
      <c r="C735" t="s">
        <v>304</v>
      </c>
      <c r="D735" t="s">
        <v>305</v>
      </c>
      <c r="E735" t="s">
        <v>38</v>
      </c>
      <c r="F735" t="s">
        <v>20</v>
      </c>
      <c r="G735" t="s">
        <v>23</v>
      </c>
      <c r="H735" t="s">
        <v>14484</v>
      </c>
      <c r="I735" t="s">
        <v>14485</v>
      </c>
      <c r="J735" t="s">
        <v>14486</v>
      </c>
      <c r="K735" t="s">
        <v>14487</v>
      </c>
      <c r="L735" t="s">
        <v>3418</v>
      </c>
      <c r="M735" t="s">
        <v>102</v>
      </c>
      <c r="N735" t="s">
        <v>62</v>
      </c>
      <c r="O735" t="s">
        <v>34</v>
      </c>
      <c r="P735" t="s">
        <v>20</v>
      </c>
      <c r="Q735" t="s">
        <v>20</v>
      </c>
      <c r="R735" t="s">
        <v>14488</v>
      </c>
      <c r="S735" t="s">
        <v>20</v>
      </c>
    </row>
    <row r="736" spans="1:19" x14ac:dyDescent="0.45">
      <c r="A736" t="s">
        <v>46</v>
      </c>
      <c r="B736" t="s">
        <v>20</v>
      </c>
      <c r="C736" t="s">
        <v>405</v>
      </c>
      <c r="D736" t="s">
        <v>406</v>
      </c>
      <c r="E736" t="s">
        <v>38</v>
      </c>
      <c r="F736" t="s">
        <v>20</v>
      </c>
      <c r="G736" t="s">
        <v>23</v>
      </c>
      <c r="H736" t="s">
        <v>407</v>
      </c>
      <c r="I736" t="s">
        <v>408</v>
      </c>
      <c r="J736" t="s">
        <v>409</v>
      </c>
      <c r="K736" t="s">
        <v>410</v>
      </c>
      <c r="L736" t="s">
        <v>168</v>
      </c>
      <c r="M736" t="s">
        <v>411</v>
      </c>
      <c r="N736" t="s">
        <v>33</v>
      </c>
      <c r="O736" t="s">
        <v>34</v>
      </c>
      <c r="P736" t="s">
        <v>20</v>
      </c>
      <c r="Q736" t="s">
        <v>20</v>
      </c>
      <c r="R736" t="s">
        <v>6640</v>
      </c>
      <c r="S736" t="s">
        <v>412</v>
      </c>
    </row>
    <row r="737" spans="1:19" x14ac:dyDescent="0.45">
      <c r="A737" t="s">
        <v>261</v>
      </c>
      <c r="B737" t="s">
        <v>20</v>
      </c>
      <c r="C737" t="s">
        <v>1462</v>
      </c>
      <c r="D737" t="s">
        <v>1463</v>
      </c>
      <c r="E737" t="s">
        <v>2487</v>
      </c>
      <c r="F737" t="s">
        <v>20</v>
      </c>
      <c r="G737" t="s">
        <v>23</v>
      </c>
      <c r="H737" t="s">
        <v>7877</v>
      </c>
      <c r="I737" t="s">
        <v>7878</v>
      </c>
      <c r="J737" t="s">
        <v>7879</v>
      </c>
      <c r="K737" t="s">
        <v>7880</v>
      </c>
      <c r="L737" t="s">
        <v>9619</v>
      </c>
      <c r="M737" t="s">
        <v>32</v>
      </c>
      <c r="N737" t="s">
        <v>62</v>
      </c>
      <c r="O737" t="s">
        <v>34</v>
      </c>
      <c r="P737" t="s">
        <v>20</v>
      </c>
      <c r="Q737" t="s">
        <v>20</v>
      </c>
      <c r="R737" t="s">
        <v>7881</v>
      </c>
      <c r="S737" t="s">
        <v>20</v>
      </c>
    </row>
    <row r="738" spans="1:19" x14ac:dyDescent="0.45">
      <c r="A738" t="s">
        <v>1027</v>
      </c>
      <c r="B738" t="s">
        <v>20</v>
      </c>
      <c r="C738" t="s">
        <v>3759</v>
      </c>
      <c r="D738" t="s">
        <v>3760</v>
      </c>
      <c r="E738" t="s">
        <v>57</v>
      </c>
      <c r="F738" t="s">
        <v>20</v>
      </c>
      <c r="G738" t="s">
        <v>23</v>
      </c>
      <c r="H738" t="s">
        <v>6458</v>
      </c>
      <c r="I738" t="s">
        <v>6520</v>
      </c>
      <c r="J738" t="s">
        <v>6641</v>
      </c>
      <c r="K738" t="s">
        <v>6642</v>
      </c>
      <c r="L738" t="s">
        <v>722</v>
      </c>
      <c r="M738" t="s">
        <v>32</v>
      </c>
      <c r="N738" t="s">
        <v>62</v>
      </c>
      <c r="O738" t="s">
        <v>34</v>
      </c>
      <c r="P738" t="s">
        <v>20</v>
      </c>
      <c r="Q738" t="s">
        <v>20</v>
      </c>
      <c r="R738" t="s">
        <v>253</v>
      </c>
      <c r="S738" t="s">
        <v>20</v>
      </c>
    </row>
    <row r="739" spans="1:19" x14ac:dyDescent="0.45">
      <c r="A739" t="s">
        <v>35</v>
      </c>
      <c r="B739" t="s">
        <v>20</v>
      </c>
      <c r="C739" t="s">
        <v>2731</v>
      </c>
      <c r="D739" t="s">
        <v>2732</v>
      </c>
      <c r="E739" t="s">
        <v>2487</v>
      </c>
      <c r="F739" t="s">
        <v>20</v>
      </c>
      <c r="G739" t="s">
        <v>23</v>
      </c>
      <c r="H739" t="s">
        <v>8056</v>
      </c>
      <c r="I739" t="s">
        <v>8057</v>
      </c>
      <c r="J739" t="s">
        <v>8058</v>
      </c>
      <c r="K739" t="s">
        <v>8059</v>
      </c>
      <c r="L739" t="s">
        <v>3418</v>
      </c>
      <c r="M739" t="s">
        <v>32</v>
      </c>
      <c r="N739" t="s">
        <v>62</v>
      </c>
      <c r="O739" t="s">
        <v>34</v>
      </c>
      <c r="P739" t="s">
        <v>20</v>
      </c>
      <c r="Q739" t="s">
        <v>20</v>
      </c>
      <c r="R739" t="s">
        <v>8060</v>
      </c>
      <c r="S739" t="s">
        <v>20</v>
      </c>
    </row>
    <row r="740" spans="1:19" x14ac:dyDescent="0.45">
      <c r="A740" t="s">
        <v>511</v>
      </c>
      <c r="B740" t="s">
        <v>20</v>
      </c>
      <c r="C740" t="s">
        <v>7197</v>
      </c>
      <c r="D740" t="s">
        <v>6074</v>
      </c>
      <c r="E740" t="s">
        <v>38</v>
      </c>
      <c r="F740" t="s">
        <v>20</v>
      </c>
      <c r="G740" t="s">
        <v>23</v>
      </c>
      <c r="H740" t="s">
        <v>7198</v>
      </c>
      <c r="I740" t="s">
        <v>7199</v>
      </c>
      <c r="J740" t="s">
        <v>7200</v>
      </c>
      <c r="K740" t="s">
        <v>7201</v>
      </c>
      <c r="L740" t="s">
        <v>6521</v>
      </c>
      <c r="M740" t="s">
        <v>3105</v>
      </c>
      <c r="N740" t="s">
        <v>45</v>
      </c>
      <c r="O740" t="s">
        <v>34</v>
      </c>
      <c r="P740" t="s">
        <v>20</v>
      </c>
      <c r="Q740" t="s">
        <v>20</v>
      </c>
      <c r="R740" t="s">
        <v>7202</v>
      </c>
      <c r="S740" t="s">
        <v>20</v>
      </c>
    </row>
    <row r="741" spans="1:19" x14ac:dyDescent="0.45">
      <c r="A741" t="s">
        <v>425</v>
      </c>
      <c r="B741" t="s">
        <v>20</v>
      </c>
      <c r="C741" t="s">
        <v>1969</v>
      </c>
      <c r="D741" t="s">
        <v>1970</v>
      </c>
      <c r="E741" t="s">
        <v>57</v>
      </c>
      <c r="F741" t="s">
        <v>20</v>
      </c>
      <c r="G741" t="s">
        <v>23</v>
      </c>
      <c r="H741" t="s">
        <v>1971</v>
      </c>
      <c r="I741" t="s">
        <v>1972</v>
      </c>
      <c r="J741" t="s">
        <v>1973</v>
      </c>
      <c r="K741" t="s">
        <v>1974</v>
      </c>
      <c r="L741" t="s">
        <v>2330</v>
      </c>
      <c r="M741" t="s">
        <v>112</v>
      </c>
      <c r="N741" t="s">
        <v>62</v>
      </c>
      <c r="O741" t="s">
        <v>34</v>
      </c>
      <c r="P741" t="s">
        <v>20</v>
      </c>
      <c r="Q741" t="s">
        <v>20</v>
      </c>
      <c r="R741" t="s">
        <v>253</v>
      </c>
      <c r="S741" t="s">
        <v>20</v>
      </c>
    </row>
    <row r="742" spans="1:19" x14ac:dyDescent="0.45">
      <c r="A742" t="s">
        <v>2225</v>
      </c>
      <c r="B742" t="s">
        <v>20</v>
      </c>
      <c r="C742" t="s">
        <v>7628</v>
      </c>
      <c r="D742" t="s">
        <v>7629</v>
      </c>
      <c r="E742" t="s">
        <v>2487</v>
      </c>
      <c r="F742" t="s">
        <v>20</v>
      </c>
      <c r="G742" t="s">
        <v>23</v>
      </c>
      <c r="H742" t="s">
        <v>7630</v>
      </c>
      <c r="I742" t="s">
        <v>7631</v>
      </c>
      <c r="J742" t="s">
        <v>7632</v>
      </c>
      <c r="K742" t="s">
        <v>7633</v>
      </c>
      <c r="L742" t="s">
        <v>3418</v>
      </c>
      <c r="M742" t="s">
        <v>32</v>
      </c>
      <c r="N742" t="s">
        <v>62</v>
      </c>
      <c r="O742" t="s">
        <v>34</v>
      </c>
      <c r="P742" t="s">
        <v>20</v>
      </c>
      <c r="Q742" t="s">
        <v>20</v>
      </c>
      <c r="R742" t="s">
        <v>7634</v>
      </c>
      <c r="S742" t="s">
        <v>20</v>
      </c>
    </row>
    <row r="743" spans="1:19" x14ac:dyDescent="0.45">
      <c r="A743" t="s">
        <v>1613</v>
      </c>
      <c r="B743" t="s">
        <v>20</v>
      </c>
      <c r="C743" t="s">
        <v>1990</v>
      </c>
      <c r="D743" t="s">
        <v>1991</v>
      </c>
      <c r="E743" t="s">
        <v>38</v>
      </c>
      <c r="F743" t="s">
        <v>20</v>
      </c>
      <c r="G743" t="s">
        <v>23</v>
      </c>
      <c r="H743" t="s">
        <v>12178</v>
      </c>
      <c r="I743" t="s">
        <v>12179</v>
      </c>
      <c r="J743" t="s">
        <v>12658</v>
      </c>
      <c r="K743" t="s">
        <v>12659</v>
      </c>
      <c r="L743" t="s">
        <v>6524</v>
      </c>
      <c r="M743" t="s">
        <v>12431</v>
      </c>
      <c r="N743" t="s">
        <v>33</v>
      </c>
      <c r="O743" t="s">
        <v>34</v>
      </c>
      <c r="P743" t="s">
        <v>20</v>
      </c>
      <c r="Q743" t="s">
        <v>20</v>
      </c>
      <c r="R743" t="s">
        <v>12660</v>
      </c>
      <c r="S743" t="s">
        <v>12180</v>
      </c>
    </row>
    <row r="744" spans="1:19" x14ac:dyDescent="0.45">
      <c r="A744" t="s">
        <v>169</v>
      </c>
      <c r="B744" t="s">
        <v>20</v>
      </c>
      <c r="C744" t="s">
        <v>7348</v>
      </c>
      <c r="D744" t="s">
        <v>6058</v>
      </c>
      <c r="E744" t="s">
        <v>57</v>
      </c>
      <c r="F744" t="s">
        <v>20</v>
      </c>
      <c r="G744" t="s">
        <v>23</v>
      </c>
      <c r="H744" t="s">
        <v>7349</v>
      </c>
      <c r="I744" t="s">
        <v>7350</v>
      </c>
      <c r="J744" t="s">
        <v>7351</v>
      </c>
      <c r="K744" t="s">
        <v>7352</v>
      </c>
      <c r="L744" t="s">
        <v>2769</v>
      </c>
      <c r="M744" t="s">
        <v>32</v>
      </c>
      <c r="N744" t="s">
        <v>62</v>
      </c>
      <c r="O744" t="s">
        <v>34</v>
      </c>
      <c r="P744" t="s">
        <v>20</v>
      </c>
      <c r="Q744" t="s">
        <v>20</v>
      </c>
      <c r="R744" t="s">
        <v>7085</v>
      </c>
      <c r="S744" t="s">
        <v>20</v>
      </c>
    </row>
    <row r="745" spans="1:19" x14ac:dyDescent="0.45">
      <c r="A745" t="s">
        <v>120</v>
      </c>
      <c r="B745" t="s">
        <v>20</v>
      </c>
      <c r="C745" t="s">
        <v>1115</v>
      </c>
      <c r="D745" t="s">
        <v>1116</v>
      </c>
      <c r="E745" t="s">
        <v>29</v>
      </c>
      <c r="F745" t="s">
        <v>20</v>
      </c>
      <c r="G745" t="s">
        <v>23</v>
      </c>
      <c r="H745" t="s">
        <v>1117</v>
      </c>
      <c r="I745" t="s">
        <v>30</v>
      </c>
      <c r="J745" t="s">
        <v>1118</v>
      </c>
      <c r="K745" t="s">
        <v>547</v>
      </c>
      <c r="L745" t="s">
        <v>6533</v>
      </c>
      <c r="M745" t="s">
        <v>32</v>
      </c>
      <c r="N745" t="s">
        <v>33</v>
      </c>
      <c r="O745" t="s">
        <v>34</v>
      </c>
      <c r="P745" t="s">
        <v>20</v>
      </c>
      <c r="Q745" t="s">
        <v>20</v>
      </c>
      <c r="R745" t="s">
        <v>10418</v>
      </c>
      <c r="S745" t="s">
        <v>20</v>
      </c>
    </row>
    <row r="746" spans="1:19" x14ac:dyDescent="0.45">
      <c r="A746" t="s">
        <v>261</v>
      </c>
      <c r="B746" t="s">
        <v>20</v>
      </c>
      <c r="C746" t="s">
        <v>1348</v>
      </c>
      <c r="D746" t="s">
        <v>1349</v>
      </c>
      <c r="E746" t="s">
        <v>2487</v>
      </c>
      <c r="F746" t="s">
        <v>20</v>
      </c>
      <c r="G746" t="s">
        <v>23</v>
      </c>
      <c r="H746" t="s">
        <v>7507</v>
      </c>
      <c r="I746" t="s">
        <v>7508</v>
      </c>
      <c r="J746" t="s">
        <v>7509</v>
      </c>
      <c r="K746" t="s">
        <v>7510</v>
      </c>
      <c r="L746" t="s">
        <v>3418</v>
      </c>
      <c r="M746" t="s">
        <v>32</v>
      </c>
      <c r="N746" t="s">
        <v>62</v>
      </c>
      <c r="O746" t="s">
        <v>34</v>
      </c>
      <c r="P746" t="s">
        <v>20</v>
      </c>
      <c r="Q746" t="s">
        <v>20</v>
      </c>
      <c r="R746" t="s">
        <v>7511</v>
      </c>
      <c r="S746" t="s">
        <v>20</v>
      </c>
    </row>
    <row r="747" spans="1:19" x14ac:dyDescent="0.45">
      <c r="A747" t="s">
        <v>706</v>
      </c>
      <c r="B747" t="s">
        <v>20</v>
      </c>
      <c r="C747" t="s">
        <v>707</v>
      </c>
      <c r="D747" t="s">
        <v>708</v>
      </c>
      <c r="E747" t="s">
        <v>38</v>
      </c>
      <c r="F747" t="s">
        <v>20</v>
      </c>
      <c r="G747" t="s">
        <v>23</v>
      </c>
      <c r="H747" t="s">
        <v>709</v>
      </c>
      <c r="I747" t="s">
        <v>710</v>
      </c>
      <c r="J747" t="s">
        <v>711</v>
      </c>
      <c r="K747" t="s">
        <v>712</v>
      </c>
      <c r="L747" t="s">
        <v>3998</v>
      </c>
      <c r="M747" t="s">
        <v>112</v>
      </c>
      <c r="N747" t="s">
        <v>45</v>
      </c>
      <c r="O747" t="s">
        <v>34</v>
      </c>
      <c r="P747" t="s">
        <v>20</v>
      </c>
      <c r="Q747" t="s">
        <v>20</v>
      </c>
      <c r="R747" t="s">
        <v>9194</v>
      </c>
      <c r="S747" t="s">
        <v>20</v>
      </c>
    </row>
    <row r="748" spans="1:19" x14ac:dyDescent="0.45">
      <c r="A748" t="s">
        <v>413</v>
      </c>
      <c r="B748" t="s">
        <v>20</v>
      </c>
      <c r="C748" t="s">
        <v>615</v>
      </c>
      <c r="D748" t="s">
        <v>616</v>
      </c>
      <c r="E748" t="s">
        <v>2487</v>
      </c>
      <c r="F748" t="s">
        <v>20</v>
      </c>
      <c r="G748" t="s">
        <v>23</v>
      </c>
      <c r="H748" t="s">
        <v>10808</v>
      </c>
      <c r="I748" t="s">
        <v>10809</v>
      </c>
      <c r="J748" t="s">
        <v>10810</v>
      </c>
      <c r="K748" t="s">
        <v>10811</v>
      </c>
      <c r="L748" t="s">
        <v>3418</v>
      </c>
      <c r="M748" t="s">
        <v>3105</v>
      </c>
      <c r="N748" t="s">
        <v>62</v>
      </c>
      <c r="O748" t="s">
        <v>34</v>
      </c>
      <c r="P748" t="s">
        <v>20</v>
      </c>
      <c r="Q748" t="s">
        <v>20</v>
      </c>
      <c r="R748" t="s">
        <v>10812</v>
      </c>
      <c r="S748" t="s">
        <v>20</v>
      </c>
    </row>
    <row r="749" spans="1:19" x14ac:dyDescent="0.45">
      <c r="A749" t="s">
        <v>239</v>
      </c>
      <c r="B749" t="s">
        <v>20</v>
      </c>
      <c r="C749" t="s">
        <v>240</v>
      </c>
      <c r="D749" t="s">
        <v>241</v>
      </c>
      <c r="E749" t="s">
        <v>2487</v>
      </c>
      <c r="F749" t="s">
        <v>20</v>
      </c>
      <c r="G749" t="s">
        <v>23</v>
      </c>
      <c r="H749" t="s">
        <v>8061</v>
      </c>
      <c r="I749" t="s">
        <v>8062</v>
      </c>
      <c r="J749" t="s">
        <v>8063</v>
      </c>
      <c r="K749" t="s">
        <v>8064</v>
      </c>
      <c r="L749" t="s">
        <v>3418</v>
      </c>
      <c r="M749" t="s">
        <v>102</v>
      </c>
      <c r="N749" t="s">
        <v>62</v>
      </c>
      <c r="O749" t="s">
        <v>34</v>
      </c>
      <c r="P749" t="s">
        <v>20</v>
      </c>
      <c r="Q749" t="s">
        <v>20</v>
      </c>
      <c r="R749" t="s">
        <v>8065</v>
      </c>
      <c r="S749" t="s">
        <v>20</v>
      </c>
    </row>
    <row r="750" spans="1:19" x14ac:dyDescent="0.45">
      <c r="A750" t="s">
        <v>231</v>
      </c>
      <c r="B750" t="s">
        <v>20</v>
      </c>
      <c r="C750" t="s">
        <v>1298</v>
      </c>
      <c r="D750" t="s">
        <v>1299</v>
      </c>
      <c r="E750" t="s">
        <v>38</v>
      </c>
      <c r="F750" t="s">
        <v>20</v>
      </c>
      <c r="G750" t="s">
        <v>23</v>
      </c>
      <c r="H750" t="s">
        <v>6920</v>
      </c>
      <c r="I750" t="s">
        <v>6921</v>
      </c>
      <c r="J750" t="s">
        <v>11167</v>
      </c>
      <c r="K750" t="s">
        <v>11117</v>
      </c>
      <c r="L750" t="s">
        <v>6523</v>
      </c>
      <c r="M750" t="s">
        <v>32</v>
      </c>
      <c r="N750" t="s">
        <v>33</v>
      </c>
      <c r="O750" t="s">
        <v>34</v>
      </c>
      <c r="P750" t="s">
        <v>20</v>
      </c>
      <c r="Q750" t="s">
        <v>20</v>
      </c>
      <c r="R750" t="s">
        <v>11168</v>
      </c>
      <c r="S750" t="s">
        <v>20</v>
      </c>
    </row>
    <row r="751" spans="1:19" x14ac:dyDescent="0.45">
      <c r="A751" t="s">
        <v>261</v>
      </c>
      <c r="B751" t="s">
        <v>20</v>
      </c>
      <c r="C751" t="s">
        <v>7550</v>
      </c>
      <c r="D751" t="s">
        <v>5509</v>
      </c>
      <c r="E751" t="s">
        <v>29</v>
      </c>
      <c r="F751" t="s">
        <v>20</v>
      </c>
      <c r="G751" t="s">
        <v>23</v>
      </c>
      <c r="H751" t="s">
        <v>7551</v>
      </c>
      <c r="I751" t="s">
        <v>7552</v>
      </c>
      <c r="J751" t="s">
        <v>7553</v>
      </c>
      <c r="K751" t="s">
        <v>7554</v>
      </c>
      <c r="L751" t="s">
        <v>3418</v>
      </c>
      <c r="M751" t="s">
        <v>32</v>
      </c>
      <c r="N751" t="s">
        <v>62</v>
      </c>
      <c r="O751" t="s">
        <v>34</v>
      </c>
      <c r="P751" t="s">
        <v>20</v>
      </c>
      <c r="Q751" t="s">
        <v>20</v>
      </c>
      <c r="R751" t="s">
        <v>7555</v>
      </c>
      <c r="S751" t="s">
        <v>20</v>
      </c>
    </row>
    <row r="752" spans="1:19" x14ac:dyDescent="0.45">
      <c r="A752" t="s">
        <v>921</v>
      </c>
      <c r="B752" t="s">
        <v>20</v>
      </c>
      <c r="C752" t="s">
        <v>1997</v>
      </c>
      <c r="D752" t="s">
        <v>1998</v>
      </c>
      <c r="E752" t="s">
        <v>38</v>
      </c>
      <c r="F752" t="s">
        <v>20</v>
      </c>
      <c r="G752" t="s">
        <v>23</v>
      </c>
      <c r="H752" t="s">
        <v>1999</v>
      </c>
      <c r="I752" t="s">
        <v>2000</v>
      </c>
      <c r="J752" t="s">
        <v>2001</v>
      </c>
      <c r="K752" t="s">
        <v>2002</v>
      </c>
      <c r="L752" t="s">
        <v>43</v>
      </c>
      <c r="M752" t="s">
        <v>32</v>
      </c>
      <c r="N752" t="s">
        <v>33</v>
      </c>
      <c r="O752" t="s">
        <v>34</v>
      </c>
      <c r="P752" t="s">
        <v>20</v>
      </c>
      <c r="Q752" t="s">
        <v>20</v>
      </c>
      <c r="R752" t="s">
        <v>2003</v>
      </c>
      <c r="S752" t="s">
        <v>20</v>
      </c>
    </row>
    <row r="753" spans="1:19" x14ac:dyDescent="0.45">
      <c r="A753" t="s">
        <v>26</v>
      </c>
      <c r="B753" t="s">
        <v>20</v>
      </c>
      <c r="C753" t="s">
        <v>557</v>
      </c>
      <c r="D753" t="s">
        <v>558</v>
      </c>
      <c r="E753" t="s">
        <v>38</v>
      </c>
      <c r="F753" t="s">
        <v>20</v>
      </c>
      <c r="G753" t="s">
        <v>23</v>
      </c>
      <c r="H753" t="s">
        <v>559</v>
      </c>
      <c r="I753" t="s">
        <v>560</v>
      </c>
      <c r="J753" t="s">
        <v>561</v>
      </c>
      <c r="K753" t="s">
        <v>562</v>
      </c>
      <c r="L753" t="s">
        <v>101</v>
      </c>
      <c r="M753" t="s">
        <v>205</v>
      </c>
      <c r="N753" t="s">
        <v>62</v>
      </c>
      <c r="O753" t="s">
        <v>34</v>
      </c>
      <c r="P753" t="s">
        <v>20</v>
      </c>
      <c r="Q753" t="s">
        <v>20</v>
      </c>
      <c r="R753" t="s">
        <v>206</v>
      </c>
      <c r="S753" t="s">
        <v>20</v>
      </c>
    </row>
    <row r="754" spans="1:19" x14ac:dyDescent="0.45">
      <c r="A754" t="s">
        <v>64</v>
      </c>
      <c r="B754" t="s">
        <v>20</v>
      </c>
      <c r="C754" t="s">
        <v>622</v>
      </c>
      <c r="D754" t="s">
        <v>623</v>
      </c>
      <c r="E754" t="s">
        <v>38</v>
      </c>
      <c r="F754" t="s">
        <v>20</v>
      </c>
      <c r="G754" t="s">
        <v>23</v>
      </c>
      <c r="H754" t="s">
        <v>6857</v>
      </c>
      <c r="I754" t="s">
        <v>6858</v>
      </c>
      <c r="J754" t="s">
        <v>11034</v>
      </c>
      <c r="K754" t="s">
        <v>10954</v>
      </c>
      <c r="L754" t="s">
        <v>3998</v>
      </c>
      <c r="M754" t="s">
        <v>32</v>
      </c>
      <c r="N754" t="s">
        <v>33</v>
      </c>
      <c r="O754" t="s">
        <v>34</v>
      </c>
      <c r="P754" t="s">
        <v>20</v>
      </c>
      <c r="Q754" t="s">
        <v>20</v>
      </c>
      <c r="R754" t="s">
        <v>11035</v>
      </c>
      <c r="S754" t="s">
        <v>6859</v>
      </c>
    </row>
    <row r="755" spans="1:19" x14ac:dyDescent="0.45">
      <c r="A755" t="s">
        <v>19</v>
      </c>
      <c r="B755" t="s">
        <v>20</v>
      </c>
      <c r="C755" t="s">
        <v>796</v>
      </c>
      <c r="D755" t="s">
        <v>797</v>
      </c>
      <c r="E755" t="s">
        <v>38</v>
      </c>
      <c r="F755" t="s">
        <v>20</v>
      </c>
      <c r="G755" t="s">
        <v>23</v>
      </c>
      <c r="H755" t="s">
        <v>2350</v>
      </c>
      <c r="I755" t="s">
        <v>2351</v>
      </c>
      <c r="J755" t="s">
        <v>2352</v>
      </c>
      <c r="K755" t="s">
        <v>2353</v>
      </c>
      <c r="L755" t="s">
        <v>101</v>
      </c>
      <c r="M755" t="s">
        <v>112</v>
      </c>
      <c r="N755" t="s">
        <v>62</v>
      </c>
      <c r="O755" t="s">
        <v>34</v>
      </c>
      <c r="P755" t="s">
        <v>20</v>
      </c>
      <c r="Q755" t="s">
        <v>20</v>
      </c>
      <c r="R755" t="s">
        <v>1901</v>
      </c>
      <c r="S755" t="s">
        <v>20</v>
      </c>
    </row>
    <row r="756" spans="1:19" x14ac:dyDescent="0.45">
      <c r="A756" t="s">
        <v>662</v>
      </c>
      <c r="B756" t="s">
        <v>20</v>
      </c>
      <c r="C756" t="s">
        <v>663</v>
      </c>
      <c r="D756" t="s">
        <v>664</v>
      </c>
      <c r="E756" t="s">
        <v>38</v>
      </c>
      <c r="F756" t="s">
        <v>20</v>
      </c>
      <c r="G756" t="s">
        <v>23</v>
      </c>
      <c r="H756" t="s">
        <v>665</v>
      </c>
      <c r="I756" t="s">
        <v>666</v>
      </c>
      <c r="J756" t="s">
        <v>667</v>
      </c>
      <c r="K756" t="s">
        <v>668</v>
      </c>
      <c r="L756" t="s">
        <v>9126</v>
      </c>
      <c r="M756" t="s">
        <v>32</v>
      </c>
      <c r="N756" t="s">
        <v>33</v>
      </c>
      <c r="O756" t="s">
        <v>34</v>
      </c>
      <c r="P756" t="s">
        <v>20</v>
      </c>
      <c r="Q756" t="s">
        <v>20</v>
      </c>
      <c r="R756" t="s">
        <v>669</v>
      </c>
      <c r="S756" t="s">
        <v>670</v>
      </c>
    </row>
    <row r="757" spans="1:19" x14ac:dyDescent="0.45">
      <c r="A757" t="s">
        <v>276</v>
      </c>
      <c r="B757" t="s">
        <v>20</v>
      </c>
      <c r="C757" t="s">
        <v>417</v>
      </c>
      <c r="D757" t="s">
        <v>418</v>
      </c>
      <c r="E757" t="s">
        <v>38</v>
      </c>
      <c r="F757" t="s">
        <v>20</v>
      </c>
      <c r="G757" t="s">
        <v>23</v>
      </c>
      <c r="H757" t="s">
        <v>10384</v>
      </c>
      <c r="I757" t="s">
        <v>10385</v>
      </c>
      <c r="J757" t="s">
        <v>11138</v>
      </c>
      <c r="K757" t="s">
        <v>11139</v>
      </c>
      <c r="L757" t="s">
        <v>9126</v>
      </c>
      <c r="M757" t="s">
        <v>32</v>
      </c>
      <c r="N757" t="s">
        <v>33</v>
      </c>
      <c r="O757" t="s">
        <v>34</v>
      </c>
      <c r="P757" t="s">
        <v>20</v>
      </c>
      <c r="Q757" t="s">
        <v>20</v>
      </c>
      <c r="R757" t="s">
        <v>11140</v>
      </c>
      <c r="S757" t="s">
        <v>20</v>
      </c>
    </row>
    <row r="758" spans="1:19" x14ac:dyDescent="0.45">
      <c r="A758" t="s">
        <v>19</v>
      </c>
      <c r="B758" t="s">
        <v>20</v>
      </c>
      <c r="C758" t="s">
        <v>1841</v>
      </c>
      <c r="D758" t="s">
        <v>1842</v>
      </c>
      <c r="E758" t="s">
        <v>38</v>
      </c>
      <c r="F758" t="s">
        <v>20</v>
      </c>
      <c r="G758" t="s">
        <v>23</v>
      </c>
      <c r="H758" t="s">
        <v>12670</v>
      </c>
      <c r="I758" t="s">
        <v>12671</v>
      </c>
      <c r="J758" t="s">
        <v>12672</v>
      </c>
      <c r="K758" t="s">
        <v>12673</v>
      </c>
      <c r="L758" t="s">
        <v>6524</v>
      </c>
      <c r="M758" t="s">
        <v>12431</v>
      </c>
      <c r="N758" t="s">
        <v>33</v>
      </c>
      <c r="O758" t="s">
        <v>34</v>
      </c>
      <c r="P758" t="s">
        <v>20</v>
      </c>
      <c r="Q758" t="s">
        <v>20</v>
      </c>
      <c r="R758" t="s">
        <v>12674</v>
      </c>
      <c r="S758" t="s">
        <v>12675</v>
      </c>
    </row>
    <row r="759" spans="1:19" x14ac:dyDescent="0.45">
      <c r="A759" t="s">
        <v>310</v>
      </c>
      <c r="B759" t="s">
        <v>20</v>
      </c>
      <c r="C759" t="s">
        <v>910</v>
      </c>
      <c r="D759" t="s">
        <v>911</v>
      </c>
      <c r="E759" t="s">
        <v>38</v>
      </c>
      <c r="F759" t="s">
        <v>20</v>
      </c>
      <c r="G759" t="s">
        <v>23</v>
      </c>
      <c r="H759" t="s">
        <v>13836</v>
      </c>
      <c r="I759" t="s">
        <v>13837</v>
      </c>
      <c r="J759" t="s">
        <v>13838</v>
      </c>
      <c r="K759" t="s">
        <v>13839</v>
      </c>
      <c r="L759" t="s">
        <v>3418</v>
      </c>
      <c r="M759" t="s">
        <v>2953</v>
      </c>
      <c r="N759" t="s">
        <v>146</v>
      </c>
      <c r="O759" t="s">
        <v>34</v>
      </c>
      <c r="P759" t="s">
        <v>20</v>
      </c>
      <c r="Q759" t="s">
        <v>20</v>
      </c>
      <c r="R759" t="s">
        <v>13840</v>
      </c>
      <c r="S759" t="s">
        <v>20</v>
      </c>
    </row>
    <row r="760" spans="1:19" x14ac:dyDescent="0.45">
      <c r="A760" t="s">
        <v>169</v>
      </c>
      <c r="B760" t="s">
        <v>20</v>
      </c>
      <c r="C760" t="s">
        <v>7080</v>
      </c>
      <c r="D760" t="s">
        <v>5763</v>
      </c>
      <c r="E760" t="s">
        <v>57</v>
      </c>
      <c r="F760" t="s">
        <v>20</v>
      </c>
      <c r="G760" t="s">
        <v>23</v>
      </c>
      <c r="H760" t="s">
        <v>7081</v>
      </c>
      <c r="I760" t="s">
        <v>7082</v>
      </c>
      <c r="J760" t="s">
        <v>7083</v>
      </c>
      <c r="K760" t="s">
        <v>7084</v>
      </c>
      <c r="L760" t="s">
        <v>2769</v>
      </c>
      <c r="M760" t="s">
        <v>32</v>
      </c>
      <c r="N760" t="s">
        <v>62</v>
      </c>
      <c r="O760" t="s">
        <v>34</v>
      </c>
      <c r="P760" t="s">
        <v>20</v>
      </c>
      <c r="Q760" t="s">
        <v>20</v>
      </c>
      <c r="R760" t="s">
        <v>7085</v>
      </c>
      <c r="S760" t="s">
        <v>20</v>
      </c>
    </row>
    <row r="761" spans="1:19" x14ac:dyDescent="0.45">
      <c r="A761" t="s">
        <v>505</v>
      </c>
      <c r="B761" t="s">
        <v>20</v>
      </c>
      <c r="C761" t="s">
        <v>6643</v>
      </c>
      <c r="D761" t="s">
        <v>6283</v>
      </c>
      <c r="E761" t="s">
        <v>57</v>
      </c>
      <c r="F761" t="s">
        <v>20</v>
      </c>
      <c r="G761" t="s">
        <v>23</v>
      </c>
      <c r="H761" t="s">
        <v>6510</v>
      </c>
      <c r="I761" t="s">
        <v>6644</v>
      </c>
      <c r="J761" t="s">
        <v>6645</v>
      </c>
      <c r="K761" t="s">
        <v>6646</v>
      </c>
      <c r="L761" t="s">
        <v>722</v>
      </c>
      <c r="M761" t="s">
        <v>32</v>
      </c>
      <c r="N761" t="s">
        <v>62</v>
      </c>
      <c r="O761" t="s">
        <v>34</v>
      </c>
      <c r="P761" t="s">
        <v>20</v>
      </c>
      <c r="Q761" t="s">
        <v>20</v>
      </c>
      <c r="R761" t="s">
        <v>253</v>
      </c>
      <c r="S761" t="s">
        <v>20</v>
      </c>
    </row>
    <row r="762" spans="1:19" x14ac:dyDescent="0.45">
      <c r="A762" t="s">
        <v>362</v>
      </c>
      <c r="B762" t="s">
        <v>20</v>
      </c>
      <c r="C762" t="s">
        <v>2051</v>
      </c>
      <c r="D762" t="s">
        <v>2052</v>
      </c>
      <c r="E762" t="s">
        <v>57</v>
      </c>
      <c r="F762" t="s">
        <v>20</v>
      </c>
      <c r="G762" t="s">
        <v>23</v>
      </c>
      <c r="H762" t="s">
        <v>7570</v>
      </c>
      <c r="I762" t="s">
        <v>7571</v>
      </c>
      <c r="J762" t="s">
        <v>7572</v>
      </c>
      <c r="K762" t="s">
        <v>7573</v>
      </c>
      <c r="L762" t="s">
        <v>2769</v>
      </c>
      <c r="M762" t="s">
        <v>32</v>
      </c>
      <c r="N762" t="s">
        <v>62</v>
      </c>
      <c r="O762" t="s">
        <v>34</v>
      </c>
      <c r="P762" t="s">
        <v>20</v>
      </c>
      <c r="Q762" t="s">
        <v>20</v>
      </c>
      <c r="R762" t="s">
        <v>7574</v>
      </c>
      <c r="S762" t="s">
        <v>20</v>
      </c>
    </row>
    <row r="763" spans="1:19" x14ac:dyDescent="0.45">
      <c r="A763" t="s">
        <v>310</v>
      </c>
      <c r="B763" t="s">
        <v>20</v>
      </c>
      <c r="C763" t="s">
        <v>566</v>
      </c>
      <c r="D763" t="s">
        <v>567</v>
      </c>
      <c r="E763" t="s">
        <v>38</v>
      </c>
      <c r="F763" t="s">
        <v>20</v>
      </c>
      <c r="G763" t="s">
        <v>23</v>
      </c>
      <c r="H763" t="s">
        <v>568</v>
      </c>
      <c r="I763" t="s">
        <v>569</v>
      </c>
      <c r="J763" t="s">
        <v>570</v>
      </c>
      <c r="K763" t="s">
        <v>571</v>
      </c>
      <c r="L763" t="s">
        <v>101</v>
      </c>
      <c r="M763" t="s">
        <v>112</v>
      </c>
      <c r="N763" t="s">
        <v>62</v>
      </c>
      <c r="O763" t="s">
        <v>34</v>
      </c>
      <c r="P763" t="s">
        <v>20</v>
      </c>
      <c r="Q763" t="s">
        <v>20</v>
      </c>
      <c r="R763" t="s">
        <v>313</v>
      </c>
      <c r="S763" t="s">
        <v>20</v>
      </c>
    </row>
    <row r="764" spans="1:19" x14ac:dyDescent="0.45">
      <c r="A764" t="s">
        <v>261</v>
      </c>
      <c r="B764" t="s">
        <v>20</v>
      </c>
      <c r="C764" t="s">
        <v>1338</v>
      </c>
      <c r="D764" t="s">
        <v>1339</v>
      </c>
      <c r="E764" t="s">
        <v>2487</v>
      </c>
      <c r="F764" t="s">
        <v>20</v>
      </c>
      <c r="G764" t="s">
        <v>23</v>
      </c>
      <c r="H764" t="s">
        <v>7045</v>
      </c>
      <c r="I764" t="s">
        <v>7046</v>
      </c>
      <c r="J764" t="s">
        <v>7047</v>
      </c>
      <c r="K764" t="s">
        <v>7048</v>
      </c>
      <c r="L764" t="s">
        <v>3418</v>
      </c>
      <c r="M764" t="s">
        <v>32</v>
      </c>
      <c r="N764" t="s">
        <v>62</v>
      </c>
      <c r="O764" t="s">
        <v>34</v>
      </c>
      <c r="P764" t="s">
        <v>20</v>
      </c>
      <c r="Q764" t="s">
        <v>20</v>
      </c>
      <c r="R764" t="s">
        <v>7049</v>
      </c>
      <c r="S764" t="s">
        <v>20</v>
      </c>
    </row>
    <row r="765" spans="1:19" x14ac:dyDescent="0.45">
      <c r="A765" t="s">
        <v>2225</v>
      </c>
      <c r="B765" t="s">
        <v>20</v>
      </c>
      <c r="C765" t="s">
        <v>3390</v>
      </c>
      <c r="D765" t="s">
        <v>3391</v>
      </c>
      <c r="E765" t="s">
        <v>38</v>
      </c>
      <c r="F765" t="s">
        <v>20</v>
      </c>
      <c r="G765" t="s">
        <v>23</v>
      </c>
      <c r="H765" t="s">
        <v>13215</v>
      </c>
      <c r="I765" t="s">
        <v>13216</v>
      </c>
      <c r="J765" t="s">
        <v>13217</v>
      </c>
      <c r="K765" t="s">
        <v>13218</v>
      </c>
      <c r="L765" t="s">
        <v>13219</v>
      </c>
      <c r="M765" t="s">
        <v>112</v>
      </c>
      <c r="N765" t="s">
        <v>45</v>
      </c>
      <c r="O765" t="s">
        <v>34</v>
      </c>
      <c r="P765" t="s">
        <v>20</v>
      </c>
      <c r="Q765" t="s">
        <v>20</v>
      </c>
      <c r="R765" t="s">
        <v>13220</v>
      </c>
      <c r="S765" t="s">
        <v>20</v>
      </c>
    </row>
    <row r="766" spans="1:19" x14ac:dyDescent="0.45">
      <c r="A766" t="s">
        <v>379</v>
      </c>
      <c r="B766" t="s">
        <v>20</v>
      </c>
      <c r="C766" t="s">
        <v>380</v>
      </c>
      <c r="D766" t="s">
        <v>381</v>
      </c>
      <c r="E766" t="s">
        <v>38</v>
      </c>
      <c r="F766" t="s">
        <v>20</v>
      </c>
      <c r="G766" t="s">
        <v>23</v>
      </c>
      <c r="H766" t="s">
        <v>13846</v>
      </c>
      <c r="I766" t="s">
        <v>13847</v>
      </c>
      <c r="J766" t="s">
        <v>13848</v>
      </c>
      <c r="K766" t="s">
        <v>13849</v>
      </c>
      <c r="L766" t="s">
        <v>3418</v>
      </c>
      <c r="M766" t="s">
        <v>112</v>
      </c>
      <c r="N766" t="s">
        <v>146</v>
      </c>
      <c r="O766" t="s">
        <v>34</v>
      </c>
      <c r="P766" t="s">
        <v>20</v>
      </c>
      <c r="Q766" t="s">
        <v>20</v>
      </c>
      <c r="R766" t="s">
        <v>13850</v>
      </c>
      <c r="S766" t="s">
        <v>20</v>
      </c>
    </row>
    <row r="767" spans="1:19" x14ac:dyDescent="0.45">
      <c r="A767" t="s">
        <v>81</v>
      </c>
      <c r="B767" t="s">
        <v>20</v>
      </c>
      <c r="C767" t="s">
        <v>2367</v>
      </c>
      <c r="D767" t="s">
        <v>2368</v>
      </c>
      <c r="E767" t="s">
        <v>38</v>
      </c>
      <c r="F767" t="s">
        <v>20</v>
      </c>
      <c r="G767" t="s">
        <v>23</v>
      </c>
      <c r="H767" t="s">
        <v>2543</v>
      </c>
      <c r="I767" t="s">
        <v>2544</v>
      </c>
      <c r="J767" t="s">
        <v>2545</v>
      </c>
      <c r="K767" t="s">
        <v>1610</v>
      </c>
      <c r="L767" t="s">
        <v>31</v>
      </c>
      <c r="M767" t="s">
        <v>32</v>
      </c>
      <c r="N767" t="s">
        <v>33</v>
      </c>
      <c r="O767" t="s">
        <v>34</v>
      </c>
      <c r="P767" t="s">
        <v>20</v>
      </c>
      <c r="Q767" t="s">
        <v>20</v>
      </c>
      <c r="R767" t="s">
        <v>2546</v>
      </c>
      <c r="S767" t="s">
        <v>2547</v>
      </c>
    </row>
    <row r="768" spans="1:19" x14ac:dyDescent="0.45">
      <c r="A768" t="s">
        <v>81</v>
      </c>
      <c r="B768" t="s">
        <v>20</v>
      </c>
      <c r="C768" t="s">
        <v>2367</v>
      </c>
      <c r="D768" t="s">
        <v>2368</v>
      </c>
      <c r="E768" t="s">
        <v>57</v>
      </c>
      <c r="F768" t="s">
        <v>20</v>
      </c>
      <c r="G768" t="s">
        <v>23</v>
      </c>
      <c r="H768" t="s">
        <v>2369</v>
      </c>
      <c r="I768" t="s">
        <v>2370</v>
      </c>
      <c r="J768" t="s">
        <v>2371</v>
      </c>
      <c r="K768" t="s">
        <v>2372</v>
      </c>
      <c r="L768" t="s">
        <v>43</v>
      </c>
      <c r="M768" t="s">
        <v>32</v>
      </c>
      <c r="N768" t="s">
        <v>62</v>
      </c>
      <c r="O768" t="s">
        <v>34</v>
      </c>
      <c r="P768" t="s">
        <v>20</v>
      </c>
      <c r="Q768" t="s">
        <v>20</v>
      </c>
      <c r="R768" t="s">
        <v>776</v>
      </c>
      <c r="S768" t="s">
        <v>20</v>
      </c>
    </row>
    <row r="769" spans="1:19" x14ac:dyDescent="0.45">
      <c r="A769" t="s">
        <v>525</v>
      </c>
      <c r="B769" t="s">
        <v>20</v>
      </c>
      <c r="C769" t="s">
        <v>2498</v>
      </c>
      <c r="D769" t="s">
        <v>2499</v>
      </c>
      <c r="E769" t="s">
        <v>29</v>
      </c>
      <c r="F769" t="s">
        <v>20</v>
      </c>
      <c r="G769" t="s">
        <v>23</v>
      </c>
      <c r="H769" t="s">
        <v>2500</v>
      </c>
      <c r="I769" t="s">
        <v>2501</v>
      </c>
      <c r="J769" t="s">
        <v>2502</v>
      </c>
      <c r="K769" t="s">
        <v>2503</v>
      </c>
      <c r="L769" t="s">
        <v>9683</v>
      </c>
      <c r="M769" t="s">
        <v>32</v>
      </c>
      <c r="N769" t="s">
        <v>62</v>
      </c>
      <c r="O769" t="s">
        <v>34</v>
      </c>
      <c r="P769" t="s">
        <v>20</v>
      </c>
      <c r="Q769" t="s">
        <v>20</v>
      </c>
      <c r="R769" t="s">
        <v>253</v>
      </c>
      <c r="S769" t="s">
        <v>20</v>
      </c>
    </row>
    <row r="770" spans="1:19" x14ac:dyDescent="0.45">
      <c r="A770" t="s">
        <v>928</v>
      </c>
      <c r="B770" t="s">
        <v>20</v>
      </c>
      <c r="C770" t="s">
        <v>929</v>
      </c>
      <c r="D770" t="s">
        <v>930</v>
      </c>
      <c r="E770" t="s">
        <v>2487</v>
      </c>
      <c r="F770" t="s">
        <v>20</v>
      </c>
      <c r="G770" t="s">
        <v>23</v>
      </c>
      <c r="H770" t="s">
        <v>7906</v>
      </c>
      <c r="I770" t="s">
        <v>7907</v>
      </c>
      <c r="J770" t="s">
        <v>7908</v>
      </c>
      <c r="K770" t="s">
        <v>7909</v>
      </c>
      <c r="L770" t="s">
        <v>3418</v>
      </c>
      <c r="M770" t="s">
        <v>32</v>
      </c>
      <c r="N770" t="s">
        <v>62</v>
      </c>
      <c r="O770" t="s">
        <v>34</v>
      </c>
      <c r="P770" t="s">
        <v>20</v>
      </c>
      <c r="Q770" t="s">
        <v>20</v>
      </c>
      <c r="R770" t="s">
        <v>7910</v>
      </c>
      <c r="S770" t="s">
        <v>20</v>
      </c>
    </row>
    <row r="771" spans="1:19" x14ac:dyDescent="0.45">
      <c r="A771" t="s">
        <v>71</v>
      </c>
      <c r="B771" t="s">
        <v>20</v>
      </c>
      <c r="C771" t="s">
        <v>4520</v>
      </c>
      <c r="D771" t="s">
        <v>4521</v>
      </c>
      <c r="E771" t="s">
        <v>38</v>
      </c>
      <c r="F771" t="s">
        <v>20</v>
      </c>
      <c r="G771" t="s">
        <v>23</v>
      </c>
      <c r="H771" t="s">
        <v>12203</v>
      </c>
      <c r="I771" t="s">
        <v>12204</v>
      </c>
      <c r="J771" t="s">
        <v>12860</v>
      </c>
      <c r="K771" t="s">
        <v>12861</v>
      </c>
      <c r="L771" t="s">
        <v>6524</v>
      </c>
      <c r="M771" t="s">
        <v>12431</v>
      </c>
      <c r="N771" t="s">
        <v>33</v>
      </c>
      <c r="O771" t="s">
        <v>34</v>
      </c>
      <c r="P771" t="s">
        <v>20</v>
      </c>
      <c r="Q771" t="s">
        <v>20</v>
      </c>
      <c r="R771" t="s">
        <v>12862</v>
      </c>
      <c r="S771" t="s">
        <v>12205</v>
      </c>
    </row>
    <row r="772" spans="1:19" x14ac:dyDescent="0.45">
      <c r="A772" t="s">
        <v>211</v>
      </c>
      <c r="B772" t="s">
        <v>20</v>
      </c>
      <c r="C772" t="s">
        <v>654</v>
      </c>
      <c r="D772" t="s">
        <v>655</v>
      </c>
      <c r="E772" t="s">
        <v>38</v>
      </c>
      <c r="F772" t="s">
        <v>20</v>
      </c>
      <c r="G772" t="s">
        <v>23</v>
      </c>
      <c r="H772" t="s">
        <v>12187</v>
      </c>
      <c r="I772" t="s">
        <v>12188</v>
      </c>
      <c r="J772" t="s">
        <v>12863</v>
      </c>
      <c r="K772" t="s">
        <v>12864</v>
      </c>
      <c r="L772" t="s">
        <v>6524</v>
      </c>
      <c r="M772" t="s">
        <v>12431</v>
      </c>
      <c r="N772" t="s">
        <v>33</v>
      </c>
      <c r="O772" t="s">
        <v>34</v>
      </c>
      <c r="P772" t="s">
        <v>20</v>
      </c>
      <c r="Q772" t="s">
        <v>20</v>
      </c>
      <c r="R772" t="s">
        <v>12865</v>
      </c>
      <c r="S772" t="s">
        <v>12189</v>
      </c>
    </row>
    <row r="773" spans="1:19" x14ac:dyDescent="0.45">
      <c r="A773" t="s">
        <v>563</v>
      </c>
      <c r="B773" t="s">
        <v>20</v>
      </c>
      <c r="C773" t="s">
        <v>7353</v>
      </c>
      <c r="D773" t="s">
        <v>6431</v>
      </c>
      <c r="E773" t="s">
        <v>38</v>
      </c>
      <c r="F773" t="s">
        <v>20</v>
      </c>
      <c r="G773" t="s">
        <v>23</v>
      </c>
      <c r="H773" t="s">
        <v>14489</v>
      </c>
      <c r="I773" t="s">
        <v>14490</v>
      </c>
      <c r="J773" t="s">
        <v>14491</v>
      </c>
      <c r="K773" t="s">
        <v>14492</v>
      </c>
      <c r="L773" t="s">
        <v>9126</v>
      </c>
      <c r="M773" t="s">
        <v>32</v>
      </c>
      <c r="N773" t="s">
        <v>45</v>
      </c>
      <c r="O773" t="s">
        <v>34</v>
      </c>
      <c r="P773" t="s">
        <v>20</v>
      </c>
      <c r="Q773" t="s">
        <v>20</v>
      </c>
      <c r="R773" t="s">
        <v>14493</v>
      </c>
      <c r="S773" t="s">
        <v>20</v>
      </c>
    </row>
    <row r="774" spans="1:19" x14ac:dyDescent="0.45">
      <c r="A774" t="s">
        <v>943</v>
      </c>
      <c r="B774" t="s">
        <v>20</v>
      </c>
      <c r="C774" t="s">
        <v>4966</v>
      </c>
      <c r="D774" t="s">
        <v>4967</v>
      </c>
      <c r="E774" t="s">
        <v>57</v>
      </c>
      <c r="F774" t="s">
        <v>20</v>
      </c>
      <c r="G774" t="s">
        <v>23</v>
      </c>
      <c r="H774" t="s">
        <v>7267</v>
      </c>
      <c r="I774" t="s">
        <v>7268</v>
      </c>
      <c r="J774" t="s">
        <v>7269</v>
      </c>
      <c r="K774" t="s">
        <v>7270</v>
      </c>
      <c r="L774" t="s">
        <v>2769</v>
      </c>
      <c r="M774" t="s">
        <v>32</v>
      </c>
      <c r="N774" t="s">
        <v>62</v>
      </c>
      <c r="O774" t="s">
        <v>34</v>
      </c>
      <c r="P774" t="s">
        <v>20</v>
      </c>
      <c r="Q774" t="s">
        <v>20</v>
      </c>
      <c r="R774" t="s">
        <v>7070</v>
      </c>
      <c r="S774" t="s">
        <v>20</v>
      </c>
    </row>
    <row r="775" spans="1:19" x14ac:dyDescent="0.45">
      <c r="A775" t="s">
        <v>1598</v>
      </c>
      <c r="B775" t="s">
        <v>20</v>
      </c>
      <c r="C775" t="s">
        <v>1773</v>
      </c>
      <c r="D775" t="s">
        <v>1774</v>
      </c>
      <c r="E775" t="s">
        <v>38</v>
      </c>
      <c r="F775" t="s">
        <v>20</v>
      </c>
      <c r="G775" t="s">
        <v>23</v>
      </c>
      <c r="H775" t="s">
        <v>6803</v>
      </c>
      <c r="I775" t="s">
        <v>6804</v>
      </c>
      <c r="J775" t="s">
        <v>10793</v>
      </c>
      <c r="K775" t="s">
        <v>10794</v>
      </c>
      <c r="L775" t="s">
        <v>9126</v>
      </c>
      <c r="M775" t="s">
        <v>32</v>
      </c>
      <c r="N775" t="s">
        <v>33</v>
      </c>
      <c r="O775" t="s">
        <v>34</v>
      </c>
      <c r="P775" t="s">
        <v>20</v>
      </c>
      <c r="Q775" t="s">
        <v>20</v>
      </c>
      <c r="R775" t="s">
        <v>10795</v>
      </c>
      <c r="S775" t="s">
        <v>6805</v>
      </c>
    </row>
    <row r="776" spans="1:19" x14ac:dyDescent="0.45">
      <c r="A776" t="s">
        <v>809</v>
      </c>
      <c r="B776" t="s">
        <v>20</v>
      </c>
      <c r="C776" t="s">
        <v>810</v>
      </c>
      <c r="D776" t="s">
        <v>811</v>
      </c>
      <c r="E776" t="s">
        <v>38</v>
      </c>
      <c r="F776" t="s">
        <v>20</v>
      </c>
      <c r="G776" t="s">
        <v>23</v>
      </c>
      <c r="H776" t="s">
        <v>1684</v>
      </c>
      <c r="I776" t="s">
        <v>1685</v>
      </c>
      <c r="J776" t="s">
        <v>1686</v>
      </c>
      <c r="K776" t="s">
        <v>1687</v>
      </c>
      <c r="L776" t="s">
        <v>31</v>
      </c>
      <c r="M776" t="s">
        <v>32</v>
      </c>
      <c r="N776" t="s">
        <v>33</v>
      </c>
      <c r="O776" t="s">
        <v>34</v>
      </c>
      <c r="P776" t="s">
        <v>20</v>
      </c>
      <c r="Q776" t="s">
        <v>20</v>
      </c>
      <c r="R776" t="s">
        <v>1688</v>
      </c>
      <c r="S776" t="s">
        <v>1689</v>
      </c>
    </row>
    <row r="777" spans="1:19" x14ac:dyDescent="0.45">
      <c r="A777" t="s">
        <v>809</v>
      </c>
      <c r="B777" t="s">
        <v>20</v>
      </c>
      <c r="C777" t="s">
        <v>810</v>
      </c>
      <c r="D777" t="s">
        <v>811</v>
      </c>
      <c r="E777" t="s">
        <v>2487</v>
      </c>
      <c r="F777" t="s">
        <v>20</v>
      </c>
      <c r="G777" t="s">
        <v>23</v>
      </c>
      <c r="H777" t="s">
        <v>7090</v>
      </c>
      <c r="I777" t="s">
        <v>7091</v>
      </c>
      <c r="J777" t="s">
        <v>7092</v>
      </c>
      <c r="K777" t="s">
        <v>7093</v>
      </c>
      <c r="L777" t="s">
        <v>3418</v>
      </c>
      <c r="M777" t="s">
        <v>32</v>
      </c>
      <c r="N777" t="s">
        <v>62</v>
      </c>
      <c r="O777" t="s">
        <v>34</v>
      </c>
      <c r="P777" t="s">
        <v>20</v>
      </c>
      <c r="Q777" t="s">
        <v>20</v>
      </c>
      <c r="R777" t="s">
        <v>7094</v>
      </c>
      <c r="S777" t="s">
        <v>20</v>
      </c>
    </row>
    <row r="778" spans="1:19" x14ac:dyDescent="0.45">
      <c r="A778" t="s">
        <v>706</v>
      </c>
      <c r="B778" t="s">
        <v>20</v>
      </c>
      <c r="C778" t="s">
        <v>7446</v>
      </c>
      <c r="D778" t="s">
        <v>5857</v>
      </c>
      <c r="E778" t="s">
        <v>57</v>
      </c>
      <c r="F778" t="s">
        <v>20</v>
      </c>
      <c r="G778" t="s">
        <v>23</v>
      </c>
      <c r="H778" t="s">
        <v>7447</v>
      </c>
      <c r="I778" t="s">
        <v>7448</v>
      </c>
      <c r="J778" t="s">
        <v>7449</v>
      </c>
      <c r="K778" t="s">
        <v>7450</v>
      </c>
      <c r="L778" t="s">
        <v>2769</v>
      </c>
      <c r="M778" t="s">
        <v>32</v>
      </c>
      <c r="N778" t="s">
        <v>62</v>
      </c>
      <c r="O778" t="s">
        <v>34</v>
      </c>
      <c r="P778" t="s">
        <v>20</v>
      </c>
      <c r="Q778" t="s">
        <v>20</v>
      </c>
      <c r="R778" t="s">
        <v>6988</v>
      </c>
      <c r="S778" t="s">
        <v>20</v>
      </c>
    </row>
    <row r="779" spans="1:19" x14ac:dyDescent="0.45">
      <c r="A779" t="s">
        <v>592</v>
      </c>
      <c r="B779" t="s">
        <v>20</v>
      </c>
      <c r="C779" t="s">
        <v>1170</v>
      </c>
      <c r="D779" t="s">
        <v>1171</v>
      </c>
      <c r="E779" t="s">
        <v>38</v>
      </c>
      <c r="F779" t="s">
        <v>20</v>
      </c>
      <c r="G779" t="s">
        <v>23</v>
      </c>
      <c r="H779" t="s">
        <v>1172</v>
      </c>
      <c r="I779" t="s">
        <v>1173</v>
      </c>
      <c r="J779" t="s">
        <v>1174</v>
      </c>
      <c r="K779" t="s">
        <v>172</v>
      </c>
      <c r="L779" t="s">
        <v>31</v>
      </c>
      <c r="M779" t="s">
        <v>32</v>
      </c>
      <c r="N779" t="s">
        <v>33</v>
      </c>
      <c r="O779" t="s">
        <v>34</v>
      </c>
      <c r="P779" t="s">
        <v>6527</v>
      </c>
      <c r="Q779" t="s">
        <v>20</v>
      </c>
      <c r="R779" t="s">
        <v>1175</v>
      </c>
      <c r="S779" t="s">
        <v>1176</v>
      </c>
    </row>
    <row r="780" spans="1:19" x14ac:dyDescent="0.45">
      <c r="A780" t="s">
        <v>231</v>
      </c>
      <c r="B780" t="s">
        <v>20</v>
      </c>
      <c r="C780" t="s">
        <v>7847</v>
      </c>
      <c r="D780" t="s">
        <v>7848</v>
      </c>
      <c r="E780" t="s">
        <v>57</v>
      </c>
      <c r="F780" t="s">
        <v>20</v>
      </c>
      <c r="G780" t="s">
        <v>23</v>
      </c>
      <c r="H780" t="s">
        <v>11390</v>
      </c>
      <c r="I780" t="s">
        <v>11391</v>
      </c>
      <c r="J780" t="s">
        <v>11392</v>
      </c>
      <c r="K780" t="s">
        <v>11393</v>
      </c>
      <c r="L780" t="s">
        <v>3418</v>
      </c>
      <c r="M780" t="s">
        <v>32</v>
      </c>
      <c r="N780" t="s">
        <v>62</v>
      </c>
      <c r="O780" t="s">
        <v>34</v>
      </c>
      <c r="P780" t="s">
        <v>20</v>
      </c>
      <c r="Q780" t="s">
        <v>20</v>
      </c>
      <c r="R780" t="s">
        <v>11394</v>
      </c>
      <c r="S780" t="s">
        <v>20</v>
      </c>
    </row>
    <row r="781" spans="1:19" x14ac:dyDescent="0.45">
      <c r="A781" t="s">
        <v>35</v>
      </c>
      <c r="B781" t="s">
        <v>20</v>
      </c>
      <c r="C781" t="s">
        <v>2485</v>
      </c>
      <c r="D781" t="s">
        <v>2486</v>
      </c>
      <c r="E781" t="s">
        <v>57</v>
      </c>
      <c r="F781" t="s">
        <v>20</v>
      </c>
      <c r="G781" t="s">
        <v>23</v>
      </c>
      <c r="H781" t="s">
        <v>10420</v>
      </c>
      <c r="I781" t="s">
        <v>10421</v>
      </c>
      <c r="J781" t="s">
        <v>10422</v>
      </c>
      <c r="K781" t="s">
        <v>10423</v>
      </c>
      <c r="L781" t="s">
        <v>3418</v>
      </c>
      <c r="M781" t="s">
        <v>32</v>
      </c>
      <c r="N781" t="s">
        <v>62</v>
      </c>
      <c r="O781" t="s">
        <v>34</v>
      </c>
      <c r="P781" t="s">
        <v>20</v>
      </c>
      <c r="Q781" t="s">
        <v>20</v>
      </c>
      <c r="R781" t="s">
        <v>10424</v>
      </c>
      <c r="S781" t="s">
        <v>20</v>
      </c>
    </row>
    <row r="782" spans="1:19" x14ac:dyDescent="0.45">
      <c r="A782" t="s">
        <v>35</v>
      </c>
      <c r="B782" t="s">
        <v>20</v>
      </c>
      <c r="C782" t="s">
        <v>2485</v>
      </c>
      <c r="D782" t="s">
        <v>2486</v>
      </c>
      <c r="E782" t="s">
        <v>38</v>
      </c>
      <c r="F782" t="s">
        <v>20</v>
      </c>
      <c r="G782" t="s">
        <v>23</v>
      </c>
      <c r="H782" t="s">
        <v>12808</v>
      </c>
      <c r="I782" t="s">
        <v>12809</v>
      </c>
      <c r="J782" t="s">
        <v>12810</v>
      </c>
      <c r="K782" t="s">
        <v>12811</v>
      </c>
      <c r="L782" t="s">
        <v>8094</v>
      </c>
      <c r="M782" t="s">
        <v>12431</v>
      </c>
      <c r="N782" t="s">
        <v>33</v>
      </c>
      <c r="O782" t="s">
        <v>34</v>
      </c>
      <c r="P782" t="s">
        <v>20</v>
      </c>
      <c r="Q782" t="s">
        <v>20</v>
      </c>
      <c r="R782" t="s">
        <v>12812</v>
      </c>
      <c r="S782" t="s">
        <v>20</v>
      </c>
    </row>
    <row r="783" spans="1:19" x14ac:dyDescent="0.45">
      <c r="A783" t="s">
        <v>35</v>
      </c>
      <c r="B783" t="s">
        <v>20</v>
      </c>
      <c r="C783" t="s">
        <v>2485</v>
      </c>
      <c r="D783" t="s">
        <v>2486</v>
      </c>
      <c r="E783" t="s">
        <v>38</v>
      </c>
      <c r="F783" t="s">
        <v>20</v>
      </c>
      <c r="G783" t="s">
        <v>23</v>
      </c>
      <c r="H783" t="s">
        <v>7607</v>
      </c>
      <c r="I783" t="s">
        <v>7608</v>
      </c>
      <c r="J783" t="s">
        <v>7609</v>
      </c>
      <c r="K783" t="s">
        <v>7610</v>
      </c>
      <c r="L783" t="s">
        <v>6513</v>
      </c>
      <c r="M783" t="s">
        <v>32</v>
      </c>
      <c r="N783" t="s">
        <v>45</v>
      </c>
      <c r="O783" t="s">
        <v>34</v>
      </c>
      <c r="P783" t="s">
        <v>20</v>
      </c>
      <c r="Q783" t="s">
        <v>20</v>
      </c>
      <c r="R783" t="s">
        <v>7611</v>
      </c>
      <c r="S783" t="s">
        <v>20</v>
      </c>
    </row>
    <row r="784" spans="1:19" x14ac:dyDescent="0.45">
      <c r="A784" t="s">
        <v>139</v>
      </c>
      <c r="B784" t="s">
        <v>20</v>
      </c>
      <c r="C784" t="s">
        <v>140</v>
      </c>
      <c r="D784" t="s">
        <v>141</v>
      </c>
      <c r="E784" t="s">
        <v>57</v>
      </c>
      <c r="F784" t="s">
        <v>20</v>
      </c>
      <c r="G784" t="s">
        <v>23</v>
      </c>
      <c r="H784" t="s">
        <v>1304</v>
      </c>
      <c r="I784" t="s">
        <v>1305</v>
      </c>
      <c r="J784" t="s">
        <v>1306</v>
      </c>
      <c r="K784" t="s">
        <v>1307</v>
      </c>
      <c r="L784" t="s">
        <v>43</v>
      </c>
      <c r="M784" t="s">
        <v>32</v>
      </c>
      <c r="N784" t="s">
        <v>62</v>
      </c>
      <c r="O784" t="s">
        <v>34</v>
      </c>
      <c r="P784" t="s">
        <v>20</v>
      </c>
      <c r="Q784" t="s">
        <v>20</v>
      </c>
      <c r="R784" t="s">
        <v>583</v>
      </c>
      <c r="S784" t="s">
        <v>20</v>
      </c>
    </row>
    <row r="785" spans="1:19" x14ac:dyDescent="0.45">
      <c r="A785" t="s">
        <v>139</v>
      </c>
      <c r="B785" t="s">
        <v>20</v>
      </c>
      <c r="C785" t="s">
        <v>140</v>
      </c>
      <c r="D785" t="s">
        <v>141</v>
      </c>
      <c r="E785" t="s">
        <v>38</v>
      </c>
      <c r="F785" t="s">
        <v>20</v>
      </c>
      <c r="G785" t="s">
        <v>23</v>
      </c>
      <c r="H785" t="s">
        <v>10379</v>
      </c>
      <c r="I785" t="s">
        <v>10380</v>
      </c>
      <c r="J785" t="s">
        <v>11136</v>
      </c>
      <c r="K785" t="s">
        <v>11054</v>
      </c>
      <c r="L785" t="s">
        <v>8109</v>
      </c>
      <c r="M785" t="s">
        <v>32</v>
      </c>
      <c r="N785" t="s">
        <v>33</v>
      </c>
      <c r="O785" t="s">
        <v>34</v>
      </c>
      <c r="P785" t="s">
        <v>20</v>
      </c>
      <c r="Q785" t="s">
        <v>20</v>
      </c>
      <c r="R785" t="s">
        <v>11137</v>
      </c>
      <c r="S785" t="s">
        <v>20</v>
      </c>
    </row>
    <row r="786" spans="1:19" x14ac:dyDescent="0.45">
      <c r="A786" t="s">
        <v>139</v>
      </c>
      <c r="B786" t="s">
        <v>20</v>
      </c>
      <c r="C786" t="s">
        <v>140</v>
      </c>
      <c r="D786" t="s">
        <v>141</v>
      </c>
      <c r="E786" t="s">
        <v>2487</v>
      </c>
      <c r="F786" t="s">
        <v>20</v>
      </c>
      <c r="G786" t="s">
        <v>23</v>
      </c>
      <c r="H786" t="s">
        <v>7665</v>
      </c>
      <c r="I786" t="s">
        <v>7666</v>
      </c>
      <c r="J786" t="s">
        <v>7667</v>
      </c>
      <c r="K786" t="s">
        <v>7668</v>
      </c>
      <c r="L786" t="s">
        <v>3418</v>
      </c>
      <c r="M786" t="s">
        <v>32</v>
      </c>
      <c r="N786" t="s">
        <v>62</v>
      </c>
      <c r="O786" t="s">
        <v>34</v>
      </c>
      <c r="P786" t="s">
        <v>20</v>
      </c>
      <c r="Q786" t="s">
        <v>20</v>
      </c>
      <c r="R786" t="s">
        <v>7669</v>
      </c>
      <c r="S786" t="s">
        <v>20</v>
      </c>
    </row>
    <row r="787" spans="1:19" x14ac:dyDescent="0.45">
      <c r="A787" t="s">
        <v>1613</v>
      </c>
      <c r="B787" t="s">
        <v>20</v>
      </c>
      <c r="C787" t="s">
        <v>2445</v>
      </c>
      <c r="D787" t="s">
        <v>2446</v>
      </c>
      <c r="E787" t="s">
        <v>38</v>
      </c>
      <c r="F787" t="s">
        <v>20</v>
      </c>
      <c r="G787" t="s">
        <v>23</v>
      </c>
      <c r="H787" t="s">
        <v>2447</v>
      </c>
      <c r="I787" t="s">
        <v>2448</v>
      </c>
      <c r="J787" t="s">
        <v>2449</v>
      </c>
      <c r="K787" t="s">
        <v>2450</v>
      </c>
      <c r="L787" t="s">
        <v>31</v>
      </c>
      <c r="M787" t="s">
        <v>32</v>
      </c>
      <c r="N787" t="s">
        <v>33</v>
      </c>
      <c r="O787" t="s">
        <v>34</v>
      </c>
      <c r="P787" t="s">
        <v>20</v>
      </c>
      <c r="Q787" t="s">
        <v>20</v>
      </c>
      <c r="R787" t="s">
        <v>2451</v>
      </c>
      <c r="S787" t="s">
        <v>2452</v>
      </c>
    </row>
    <row r="788" spans="1:19" x14ac:dyDescent="0.45">
      <c r="A788" t="s">
        <v>1613</v>
      </c>
      <c r="B788" t="s">
        <v>20</v>
      </c>
      <c r="C788" t="s">
        <v>2445</v>
      </c>
      <c r="D788" t="s">
        <v>2446</v>
      </c>
      <c r="E788" t="s">
        <v>38</v>
      </c>
      <c r="F788" t="s">
        <v>20</v>
      </c>
      <c r="G788" t="s">
        <v>23</v>
      </c>
      <c r="H788" t="s">
        <v>6791</v>
      </c>
      <c r="I788" t="s">
        <v>6792</v>
      </c>
      <c r="J788" t="s">
        <v>10821</v>
      </c>
      <c r="K788" t="s">
        <v>10822</v>
      </c>
      <c r="L788" t="s">
        <v>8094</v>
      </c>
      <c r="M788" t="s">
        <v>32</v>
      </c>
      <c r="N788" t="s">
        <v>33</v>
      </c>
      <c r="O788" t="s">
        <v>34</v>
      </c>
      <c r="P788" t="s">
        <v>20</v>
      </c>
      <c r="Q788" t="s">
        <v>20</v>
      </c>
      <c r="R788" t="s">
        <v>10823</v>
      </c>
      <c r="S788" t="s">
        <v>6793</v>
      </c>
    </row>
    <row r="789" spans="1:19" x14ac:dyDescent="0.45">
      <c r="A789" t="s">
        <v>1613</v>
      </c>
      <c r="B789" t="s">
        <v>20</v>
      </c>
      <c r="C789" t="s">
        <v>2445</v>
      </c>
      <c r="D789" t="s">
        <v>2446</v>
      </c>
      <c r="E789" t="s">
        <v>2487</v>
      </c>
      <c r="F789" t="s">
        <v>20</v>
      </c>
      <c r="G789" t="s">
        <v>23</v>
      </c>
      <c r="H789" t="s">
        <v>6928</v>
      </c>
      <c r="I789" t="s">
        <v>6929</v>
      </c>
      <c r="J789" t="s">
        <v>6930</v>
      </c>
      <c r="K789" t="s">
        <v>6931</v>
      </c>
      <c r="L789" t="s">
        <v>3418</v>
      </c>
      <c r="M789" t="s">
        <v>6932</v>
      </c>
      <c r="N789" t="s">
        <v>62</v>
      </c>
      <c r="O789" t="s">
        <v>34</v>
      </c>
      <c r="P789" t="s">
        <v>20</v>
      </c>
      <c r="Q789" t="s">
        <v>20</v>
      </c>
      <c r="R789" t="s">
        <v>6933</v>
      </c>
      <c r="S789" t="s">
        <v>20</v>
      </c>
    </row>
    <row r="790" spans="1:19" x14ac:dyDescent="0.45">
      <c r="A790" t="s">
        <v>3096</v>
      </c>
      <c r="B790" t="s">
        <v>20</v>
      </c>
      <c r="C790" t="s">
        <v>3947</v>
      </c>
      <c r="D790" t="s">
        <v>3948</v>
      </c>
      <c r="E790" t="s">
        <v>21</v>
      </c>
      <c r="F790" t="s">
        <v>20</v>
      </c>
      <c r="G790" t="s">
        <v>23</v>
      </c>
      <c r="H790" t="s">
        <v>6866</v>
      </c>
      <c r="I790" t="s">
        <v>6867</v>
      </c>
      <c r="J790" t="s">
        <v>10934</v>
      </c>
      <c r="K790" t="s">
        <v>10935</v>
      </c>
      <c r="L790" t="s">
        <v>3998</v>
      </c>
      <c r="M790" t="s">
        <v>32</v>
      </c>
      <c r="N790" t="s">
        <v>33</v>
      </c>
      <c r="O790" t="s">
        <v>34</v>
      </c>
      <c r="P790" t="s">
        <v>20</v>
      </c>
      <c r="Q790" t="s">
        <v>20</v>
      </c>
      <c r="R790" t="s">
        <v>10936</v>
      </c>
      <c r="S790" t="s">
        <v>20</v>
      </c>
    </row>
    <row r="791" spans="1:19" x14ac:dyDescent="0.45">
      <c r="A791" t="s">
        <v>563</v>
      </c>
      <c r="B791" t="s">
        <v>20</v>
      </c>
      <c r="C791" t="s">
        <v>2017</v>
      </c>
      <c r="D791" t="s">
        <v>2018</v>
      </c>
      <c r="E791" t="s">
        <v>38</v>
      </c>
      <c r="F791" t="s">
        <v>20</v>
      </c>
      <c r="G791" t="s">
        <v>23</v>
      </c>
      <c r="H791" t="s">
        <v>2019</v>
      </c>
      <c r="I791" t="s">
        <v>2020</v>
      </c>
      <c r="J791" t="s">
        <v>2021</v>
      </c>
      <c r="K791" t="s">
        <v>2022</v>
      </c>
      <c r="L791" t="s">
        <v>9155</v>
      </c>
      <c r="M791" t="s">
        <v>32</v>
      </c>
      <c r="N791" t="s">
        <v>62</v>
      </c>
      <c r="O791" t="s">
        <v>34</v>
      </c>
      <c r="P791" t="s">
        <v>6524</v>
      </c>
      <c r="Q791" t="s">
        <v>20</v>
      </c>
      <c r="R791" t="s">
        <v>2023</v>
      </c>
      <c r="S791" t="s">
        <v>20</v>
      </c>
    </row>
    <row r="792" spans="1:19" x14ac:dyDescent="0.45">
      <c r="A792" t="s">
        <v>563</v>
      </c>
      <c r="B792" t="s">
        <v>20</v>
      </c>
      <c r="C792" t="s">
        <v>2017</v>
      </c>
      <c r="D792" t="s">
        <v>2018</v>
      </c>
      <c r="E792" t="s">
        <v>57</v>
      </c>
      <c r="F792" t="s">
        <v>20</v>
      </c>
      <c r="G792" t="s">
        <v>23</v>
      </c>
      <c r="H792" t="s">
        <v>7203</v>
      </c>
      <c r="I792" t="s">
        <v>7204</v>
      </c>
      <c r="J792" t="s">
        <v>7205</v>
      </c>
      <c r="K792" t="s">
        <v>7206</v>
      </c>
      <c r="L792" t="s">
        <v>9155</v>
      </c>
      <c r="M792" t="s">
        <v>32</v>
      </c>
      <c r="N792" t="s">
        <v>62</v>
      </c>
      <c r="O792" t="s">
        <v>34</v>
      </c>
      <c r="P792" t="s">
        <v>6524</v>
      </c>
      <c r="Q792" t="s">
        <v>20</v>
      </c>
      <c r="R792" t="s">
        <v>7060</v>
      </c>
      <c r="S792" t="s">
        <v>20</v>
      </c>
    </row>
    <row r="793" spans="1:19" x14ac:dyDescent="0.45">
      <c r="A793" t="s">
        <v>563</v>
      </c>
      <c r="B793" t="s">
        <v>20</v>
      </c>
      <c r="C793" t="s">
        <v>2017</v>
      </c>
      <c r="D793" t="s">
        <v>2018</v>
      </c>
      <c r="E793" t="s">
        <v>38</v>
      </c>
      <c r="F793" t="s">
        <v>20</v>
      </c>
      <c r="G793" t="s">
        <v>23</v>
      </c>
      <c r="H793" t="s">
        <v>10329</v>
      </c>
      <c r="I793" t="s">
        <v>10330</v>
      </c>
      <c r="J793" t="s">
        <v>10881</v>
      </c>
      <c r="K793" t="s">
        <v>10882</v>
      </c>
      <c r="L793" t="s">
        <v>10764</v>
      </c>
      <c r="M793" t="s">
        <v>112</v>
      </c>
      <c r="N793" t="s">
        <v>33</v>
      </c>
      <c r="O793" t="s">
        <v>34</v>
      </c>
      <c r="P793" t="s">
        <v>6524</v>
      </c>
      <c r="Q793" t="s">
        <v>20</v>
      </c>
      <c r="R793" t="s">
        <v>10883</v>
      </c>
      <c r="S793" t="s">
        <v>20</v>
      </c>
    </row>
    <row r="794" spans="1:19" x14ac:dyDescent="0.45">
      <c r="A794" t="s">
        <v>211</v>
      </c>
      <c r="B794" t="s">
        <v>20</v>
      </c>
      <c r="C794" t="s">
        <v>292</v>
      </c>
      <c r="D794" t="s">
        <v>293</v>
      </c>
      <c r="E794" t="s">
        <v>38</v>
      </c>
      <c r="F794" t="s">
        <v>20</v>
      </c>
      <c r="G794" t="s">
        <v>23</v>
      </c>
      <c r="H794" t="s">
        <v>9970</v>
      </c>
      <c r="I794" t="s">
        <v>9971</v>
      </c>
      <c r="J794" t="s">
        <v>9972</v>
      </c>
      <c r="K794" t="s">
        <v>9973</v>
      </c>
      <c r="L794" t="s">
        <v>9683</v>
      </c>
      <c r="M794" t="s">
        <v>44</v>
      </c>
      <c r="N794" t="s">
        <v>33</v>
      </c>
      <c r="O794" t="s">
        <v>34</v>
      </c>
      <c r="P794" t="s">
        <v>20</v>
      </c>
      <c r="Q794" t="s">
        <v>20</v>
      </c>
      <c r="R794" t="s">
        <v>9974</v>
      </c>
      <c r="S794" t="s">
        <v>20</v>
      </c>
    </row>
    <row r="795" spans="1:19" x14ac:dyDescent="0.45">
      <c r="A795" t="s">
        <v>869</v>
      </c>
      <c r="B795" t="s">
        <v>20</v>
      </c>
      <c r="C795" t="s">
        <v>1037</v>
      </c>
      <c r="D795" t="s">
        <v>1038</v>
      </c>
      <c r="E795" t="s">
        <v>57</v>
      </c>
      <c r="F795" t="s">
        <v>20</v>
      </c>
      <c r="G795" t="s">
        <v>23</v>
      </c>
      <c r="H795" t="s">
        <v>1039</v>
      </c>
      <c r="I795" t="s">
        <v>1040</v>
      </c>
      <c r="J795" t="s">
        <v>1041</v>
      </c>
      <c r="K795" t="s">
        <v>1042</v>
      </c>
      <c r="L795" t="s">
        <v>43</v>
      </c>
      <c r="M795" t="s">
        <v>32</v>
      </c>
      <c r="N795" t="s">
        <v>62</v>
      </c>
      <c r="O795" t="s">
        <v>34</v>
      </c>
      <c r="P795" t="s">
        <v>20</v>
      </c>
      <c r="Q795" t="s">
        <v>20</v>
      </c>
      <c r="R795" t="s">
        <v>876</v>
      </c>
      <c r="S795" t="s">
        <v>20</v>
      </c>
    </row>
    <row r="796" spans="1:19" x14ac:dyDescent="0.45">
      <c r="A796" t="s">
        <v>26</v>
      </c>
      <c r="B796" t="s">
        <v>20</v>
      </c>
      <c r="C796" t="s">
        <v>254</v>
      </c>
      <c r="D796" t="s">
        <v>255</v>
      </c>
      <c r="E796" t="s">
        <v>29</v>
      </c>
      <c r="F796" t="s">
        <v>20</v>
      </c>
      <c r="G796" t="s">
        <v>23</v>
      </c>
      <c r="H796" t="s">
        <v>256</v>
      </c>
      <c r="I796" t="s">
        <v>257</v>
      </c>
      <c r="J796" t="s">
        <v>258</v>
      </c>
      <c r="K796" t="s">
        <v>259</v>
      </c>
      <c r="L796" t="s">
        <v>9683</v>
      </c>
      <c r="M796" t="s">
        <v>32</v>
      </c>
      <c r="N796" t="s">
        <v>33</v>
      </c>
      <c r="O796" t="s">
        <v>34</v>
      </c>
      <c r="P796" t="s">
        <v>20</v>
      </c>
      <c r="Q796" t="s">
        <v>20</v>
      </c>
      <c r="R796" t="s">
        <v>260</v>
      </c>
      <c r="S796" t="s">
        <v>20</v>
      </c>
    </row>
    <row r="797" spans="1:19" x14ac:dyDescent="0.45">
      <c r="A797" t="s">
        <v>2561</v>
      </c>
      <c r="B797" t="s">
        <v>20</v>
      </c>
      <c r="C797" t="s">
        <v>2968</v>
      </c>
      <c r="D797" t="s">
        <v>2969</v>
      </c>
      <c r="E797" t="s">
        <v>21</v>
      </c>
      <c r="F797" t="s">
        <v>20</v>
      </c>
      <c r="G797" t="s">
        <v>23</v>
      </c>
      <c r="H797" t="s">
        <v>10371</v>
      </c>
      <c r="I797" t="s">
        <v>10372</v>
      </c>
      <c r="J797" t="s">
        <v>11105</v>
      </c>
      <c r="K797" t="s">
        <v>11106</v>
      </c>
      <c r="L797" t="s">
        <v>9570</v>
      </c>
      <c r="M797" t="s">
        <v>32</v>
      </c>
      <c r="N797" t="s">
        <v>33</v>
      </c>
      <c r="O797" t="s">
        <v>34</v>
      </c>
      <c r="P797" t="s">
        <v>20</v>
      </c>
      <c r="Q797" t="s">
        <v>20</v>
      </c>
      <c r="R797" t="s">
        <v>11107</v>
      </c>
      <c r="S797" t="s">
        <v>20</v>
      </c>
    </row>
    <row r="798" spans="1:19" x14ac:dyDescent="0.45">
      <c r="A798" t="s">
        <v>211</v>
      </c>
      <c r="B798" t="s">
        <v>20</v>
      </c>
      <c r="C798" t="s">
        <v>550</v>
      </c>
      <c r="D798" t="s">
        <v>551</v>
      </c>
      <c r="E798" t="s">
        <v>38</v>
      </c>
      <c r="F798" t="s">
        <v>20</v>
      </c>
      <c r="G798" t="s">
        <v>23</v>
      </c>
      <c r="H798" t="s">
        <v>12872</v>
      </c>
      <c r="I798" t="s">
        <v>12873</v>
      </c>
      <c r="J798" t="s">
        <v>12874</v>
      </c>
      <c r="K798" t="s">
        <v>12875</v>
      </c>
      <c r="L798" t="s">
        <v>3418</v>
      </c>
      <c r="M798" t="s">
        <v>102</v>
      </c>
      <c r="N798" t="s">
        <v>146</v>
      </c>
      <c r="O798" t="s">
        <v>34</v>
      </c>
      <c r="P798" t="s">
        <v>20</v>
      </c>
      <c r="Q798" t="s">
        <v>20</v>
      </c>
      <c r="R798" t="s">
        <v>12876</v>
      </c>
      <c r="S798" t="s">
        <v>20</v>
      </c>
    </row>
    <row r="799" spans="1:19" x14ac:dyDescent="0.45">
      <c r="A799" t="s">
        <v>211</v>
      </c>
      <c r="B799" t="s">
        <v>20</v>
      </c>
      <c r="C799" t="s">
        <v>550</v>
      </c>
      <c r="D799" t="s">
        <v>551</v>
      </c>
      <c r="E799" t="s">
        <v>38</v>
      </c>
      <c r="F799" t="s">
        <v>20</v>
      </c>
      <c r="G799" t="s">
        <v>23</v>
      </c>
      <c r="H799" t="s">
        <v>2059</v>
      </c>
      <c r="I799" t="s">
        <v>2060</v>
      </c>
      <c r="J799" t="s">
        <v>2061</v>
      </c>
      <c r="K799" t="s">
        <v>2062</v>
      </c>
      <c r="L799" t="s">
        <v>6513</v>
      </c>
      <c r="M799" t="s">
        <v>102</v>
      </c>
      <c r="N799" t="s">
        <v>62</v>
      </c>
      <c r="O799" t="s">
        <v>34</v>
      </c>
      <c r="P799" t="s">
        <v>20</v>
      </c>
      <c r="Q799" t="s">
        <v>20</v>
      </c>
      <c r="R799" t="s">
        <v>2063</v>
      </c>
      <c r="S799" t="s">
        <v>20</v>
      </c>
    </row>
    <row r="800" spans="1:19" x14ac:dyDescent="0.45">
      <c r="A800" t="s">
        <v>120</v>
      </c>
      <c r="B800" t="s">
        <v>20</v>
      </c>
      <c r="C800" t="s">
        <v>1232</v>
      </c>
      <c r="D800" t="s">
        <v>1233</v>
      </c>
      <c r="E800" t="s">
        <v>29</v>
      </c>
      <c r="F800" t="s">
        <v>20</v>
      </c>
      <c r="G800" t="s">
        <v>23</v>
      </c>
      <c r="H800" t="s">
        <v>1234</v>
      </c>
      <c r="I800" t="s">
        <v>1136</v>
      </c>
      <c r="J800" t="s">
        <v>1235</v>
      </c>
      <c r="K800" t="s">
        <v>1236</v>
      </c>
      <c r="L800" t="s">
        <v>9126</v>
      </c>
      <c r="M800" t="s">
        <v>32</v>
      </c>
      <c r="N800" t="s">
        <v>33</v>
      </c>
      <c r="O800" t="s">
        <v>34</v>
      </c>
      <c r="P800" t="s">
        <v>20</v>
      </c>
      <c r="Q800" t="s">
        <v>20</v>
      </c>
      <c r="R800" t="s">
        <v>10474</v>
      </c>
      <c r="S800" t="s">
        <v>20</v>
      </c>
    </row>
    <row r="801" spans="1:19" x14ac:dyDescent="0.45">
      <c r="A801" t="s">
        <v>120</v>
      </c>
      <c r="B801" t="s">
        <v>20</v>
      </c>
      <c r="C801" t="s">
        <v>1232</v>
      </c>
      <c r="D801" t="s">
        <v>1233</v>
      </c>
      <c r="E801" t="s">
        <v>57</v>
      </c>
      <c r="F801" t="s">
        <v>20</v>
      </c>
      <c r="G801" t="s">
        <v>23</v>
      </c>
      <c r="H801" t="s">
        <v>11355</v>
      </c>
      <c r="I801" t="s">
        <v>11356</v>
      </c>
      <c r="J801" t="s">
        <v>11357</v>
      </c>
      <c r="K801" t="s">
        <v>11358</v>
      </c>
      <c r="L801" t="s">
        <v>3418</v>
      </c>
      <c r="M801" t="s">
        <v>32</v>
      </c>
      <c r="N801" t="s">
        <v>62</v>
      </c>
      <c r="O801" t="s">
        <v>34</v>
      </c>
      <c r="P801" t="s">
        <v>20</v>
      </c>
      <c r="Q801" t="s">
        <v>20</v>
      </c>
      <c r="R801" t="s">
        <v>11359</v>
      </c>
      <c r="S801" t="s">
        <v>20</v>
      </c>
    </row>
    <row r="802" spans="1:19" x14ac:dyDescent="0.45">
      <c r="A802" t="s">
        <v>81</v>
      </c>
      <c r="B802" t="s">
        <v>20</v>
      </c>
      <c r="C802" t="s">
        <v>919</v>
      </c>
      <c r="D802" t="s">
        <v>920</v>
      </c>
      <c r="E802" t="s">
        <v>57</v>
      </c>
      <c r="F802" t="s">
        <v>20</v>
      </c>
      <c r="G802" t="s">
        <v>23</v>
      </c>
      <c r="H802" t="s">
        <v>9542</v>
      </c>
      <c r="I802" t="s">
        <v>9620</v>
      </c>
      <c r="J802" t="s">
        <v>9621</v>
      </c>
      <c r="K802" t="s">
        <v>9622</v>
      </c>
      <c r="L802" t="s">
        <v>9623</v>
      </c>
      <c r="M802" t="s">
        <v>32</v>
      </c>
      <c r="N802" t="s">
        <v>33</v>
      </c>
      <c r="O802" t="s">
        <v>34</v>
      </c>
      <c r="P802" t="s">
        <v>20</v>
      </c>
      <c r="Q802" t="s">
        <v>20</v>
      </c>
      <c r="R802" t="s">
        <v>9624</v>
      </c>
      <c r="S802" t="s">
        <v>20</v>
      </c>
    </row>
    <row r="803" spans="1:19" x14ac:dyDescent="0.45">
      <c r="A803" t="s">
        <v>114</v>
      </c>
      <c r="B803" t="s">
        <v>20</v>
      </c>
      <c r="C803" t="s">
        <v>7257</v>
      </c>
      <c r="D803" t="s">
        <v>5822</v>
      </c>
      <c r="E803" t="s">
        <v>38</v>
      </c>
      <c r="F803" t="s">
        <v>20</v>
      </c>
      <c r="G803" t="s">
        <v>23</v>
      </c>
      <c r="H803" t="s">
        <v>9979</v>
      </c>
      <c r="I803" t="s">
        <v>9980</v>
      </c>
      <c r="J803" t="s">
        <v>9981</v>
      </c>
      <c r="K803" t="s">
        <v>9982</v>
      </c>
      <c r="L803" t="s">
        <v>8377</v>
      </c>
      <c r="M803" t="s">
        <v>32</v>
      </c>
      <c r="N803" t="s">
        <v>45</v>
      </c>
      <c r="O803" t="s">
        <v>34</v>
      </c>
      <c r="P803" t="s">
        <v>20</v>
      </c>
      <c r="Q803" t="s">
        <v>20</v>
      </c>
      <c r="R803" t="s">
        <v>9983</v>
      </c>
      <c r="S803" t="s">
        <v>20</v>
      </c>
    </row>
    <row r="804" spans="1:19" x14ac:dyDescent="0.45">
      <c r="A804" t="s">
        <v>114</v>
      </c>
      <c r="B804" t="s">
        <v>20</v>
      </c>
      <c r="C804" t="s">
        <v>7257</v>
      </c>
      <c r="D804" t="s">
        <v>5822</v>
      </c>
      <c r="E804" t="s">
        <v>2487</v>
      </c>
      <c r="F804" t="s">
        <v>20</v>
      </c>
      <c r="G804" t="s">
        <v>23</v>
      </c>
      <c r="H804" t="s">
        <v>10403</v>
      </c>
      <c r="I804" t="s">
        <v>10404</v>
      </c>
      <c r="J804" t="s">
        <v>10405</v>
      </c>
      <c r="K804" t="s">
        <v>10406</v>
      </c>
      <c r="L804" t="s">
        <v>3418</v>
      </c>
      <c r="M804" t="s">
        <v>32</v>
      </c>
      <c r="N804" t="s">
        <v>62</v>
      </c>
      <c r="O804" t="s">
        <v>34</v>
      </c>
      <c r="P804" t="s">
        <v>20</v>
      </c>
      <c r="Q804" t="s">
        <v>20</v>
      </c>
      <c r="R804" t="s">
        <v>10407</v>
      </c>
      <c r="S804" t="s">
        <v>20</v>
      </c>
    </row>
    <row r="805" spans="1:19" x14ac:dyDescent="0.45">
      <c r="A805" t="s">
        <v>173</v>
      </c>
      <c r="B805" t="s">
        <v>20</v>
      </c>
      <c r="C805" t="s">
        <v>482</v>
      </c>
      <c r="D805" t="s">
        <v>483</v>
      </c>
      <c r="E805" t="s">
        <v>38</v>
      </c>
      <c r="F805" t="s">
        <v>20</v>
      </c>
      <c r="G805" t="s">
        <v>23</v>
      </c>
      <c r="H805" t="s">
        <v>9917</v>
      </c>
      <c r="I805" t="s">
        <v>9918</v>
      </c>
      <c r="J805" t="s">
        <v>10768</v>
      </c>
      <c r="K805" t="s">
        <v>10769</v>
      </c>
      <c r="L805" t="s">
        <v>10764</v>
      </c>
      <c r="M805" t="s">
        <v>32</v>
      </c>
      <c r="N805" t="s">
        <v>33</v>
      </c>
      <c r="O805" t="s">
        <v>34</v>
      </c>
      <c r="P805" t="s">
        <v>20</v>
      </c>
      <c r="Q805" t="s">
        <v>20</v>
      </c>
      <c r="R805" t="s">
        <v>10770</v>
      </c>
      <c r="S805" t="s">
        <v>20</v>
      </c>
    </row>
    <row r="806" spans="1:19" x14ac:dyDescent="0.45">
      <c r="A806" t="s">
        <v>572</v>
      </c>
      <c r="B806" t="s">
        <v>20</v>
      </c>
      <c r="C806" t="s">
        <v>11797</v>
      </c>
      <c r="D806" t="s">
        <v>3075</v>
      </c>
      <c r="E806" t="s">
        <v>38</v>
      </c>
      <c r="F806" t="s">
        <v>20</v>
      </c>
      <c r="G806" t="s">
        <v>23</v>
      </c>
      <c r="H806" t="s">
        <v>11798</v>
      </c>
      <c r="I806" t="s">
        <v>11799</v>
      </c>
      <c r="J806" t="s">
        <v>11800</v>
      </c>
      <c r="K806" t="s">
        <v>11801</v>
      </c>
      <c r="L806" t="s">
        <v>3998</v>
      </c>
      <c r="M806" t="s">
        <v>32</v>
      </c>
      <c r="N806" t="s">
        <v>45</v>
      </c>
      <c r="O806" t="s">
        <v>34</v>
      </c>
      <c r="P806" t="s">
        <v>20</v>
      </c>
      <c r="Q806" t="s">
        <v>20</v>
      </c>
      <c r="R806" t="s">
        <v>11802</v>
      </c>
      <c r="S806" t="s">
        <v>20</v>
      </c>
    </row>
    <row r="807" spans="1:19" x14ac:dyDescent="0.45">
      <c r="A807" t="s">
        <v>572</v>
      </c>
      <c r="B807" t="s">
        <v>20</v>
      </c>
      <c r="C807" t="s">
        <v>11797</v>
      </c>
      <c r="D807" t="s">
        <v>3075</v>
      </c>
      <c r="E807" t="s">
        <v>38</v>
      </c>
      <c r="F807" t="s">
        <v>20</v>
      </c>
      <c r="G807" t="s">
        <v>23</v>
      </c>
      <c r="H807" t="s">
        <v>12817</v>
      </c>
      <c r="I807" t="s">
        <v>12818</v>
      </c>
      <c r="J807" t="s">
        <v>12819</v>
      </c>
      <c r="K807" t="s">
        <v>12820</v>
      </c>
      <c r="L807" t="s">
        <v>6524</v>
      </c>
      <c r="M807" t="s">
        <v>12431</v>
      </c>
      <c r="N807" t="s">
        <v>33</v>
      </c>
      <c r="O807" t="s">
        <v>34</v>
      </c>
      <c r="P807" t="s">
        <v>20</v>
      </c>
      <c r="Q807" t="s">
        <v>20</v>
      </c>
      <c r="R807" t="s">
        <v>12821</v>
      </c>
      <c r="S807" t="s">
        <v>12822</v>
      </c>
    </row>
    <row r="808" spans="1:19" x14ac:dyDescent="0.45">
      <c r="A808" t="s">
        <v>425</v>
      </c>
      <c r="B808" t="s">
        <v>20</v>
      </c>
      <c r="C808" t="s">
        <v>2671</v>
      </c>
      <c r="D808" t="s">
        <v>2672</v>
      </c>
      <c r="E808" t="s">
        <v>57</v>
      </c>
      <c r="F808" t="s">
        <v>20</v>
      </c>
      <c r="G808" t="s">
        <v>23</v>
      </c>
      <c r="H808" t="s">
        <v>2692</v>
      </c>
      <c r="I808" t="s">
        <v>2693</v>
      </c>
      <c r="J808" t="s">
        <v>2694</v>
      </c>
      <c r="K808" t="s">
        <v>2695</v>
      </c>
      <c r="L808" t="s">
        <v>43</v>
      </c>
      <c r="M808" t="s">
        <v>32</v>
      </c>
      <c r="N808" t="s">
        <v>62</v>
      </c>
      <c r="O808" t="s">
        <v>34</v>
      </c>
      <c r="P808" t="s">
        <v>20</v>
      </c>
      <c r="Q808" t="s">
        <v>20</v>
      </c>
      <c r="R808" t="s">
        <v>253</v>
      </c>
      <c r="S808" t="s">
        <v>20</v>
      </c>
    </row>
    <row r="809" spans="1:19" x14ac:dyDescent="0.45">
      <c r="A809" t="s">
        <v>94</v>
      </c>
      <c r="B809" t="s">
        <v>20</v>
      </c>
      <c r="C809" t="s">
        <v>2746</v>
      </c>
      <c r="D809" t="s">
        <v>2747</v>
      </c>
      <c r="E809" t="s">
        <v>21</v>
      </c>
      <c r="F809" t="s">
        <v>20</v>
      </c>
      <c r="G809" t="s">
        <v>23</v>
      </c>
      <c r="H809" t="s">
        <v>12235</v>
      </c>
      <c r="I809" t="s">
        <v>12236</v>
      </c>
      <c r="J809" t="s">
        <v>12237</v>
      </c>
      <c r="K809" t="s">
        <v>12238</v>
      </c>
      <c r="L809" t="s">
        <v>3998</v>
      </c>
      <c r="M809" t="s">
        <v>32</v>
      </c>
      <c r="N809" t="s">
        <v>146</v>
      </c>
      <c r="O809" t="s">
        <v>34</v>
      </c>
      <c r="P809" t="s">
        <v>20</v>
      </c>
      <c r="Q809" t="s">
        <v>20</v>
      </c>
      <c r="R809" t="s">
        <v>12239</v>
      </c>
      <c r="S809" t="s">
        <v>20</v>
      </c>
    </row>
    <row r="810" spans="1:19" x14ac:dyDescent="0.45">
      <c r="A810" t="s">
        <v>94</v>
      </c>
      <c r="B810" t="s">
        <v>20</v>
      </c>
      <c r="C810" t="s">
        <v>2746</v>
      </c>
      <c r="D810" t="s">
        <v>2747</v>
      </c>
      <c r="E810" t="s">
        <v>38</v>
      </c>
      <c r="F810" t="s">
        <v>20</v>
      </c>
      <c r="G810" t="s">
        <v>23</v>
      </c>
      <c r="H810" t="s">
        <v>11251</v>
      </c>
      <c r="I810" t="s">
        <v>11252</v>
      </c>
      <c r="J810" t="s">
        <v>12823</v>
      </c>
      <c r="K810" t="s">
        <v>12824</v>
      </c>
      <c r="L810" t="s">
        <v>6533</v>
      </c>
      <c r="M810" t="s">
        <v>12431</v>
      </c>
      <c r="N810" t="s">
        <v>33</v>
      </c>
      <c r="O810" t="s">
        <v>34</v>
      </c>
      <c r="P810" t="s">
        <v>20</v>
      </c>
      <c r="Q810" t="s">
        <v>20</v>
      </c>
      <c r="R810" t="s">
        <v>12825</v>
      </c>
      <c r="S810" t="s">
        <v>11253</v>
      </c>
    </row>
    <row r="811" spans="1:19" x14ac:dyDescent="0.45">
      <c r="A811" t="s">
        <v>592</v>
      </c>
      <c r="B811" t="s">
        <v>20</v>
      </c>
      <c r="C811" t="s">
        <v>1488</v>
      </c>
      <c r="D811" t="s">
        <v>1489</v>
      </c>
      <c r="E811" t="s">
        <v>38</v>
      </c>
      <c r="F811" t="s">
        <v>20</v>
      </c>
      <c r="G811" t="s">
        <v>23</v>
      </c>
      <c r="H811" t="s">
        <v>9944</v>
      </c>
      <c r="I811" t="s">
        <v>9945</v>
      </c>
      <c r="J811" t="s">
        <v>11019</v>
      </c>
      <c r="K811" t="s">
        <v>11020</v>
      </c>
      <c r="L811" t="s">
        <v>9570</v>
      </c>
      <c r="M811" t="s">
        <v>32</v>
      </c>
      <c r="N811" t="s">
        <v>33</v>
      </c>
      <c r="O811" t="s">
        <v>34</v>
      </c>
      <c r="P811" t="s">
        <v>20</v>
      </c>
      <c r="Q811" t="s">
        <v>20</v>
      </c>
      <c r="R811" t="s">
        <v>11021</v>
      </c>
      <c r="S811" t="s">
        <v>9946</v>
      </c>
    </row>
    <row r="812" spans="1:19" x14ac:dyDescent="0.45">
      <c r="A812" t="s">
        <v>46</v>
      </c>
      <c r="B812" t="s">
        <v>20</v>
      </c>
      <c r="C812" t="s">
        <v>1986</v>
      </c>
      <c r="D812" t="s">
        <v>1987</v>
      </c>
      <c r="E812" t="s">
        <v>29</v>
      </c>
      <c r="F812" t="s">
        <v>20</v>
      </c>
      <c r="G812" t="s">
        <v>23</v>
      </c>
      <c r="H812" t="s">
        <v>1988</v>
      </c>
      <c r="I812" t="s">
        <v>1698</v>
      </c>
      <c r="J812" t="s">
        <v>1989</v>
      </c>
      <c r="K812" t="s">
        <v>801</v>
      </c>
      <c r="L812" t="s">
        <v>6524</v>
      </c>
      <c r="M812" t="s">
        <v>32</v>
      </c>
      <c r="N812" t="s">
        <v>33</v>
      </c>
      <c r="O812" t="s">
        <v>34</v>
      </c>
      <c r="P812" t="s">
        <v>20</v>
      </c>
      <c r="Q812" t="s">
        <v>20</v>
      </c>
      <c r="R812" t="s">
        <v>6649</v>
      </c>
      <c r="S812" t="s">
        <v>20</v>
      </c>
    </row>
    <row r="813" spans="1:19" x14ac:dyDescent="0.45">
      <c r="A813" t="s">
        <v>1975</v>
      </c>
      <c r="B813" t="s">
        <v>20</v>
      </c>
      <c r="C813" t="s">
        <v>7337</v>
      </c>
      <c r="D813" t="s">
        <v>6433</v>
      </c>
      <c r="E813" t="s">
        <v>57</v>
      </c>
      <c r="F813" t="s">
        <v>20</v>
      </c>
      <c r="G813" t="s">
        <v>23</v>
      </c>
      <c r="H813" t="s">
        <v>8971</v>
      </c>
      <c r="I813" t="s">
        <v>9221</v>
      </c>
      <c r="J813" t="s">
        <v>9269</v>
      </c>
      <c r="K813" t="s">
        <v>9270</v>
      </c>
      <c r="L813" t="s">
        <v>2769</v>
      </c>
      <c r="M813" t="s">
        <v>32</v>
      </c>
      <c r="N813" t="s">
        <v>62</v>
      </c>
      <c r="O813" t="s">
        <v>34</v>
      </c>
      <c r="P813" t="s">
        <v>20</v>
      </c>
      <c r="Q813" t="s">
        <v>20</v>
      </c>
      <c r="R813" t="s">
        <v>9271</v>
      </c>
      <c r="S813" t="s">
        <v>20</v>
      </c>
    </row>
    <row r="814" spans="1:19" x14ac:dyDescent="0.45">
      <c r="A814" t="s">
        <v>1975</v>
      </c>
      <c r="B814" t="s">
        <v>20</v>
      </c>
      <c r="C814" t="s">
        <v>7337</v>
      </c>
      <c r="D814" t="s">
        <v>6433</v>
      </c>
      <c r="E814" t="s">
        <v>38</v>
      </c>
      <c r="F814" t="s">
        <v>20</v>
      </c>
      <c r="G814" t="s">
        <v>23</v>
      </c>
      <c r="H814" t="s">
        <v>10011</v>
      </c>
      <c r="I814" t="s">
        <v>10012</v>
      </c>
      <c r="J814" t="s">
        <v>10013</v>
      </c>
      <c r="K814" t="s">
        <v>10014</v>
      </c>
      <c r="L814" t="s">
        <v>6527</v>
      </c>
      <c r="M814" t="s">
        <v>32</v>
      </c>
      <c r="N814" t="s">
        <v>45</v>
      </c>
      <c r="O814" t="s">
        <v>34</v>
      </c>
      <c r="P814" t="s">
        <v>20</v>
      </c>
      <c r="Q814" t="s">
        <v>20</v>
      </c>
      <c r="R814" t="s">
        <v>10015</v>
      </c>
      <c r="S814" t="s">
        <v>20</v>
      </c>
    </row>
    <row r="815" spans="1:19" x14ac:dyDescent="0.45">
      <c r="A815" t="s">
        <v>64</v>
      </c>
      <c r="B815" t="s">
        <v>20</v>
      </c>
      <c r="C815" t="s">
        <v>601</v>
      </c>
      <c r="D815" t="s">
        <v>602</v>
      </c>
      <c r="E815" t="s">
        <v>38</v>
      </c>
      <c r="F815" t="s">
        <v>20</v>
      </c>
      <c r="G815" t="s">
        <v>23</v>
      </c>
      <c r="H815" t="s">
        <v>11737</v>
      </c>
      <c r="I815" t="s">
        <v>11738</v>
      </c>
      <c r="J815" t="s">
        <v>20</v>
      </c>
      <c r="K815" t="s">
        <v>12827</v>
      </c>
      <c r="L815" t="s">
        <v>6524</v>
      </c>
      <c r="M815" t="s">
        <v>12431</v>
      </c>
      <c r="N815" t="s">
        <v>33</v>
      </c>
      <c r="O815" t="s">
        <v>34</v>
      </c>
      <c r="P815" t="s">
        <v>20</v>
      </c>
      <c r="Q815" t="s">
        <v>20</v>
      </c>
      <c r="R815" t="s">
        <v>20</v>
      </c>
      <c r="S815" t="s">
        <v>11739</v>
      </c>
    </row>
    <row r="816" spans="1:19" x14ac:dyDescent="0.45">
      <c r="A816" t="s">
        <v>64</v>
      </c>
      <c r="B816" t="s">
        <v>20</v>
      </c>
      <c r="C816" t="s">
        <v>601</v>
      </c>
      <c r="D816" t="s">
        <v>602</v>
      </c>
      <c r="E816" t="s">
        <v>2487</v>
      </c>
      <c r="F816" t="s">
        <v>20</v>
      </c>
      <c r="G816" t="s">
        <v>23</v>
      </c>
      <c r="H816" t="s">
        <v>7739</v>
      </c>
      <c r="I816" t="s">
        <v>7740</v>
      </c>
      <c r="J816" t="s">
        <v>7741</v>
      </c>
      <c r="K816" t="s">
        <v>7742</v>
      </c>
      <c r="L816" t="s">
        <v>3418</v>
      </c>
      <c r="M816" t="s">
        <v>32</v>
      </c>
      <c r="N816" t="s">
        <v>62</v>
      </c>
      <c r="O816" t="s">
        <v>34</v>
      </c>
      <c r="P816" t="s">
        <v>20</v>
      </c>
      <c r="Q816" t="s">
        <v>20</v>
      </c>
      <c r="R816" t="s">
        <v>7743</v>
      </c>
      <c r="S816" t="s">
        <v>20</v>
      </c>
    </row>
    <row r="817" spans="1:19" x14ac:dyDescent="0.45">
      <c r="A817" t="s">
        <v>64</v>
      </c>
      <c r="B817" t="s">
        <v>20</v>
      </c>
      <c r="C817" t="s">
        <v>601</v>
      </c>
      <c r="D817" t="s">
        <v>602</v>
      </c>
      <c r="E817" t="s">
        <v>57</v>
      </c>
      <c r="F817" t="s">
        <v>20</v>
      </c>
      <c r="G817" t="s">
        <v>23</v>
      </c>
      <c r="H817" t="s">
        <v>603</v>
      </c>
      <c r="I817" t="s">
        <v>604</v>
      </c>
      <c r="J817" t="s">
        <v>605</v>
      </c>
      <c r="K817" t="s">
        <v>606</v>
      </c>
      <c r="L817" t="s">
        <v>43</v>
      </c>
      <c r="M817" t="s">
        <v>32</v>
      </c>
      <c r="N817" t="s">
        <v>62</v>
      </c>
      <c r="O817" t="s">
        <v>34</v>
      </c>
      <c r="P817" t="s">
        <v>20</v>
      </c>
      <c r="Q817" t="s">
        <v>20</v>
      </c>
      <c r="R817" t="s">
        <v>154</v>
      </c>
      <c r="S817" t="s">
        <v>20</v>
      </c>
    </row>
    <row r="818" spans="1:19" x14ac:dyDescent="0.45">
      <c r="A818" t="s">
        <v>64</v>
      </c>
      <c r="B818" t="s">
        <v>20</v>
      </c>
      <c r="C818" t="s">
        <v>601</v>
      </c>
      <c r="D818" t="s">
        <v>602</v>
      </c>
      <c r="E818" t="s">
        <v>38</v>
      </c>
      <c r="F818" t="s">
        <v>20</v>
      </c>
      <c r="G818" t="s">
        <v>23</v>
      </c>
      <c r="H818" t="s">
        <v>9049</v>
      </c>
      <c r="I818" t="s">
        <v>9071</v>
      </c>
      <c r="J818" t="s">
        <v>10799</v>
      </c>
      <c r="K818" t="s">
        <v>10800</v>
      </c>
      <c r="L818" t="s">
        <v>8094</v>
      </c>
      <c r="M818" t="s">
        <v>32</v>
      </c>
      <c r="N818" t="s">
        <v>33</v>
      </c>
      <c r="O818" t="s">
        <v>34</v>
      </c>
      <c r="P818" t="s">
        <v>20</v>
      </c>
      <c r="Q818" t="s">
        <v>20</v>
      </c>
      <c r="R818" t="s">
        <v>10801</v>
      </c>
      <c r="S818" t="s">
        <v>9072</v>
      </c>
    </row>
    <row r="819" spans="1:19" x14ac:dyDescent="0.45">
      <c r="A819" t="s">
        <v>446</v>
      </c>
      <c r="B819" t="s">
        <v>20</v>
      </c>
      <c r="C819" t="s">
        <v>3401</v>
      </c>
      <c r="D819" t="s">
        <v>3402</v>
      </c>
      <c r="E819" t="s">
        <v>57</v>
      </c>
      <c r="F819" t="s">
        <v>20</v>
      </c>
      <c r="G819" t="s">
        <v>23</v>
      </c>
      <c r="H819" t="s">
        <v>11375</v>
      </c>
      <c r="I819" t="s">
        <v>11376</v>
      </c>
      <c r="J819" t="s">
        <v>11377</v>
      </c>
      <c r="K819" t="s">
        <v>11378</v>
      </c>
      <c r="L819" t="s">
        <v>9155</v>
      </c>
      <c r="M819" t="s">
        <v>438</v>
      </c>
      <c r="N819" t="s">
        <v>62</v>
      </c>
      <c r="O819" t="s">
        <v>34</v>
      </c>
      <c r="P819" t="s">
        <v>20</v>
      </c>
      <c r="Q819" t="s">
        <v>20</v>
      </c>
      <c r="R819" t="s">
        <v>11379</v>
      </c>
      <c r="S819" t="s">
        <v>20</v>
      </c>
    </row>
    <row r="820" spans="1:19" x14ac:dyDescent="0.45">
      <c r="A820" t="s">
        <v>809</v>
      </c>
      <c r="B820" t="s">
        <v>20</v>
      </c>
      <c r="C820" t="s">
        <v>2074</v>
      </c>
      <c r="D820" t="s">
        <v>2075</v>
      </c>
      <c r="E820" t="s">
        <v>38</v>
      </c>
      <c r="F820" t="s">
        <v>20</v>
      </c>
      <c r="G820" t="s">
        <v>23</v>
      </c>
      <c r="H820" t="s">
        <v>12420</v>
      </c>
      <c r="I820" t="s">
        <v>12421</v>
      </c>
      <c r="J820" t="s">
        <v>14494</v>
      </c>
      <c r="K820" t="s">
        <v>14495</v>
      </c>
      <c r="L820" t="s">
        <v>12390</v>
      </c>
      <c r="M820" t="s">
        <v>112</v>
      </c>
      <c r="N820" t="s">
        <v>146</v>
      </c>
      <c r="O820" t="s">
        <v>34</v>
      </c>
      <c r="P820" t="s">
        <v>20</v>
      </c>
      <c r="Q820" t="s">
        <v>20</v>
      </c>
      <c r="R820" t="s">
        <v>14496</v>
      </c>
      <c r="S820" t="s">
        <v>12422</v>
      </c>
    </row>
    <row r="821" spans="1:19" x14ac:dyDescent="0.45">
      <c r="A821" t="s">
        <v>809</v>
      </c>
      <c r="B821" t="s">
        <v>20</v>
      </c>
      <c r="C821" t="s">
        <v>2074</v>
      </c>
      <c r="D821" t="s">
        <v>2075</v>
      </c>
      <c r="E821" t="s">
        <v>38</v>
      </c>
      <c r="F821" t="s">
        <v>20</v>
      </c>
      <c r="G821" t="s">
        <v>23</v>
      </c>
      <c r="H821" t="s">
        <v>11675</v>
      </c>
      <c r="I821" t="s">
        <v>11676</v>
      </c>
      <c r="J821" t="s">
        <v>12828</v>
      </c>
      <c r="K821" t="s">
        <v>12829</v>
      </c>
      <c r="L821" t="s">
        <v>6524</v>
      </c>
      <c r="M821" t="s">
        <v>12431</v>
      </c>
      <c r="N821" t="s">
        <v>33</v>
      </c>
      <c r="O821" t="s">
        <v>34</v>
      </c>
      <c r="P821" t="s">
        <v>20</v>
      </c>
      <c r="Q821" t="s">
        <v>20</v>
      </c>
      <c r="R821" t="s">
        <v>12830</v>
      </c>
      <c r="S821" t="s">
        <v>11677</v>
      </c>
    </row>
    <row r="822" spans="1:19" x14ac:dyDescent="0.45">
      <c r="A822" t="s">
        <v>211</v>
      </c>
      <c r="B822" t="s">
        <v>20</v>
      </c>
      <c r="C822" t="s">
        <v>1197</v>
      </c>
      <c r="D822" t="s">
        <v>1198</v>
      </c>
      <c r="E822" t="s">
        <v>38</v>
      </c>
      <c r="F822" t="s">
        <v>20</v>
      </c>
      <c r="G822" t="s">
        <v>23</v>
      </c>
      <c r="H822" t="s">
        <v>12831</v>
      </c>
      <c r="I822" t="s">
        <v>12789</v>
      </c>
      <c r="J822" t="s">
        <v>12832</v>
      </c>
      <c r="K822" t="s">
        <v>12833</v>
      </c>
      <c r="L822" t="s">
        <v>3418</v>
      </c>
      <c r="M822" t="s">
        <v>102</v>
      </c>
      <c r="N822" t="s">
        <v>146</v>
      </c>
      <c r="O822" t="s">
        <v>34</v>
      </c>
      <c r="P822" t="s">
        <v>20</v>
      </c>
      <c r="Q822" t="s">
        <v>20</v>
      </c>
      <c r="R822" t="s">
        <v>12834</v>
      </c>
      <c r="S822" t="s">
        <v>20</v>
      </c>
    </row>
    <row r="823" spans="1:19" x14ac:dyDescent="0.45">
      <c r="A823" t="s">
        <v>6989</v>
      </c>
      <c r="B823" t="s">
        <v>20</v>
      </c>
      <c r="C823" t="s">
        <v>1747</v>
      </c>
      <c r="D823" t="s">
        <v>1748</v>
      </c>
      <c r="E823" t="s">
        <v>57</v>
      </c>
      <c r="F823" t="s">
        <v>20</v>
      </c>
      <c r="G823" t="s">
        <v>23</v>
      </c>
      <c r="H823" t="s">
        <v>1749</v>
      </c>
      <c r="I823" t="s">
        <v>1750</v>
      </c>
      <c r="J823" t="s">
        <v>1751</v>
      </c>
      <c r="K823" t="s">
        <v>1752</v>
      </c>
      <c r="L823" t="s">
        <v>43</v>
      </c>
      <c r="M823" t="s">
        <v>32</v>
      </c>
      <c r="N823" t="s">
        <v>62</v>
      </c>
      <c r="O823" t="s">
        <v>34</v>
      </c>
      <c r="P823" t="s">
        <v>20</v>
      </c>
      <c r="Q823" t="s">
        <v>20</v>
      </c>
      <c r="R823" t="s">
        <v>1753</v>
      </c>
      <c r="S823" t="s">
        <v>20</v>
      </c>
    </row>
    <row r="824" spans="1:19" x14ac:dyDescent="0.45">
      <c r="A824" t="s">
        <v>54</v>
      </c>
      <c r="B824" t="s">
        <v>20</v>
      </c>
      <c r="C824" t="s">
        <v>1290</v>
      </c>
      <c r="D824" t="s">
        <v>1291</v>
      </c>
      <c r="E824" t="s">
        <v>57</v>
      </c>
      <c r="F824" t="s">
        <v>20</v>
      </c>
      <c r="G824" t="s">
        <v>23</v>
      </c>
      <c r="H824" t="s">
        <v>2026</v>
      </c>
      <c r="I824" t="s">
        <v>2027</v>
      </c>
      <c r="J824" t="s">
        <v>2028</v>
      </c>
      <c r="K824" t="s">
        <v>2029</v>
      </c>
      <c r="L824" t="s">
        <v>43</v>
      </c>
      <c r="M824" t="s">
        <v>32</v>
      </c>
      <c r="N824" t="s">
        <v>62</v>
      </c>
      <c r="O824" t="s">
        <v>34</v>
      </c>
      <c r="P824" t="s">
        <v>20</v>
      </c>
      <c r="Q824" t="s">
        <v>20</v>
      </c>
      <c r="R824" t="s">
        <v>63</v>
      </c>
      <c r="S824" t="s">
        <v>20</v>
      </c>
    </row>
    <row r="825" spans="1:19" x14ac:dyDescent="0.45">
      <c r="A825" t="s">
        <v>715</v>
      </c>
      <c r="B825" t="s">
        <v>20</v>
      </c>
      <c r="C825" t="s">
        <v>3974</v>
      </c>
      <c r="D825" t="s">
        <v>3975</v>
      </c>
      <c r="E825" t="s">
        <v>57</v>
      </c>
      <c r="F825" t="s">
        <v>20</v>
      </c>
      <c r="G825" t="s">
        <v>23</v>
      </c>
      <c r="H825" t="s">
        <v>8982</v>
      </c>
      <c r="I825" t="s">
        <v>9057</v>
      </c>
      <c r="J825" t="s">
        <v>9272</v>
      </c>
      <c r="K825" t="s">
        <v>9273</v>
      </c>
      <c r="L825" t="s">
        <v>3418</v>
      </c>
      <c r="M825" t="s">
        <v>102</v>
      </c>
      <c r="N825" t="s">
        <v>62</v>
      </c>
      <c r="O825" t="s">
        <v>34</v>
      </c>
      <c r="P825" t="s">
        <v>20</v>
      </c>
      <c r="Q825" t="s">
        <v>20</v>
      </c>
      <c r="R825" t="s">
        <v>9274</v>
      </c>
      <c r="S825" t="s">
        <v>20</v>
      </c>
    </row>
    <row r="826" spans="1:19" x14ac:dyDescent="0.45">
      <c r="A826" t="s">
        <v>139</v>
      </c>
      <c r="B826" t="s">
        <v>20</v>
      </c>
      <c r="C826" t="s">
        <v>1668</v>
      </c>
      <c r="D826" t="s">
        <v>1669</v>
      </c>
      <c r="E826" t="s">
        <v>57</v>
      </c>
      <c r="F826" t="s">
        <v>20</v>
      </c>
      <c r="G826" t="s">
        <v>23</v>
      </c>
      <c r="H826" t="s">
        <v>1670</v>
      </c>
      <c r="I826" t="s">
        <v>1671</v>
      </c>
      <c r="J826" t="s">
        <v>1672</v>
      </c>
      <c r="K826" t="s">
        <v>1673</v>
      </c>
      <c r="L826" t="s">
        <v>43</v>
      </c>
      <c r="M826" t="s">
        <v>32</v>
      </c>
      <c r="N826" t="s">
        <v>62</v>
      </c>
      <c r="O826" t="s">
        <v>34</v>
      </c>
      <c r="P826" t="s">
        <v>20</v>
      </c>
      <c r="Q826" t="s">
        <v>20</v>
      </c>
      <c r="R826" t="s">
        <v>583</v>
      </c>
      <c r="S826" t="s">
        <v>20</v>
      </c>
    </row>
    <row r="827" spans="1:19" x14ac:dyDescent="0.45">
      <c r="A827" t="s">
        <v>139</v>
      </c>
      <c r="B827" t="s">
        <v>20</v>
      </c>
      <c r="C827" t="s">
        <v>1668</v>
      </c>
      <c r="D827" t="s">
        <v>1669</v>
      </c>
      <c r="E827" t="s">
        <v>38</v>
      </c>
      <c r="F827" t="s">
        <v>20</v>
      </c>
      <c r="G827" t="s">
        <v>23</v>
      </c>
      <c r="H827" t="s">
        <v>11690</v>
      </c>
      <c r="I827" t="s">
        <v>11691</v>
      </c>
      <c r="J827" t="s">
        <v>12835</v>
      </c>
      <c r="K827" t="s">
        <v>12836</v>
      </c>
      <c r="L827" t="s">
        <v>3418</v>
      </c>
      <c r="M827" t="s">
        <v>12431</v>
      </c>
      <c r="N827" t="s">
        <v>33</v>
      </c>
      <c r="O827" t="s">
        <v>34</v>
      </c>
      <c r="P827" t="s">
        <v>20</v>
      </c>
      <c r="Q827" t="s">
        <v>20</v>
      </c>
      <c r="R827" t="s">
        <v>12837</v>
      </c>
      <c r="S827" t="s">
        <v>11692</v>
      </c>
    </row>
    <row r="828" spans="1:19" x14ac:dyDescent="0.45">
      <c r="A828" t="s">
        <v>1975</v>
      </c>
      <c r="B828" t="s">
        <v>20</v>
      </c>
      <c r="C828" t="s">
        <v>7394</v>
      </c>
      <c r="D828" t="s">
        <v>7395</v>
      </c>
      <c r="E828" t="s">
        <v>2487</v>
      </c>
      <c r="F828" t="s">
        <v>20</v>
      </c>
      <c r="G828" t="s">
        <v>23</v>
      </c>
      <c r="H828" t="s">
        <v>7396</v>
      </c>
      <c r="I828" t="s">
        <v>7397</v>
      </c>
      <c r="J828" t="s">
        <v>7398</v>
      </c>
      <c r="K828" t="s">
        <v>7399</v>
      </c>
      <c r="L828" t="s">
        <v>3418</v>
      </c>
      <c r="M828" t="s">
        <v>32</v>
      </c>
      <c r="N828" t="s">
        <v>62</v>
      </c>
      <c r="O828" t="s">
        <v>34</v>
      </c>
      <c r="P828" t="s">
        <v>20</v>
      </c>
      <c r="Q828" t="s">
        <v>20</v>
      </c>
      <c r="R828" t="s">
        <v>7400</v>
      </c>
      <c r="S828" t="s">
        <v>20</v>
      </c>
    </row>
    <row r="829" spans="1:19" x14ac:dyDescent="0.45">
      <c r="A829" t="s">
        <v>516</v>
      </c>
      <c r="B829" t="s">
        <v>20</v>
      </c>
      <c r="C829" t="s">
        <v>11671</v>
      </c>
      <c r="D829" t="s">
        <v>908</v>
      </c>
      <c r="E829" t="s">
        <v>38</v>
      </c>
      <c r="F829" t="s">
        <v>20</v>
      </c>
      <c r="G829" t="s">
        <v>23</v>
      </c>
      <c r="H829" t="s">
        <v>11672</v>
      </c>
      <c r="I829" t="s">
        <v>11673</v>
      </c>
      <c r="J829" t="s">
        <v>12838</v>
      </c>
      <c r="K829" t="s">
        <v>12839</v>
      </c>
      <c r="L829" t="s">
        <v>6524</v>
      </c>
      <c r="M829" t="s">
        <v>12431</v>
      </c>
      <c r="N829" t="s">
        <v>33</v>
      </c>
      <c r="O829" t="s">
        <v>34</v>
      </c>
      <c r="P829" t="s">
        <v>20</v>
      </c>
      <c r="Q829" t="s">
        <v>20</v>
      </c>
      <c r="R829" t="s">
        <v>12840</v>
      </c>
      <c r="S829" t="s">
        <v>11674</v>
      </c>
    </row>
    <row r="830" spans="1:19" x14ac:dyDescent="0.45">
      <c r="A830" t="s">
        <v>239</v>
      </c>
      <c r="B830" t="s">
        <v>20</v>
      </c>
      <c r="C830" t="s">
        <v>2010</v>
      </c>
      <c r="D830" t="s">
        <v>2011</v>
      </c>
      <c r="E830" t="s">
        <v>38</v>
      </c>
      <c r="F830" t="s">
        <v>20</v>
      </c>
      <c r="G830" t="s">
        <v>23</v>
      </c>
      <c r="H830" t="s">
        <v>2012</v>
      </c>
      <c r="I830" t="s">
        <v>2013</v>
      </c>
      <c r="J830" t="s">
        <v>2014</v>
      </c>
      <c r="K830" t="s">
        <v>2015</v>
      </c>
      <c r="L830" t="s">
        <v>3418</v>
      </c>
      <c r="M830" t="s">
        <v>32</v>
      </c>
      <c r="N830" t="s">
        <v>45</v>
      </c>
      <c r="O830" t="s">
        <v>34</v>
      </c>
      <c r="P830" t="s">
        <v>20</v>
      </c>
      <c r="Q830" t="s">
        <v>20</v>
      </c>
      <c r="R830" t="s">
        <v>2016</v>
      </c>
      <c r="S830" t="s">
        <v>20</v>
      </c>
    </row>
    <row r="831" spans="1:19" x14ac:dyDescent="0.45">
      <c r="A831" t="s">
        <v>239</v>
      </c>
      <c r="B831" t="s">
        <v>20</v>
      </c>
      <c r="C831" t="s">
        <v>2010</v>
      </c>
      <c r="D831" t="s">
        <v>2011</v>
      </c>
      <c r="E831" t="s">
        <v>57</v>
      </c>
      <c r="F831" t="s">
        <v>20</v>
      </c>
      <c r="G831" t="s">
        <v>23</v>
      </c>
      <c r="H831" t="s">
        <v>8991</v>
      </c>
      <c r="I831" t="s">
        <v>9625</v>
      </c>
      <c r="J831" t="s">
        <v>9626</v>
      </c>
      <c r="K831" t="s">
        <v>9627</v>
      </c>
      <c r="L831" t="s">
        <v>9155</v>
      </c>
      <c r="M831" t="s">
        <v>32</v>
      </c>
      <c r="N831" t="s">
        <v>62</v>
      </c>
      <c r="O831" t="s">
        <v>34</v>
      </c>
      <c r="P831" t="s">
        <v>20</v>
      </c>
      <c r="Q831" t="s">
        <v>20</v>
      </c>
      <c r="R831" t="s">
        <v>9628</v>
      </c>
      <c r="S831" t="s">
        <v>20</v>
      </c>
    </row>
    <row r="832" spans="1:19" x14ac:dyDescent="0.45">
      <c r="A832" t="s">
        <v>239</v>
      </c>
      <c r="B832" t="s">
        <v>20</v>
      </c>
      <c r="C832" t="s">
        <v>2010</v>
      </c>
      <c r="D832" t="s">
        <v>2011</v>
      </c>
      <c r="E832" t="s">
        <v>2487</v>
      </c>
      <c r="F832" t="s">
        <v>20</v>
      </c>
      <c r="G832" t="s">
        <v>23</v>
      </c>
      <c r="H832" t="s">
        <v>8051</v>
      </c>
      <c r="I832" t="s">
        <v>8052</v>
      </c>
      <c r="J832" t="s">
        <v>8053</v>
      </c>
      <c r="K832" t="s">
        <v>8054</v>
      </c>
      <c r="L832" t="s">
        <v>3418</v>
      </c>
      <c r="M832" t="s">
        <v>32</v>
      </c>
      <c r="N832" t="s">
        <v>62</v>
      </c>
      <c r="O832" t="s">
        <v>34</v>
      </c>
      <c r="P832" t="s">
        <v>20</v>
      </c>
      <c r="Q832" t="s">
        <v>20</v>
      </c>
      <c r="R832" t="s">
        <v>8055</v>
      </c>
      <c r="S832" t="s">
        <v>20</v>
      </c>
    </row>
    <row r="833" spans="1:19" x14ac:dyDescent="0.45">
      <c r="A833" t="s">
        <v>511</v>
      </c>
      <c r="B833" t="s">
        <v>20</v>
      </c>
      <c r="C833" t="s">
        <v>1281</v>
      </c>
      <c r="D833" t="s">
        <v>1282</v>
      </c>
      <c r="E833" t="s">
        <v>38</v>
      </c>
      <c r="F833" t="s">
        <v>20</v>
      </c>
      <c r="G833" t="s">
        <v>23</v>
      </c>
      <c r="H833" t="s">
        <v>12215</v>
      </c>
      <c r="I833" t="s">
        <v>12216</v>
      </c>
      <c r="J833" t="s">
        <v>12844</v>
      </c>
      <c r="K833" t="s">
        <v>12845</v>
      </c>
      <c r="L833" t="s">
        <v>6524</v>
      </c>
      <c r="M833" t="s">
        <v>12431</v>
      </c>
      <c r="N833" t="s">
        <v>33</v>
      </c>
      <c r="O833" t="s">
        <v>34</v>
      </c>
      <c r="P833" t="s">
        <v>20</v>
      </c>
      <c r="Q833" t="s">
        <v>20</v>
      </c>
      <c r="R833" t="s">
        <v>12846</v>
      </c>
      <c r="S833" t="s">
        <v>12217</v>
      </c>
    </row>
    <row r="834" spans="1:19" x14ac:dyDescent="0.45">
      <c r="A834" t="s">
        <v>511</v>
      </c>
      <c r="B834" t="s">
        <v>20</v>
      </c>
      <c r="C834" t="s">
        <v>1281</v>
      </c>
      <c r="D834" t="s">
        <v>1282</v>
      </c>
      <c r="E834" t="s">
        <v>57</v>
      </c>
      <c r="F834" t="s">
        <v>20</v>
      </c>
      <c r="G834" t="s">
        <v>23</v>
      </c>
      <c r="H834" t="s">
        <v>8934</v>
      </c>
      <c r="I834" t="s">
        <v>9292</v>
      </c>
      <c r="J834" t="s">
        <v>9293</v>
      </c>
      <c r="K834" t="s">
        <v>9294</v>
      </c>
      <c r="L834" t="s">
        <v>7506</v>
      </c>
      <c r="M834" t="s">
        <v>3105</v>
      </c>
      <c r="N834" t="s">
        <v>62</v>
      </c>
      <c r="O834" t="s">
        <v>34</v>
      </c>
      <c r="P834" t="s">
        <v>20</v>
      </c>
      <c r="Q834" t="s">
        <v>20</v>
      </c>
      <c r="R834" t="s">
        <v>9295</v>
      </c>
      <c r="S834" t="s">
        <v>20</v>
      </c>
    </row>
    <row r="835" spans="1:19" x14ac:dyDescent="0.45">
      <c r="A835" t="s">
        <v>511</v>
      </c>
      <c r="B835" t="s">
        <v>20</v>
      </c>
      <c r="C835" t="s">
        <v>1281</v>
      </c>
      <c r="D835" t="s">
        <v>1282</v>
      </c>
      <c r="E835" t="s">
        <v>38</v>
      </c>
      <c r="F835" t="s">
        <v>20</v>
      </c>
      <c r="G835" t="s">
        <v>23</v>
      </c>
      <c r="H835" t="s">
        <v>8012</v>
      </c>
      <c r="I835" t="s">
        <v>8013</v>
      </c>
      <c r="J835" t="s">
        <v>8014</v>
      </c>
      <c r="K835" t="s">
        <v>8015</v>
      </c>
      <c r="L835" t="s">
        <v>6521</v>
      </c>
      <c r="M835" t="s">
        <v>3105</v>
      </c>
      <c r="N835" t="s">
        <v>45</v>
      </c>
      <c r="O835" t="s">
        <v>34</v>
      </c>
      <c r="P835" t="s">
        <v>20</v>
      </c>
      <c r="Q835" t="s">
        <v>20</v>
      </c>
      <c r="R835" t="s">
        <v>8016</v>
      </c>
      <c r="S835" t="s">
        <v>20</v>
      </c>
    </row>
    <row r="836" spans="1:19" x14ac:dyDescent="0.45">
      <c r="A836" t="s">
        <v>362</v>
      </c>
      <c r="B836" t="s">
        <v>20</v>
      </c>
      <c r="C836" t="s">
        <v>363</v>
      </c>
      <c r="D836" t="s">
        <v>364</v>
      </c>
      <c r="E836" t="s">
        <v>57</v>
      </c>
      <c r="F836" t="s">
        <v>20</v>
      </c>
      <c r="G836" t="s">
        <v>23</v>
      </c>
      <c r="H836" t="s">
        <v>8071</v>
      </c>
      <c r="I836" t="s">
        <v>8072</v>
      </c>
      <c r="J836" t="s">
        <v>8073</v>
      </c>
      <c r="K836" t="s">
        <v>8074</v>
      </c>
      <c r="L836" t="s">
        <v>2769</v>
      </c>
      <c r="M836" t="s">
        <v>32</v>
      </c>
      <c r="N836" t="s">
        <v>62</v>
      </c>
      <c r="O836" t="s">
        <v>34</v>
      </c>
      <c r="P836" t="s">
        <v>20</v>
      </c>
      <c r="Q836" t="s">
        <v>20</v>
      </c>
      <c r="R836" t="s">
        <v>253</v>
      </c>
      <c r="S836" t="s">
        <v>20</v>
      </c>
    </row>
    <row r="837" spans="1:19" x14ac:dyDescent="0.45">
      <c r="A837" t="s">
        <v>211</v>
      </c>
      <c r="B837" t="s">
        <v>20</v>
      </c>
      <c r="C837" t="s">
        <v>1053</v>
      </c>
      <c r="D837" t="s">
        <v>1054</v>
      </c>
      <c r="E837" t="s">
        <v>38</v>
      </c>
      <c r="F837" t="s">
        <v>20</v>
      </c>
      <c r="G837" t="s">
        <v>23</v>
      </c>
      <c r="H837" t="s">
        <v>11749</v>
      </c>
      <c r="I837" t="s">
        <v>11750</v>
      </c>
      <c r="J837" t="s">
        <v>12847</v>
      </c>
      <c r="K837" t="s">
        <v>12848</v>
      </c>
      <c r="L837" t="s">
        <v>3998</v>
      </c>
      <c r="M837" t="s">
        <v>12431</v>
      </c>
      <c r="N837" t="s">
        <v>33</v>
      </c>
      <c r="O837" t="s">
        <v>34</v>
      </c>
      <c r="P837" t="s">
        <v>20</v>
      </c>
      <c r="Q837" t="s">
        <v>20</v>
      </c>
      <c r="R837" t="s">
        <v>12849</v>
      </c>
      <c r="S837" t="s">
        <v>20</v>
      </c>
    </row>
    <row r="838" spans="1:19" x14ac:dyDescent="0.45">
      <c r="A838" t="s">
        <v>231</v>
      </c>
      <c r="B838" t="s">
        <v>20</v>
      </c>
      <c r="C838" t="s">
        <v>1085</v>
      </c>
      <c r="D838" t="s">
        <v>1086</v>
      </c>
      <c r="E838" t="s">
        <v>2487</v>
      </c>
      <c r="F838" t="s">
        <v>20</v>
      </c>
      <c r="G838" t="s">
        <v>23</v>
      </c>
      <c r="H838" t="s">
        <v>7321</v>
      </c>
      <c r="I838" t="s">
        <v>7322</v>
      </c>
      <c r="J838" t="s">
        <v>7323</v>
      </c>
      <c r="K838" t="s">
        <v>7324</v>
      </c>
      <c r="L838" t="s">
        <v>3418</v>
      </c>
      <c r="M838" t="s">
        <v>32</v>
      </c>
      <c r="N838" t="s">
        <v>62</v>
      </c>
      <c r="O838" t="s">
        <v>34</v>
      </c>
      <c r="P838" t="s">
        <v>20</v>
      </c>
      <c r="Q838" t="s">
        <v>20</v>
      </c>
      <c r="R838" t="s">
        <v>7325</v>
      </c>
      <c r="S838" t="s">
        <v>20</v>
      </c>
    </row>
    <row r="839" spans="1:19" x14ac:dyDescent="0.45">
      <c r="A839" t="s">
        <v>1598</v>
      </c>
      <c r="B839" t="s">
        <v>20</v>
      </c>
      <c r="C839" t="s">
        <v>1599</v>
      </c>
      <c r="D839" t="s">
        <v>1600</v>
      </c>
      <c r="E839" t="s">
        <v>38</v>
      </c>
      <c r="F839" t="s">
        <v>20</v>
      </c>
      <c r="G839" t="s">
        <v>23</v>
      </c>
      <c r="H839" t="s">
        <v>1820</v>
      </c>
      <c r="I839" t="s">
        <v>1821</v>
      </c>
      <c r="J839" t="s">
        <v>1822</v>
      </c>
      <c r="K839" t="s">
        <v>1128</v>
      </c>
      <c r="L839" t="s">
        <v>31</v>
      </c>
      <c r="M839" t="s">
        <v>32</v>
      </c>
      <c r="N839" t="s">
        <v>33</v>
      </c>
      <c r="O839" t="s">
        <v>34</v>
      </c>
      <c r="P839" t="s">
        <v>20</v>
      </c>
      <c r="Q839" t="s">
        <v>20</v>
      </c>
      <c r="R839" t="s">
        <v>1823</v>
      </c>
      <c r="S839" t="s">
        <v>1824</v>
      </c>
    </row>
    <row r="840" spans="1:19" x14ac:dyDescent="0.45">
      <c r="A840" t="s">
        <v>1598</v>
      </c>
      <c r="B840" t="s">
        <v>20</v>
      </c>
      <c r="C840" t="s">
        <v>1599</v>
      </c>
      <c r="D840" t="s">
        <v>1600</v>
      </c>
      <c r="E840" t="s">
        <v>38</v>
      </c>
      <c r="F840" t="s">
        <v>20</v>
      </c>
      <c r="G840" t="s">
        <v>23</v>
      </c>
      <c r="H840" t="s">
        <v>1601</v>
      </c>
      <c r="I840" t="s">
        <v>1602</v>
      </c>
      <c r="J840" t="s">
        <v>1603</v>
      </c>
      <c r="K840" t="s">
        <v>1604</v>
      </c>
      <c r="L840" t="s">
        <v>6523</v>
      </c>
      <c r="M840" t="s">
        <v>112</v>
      </c>
      <c r="N840" t="s">
        <v>119</v>
      </c>
      <c r="O840" t="s">
        <v>34</v>
      </c>
      <c r="P840" t="s">
        <v>20</v>
      </c>
      <c r="Q840" t="s">
        <v>20</v>
      </c>
      <c r="R840" t="s">
        <v>1606</v>
      </c>
      <c r="S840" t="s">
        <v>20</v>
      </c>
    </row>
    <row r="841" spans="1:19" x14ac:dyDescent="0.45">
      <c r="A841" t="s">
        <v>1598</v>
      </c>
      <c r="B841" t="s">
        <v>20</v>
      </c>
      <c r="C841" t="s">
        <v>1599</v>
      </c>
      <c r="D841" t="s">
        <v>1600</v>
      </c>
      <c r="E841" t="s">
        <v>57</v>
      </c>
      <c r="F841" t="s">
        <v>20</v>
      </c>
      <c r="G841" t="s">
        <v>23</v>
      </c>
      <c r="H841" t="s">
        <v>7430</v>
      </c>
      <c r="I841" t="s">
        <v>7431</v>
      </c>
      <c r="J841" t="s">
        <v>7432</v>
      </c>
      <c r="K841" t="s">
        <v>7433</v>
      </c>
      <c r="L841" t="s">
        <v>2769</v>
      </c>
      <c r="M841" t="s">
        <v>32</v>
      </c>
      <c r="N841" t="s">
        <v>62</v>
      </c>
      <c r="O841" t="s">
        <v>34</v>
      </c>
      <c r="P841" t="s">
        <v>20</v>
      </c>
      <c r="Q841" t="s">
        <v>20</v>
      </c>
      <c r="R841" t="s">
        <v>7070</v>
      </c>
      <c r="S841" t="s">
        <v>20</v>
      </c>
    </row>
    <row r="842" spans="1:19" x14ac:dyDescent="0.45">
      <c r="A842" t="s">
        <v>2561</v>
      </c>
      <c r="B842" t="s">
        <v>20</v>
      </c>
      <c r="C842" t="s">
        <v>1191</v>
      </c>
      <c r="D842" t="s">
        <v>1192</v>
      </c>
      <c r="E842" t="s">
        <v>57</v>
      </c>
      <c r="F842" t="s">
        <v>20</v>
      </c>
      <c r="G842" t="s">
        <v>23</v>
      </c>
      <c r="H842" t="s">
        <v>7401</v>
      </c>
      <c r="I842" t="s">
        <v>7402</v>
      </c>
      <c r="J842" t="s">
        <v>7403</v>
      </c>
      <c r="K842" t="s">
        <v>7404</v>
      </c>
      <c r="L842" t="s">
        <v>2769</v>
      </c>
      <c r="M842" t="s">
        <v>32</v>
      </c>
      <c r="N842" t="s">
        <v>62</v>
      </c>
      <c r="O842" t="s">
        <v>34</v>
      </c>
      <c r="P842" t="s">
        <v>20</v>
      </c>
      <c r="Q842" t="s">
        <v>20</v>
      </c>
      <c r="R842" t="s">
        <v>7070</v>
      </c>
      <c r="S842" t="s">
        <v>20</v>
      </c>
    </row>
    <row r="843" spans="1:19" x14ac:dyDescent="0.45">
      <c r="A843" t="s">
        <v>535</v>
      </c>
      <c r="B843" t="s">
        <v>20</v>
      </c>
      <c r="C843" t="s">
        <v>5236</v>
      </c>
      <c r="D843" t="s">
        <v>5237</v>
      </c>
      <c r="E843" t="s">
        <v>38</v>
      </c>
      <c r="F843" t="s">
        <v>20</v>
      </c>
      <c r="G843" t="s">
        <v>23</v>
      </c>
      <c r="H843" t="s">
        <v>9023</v>
      </c>
      <c r="I843" t="s">
        <v>9074</v>
      </c>
      <c r="J843" t="s">
        <v>11128</v>
      </c>
      <c r="K843" t="s">
        <v>11129</v>
      </c>
      <c r="L843" t="s">
        <v>9619</v>
      </c>
      <c r="M843" t="s">
        <v>32</v>
      </c>
      <c r="N843" t="s">
        <v>33</v>
      </c>
      <c r="O843" t="s">
        <v>34</v>
      </c>
      <c r="P843" t="s">
        <v>20</v>
      </c>
      <c r="Q843" t="s">
        <v>20</v>
      </c>
      <c r="R843" t="s">
        <v>11130</v>
      </c>
      <c r="S843" t="s">
        <v>9075</v>
      </c>
    </row>
    <row r="844" spans="1:19" x14ac:dyDescent="0.45">
      <c r="A844" t="s">
        <v>169</v>
      </c>
      <c r="B844" t="s">
        <v>20</v>
      </c>
      <c r="C844" t="s">
        <v>170</v>
      </c>
      <c r="D844" t="s">
        <v>171</v>
      </c>
      <c r="E844" t="s">
        <v>57</v>
      </c>
      <c r="F844" t="s">
        <v>20</v>
      </c>
      <c r="G844" t="s">
        <v>23</v>
      </c>
      <c r="H844" t="s">
        <v>7886</v>
      </c>
      <c r="I844" t="s">
        <v>7887</v>
      </c>
      <c r="J844" t="s">
        <v>7888</v>
      </c>
      <c r="K844" t="s">
        <v>7889</v>
      </c>
      <c r="L844" t="s">
        <v>2769</v>
      </c>
      <c r="M844" t="s">
        <v>32</v>
      </c>
      <c r="N844" t="s">
        <v>62</v>
      </c>
      <c r="O844" t="s">
        <v>34</v>
      </c>
      <c r="P844" t="s">
        <v>20</v>
      </c>
      <c r="Q844" t="s">
        <v>20</v>
      </c>
      <c r="R844" t="s">
        <v>7890</v>
      </c>
      <c r="S844" t="s">
        <v>20</v>
      </c>
    </row>
    <row r="845" spans="1:19" x14ac:dyDescent="0.45">
      <c r="A845" t="s">
        <v>85</v>
      </c>
      <c r="B845" t="s">
        <v>20</v>
      </c>
      <c r="C845" t="s">
        <v>1511</v>
      </c>
      <c r="D845" t="s">
        <v>1512</v>
      </c>
      <c r="E845" t="s">
        <v>57</v>
      </c>
      <c r="F845" t="s">
        <v>20</v>
      </c>
      <c r="G845" t="s">
        <v>23</v>
      </c>
      <c r="H845" t="s">
        <v>1513</v>
      </c>
      <c r="I845" t="s">
        <v>1514</v>
      </c>
      <c r="J845" t="s">
        <v>1515</v>
      </c>
      <c r="K845" t="s">
        <v>1516</v>
      </c>
      <c r="L845" t="s">
        <v>43</v>
      </c>
      <c r="M845" t="s">
        <v>112</v>
      </c>
      <c r="N845" t="s">
        <v>62</v>
      </c>
      <c r="O845" t="s">
        <v>34</v>
      </c>
      <c r="P845" t="s">
        <v>20</v>
      </c>
      <c r="Q845" t="s">
        <v>20</v>
      </c>
      <c r="R845" t="s">
        <v>93</v>
      </c>
      <c r="S845" t="s">
        <v>20</v>
      </c>
    </row>
    <row r="846" spans="1:19" x14ac:dyDescent="0.45">
      <c r="A846" t="s">
        <v>120</v>
      </c>
      <c r="B846" t="s">
        <v>20</v>
      </c>
      <c r="C846" t="s">
        <v>1002</v>
      </c>
      <c r="D846" t="s">
        <v>1003</v>
      </c>
      <c r="E846" t="s">
        <v>38</v>
      </c>
      <c r="F846" t="s">
        <v>20</v>
      </c>
      <c r="G846" t="s">
        <v>23</v>
      </c>
      <c r="H846" t="s">
        <v>12240</v>
      </c>
      <c r="I846" t="s">
        <v>12241</v>
      </c>
      <c r="J846" t="s">
        <v>12242</v>
      </c>
      <c r="K846" t="s">
        <v>12243</v>
      </c>
      <c r="L846" t="s">
        <v>3418</v>
      </c>
      <c r="M846" t="s">
        <v>32</v>
      </c>
      <c r="N846" t="s">
        <v>45</v>
      </c>
      <c r="O846" t="s">
        <v>34</v>
      </c>
      <c r="P846" t="s">
        <v>20</v>
      </c>
      <c r="Q846" t="s">
        <v>20</v>
      </c>
      <c r="R846" t="s">
        <v>12244</v>
      </c>
      <c r="S846" t="s">
        <v>20</v>
      </c>
    </row>
    <row r="847" spans="1:19" x14ac:dyDescent="0.45">
      <c r="A847" t="s">
        <v>3096</v>
      </c>
      <c r="B847" t="s">
        <v>20</v>
      </c>
      <c r="C847" t="s">
        <v>3299</v>
      </c>
      <c r="D847" t="s">
        <v>3300</v>
      </c>
      <c r="E847" t="s">
        <v>57</v>
      </c>
      <c r="F847" t="s">
        <v>20</v>
      </c>
      <c r="G847" t="s">
        <v>23</v>
      </c>
      <c r="H847" t="s">
        <v>11152</v>
      </c>
      <c r="I847" t="s">
        <v>11153</v>
      </c>
      <c r="J847" t="s">
        <v>11154</v>
      </c>
      <c r="K847" t="s">
        <v>11155</v>
      </c>
      <c r="L847" t="s">
        <v>3418</v>
      </c>
      <c r="M847" t="s">
        <v>3105</v>
      </c>
      <c r="N847" t="s">
        <v>62</v>
      </c>
      <c r="O847" t="s">
        <v>34</v>
      </c>
      <c r="P847" t="s">
        <v>20</v>
      </c>
      <c r="Q847" t="s">
        <v>20</v>
      </c>
      <c r="R847" t="s">
        <v>11156</v>
      </c>
      <c r="S847" t="s">
        <v>20</v>
      </c>
    </row>
    <row r="848" spans="1:19" x14ac:dyDescent="0.45">
      <c r="A848" t="s">
        <v>3096</v>
      </c>
      <c r="B848" t="s">
        <v>20</v>
      </c>
      <c r="C848" t="s">
        <v>3299</v>
      </c>
      <c r="D848" t="s">
        <v>3300</v>
      </c>
      <c r="E848" t="s">
        <v>21</v>
      </c>
      <c r="F848" t="s">
        <v>20</v>
      </c>
      <c r="G848" t="s">
        <v>23</v>
      </c>
      <c r="H848" t="s">
        <v>6891</v>
      </c>
      <c r="I848" t="s">
        <v>6892</v>
      </c>
      <c r="J848" t="s">
        <v>11083</v>
      </c>
      <c r="K848" t="s">
        <v>10935</v>
      </c>
      <c r="L848" t="s">
        <v>902</v>
      </c>
      <c r="M848" t="s">
        <v>32</v>
      </c>
      <c r="N848" t="s">
        <v>33</v>
      </c>
      <c r="O848" t="s">
        <v>34</v>
      </c>
      <c r="P848" t="s">
        <v>20</v>
      </c>
      <c r="Q848" t="s">
        <v>20</v>
      </c>
      <c r="R848" t="s">
        <v>11084</v>
      </c>
      <c r="S848" t="s">
        <v>20</v>
      </c>
    </row>
    <row r="849" spans="1:19" x14ac:dyDescent="0.45">
      <c r="A849" t="s">
        <v>173</v>
      </c>
      <c r="B849" t="s">
        <v>20</v>
      </c>
      <c r="C849" t="s">
        <v>1354</v>
      </c>
      <c r="D849" t="s">
        <v>1355</v>
      </c>
      <c r="E849" t="s">
        <v>57</v>
      </c>
      <c r="F849" t="s">
        <v>20</v>
      </c>
      <c r="G849" t="s">
        <v>23</v>
      </c>
      <c r="H849" t="s">
        <v>7838</v>
      </c>
      <c r="I849" t="s">
        <v>7839</v>
      </c>
      <c r="J849" t="s">
        <v>7840</v>
      </c>
      <c r="K849" t="s">
        <v>7841</v>
      </c>
      <c r="L849" t="s">
        <v>9619</v>
      </c>
      <c r="M849" t="s">
        <v>102</v>
      </c>
      <c r="N849" t="s">
        <v>62</v>
      </c>
      <c r="O849" t="s">
        <v>34</v>
      </c>
      <c r="P849" t="s">
        <v>20</v>
      </c>
      <c r="Q849" t="s">
        <v>20</v>
      </c>
      <c r="R849" t="s">
        <v>7842</v>
      </c>
      <c r="S849" t="s">
        <v>20</v>
      </c>
    </row>
    <row r="850" spans="1:19" x14ac:dyDescent="0.45">
      <c r="A850" t="s">
        <v>3096</v>
      </c>
      <c r="B850" t="s">
        <v>20</v>
      </c>
      <c r="C850" t="s">
        <v>3212</v>
      </c>
      <c r="D850" t="s">
        <v>3213</v>
      </c>
      <c r="E850" t="s">
        <v>57</v>
      </c>
      <c r="F850" t="s">
        <v>20</v>
      </c>
      <c r="G850" t="s">
        <v>23</v>
      </c>
      <c r="H850" t="s">
        <v>10924</v>
      </c>
      <c r="I850" t="s">
        <v>10925</v>
      </c>
      <c r="J850" t="s">
        <v>10926</v>
      </c>
      <c r="K850" t="s">
        <v>10927</v>
      </c>
      <c r="L850" t="s">
        <v>3418</v>
      </c>
      <c r="M850" t="s">
        <v>3105</v>
      </c>
      <c r="N850" t="s">
        <v>62</v>
      </c>
      <c r="O850" t="s">
        <v>34</v>
      </c>
      <c r="P850" t="s">
        <v>6527</v>
      </c>
      <c r="Q850" t="s">
        <v>20</v>
      </c>
      <c r="R850" t="s">
        <v>10928</v>
      </c>
      <c r="S850" t="s">
        <v>20</v>
      </c>
    </row>
    <row r="851" spans="1:19" x14ac:dyDescent="0.45">
      <c r="A851" t="s">
        <v>3096</v>
      </c>
      <c r="B851" t="s">
        <v>20</v>
      </c>
      <c r="C851" t="s">
        <v>3212</v>
      </c>
      <c r="D851" t="s">
        <v>3213</v>
      </c>
      <c r="E851" t="s">
        <v>57</v>
      </c>
      <c r="F851" t="s">
        <v>20</v>
      </c>
      <c r="G851" t="s">
        <v>23</v>
      </c>
      <c r="H851" t="s">
        <v>11011</v>
      </c>
      <c r="I851" t="s">
        <v>11012</v>
      </c>
      <c r="J851" t="s">
        <v>11013</v>
      </c>
      <c r="K851" t="s">
        <v>11014</v>
      </c>
      <c r="L851" t="s">
        <v>3418</v>
      </c>
      <c r="M851" t="s">
        <v>3105</v>
      </c>
      <c r="N851" t="s">
        <v>62</v>
      </c>
      <c r="O851" t="s">
        <v>34</v>
      </c>
      <c r="P851" t="s">
        <v>6527</v>
      </c>
      <c r="Q851" t="s">
        <v>20</v>
      </c>
      <c r="R851" t="s">
        <v>11015</v>
      </c>
      <c r="S851" t="s">
        <v>20</v>
      </c>
    </row>
    <row r="852" spans="1:19" x14ac:dyDescent="0.45">
      <c r="A852" t="s">
        <v>2225</v>
      </c>
      <c r="B852" t="s">
        <v>20</v>
      </c>
      <c r="C852" t="s">
        <v>2226</v>
      </c>
      <c r="D852" t="s">
        <v>2227</v>
      </c>
      <c r="E852" t="s">
        <v>38</v>
      </c>
      <c r="F852" t="s">
        <v>20</v>
      </c>
      <c r="G852" t="s">
        <v>23</v>
      </c>
      <c r="H852" t="s">
        <v>13867</v>
      </c>
      <c r="I852" t="s">
        <v>13868</v>
      </c>
      <c r="J852" t="s">
        <v>13869</v>
      </c>
      <c r="K852" t="s">
        <v>13870</v>
      </c>
      <c r="L852" t="s">
        <v>13871</v>
      </c>
      <c r="M852" t="s">
        <v>32</v>
      </c>
      <c r="N852" t="s">
        <v>45</v>
      </c>
      <c r="O852" t="s">
        <v>34</v>
      </c>
      <c r="P852" t="s">
        <v>20</v>
      </c>
      <c r="Q852" t="s">
        <v>20</v>
      </c>
      <c r="R852" t="s">
        <v>13872</v>
      </c>
      <c r="S852" t="s">
        <v>20</v>
      </c>
    </row>
    <row r="853" spans="1:19" x14ac:dyDescent="0.45">
      <c r="A853" t="s">
        <v>2225</v>
      </c>
      <c r="B853" t="s">
        <v>20</v>
      </c>
      <c r="C853" t="s">
        <v>2226</v>
      </c>
      <c r="D853" t="s">
        <v>2227</v>
      </c>
      <c r="E853" t="s">
        <v>38</v>
      </c>
      <c r="F853" t="s">
        <v>20</v>
      </c>
      <c r="G853" t="s">
        <v>23</v>
      </c>
      <c r="H853" t="s">
        <v>10020</v>
      </c>
      <c r="I853" t="s">
        <v>10021</v>
      </c>
      <c r="J853" t="s">
        <v>10022</v>
      </c>
      <c r="K853" t="s">
        <v>10023</v>
      </c>
      <c r="L853" t="s">
        <v>6533</v>
      </c>
      <c r="M853" t="s">
        <v>32</v>
      </c>
      <c r="N853" t="s">
        <v>45</v>
      </c>
      <c r="O853" t="s">
        <v>34</v>
      </c>
      <c r="P853" t="s">
        <v>20</v>
      </c>
      <c r="Q853" t="s">
        <v>20</v>
      </c>
      <c r="R853" t="s">
        <v>10024</v>
      </c>
      <c r="S853" t="s">
        <v>20</v>
      </c>
    </row>
    <row r="854" spans="1:19" x14ac:dyDescent="0.45">
      <c r="A854" t="s">
        <v>64</v>
      </c>
      <c r="B854" t="s">
        <v>20</v>
      </c>
      <c r="C854" t="s">
        <v>65</v>
      </c>
      <c r="D854" t="s">
        <v>66</v>
      </c>
      <c r="E854" t="s">
        <v>57</v>
      </c>
      <c r="F854" t="s">
        <v>20</v>
      </c>
      <c r="G854" t="s">
        <v>23</v>
      </c>
      <c r="H854" t="s">
        <v>2379</v>
      </c>
      <c r="I854" t="s">
        <v>2380</v>
      </c>
      <c r="J854" t="s">
        <v>2381</v>
      </c>
      <c r="K854" t="s">
        <v>2382</v>
      </c>
      <c r="L854" t="s">
        <v>43</v>
      </c>
      <c r="M854" t="s">
        <v>92</v>
      </c>
      <c r="N854" t="s">
        <v>62</v>
      </c>
      <c r="O854" t="s">
        <v>34</v>
      </c>
      <c r="P854" t="s">
        <v>20</v>
      </c>
      <c r="Q854" t="s">
        <v>20</v>
      </c>
      <c r="R854" t="s">
        <v>93</v>
      </c>
      <c r="S854" t="s">
        <v>20</v>
      </c>
    </row>
    <row r="855" spans="1:19" x14ac:dyDescent="0.45">
      <c r="A855" t="s">
        <v>64</v>
      </c>
      <c r="B855" t="s">
        <v>20</v>
      </c>
      <c r="C855" t="s">
        <v>65</v>
      </c>
      <c r="D855" t="s">
        <v>66</v>
      </c>
      <c r="E855" t="s">
        <v>29</v>
      </c>
      <c r="F855" t="s">
        <v>20</v>
      </c>
      <c r="G855" t="s">
        <v>23</v>
      </c>
      <c r="H855" t="s">
        <v>67</v>
      </c>
      <c r="I855" t="s">
        <v>68</v>
      </c>
      <c r="J855" t="s">
        <v>69</v>
      </c>
      <c r="K855" t="s">
        <v>70</v>
      </c>
      <c r="L855" t="s">
        <v>3998</v>
      </c>
      <c r="M855" t="s">
        <v>32</v>
      </c>
      <c r="N855" t="s">
        <v>33</v>
      </c>
      <c r="O855" t="s">
        <v>34</v>
      </c>
      <c r="P855" t="s">
        <v>20</v>
      </c>
      <c r="Q855" t="s">
        <v>20</v>
      </c>
      <c r="R855" t="s">
        <v>9279</v>
      </c>
      <c r="S855" t="s">
        <v>20</v>
      </c>
    </row>
    <row r="856" spans="1:19" x14ac:dyDescent="0.45">
      <c r="A856" t="s">
        <v>54</v>
      </c>
      <c r="B856" t="s">
        <v>20</v>
      </c>
      <c r="C856" t="s">
        <v>162</v>
      </c>
      <c r="D856" t="s">
        <v>163</v>
      </c>
      <c r="E856" t="s">
        <v>38</v>
      </c>
      <c r="F856" t="s">
        <v>20</v>
      </c>
      <c r="G856" t="s">
        <v>23</v>
      </c>
      <c r="H856" t="s">
        <v>1423</v>
      </c>
      <c r="I856" t="s">
        <v>1424</v>
      </c>
      <c r="J856" t="s">
        <v>1425</v>
      </c>
      <c r="K856" t="s">
        <v>1426</v>
      </c>
      <c r="L856" t="s">
        <v>101</v>
      </c>
      <c r="M856" t="s">
        <v>112</v>
      </c>
      <c r="N856" t="s">
        <v>62</v>
      </c>
      <c r="O856" t="s">
        <v>34</v>
      </c>
      <c r="P856" t="s">
        <v>20</v>
      </c>
      <c r="Q856" t="s">
        <v>20</v>
      </c>
      <c r="R856" t="s">
        <v>361</v>
      </c>
      <c r="S856" t="s">
        <v>20</v>
      </c>
    </row>
    <row r="857" spans="1:19" x14ac:dyDescent="0.45">
      <c r="A857" t="s">
        <v>1308</v>
      </c>
      <c r="B857" t="s">
        <v>20</v>
      </c>
      <c r="C857" t="s">
        <v>1385</v>
      </c>
      <c r="D857" t="s">
        <v>1386</v>
      </c>
      <c r="E857" t="s">
        <v>38</v>
      </c>
      <c r="F857" t="s">
        <v>20</v>
      </c>
      <c r="G857" t="s">
        <v>23</v>
      </c>
      <c r="H857" t="s">
        <v>11725</v>
      </c>
      <c r="I857" t="s">
        <v>11726</v>
      </c>
      <c r="J857" t="s">
        <v>20</v>
      </c>
      <c r="K857" t="s">
        <v>12854</v>
      </c>
      <c r="L857" t="s">
        <v>6524</v>
      </c>
      <c r="M857" t="s">
        <v>12431</v>
      </c>
      <c r="N857" t="s">
        <v>33</v>
      </c>
      <c r="O857" t="s">
        <v>34</v>
      </c>
      <c r="P857" t="s">
        <v>20</v>
      </c>
      <c r="Q857" t="s">
        <v>20</v>
      </c>
      <c r="R857" t="s">
        <v>20</v>
      </c>
      <c r="S857" t="s">
        <v>11727</v>
      </c>
    </row>
    <row r="858" spans="1:19" x14ac:dyDescent="0.45">
      <c r="A858" t="s">
        <v>1308</v>
      </c>
      <c r="B858" t="s">
        <v>20</v>
      </c>
      <c r="C858" t="s">
        <v>1385</v>
      </c>
      <c r="D858" t="s">
        <v>1386</v>
      </c>
      <c r="E858" t="s">
        <v>38</v>
      </c>
      <c r="F858" t="s">
        <v>20</v>
      </c>
      <c r="G858" t="s">
        <v>23</v>
      </c>
      <c r="H858" t="s">
        <v>11716</v>
      </c>
      <c r="I858" t="s">
        <v>11717</v>
      </c>
      <c r="J858" t="s">
        <v>20</v>
      </c>
      <c r="K858" t="s">
        <v>12882</v>
      </c>
      <c r="L858" t="s">
        <v>6524</v>
      </c>
      <c r="M858" t="s">
        <v>12431</v>
      </c>
      <c r="N858" t="s">
        <v>33</v>
      </c>
      <c r="O858" t="s">
        <v>34</v>
      </c>
      <c r="P858" t="s">
        <v>20</v>
      </c>
      <c r="Q858" t="s">
        <v>20</v>
      </c>
      <c r="R858" t="s">
        <v>20</v>
      </c>
      <c r="S858" t="s">
        <v>11718</v>
      </c>
    </row>
    <row r="859" spans="1:19" x14ac:dyDescent="0.45">
      <c r="A859" t="s">
        <v>1308</v>
      </c>
      <c r="B859" t="s">
        <v>20</v>
      </c>
      <c r="C859" t="s">
        <v>1385</v>
      </c>
      <c r="D859" t="s">
        <v>1386</v>
      </c>
      <c r="E859" t="s">
        <v>38</v>
      </c>
      <c r="F859" t="s">
        <v>20</v>
      </c>
      <c r="G859" t="s">
        <v>23</v>
      </c>
      <c r="H859" t="s">
        <v>11696</v>
      </c>
      <c r="I859" t="s">
        <v>11697</v>
      </c>
      <c r="J859" t="s">
        <v>20</v>
      </c>
      <c r="K859" t="s">
        <v>12852</v>
      </c>
      <c r="L859" t="s">
        <v>6524</v>
      </c>
      <c r="M859" t="s">
        <v>12431</v>
      </c>
      <c r="N859" t="s">
        <v>33</v>
      </c>
      <c r="O859" t="s">
        <v>34</v>
      </c>
      <c r="P859" t="s">
        <v>20</v>
      </c>
      <c r="Q859" t="s">
        <v>20</v>
      </c>
      <c r="R859" t="s">
        <v>20</v>
      </c>
      <c r="S859" t="s">
        <v>11698</v>
      </c>
    </row>
    <row r="860" spans="1:19" x14ac:dyDescent="0.45">
      <c r="A860" t="s">
        <v>1308</v>
      </c>
      <c r="B860" t="s">
        <v>20</v>
      </c>
      <c r="C860" t="s">
        <v>1385</v>
      </c>
      <c r="D860" t="s">
        <v>1386</v>
      </c>
      <c r="E860" t="s">
        <v>38</v>
      </c>
      <c r="F860" t="s">
        <v>20</v>
      </c>
      <c r="G860" t="s">
        <v>23</v>
      </c>
      <c r="H860" t="s">
        <v>1387</v>
      </c>
      <c r="I860" t="s">
        <v>1388</v>
      </c>
      <c r="J860" t="s">
        <v>1389</v>
      </c>
      <c r="K860" t="s">
        <v>1390</v>
      </c>
      <c r="L860" t="s">
        <v>168</v>
      </c>
      <c r="M860" t="s">
        <v>1391</v>
      </c>
      <c r="N860" t="s">
        <v>33</v>
      </c>
      <c r="O860" t="s">
        <v>34</v>
      </c>
      <c r="P860" t="s">
        <v>20</v>
      </c>
      <c r="Q860" t="s">
        <v>20</v>
      </c>
      <c r="R860" t="s">
        <v>1392</v>
      </c>
      <c r="S860" t="s">
        <v>1393</v>
      </c>
    </row>
    <row r="861" spans="1:19" x14ac:dyDescent="0.45">
      <c r="A861" t="s">
        <v>1598</v>
      </c>
      <c r="B861" t="s">
        <v>20</v>
      </c>
      <c r="C861" t="s">
        <v>2592</v>
      </c>
      <c r="D861" t="s">
        <v>2593</v>
      </c>
      <c r="E861" t="s">
        <v>38</v>
      </c>
      <c r="F861" t="s">
        <v>20</v>
      </c>
      <c r="G861" t="s">
        <v>23</v>
      </c>
      <c r="H861" t="s">
        <v>2594</v>
      </c>
      <c r="I861" t="s">
        <v>2595</v>
      </c>
      <c r="J861" t="s">
        <v>2596</v>
      </c>
      <c r="K861" t="s">
        <v>1937</v>
      </c>
      <c r="L861" t="s">
        <v>31</v>
      </c>
      <c r="M861" t="s">
        <v>32</v>
      </c>
      <c r="N861" t="s">
        <v>33</v>
      </c>
      <c r="O861" t="s">
        <v>34</v>
      </c>
      <c r="P861" t="s">
        <v>20</v>
      </c>
      <c r="Q861" t="s">
        <v>20</v>
      </c>
      <c r="R861" t="s">
        <v>2597</v>
      </c>
      <c r="S861" t="s">
        <v>2598</v>
      </c>
    </row>
    <row r="862" spans="1:19" x14ac:dyDescent="0.45">
      <c r="A862" t="s">
        <v>1598</v>
      </c>
      <c r="B862" t="s">
        <v>20</v>
      </c>
      <c r="C862" t="s">
        <v>2592</v>
      </c>
      <c r="D862" t="s">
        <v>2593</v>
      </c>
      <c r="E862" t="s">
        <v>57</v>
      </c>
      <c r="F862" t="s">
        <v>20</v>
      </c>
      <c r="G862" t="s">
        <v>23</v>
      </c>
      <c r="H862" t="s">
        <v>7442</v>
      </c>
      <c r="I862" t="s">
        <v>7443</v>
      </c>
      <c r="J862" t="s">
        <v>7444</v>
      </c>
      <c r="K862" t="s">
        <v>7445</v>
      </c>
      <c r="L862" t="s">
        <v>13871</v>
      </c>
      <c r="M862" t="s">
        <v>32</v>
      </c>
      <c r="N862" t="s">
        <v>62</v>
      </c>
      <c r="O862" t="s">
        <v>34</v>
      </c>
      <c r="P862" t="s">
        <v>20</v>
      </c>
      <c r="Q862" t="s">
        <v>20</v>
      </c>
      <c r="R862" t="s">
        <v>7070</v>
      </c>
      <c r="S862" t="s">
        <v>20</v>
      </c>
    </row>
    <row r="863" spans="1:19" x14ac:dyDescent="0.45">
      <c r="A863" t="s">
        <v>139</v>
      </c>
      <c r="B863" t="s">
        <v>20</v>
      </c>
      <c r="C863" t="s">
        <v>2360</v>
      </c>
      <c r="D863" t="s">
        <v>2361</v>
      </c>
      <c r="E863" t="s">
        <v>2487</v>
      </c>
      <c r="F863" t="s">
        <v>20</v>
      </c>
      <c r="G863" t="s">
        <v>23</v>
      </c>
      <c r="H863" t="s">
        <v>8041</v>
      </c>
      <c r="I863" t="s">
        <v>8042</v>
      </c>
      <c r="J863" t="s">
        <v>8043</v>
      </c>
      <c r="K863" t="s">
        <v>8044</v>
      </c>
      <c r="L863" t="s">
        <v>3418</v>
      </c>
      <c r="M863" t="s">
        <v>32</v>
      </c>
      <c r="N863" t="s">
        <v>62</v>
      </c>
      <c r="O863" t="s">
        <v>34</v>
      </c>
      <c r="P863" t="s">
        <v>20</v>
      </c>
      <c r="Q863" t="s">
        <v>20</v>
      </c>
      <c r="R863" t="s">
        <v>8045</v>
      </c>
      <c r="S863" t="s">
        <v>20</v>
      </c>
    </row>
    <row r="864" spans="1:19" x14ac:dyDescent="0.45">
      <c r="A864" t="s">
        <v>269</v>
      </c>
      <c r="B864" t="s">
        <v>20</v>
      </c>
      <c r="C864" t="s">
        <v>2569</v>
      </c>
      <c r="D864" t="s">
        <v>2570</v>
      </c>
      <c r="E864" t="s">
        <v>57</v>
      </c>
      <c r="F864" t="s">
        <v>20</v>
      </c>
      <c r="G864" t="s">
        <v>23</v>
      </c>
      <c r="H864" t="s">
        <v>2571</v>
      </c>
      <c r="I864" t="s">
        <v>2572</v>
      </c>
      <c r="J864" t="s">
        <v>2573</v>
      </c>
      <c r="K864" t="s">
        <v>2574</v>
      </c>
      <c r="L864" t="s">
        <v>43</v>
      </c>
      <c r="M864" t="s">
        <v>32</v>
      </c>
      <c r="N864" t="s">
        <v>62</v>
      </c>
      <c r="O864" t="s">
        <v>34</v>
      </c>
      <c r="P864" t="s">
        <v>20</v>
      </c>
      <c r="Q864" t="s">
        <v>20</v>
      </c>
      <c r="R864" t="s">
        <v>253</v>
      </c>
      <c r="S864" t="s">
        <v>20</v>
      </c>
    </row>
    <row r="865" spans="1:19" x14ac:dyDescent="0.45">
      <c r="A865" t="s">
        <v>35</v>
      </c>
      <c r="B865" t="s">
        <v>20</v>
      </c>
      <c r="C865" t="s">
        <v>10386</v>
      </c>
      <c r="D865" t="s">
        <v>5720</v>
      </c>
      <c r="E865" t="s">
        <v>57</v>
      </c>
      <c r="F865" t="s">
        <v>20</v>
      </c>
      <c r="G865" t="s">
        <v>23</v>
      </c>
      <c r="H865" t="s">
        <v>10387</v>
      </c>
      <c r="I865" t="s">
        <v>10388</v>
      </c>
      <c r="J865" t="s">
        <v>10389</v>
      </c>
      <c r="K865" t="s">
        <v>10390</v>
      </c>
      <c r="L865" t="s">
        <v>3418</v>
      </c>
      <c r="M865" t="s">
        <v>32</v>
      </c>
      <c r="N865" t="s">
        <v>62</v>
      </c>
      <c r="O865" t="s">
        <v>34</v>
      </c>
      <c r="P865" t="s">
        <v>20</v>
      </c>
      <c r="Q865" t="s">
        <v>20</v>
      </c>
      <c r="R865" t="s">
        <v>10391</v>
      </c>
      <c r="S865" t="s">
        <v>20</v>
      </c>
    </row>
    <row r="866" spans="1:19" x14ac:dyDescent="0.45">
      <c r="A866" t="s">
        <v>35</v>
      </c>
      <c r="B866" t="s">
        <v>20</v>
      </c>
      <c r="C866" t="s">
        <v>10386</v>
      </c>
      <c r="D866" t="s">
        <v>5720</v>
      </c>
      <c r="E866" t="s">
        <v>38</v>
      </c>
      <c r="F866" t="s">
        <v>20</v>
      </c>
      <c r="G866" t="s">
        <v>23</v>
      </c>
      <c r="H866" t="s">
        <v>14159</v>
      </c>
      <c r="I866" t="s">
        <v>14160</v>
      </c>
      <c r="J866" t="s">
        <v>14161</v>
      </c>
      <c r="K866" t="s">
        <v>14162</v>
      </c>
      <c r="L866" t="s">
        <v>3418</v>
      </c>
      <c r="M866" t="s">
        <v>112</v>
      </c>
      <c r="N866" t="s">
        <v>62</v>
      </c>
      <c r="O866" t="s">
        <v>34</v>
      </c>
      <c r="P866" t="s">
        <v>20</v>
      </c>
      <c r="Q866" t="s">
        <v>20</v>
      </c>
      <c r="R866" t="s">
        <v>14271</v>
      </c>
      <c r="S866" t="s">
        <v>20</v>
      </c>
    </row>
    <row r="867" spans="1:19" x14ac:dyDescent="0.45">
      <c r="A867" t="s">
        <v>85</v>
      </c>
      <c r="B867" t="s">
        <v>20</v>
      </c>
      <c r="C867" t="s">
        <v>6824</v>
      </c>
      <c r="D867" t="s">
        <v>6825</v>
      </c>
      <c r="E867" t="s">
        <v>2487</v>
      </c>
      <c r="F867" t="s">
        <v>20</v>
      </c>
      <c r="G867" t="s">
        <v>23</v>
      </c>
      <c r="H867" t="s">
        <v>7363</v>
      </c>
      <c r="I867" t="s">
        <v>7364</v>
      </c>
      <c r="J867" t="s">
        <v>7365</v>
      </c>
      <c r="K867" t="s">
        <v>7366</v>
      </c>
      <c r="L867" t="s">
        <v>3418</v>
      </c>
      <c r="M867" t="s">
        <v>7029</v>
      </c>
      <c r="N867" t="s">
        <v>62</v>
      </c>
      <c r="O867" t="s">
        <v>34</v>
      </c>
      <c r="P867" t="s">
        <v>20</v>
      </c>
      <c r="Q867" t="s">
        <v>20</v>
      </c>
      <c r="R867" t="s">
        <v>7367</v>
      </c>
      <c r="S867" t="s">
        <v>20</v>
      </c>
    </row>
    <row r="868" spans="1:19" x14ac:dyDescent="0.45">
      <c r="A868" t="s">
        <v>120</v>
      </c>
      <c r="B868" t="s">
        <v>20</v>
      </c>
      <c r="C868" t="s">
        <v>9994</v>
      </c>
      <c r="D868" t="s">
        <v>5794</v>
      </c>
      <c r="E868" t="s">
        <v>57</v>
      </c>
      <c r="F868" t="s">
        <v>20</v>
      </c>
      <c r="G868" t="s">
        <v>23</v>
      </c>
      <c r="H868" t="s">
        <v>11588</v>
      </c>
      <c r="I868" t="s">
        <v>11589</v>
      </c>
      <c r="J868" t="s">
        <v>11590</v>
      </c>
      <c r="K868" t="s">
        <v>11591</v>
      </c>
      <c r="L868" t="s">
        <v>3418</v>
      </c>
      <c r="M868" t="s">
        <v>32</v>
      </c>
      <c r="N868" t="s">
        <v>62</v>
      </c>
      <c r="O868" t="s">
        <v>34</v>
      </c>
      <c r="P868" t="s">
        <v>20</v>
      </c>
      <c r="Q868" t="s">
        <v>20</v>
      </c>
      <c r="R868" t="s">
        <v>11592</v>
      </c>
      <c r="S868" t="s">
        <v>20</v>
      </c>
    </row>
    <row r="869" spans="1:19" x14ac:dyDescent="0.45">
      <c r="A869" t="s">
        <v>535</v>
      </c>
      <c r="B869" t="s">
        <v>20</v>
      </c>
      <c r="C869" t="s">
        <v>798</v>
      </c>
      <c r="D869" t="s">
        <v>799</v>
      </c>
      <c r="E869" t="s">
        <v>38</v>
      </c>
      <c r="F869" t="s">
        <v>20</v>
      </c>
      <c r="G869" t="s">
        <v>23</v>
      </c>
      <c r="H869" t="s">
        <v>6788</v>
      </c>
      <c r="I869" t="s">
        <v>6789</v>
      </c>
      <c r="J869" t="s">
        <v>10790</v>
      </c>
      <c r="K869" t="s">
        <v>10791</v>
      </c>
      <c r="L869" t="s">
        <v>6524</v>
      </c>
      <c r="M869" t="s">
        <v>32</v>
      </c>
      <c r="N869" t="s">
        <v>33</v>
      </c>
      <c r="O869" t="s">
        <v>34</v>
      </c>
      <c r="P869" t="s">
        <v>20</v>
      </c>
      <c r="Q869" t="s">
        <v>20</v>
      </c>
      <c r="R869" t="s">
        <v>10792</v>
      </c>
      <c r="S869" t="s">
        <v>6790</v>
      </c>
    </row>
    <row r="870" spans="1:19" x14ac:dyDescent="0.45">
      <c r="A870" t="s">
        <v>928</v>
      </c>
      <c r="B870" t="s">
        <v>20</v>
      </c>
      <c r="C870" t="s">
        <v>929</v>
      </c>
      <c r="D870" t="s">
        <v>930</v>
      </c>
      <c r="E870" t="s">
        <v>57</v>
      </c>
      <c r="F870" t="s">
        <v>20</v>
      </c>
      <c r="G870" t="s">
        <v>23</v>
      </c>
      <c r="H870" t="s">
        <v>931</v>
      </c>
      <c r="I870" t="s">
        <v>932</v>
      </c>
      <c r="J870" t="s">
        <v>933</v>
      </c>
      <c r="K870" t="s">
        <v>934</v>
      </c>
      <c r="L870" t="s">
        <v>43</v>
      </c>
      <c r="M870" t="s">
        <v>32</v>
      </c>
      <c r="N870" t="s">
        <v>62</v>
      </c>
      <c r="O870" t="s">
        <v>34</v>
      </c>
      <c r="P870" t="s">
        <v>20</v>
      </c>
      <c r="Q870" t="s">
        <v>20</v>
      </c>
      <c r="R870" t="s">
        <v>935</v>
      </c>
      <c r="S870" t="s">
        <v>20</v>
      </c>
    </row>
    <row r="871" spans="1:19" x14ac:dyDescent="0.45">
      <c r="A871" t="s">
        <v>706</v>
      </c>
      <c r="B871" t="s">
        <v>20</v>
      </c>
      <c r="C871" t="s">
        <v>1193</v>
      </c>
      <c r="D871" t="s">
        <v>1194</v>
      </c>
      <c r="E871" t="s">
        <v>38</v>
      </c>
      <c r="F871" t="s">
        <v>20</v>
      </c>
      <c r="G871" t="s">
        <v>23</v>
      </c>
      <c r="H871" t="s">
        <v>2575</v>
      </c>
      <c r="I871" t="s">
        <v>2576</v>
      </c>
      <c r="J871" t="s">
        <v>2577</v>
      </c>
      <c r="K871" t="s">
        <v>2578</v>
      </c>
      <c r="L871" t="s">
        <v>6523</v>
      </c>
      <c r="M871" t="s">
        <v>136</v>
      </c>
      <c r="N871" t="s">
        <v>62</v>
      </c>
      <c r="O871" t="s">
        <v>34</v>
      </c>
      <c r="P871" t="s">
        <v>20</v>
      </c>
      <c r="Q871" t="s">
        <v>20</v>
      </c>
      <c r="R871" t="s">
        <v>1163</v>
      </c>
      <c r="S871" t="s">
        <v>20</v>
      </c>
    </row>
    <row r="872" spans="1:19" x14ac:dyDescent="0.45">
      <c r="A872" t="s">
        <v>1278</v>
      </c>
      <c r="B872" t="s">
        <v>20</v>
      </c>
      <c r="C872" t="s">
        <v>5144</v>
      </c>
      <c r="D872" t="s">
        <v>5145</v>
      </c>
      <c r="E872" t="s">
        <v>38</v>
      </c>
      <c r="F872" t="s">
        <v>20</v>
      </c>
      <c r="G872" t="s">
        <v>23</v>
      </c>
      <c r="H872" t="s">
        <v>6878</v>
      </c>
      <c r="I872" t="s">
        <v>6879</v>
      </c>
      <c r="J872" t="s">
        <v>10994</v>
      </c>
      <c r="K872" t="s">
        <v>10995</v>
      </c>
      <c r="L872" t="s">
        <v>9570</v>
      </c>
      <c r="M872" t="s">
        <v>32</v>
      </c>
      <c r="N872" t="s">
        <v>33</v>
      </c>
      <c r="O872" t="s">
        <v>34</v>
      </c>
      <c r="P872" t="s">
        <v>20</v>
      </c>
      <c r="Q872" t="s">
        <v>20</v>
      </c>
      <c r="R872" t="s">
        <v>10996</v>
      </c>
      <c r="S872" t="s">
        <v>6880</v>
      </c>
    </row>
    <row r="873" spans="1:19" x14ac:dyDescent="0.45">
      <c r="A873" t="s">
        <v>211</v>
      </c>
      <c r="B873" t="s">
        <v>20</v>
      </c>
      <c r="C873" t="s">
        <v>654</v>
      </c>
      <c r="D873" t="s">
        <v>655</v>
      </c>
      <c r="E873" t="s">
        <v>38</v>
      </c>
      <c r="F873" t="s">
        <v>20</v>
      </c>
      <c r="G873" t="s">
        <v>23</v>
      </c>
      <c r="H873" t="s">
        <v>11693</v>
      </c>
      <c r="I873" t="s">
        <v>11694</v>
      </c>
      <c r="J873" t="s">
        <v>12805</v>
      </c>
      <c r="K873" t="s">
        <v>12806</v>
      </c>
      <c r="L873" t="s">
        <v>6524</v>
      </c>
      <c r="M873" t="s">
        <v>12431</v>
      </c>
      <c r="N873" t="s">
        <v>33</v>
      </c>
      <c r="O873" t="s">
        <v>34</v>
      </c>
      <c r="P873" t="s">
        <v>20</v>
      </c>
      <c r="Q873" t="s">
        <v>20</v>
      </c>
      <c r="R873" t="s">
        <v>12807</v>
      </c>
      <c r="S873" t="s">
        <v>11695</v>
      </c>
    </row>
    <row r="874" spans="1:19" x14ac:dyDescent="0.45">
      <c r="A874" t="s">
        <v>246</v>
      </c>
      <c r="B874" t="s">
        <v>20</v>
      </c>
      <c r="C874" t="s">
        <v>779</v>
      </c>
      <c r="D874" t="s">
        <v>780</v>
      </c>
      <c r="E874" t="s">
        <v>38</v>
      </c>
      <c r="F874" t="s">
        <v>20</v>
      </c>
      <c r="G874" t="s">
        <v>23</v>
      </c>
      <c r="H874" t="s">
        <v>6786</v>
      </c>
      <c r="I874" t="s">
        <v>6787</v>
      </c>
      <c r="J874" t="s">
        <v>10759</v>
      </c>
      <c r="K874" t="s">
        <v>10760</v>
      </c>
      <c r="L874" t="s">
        <v>9619</v>
      </c>
      <c r="M874" t="s">
        <v>32</v>
      </c>
      <c r="N874" t="s">
        <v>33</v>
      </c>
      <c r="O874" t="s">
        <v>34</v>
      </c>
      <c r="P874" t="s">
        <v>20</v>
      </c>
      <c r="Q874" t="s">
        <v>20</v>
      </c>
      <c r="R874" t="s">
        <v>10761</v>
      </c>
      <c r="S874" t="s">
        <v>20</v>
      </c>
    </row>
    <row r="875" spans="1:19" x14ac:dyDescent="0.45">
      <c r="A875" t="s">
        <v>563</v>
      </c>
      <c r="B875" t="s">
        <v>20</v>
      </c>
      <c r="C875" t="s">
        <v>7353</v>
      </c>
      <c r="D875" t="s">
        <v>6431</v>
      </c>
      <c r="E875" t="s">
        <v>57</v>
      </c>
      <c r="F875" t="s">
        <v>20</v>
      </c>
      <c r="G875" t="s">
        <v>23</v>
      </c>
      <c r="H875" t="s">
        <v>7354</v>
      </c>
      <c r="I875" t="s">
        <v>7355</v>
      </c>
      <c r="J875" t="s">
        <v>7356</v>
      </c>
      <c r="K875" t="s">
        <v>7357</v>
      </c>
      <c r="L875" t="s">
        <v>9155</v>
      </c>
      <c r="M875" t="s">
        <v>32</v>
      </c>
      <c r="N875" t="s">
        <v>62</v>
      </c>
      <c r="O875" t="s">
        <v>34</v>
      </c>
      <c r="P875" t="s">
        <v>20</v>
      </c>
      <c r="Q875" t="s">
        <v>20</v>
      </c>
      <c r="R875" t="s">
        <v>7060</v>
      </c>
      <c r="S875" t="s">
        <v>20</v>
      </c>
    </row>
    <row r="876" spans="1:19" x14ac:dyDescent="0.45">
      <c r="A876" t="s">
        <v>1613</v>
      </c>
      <c r="B876" t="s">
        <v>20</v>
      </c>
      <c r="C876" t="s">
        <v>8711</v>
      </c>
      <c r="D876" t="s">
        <v>6351</v>
      </c>
      <c r="E876" t="s">
        <v>57</v>
      </c>
      <c r="F876" t="s">
        <v>20</v>
      </c>
      <c r="G876" t="s">
        <v>23</v>
      </c>
      <c r="H876" t="s">
        <v>9050</v>
      </c>
      <c r="I876" t="s">
        <v>9056</v>
      </c>
      <c r="J876" t="s">
        <v>9258</v>
      </c>
      <c r="K876" t="s">
        <v>9259</v>
      </c>
      <c r="L876" t="s">
        <v>3418</v>
      </c>
      <c r="M876" t="s">
        <v>6932</v>
      </c>
      <c r="N876" t="s">
        <v>62</v>
      </c>
      <c r="O876" t="s">
        <v>34</v>
      </c>
      <c r="P876" t="s">
        <v>20</v>
      </c>
      <c r="Q876" t="s">
        <v>20</v>
      </c>
      <c r="R876" t="s">
        <v>9260</v>
      </c>
      <c r="S876" t="s">
        <v>20</v>
      </c>
    </row>
    <row r="877" spans="1:19" x14ac:dyDescent="0.45">
      <c r="A877" t="s">
        <v>943</v>
      </c>
      <c r="B877" t="s">
        <v>20</v>
      </c>
      <c r="C877" t="s">
        <v>4966</v>
      </c>
      <c r="D877" t="s">
        <v>4967</v>
      </c>
      <c r="E877" t="s">
        <v>38</v>
      </c>
      <c r="F877" t="s">
        <v>20</v>
      </c>
      <c r="G877" t="s">
        <v>23</v>
      </c>
      <c r="H877" t="s">
        <v>12190</v>
      </c>
      <c r="I877" t="s">
        <v>12191</v>
      </c>
      <c r="J877" t="s">
        <v>12866</v>
      </c>
      <c r="K877" t="s">
        <v>12867</v>
      </c>
      <c r="L877" t="s">
        <v>6524</v>
      </c>
      <c r="M877" t="s">
        <v>12431</v>
      </c>
      <c r="N877" t="s">
        <v>33</v>
      </c>
      <c r="O877" t="s">
        <v>34</v>
      </c>
      <c r="P877" t="s">
        <v>20</v>
      </c>
      <c r="Q877" t="s">
        <v>20</v>
      </c>
      <c r="R877" t="s">
        <v>12868</v>
      </c>
      <c r="S877" t="s">
        <v>12192</v>
      </c>
    </row>
    <row r="878" spans="1:19" x14ac:dyDescent="0.45">
      <c r="A878" t="s">
        <v>1598</v>
      </c>
      <c r="B878" t="s">
        <v>20</v>
      </c>
      <c r="C878" t="s">
        <v>1773</v>
      </c>
      <c r="D878" t="s">
        <v>1774</v>
      </c>
      <c r="E878" t="s">
        <v>57</v>
      </c>
      <c r="F878" t="s">
        <v>20</v>
      </c>
      <c r="G878" t="s">
        <v>23</v>
      </c>
      <c r="H878" t="s">
        <v>7724</v>
      </c>
      <c r="I878" t="s">
        <v>7725</v>
      </c>
      <c r="J878" t="s">
        <v>7726</v>
      </c>
      <c r="K878" t="s">
        <v>7727</v>
      </c>
      <c r="L878" t="s">
        <v>13871</v>
      </c>
      <c r="M878" t="s">
        <v>32</v>
      </c>
      <c r="N878" t="s">
        <v>62</v>
      </c>
      <c r="O878" t="s">
        <v>34</v>
      </c>
      <c r="P878" t="s">
        <v>20</v>
      </c>
      <c r="Q878" t="s">
        <v>20</v>
      </c>
      <c r="R878" t="s">
        <v>7070</v>
      </c>
      <c r="S878" t="s">
        <v>20</v>
      </c>
    </row>
    <row r="879" spans="1:19" x14ac:dyDescent="0.45">
      <c r="A879" t="s">
        <v>592</v>
      </c>
      <c r="B879" t="s">
        <v>20</v>
      </c>
      <c r="C879" t="s">
        <v>1170</v>
      </c>
      <c r="D879" t="s">
        <v>1171</v>
      </c>
      <c r="E879" t="s">
        <v>38</v>
      </c>
      <c r="F879" t="s">
        <v>20</v>
      </c>
      <c r="G879" t="s">
        <v>23</v>
      </c>
      <c r="H879" t="s">
        <v>9016</v>
      </c>
      <c r="I879" t="s">
        <v>9632</v>
      </c>
      <c r="J879" t="s">
        <v>9633</v>
      </c>
      <c r="K879" t="s">
        <v>9634</v>
      </c>
      <c r="L879" t="s">
        <v>2769</v>
      </c>
      <c r="M879" t="s">
        <v>32</v>
      </c>
      <c r="N879" t="s">
        <v>113</v>
      </c>
      <c r="O879" t="s">
        <v>34</v>
      </c>
      <c r="P879" t="s">
        <v>6527</v>
      </c>
      <c r="Q879" t="s">
        <v>20</v>
      </c>
      <c r="R879" t="s">
        <v>9635</v>
      </c>
      <c r="S879" t="s">
        <v>20</v>
      </c>
    </row>
    <row r="880" spans="1:19" x14ac:dyDescent="0.45">
      <c r="A880" t="s">
        <v>231</v>
      </c>
      <c r="B880" t="s">
        <v>20</v>
      </c>
      <c r="C880" t="s">
        <v>7847</v>
      </c>
      <c r="D880" t="s">
        <v>7848</v>
      </c>
      <c r="E880" t="s">
        <v>2487</v>
      </c>
      <c r="F880" t="s">
        <v>20</v>
      </c>
      <c r="G880" t="s">
        <v>23</v>
      </c>
      <c r="H880" t="s">
        <v>7849</v>
      </c>
      <c r="I880" t="s">
        <v>7850</v>
      </c>
      <c r="J880" t="s">
        <v>7851</v>
      </c>
      <c r="K880" t="s">
        <v>7852</v>
      </c>
      <c r="L880" t="s">
        <v>3418</v>
      </c>
      <c r="M880" t="s">
        <v>32</v>
      </c>
      <c r="N880" t="s">
        <v>62</v>
      </c>
      <c r="O880" t="s">
        <v>34</v>
      </c>
      <c r="P880" t="s">
        <v>20</v>
      </c>
      <c r="Q880" t="s">
        <v>20</v>
      </c>
      <c r="R880" t="s">
        <v>7853</v>
      </c>
      <c r="S880" t="s">
        <v>20</v>
      </c>
    </row>
    <row r="881" spans="1:19" x14ac:dyDescent="0.45">
      <c r="A881" t="s">
        <v>35</v>
      </c>
      <c r="B881" t="s">
        <v>20</v>
      </c>
      <c r="C881" t="s">
        <v>2485</v>
      </c>
      <c r="D881" t="s">
        <v>2486</v>
      </c>
      <c r="E881" t="s">
        <v>38</v>
      </c>
      <c r="F881" t="s">
        <v>20</v>
      </c>
      <c r="G881" t="s">
        <v>23</v>
      </c>
      <c r="H881" t="s">
        <v>14149</v>
      </c>
      <c r="I881" t="s">
        <v>14150</v>
      </c>
      <c r="J881" t="s">
        <v>14151</v>
      </c>
      <c r="K881" t="s">
        <v>14152</v>
      </c>
      <c r="L881" t="s">
        <v>3418</v>
      </c>
      <c r="M881" t="s">
        <v>112</v>
      </c>
      <c r="N881" t="s">
        <v>62</v>
      </c>
      <c r="O881" t="s">
        <v>34</v>
      </c>
      <c r="P881" t="s">
        <v>20</v>
      </c>
      <c r="Q881" t="s">
        <v>20</v>
      </c>
      <c r="R881" t="s">
        <v>14153</v>
      </c>
      <c r="S881" t="s">
        <v>20</v>
      </c>
    </row>
    <row r="882" spans="1:19" x14ac:dyDescent="0.45">
      <c r="A882" t="s">
        <v>7222</v>
      </c>
      <c r="B882" t="s">
        <v>20</v>
      </c>
      <c r="C882" t="s">
        <v>7223</v>
      </c>
      <c r="D882" t="s">
        <v>5652</v>
      </c>
      <c r="E882" t="s">
        <v>2487</v>
      </c>
      <c r="F882" t="s">
        <v>20</v>
      </c>
      <c r="G882" t="s">
        <v>23</v>
      </c>
      <c r="H882" t="s">
        <v>7224</v>
      </c>
      <c r="I882" t="s">
        <v>7225</v>
      </c>
      <c r="J882" t="s">
        <v>7226</v>
      </c>
      <c r="K882" t="s">
        <v>7227</v>
      </c>
      <c r="L882" t="s">
        <v>3418</v>
      </c>
      <c r="M882" t="s">
        <v>32</v>
      </c>
      <c r="N882" t="s">
        <v>62</v>
      </c>
      <c r="O882" t="s">
        <v>34</v>
      </c>
      <c r="P882" t="s">
        <v>20</v>
      </c>
      <c r="Q882" t="s">
        <v>20</v>
      </c>
      <c r="R882" t="s">
        <v>7228</v>
      </c>
      <c r="S882" t="s">
        <v>20</v>
      </c>
    </row>
    <row r="883" spans="1:19" x14ac:dyDescent="0.45">
      <c r="A883" t="s">
        <v>1613</v>
      </c>
      <c r="B883" t="s">
        <v>20</v>
      </c>
      <c r="C883" t="s">
        <v>2445</v>
      </c>
      <c r="D883" t="s">
        <v>2446</v>
      </c>
      <c r="E883" t="s">
        <v>57</v>
      </c>
      <c r="F883" t="s">
        <v>20</v>
      </c>
      <c r="G883" t="s">
        <v>23</v>
      </c>
      <c r="H883" t="s">
        <v>9264</v>
      </c>
      <c r="I883" t="s">
        <v>9265</v>
      </c>
      <c r="J883" t="s">
        <v>9266</v>
      </c>
      <c r="K883" t="s">
        <v>9267</v>
      </c>
      <c r="L883" t="s">
        <v>3418</v>
      </c>
      <c r="M883" t="s">
        <v>6932</v>
      </c>
      <c r="N883" t="s">
        <v>62</v>
      </c>
      <c r="O883" t="s">
        <v>34</v>
      </c>
      <c r="P883" t="s">
        <v>20</v>
      </c>
      <c r="Q883" t="s">
        <v>20</v>
      </c>
      <c r="R883" t="s">
        <v>9268</v>
      </c>
      <c r="S883" t="s">
        <v>20</v>
      </c>
    </row>
    <row r="884" spans="1:19" x14ac:dyDescent="0.45">
      <c r="A884" t="s">
        <v>3096</v>
      </c>
      <c r="B884" t="s">
        <v>20</v>
      </c>
      <c r="C884" t="s">
        <v>3947</v>
      </c>
      <c r="D884" t="s">
        <v>3948</v>
      </c>
      <c r="E884" t="s">
        <v>2487</v>
      </c>
      <c r="F884" t="s">
        <v>20</v>
      </c>
      <c r="G884" t="s">
        <v>23</v>
      </c>
      <c r="H884" t="s">
        <v>10889</v>
      </c>
      <c r="I884" t="s">
        <v>10890</v>
      </c>
      <c r="J884" t="s">
        <v>10891</v>
      </c>
      <c r="K884" t="s">
        <v>10892</v>
      </c>
      <c r="L884" t="s">
        <v>3418</v>
      </c>
      <c r="M884" t="s">
        <v>3105</v>
      </c>
      <c r="N884" t="s">
        <v>62</v>
      </c>
      <c r="O884" t="s">
        <v>34</v>
      </c>
      <c r="P884" t="s">
        <v>20</v>
      </c>
      <c r="Q884" t="s">
        <v>20</v>
      </c>
      <c r="R884" t="s">
        <v>10893</v>
      </c>
      <c r="S884" t="s">
        <v>20</v>
      </c>
    </row>
    <row r="885" spans="1:19" x14ac:dyDescent="0.45">
      <c r="A885" t="s">
        <v>3096</v>
      </c>
      <c r="B885" t="s">
        <v>20</v>
      </c>
      <c r="C885" t="s">
        <v>10969</v>
      </c>
      <c r="D885" t="s">
        <v>10970</v>
      </c>
      <c r="E885" t="s">
        <v>57</v>
      </c>
      <c r="F885" t="s">
        <v>20</v>
      </c>
      <c r="G885" t="s">
        <v>23</v>
      </c>
      <c r="H885" t="s">
        <v>10971</v>
      </c>
      <c r="I885" t="s">
        <v>10972</v>
      </c>
      <c r="J885" t="s">
        <v>10973</v>
      </c>
      <c r="K885" t="s">
        <v>10974</v>
      </c>
      <c r="L885" t="s">
        <v>3418</v>
      </c>
      <c r="M885" t="s">
        <v>3105</v>
      </c>
      <c r="N885" t="s">
        <v>62</v>
      </c>
      <c r="O885" t="s">
        <v>34</v>
      </c>
      <c r="P885" t="s">
        <v>20</v>
      </c>
      <c r="Q885" t="s">
        <v>20</v>
      </c>
      <c r="R885" t="s">
        <v>10975</v>
      </c>
      <c r="S885" t="s">
        <v>20</v>
      </c>
    </row>
    <row r="886" spans="1:19" x14ac:dyDescent="0.45">
      <c r="A886" t="s">
        <v>869</v>
      </c>
      <c r="B886" t="s">
        <v>20</v>
      </c>
      <c r="C886" t="s">
        <v>1037</v>
      </c>
      <c r="D886" t="s">
        <v>1038</v>
      </c>
      <c r="E886" t="s">
        <v>2487</v>
      </c>
      <c r="F886" t="s">
        <v>20</v>
      </c>
      <c r="G886" t="s">
        <v>23</v>
      </c>
      <c r="H886" t="s">
        <v>7854</v>
      </c>
      <c r="I886" t="s">
        <v>7855</v>
      </c>
      <c r="J886" t="s">
        <v>7856</v>
      </c>
      <c r="K886" t="s">
        <v>7857</v>
      </c>
      <c r="L886" t="s">
        <v>3418</v>
      </c>
      <c r="M886" t="s">
        <v>32</v>
      </c>
      <c r="N886" t="s">
        <v>62</v>
      </c>
      <c r="O886" t="s">
        <v>34</v>
      </c>
      <c r="P886" t="s">
        <v>20</v>
      </c>
      <c r="Q886" t="s">
        <v>20</v>
      </c>
      <c r="R886" t="s">
        <v>7858</v>
      </c>
      <c r="S886" t="s">
        <v>20</v>
      </c>
    </row>
    <row r="887" spans="1:19" x14ac:dyDescent="0.45">
      <c r="A887" t="s">
        <v>26</v>
      </c>
      <c r="B887" t="s">
        <v>20</v>
      </c>
      <c r="C887" t="s">
        <v>254</v>
      </c>
      <c r="D887" t="s">
        <v>255</v>
      </c>
      <c r="E887" t="s">
        <v>57</v>
      </c>
      <c r="F887" t="s">
        <v>20</v>
      </c>
      <c r="G887" t="s">
        <v>23</v>
      </c>
      <c r="H887" t="s">
        <v>7545</v>
      </c>
      <c r="I887" t="s">
        <v>7546</v>
      </c>
      <c r="J887" t="s">
        <v>7547</v>
      </c>
      <c r="K887" t="s">
        <v>7548</v>
      </c>
      <c r="L887" t="s">
        <v>2769</v>
      </c>
      <c r="M887" t="s">
        <v>32</v>
      </c>
      <c r="N887" t="s">
        <v>62</v>
      </c>
      <c r="O887" t="s">
        <v>34</v>
      </c>
      <c r="P887" t="s">
        <v>20</v>
      </c>
      <c r="Q887" t="s">
        <v>20</v>
      </c>
      <c r="R887" t="s">
        <v>7549</v>
      </c>
      <c r="S887" t="s">
        <v>20</v>
      </c>
    </row>
    <row r="888" spans="1:19" x14ac:dyDescent="0.45">
      <c r="A888" t="s">
        <v>276</v>
      </c>
      <c r="B888" t="s">
        <v>20</v>
      </c>
      <c r="C888" t="s">
        <v>752</v>
      </c>
      <c r="D888" t="s">
        <v>753</v>
      </c>
      <c r="E888" t="s">
        <v>38</v>
      </c>
      <c r="F888" t="s">
        <v>20</v>
      </c>
      <c r="G888" t="s">
        <v>23</v>
      </c>
      <c r="H888" t="s">
        <v>754</v>
      </c>
      <c r="I888" t="s">
        <v>755</v>
      </c>
      <c r="J888" t="s">
        <v>756</v>
      </c>
      <c r="K888" t="s">
        <v>757</v>
      </c>
      <c r="L888" t="s">
        <v>101</v>
      </c>
      <c r="M888" t="s">
        <v>112</v>
      </c>
      <c r="N888" t="s">
        <v>62</v>
      </c>
      <c r="O888" t="s">
        <v>34</v>
      </c>
      <c r="P888" t="s">
        <v>20</v>
      </c>
      <c r="Q888" t="s">
        <v>20</v>
      </c>
      <c r="R888" t="s">
        <v>313</v>
      </c>
      <c r="S888" t="s">
        <v>20</v>
      </c>
    </row>
    <row r="889" spans="1:19" x14ac:dyDescent="0.45">
      <c r="A889" t="s">
        <v>1308</v>
      </c>
      <c r="B889" t="s">
        <v>20</v>
      </c>
      <c r="C889" t="s">
        <v>6812</v>
      </c>
      <c r="D889" t="s">
        <v>6266</v>
      </c>
      <c r="E889" t="s">
        <v>38</v>
      </c>
      <c r="F889" t="s">
        <v>20</v>
      </c>
      <c r="G889" t="s">
        <v>23</v>
      </c>
      <c r="H889" t="s">
        <v>11699</v>
      </c>
      <c r="I889" t="s">
        <v>11700</v>
      </c>
      <c r="J889" t="s">
        <v>12869</v>
      </c>
      <c r="K889" t="s">
        <v>12870</v>
      </c>
      <c r="L889" t="s">
        <v>6524</v>
      </c>
      <c r="M889" t="s">
        <v>12431</v>
      </c>
      <c r="N889" t="s">
        <v>33</v>
      </c>
      <c r="O889" t="s">
        <v>34</v>
      </c>
      <c r="P889" t="s">
        <v>20</v>
      </c>
      <c r="Q889" t="s">
        <v>20</v>
      </c>
      <c r="R889" t="s">
        <v>12871</v>
      </c>
      <c r="S889" t="s">
        <v>11701</v>
      </c>
    </row>
    <row r="890" spans="1:19" x14ac:dyDescent="0.45">
      <c r="A890" t="s">
        <v>261</v>
      </c>
      <c r="B890" t="s">
        <v>20</v>
      </c>
      <c r="C890" t="s">
        <v>7590</v>
      </c>
      <c r="D890" t="s">
        <v>7591</v>
      </c>
      <c r="E890" t="s">
        <v>2487</v>
      </c>
      <c r="F890" t="s">
        <v>20</v>
      </c>
      <c r="G890" t="s">
        <v>23</v>
      </c>
      <c r="H890" t="s">
        <v>7592</v>
      </c>
      <c r="I890" t="s">
        <v>7593</v>
      </c>
      <c r="J890" t="s">
        <v>7594</v>
      </c>
      <c r="K890" t="s">
        <v>7595</v>
      </c>
      <c r="L890" t="s">
        <v>3418</v>
      </c>
      <c r="M890" t="s">
        <v>32</v>
      </c>
      <c r="N890" t="s">
        <v>62</v>
      </c>
      <c r="O890" t="s">
        <v>34</v>
      </c>
      <c r="P890" t="s">
        <v>20</v>
      </c>
      <c r="Q890" t="s">
        <v>20</v>
      </c>
      <c r="R890" t="s">
        <v>7596</v>
      </c>
      <c r="S890" t="s">
        <v>20</v>
      </c>
    </row>
    <row r="891" spans="1:19" x14ac:dyDescent="0.45">
      <c r="A891" t="s">
        <v>6989</v>
      </c>
      <c r="B891" t="s">
        <v>20</v>
      </c>
      <c r="C891" t="s">
        <v>1902</v>
      </c>
      <c r="D891" t="s">
        <v>1903</v>
      </c>
      <c r="E891" t="s">
        <v>57</v>
      </c>
      <c r="F891" t="s">
        <v>20</v>
      </c>
      <c r="G891" t="s">
        <v>23</v>
      </c>
      <c r="H891" t="s">
        <v>1904</v>
      </c>
      <c r="I891" t="s">
        <v>1905</v>
      </c>
      <c r="J891" t="s">
        <v>1906</v>
      </c>
      <c r="K891" t="s">
        <v>1907</v>
      </c>
      <c r="L891" t="s">
        <v>43</v>
      </c>
      <c r="M891" t="s">
        <v>32</v>
      </c>
      <c r="N891" t="s">
        <v>62</v>
      </c>
      <c r="O891" t="s">
        <v>34</v>
      </c>
      <c r="P891" t="s">
        <v>20</v>
      </c>
      <c r="Q891" t="s">
        <v>20</v>
      </c>
      <c r="R891" t="s">
        <v>1766</v>
      </c>
      <c r="S891" t="s">
        <v>20</v>
      </c>
    </row>
    <row r="892" spans="1:19" x14ac:dyDescent="0.45">
      <c r="A892" t="s">
        <v>94</v>
      </c>
      <c r="B892" t="s">
        <v>20</v>
      </c>
      <c r="C892" t="s">
        <v>2107</v>
      </c>
      <c r="D892" t="s">
        <v>2108</v>
      </c>
      <c r="E892" t="s">
        <v>38</v>
      </c>
      <c r="F892" t="s">
        <v>20</v>
      </c>
      <c r="G892" t="s">
        <v>23</v>
      </c>
      <c r="H892" t="s">
        <v>2109</v>
      </c>
      <c r="I892" t="s">
        <v>2110</v>
      </c>
      <c r="J892" t="s">
        <v>2111</v>
      </c>
      <c r="K892" t="s">
        <v>2112</v>
      </c>
      <c r="L892" t="s">
        <v>6513</v>
      </c>
      <c r="M892" t="s">
        <v>102</v>
      </c>
      <c r="N892" t="s">
        <v>62</v>
      </c>
      <c r="O892" t="s">
        <v>34</v>
      </c>
      <c r="P892" t="s">
        <v>20</v>
      </c>
      <c r="Q892" t="s">
        <v>20</v>
      </c>
      <c r="R892" t="s">
        <v>103</v>
      </c>
      <c r="S892" t="s">
        <v>20</v>
      </c>
    </row>
    <row r="893" spans="1:19" x14ac:dyDescent="0.45">
      <c r="A893" t="s">
        <v>114</v>
      </c>
      <c r="B893" t="s">
        <v>20</v>
      </c>
      <c r="C893" t="s">
        <v>7257</v>
      </c>
      <c r="D893" t="s">
        <v>5822</v>
      </c>
      <c r="E893" t="s">
        <v>57</v>
      </c>
      <c r="F893" t="s">
        <v>20</v>
      </c>
      <c r="G893" t="s">
        <v>23</v>
      </c>
      <c r="H893" t="s">
        <v>10514</v>
      </c>
      <c r="I893" t="s">
        <v>10515</v>
      </c>
      <c r="J893" t="s">
        <v>10516</v>
      </c>
      <c r="K893" t="s">
        <v>10517</v>
      </c>
      <c r="L893" t="s">
        <v>3418</v>
      </c>
      <c r="M893" t="s">
        <v>32</v>
      </c>
      <c r="N893" t="s">
        <v>62</v>
      </c>
      <c r="O893" t="s">
        <v>34</v>
      </c>
      <c r="P893" t="s">
        <v>20</v>
      </c>
      <c r="Q893" t="s">
        <v>20</v>
      </c>
      <c r="R893" t="s">
        <v>10518</v>
      </c>
      <c r="S893" t="s">
        <v>20</v>
      </c>
    </row>
    <row r="894" spans="1:19" x14ac:dyDescent="0.45">
      <c r="A894" t="s">
        <v>563</v>
      </c>
      <c r="B894" t="s">
        <v>20</v>
      </c>
      <c r="C894" t="s">
        <v>4350</v>
      </c>
      <c r="D894" t="s">
        <v>4351</v>
      </c>
      <c r="E894" t="s">
        <v>57</v>
      </c>
      <c r="F894" t="s">
        <v>20</v>
      </c>
      <c r="G894" t="s">
        <v>23</v>
      </c>
      <c r="H894" t="s">
        <v>7132</v>
      </c>
      <c r="I894" t="s">
        <v>7133</v>
      </c>
      <c r="J894" t="s">
        <v>7134</v>
      </c>
      <c r="K894" t="s">
        <v>7135</v>
      </c>
      <c r="L894" t="s">
        <v>9155</v>
      </c>
      <c r="M894" t="s">
        <v>32</v>
      </c>
      <c r="N894" t="s">
        <v>62</v>
      </c>
      <c r="O894" t="s">
        <v>34</v>
      </c>
      <c r="P894" t="s">
        <v>20</v>
      </c>
      <c r="Q894" t="s">
        <v>20</v>
      </c>
      <c r="R894" t="s">
        <v>7060</v>
      </c>
      <c r="S894" t="s">
        <v>20</v>
      </c>
    </row>
    <row r="895" spans="1:19" x14ac:dyDescent="0.45">
      <c r="A895" t="s">
        <v>246</v>
      </c>
      <c r="B895" t="s">
        <v>20</v>
      </c>
      <c r="C895" t="s">
        <v>679</v>
      </c>
      <c r="D895" t="s">
        <v>680</v>
      </c>
      <c r="E895" t="s">
        <v>57</v>
      </c>
      <c r="F895" t="s">
        <v>20</v>
      </c>
      <c r="G895" t="s">
        <v>23</v>
      </c>
      <c r="H895" t="s">
        <v>681</v>
      </c>
      <c r="I895" t="s">
        <v>682</v>
      </c>
      <c r="J895" t="s">
        <v>683</v>
      </c>
      <c r="K895" t="s">
        <v>684</v>
      </c>
      <c r="L895" t="s">
        <v>43</v>
      </c>
      <c r="M895" t="s">
        <v>32</v>
      </c>
      <c r="N895" t="s">
        <v>62</v>
      </c>
      <c r="O895" t="s">
        <v>34</v>
      </c>
      <c r="P895" t="s">
        <v>20</v>
      </c>
      <c r="Q895" t="s">
        <v>20</v>
      </c>
      <c r="R895" t="s">
        <v>253</v>
      </c>
      <c r="S895" t="s">
        <v>20</v>
      </c>
    </row>
    <row r="896" spans="1:19" x14ac:dyDescent="0.45">
      <c r="A896" t="s">
        <v>173</v>
      </c>
      <c r="B896" t="s">
        <v>20</v>
      </c>
      <c r="C896" t="s">
        <v>482</v>
      </c>
      <c r="D896" t="s">
        <v>483</v>
      </c>
      <c r="E896" t="s">
        <v>38</v>
      </c>
      <c r="F896" t="s">
        <v>20</v>
      </c>
      <c r="G896" t="s">
        <v>23</v>
      </c>
      <c r="H896" t="s">
        <v>6907</v>
      </c>
      <c r="I896" t="s">
        <v>6908</v>
      </c>
      <c r="J896" t="s">
        <v>11125</v>
      </c>
      <c r="K896" t="s">
        <v>11126</v>
      </c>
      <c r="L896" t="s">
        <v>3998</v>
      </c>
      <c r="M896" t="s">
        <v>32</v>
      </c>
      <c r="N896" t="s">
        <v>33</v>
      </c>
      <c r="O896" t="s">
        <v>34</v>
      </c>
      <c r="P896" t="s">
        <v>20</v>
      </c>
      <c r="Q896" t="s">
        <v>20</v>
      </c>
      <c r="R896" t="s">
        <v>11127</v>
      </c>
      <c r="S896" t="s">
        <v>20</v>
      </c>
    </row>
    <row r="897" spans="1:19" x14ac:dyDescent="0.45">
      <c r="A897" t="s">
        <v>94</v>
      </c>
      <c r="B897" t="s">
        <v>20</v>
      </c>
      <c r="C897" t="s">
        <v>2746</v>
      </c>
      <c r="D897" t="s">
        <v>2747</v>
      </c>
      <c r="E897" t="s">
        <v>57</v>
      </c>
      <c r="F897" t="s">
        <v>20</v>
      </c>
      <c r="G897" t="s">
        <v>23</v>
      </c>
      <c r="H897" t="s">
        <v>7556</v>
      </c>
      <c r="I897" t="s">
        <v>7557</v>
      </c>
      <c r="J897" t="s">
        <v>7558</v>
      </c>
      <c r="K897" t="s">
        <v>7559</v>
      </c>
      <c r="L897" t="s">
        <v>2769</v>
      </c>
      <c r="M897" t="s">
        <v>102</v>
      </c>
      <c r="N897" t="s">
        <v>62</v>
      </c>
      <c r="O897" t="s">
        <v>34</v>
      </c>
      <c r="P897" t="s">
        <v>20</v>
      </c>
      <c r="Q897" t="s">
        <v>20</v>
      </c>
      <c r="R897" t="s">
        <v>7560</v>
      </c>
      <c r="S897" t="s">
        <v>20</v>
      </c>
    </row>
    <row r="898" spans="1:19" x14ac:dyDescent="0.45">
      <c r="A898" t="s">
        <v>269</v>
      </c>
      <c r="B898" t="s">
        <v>20</v>
      </c>
      <c r="C898" t="s">
        <v>990</v>
      </c>
      <c r="D898" t="s">
        <v>991</v>
      </c>
      <c r="E898" t="s">
        <v>57</v>
      </c>
      <c r="F898" t="s">
        <v>20</v>
      </c>
      <c r="G898" t="s">
        <v>23</v>
      </c>
      <c r="H898" t="s">
        <v>992</v>
      </c>
      <c r="I898" t="s">
        <v>993</v>
      </c>
      <c r="J898" t="s">
        <v>994</v>
      </c>
      <c r="K898" t="s">
        <v>995</v>
      </c>
      <c r="L898" t="s">
        <v>43</v>
      </c>
      <c r="M898" t="s">
        <v>32</v>
      </c>
      <c r="N898" t="s">
        <v>62</v>
      </c>
      <c r="O898" t="s">
        <v>34</v>
      </c>
      <c r="P898" t="s">
        <v>20</v>
      </c>
      <c r="Q898" t="s">
        <v>20</v>
      </c>
      <c r="R898" t="s">
        <v>253</v>
      </c>
      <c r="S898" t="s">
        <v>20</v>
      </c>
    </row>
    <row r="899" spans="1:19" x14ac:dyDescent="0.45">
      <c r="A899" t="s">
        <v>592</v>
      </c>
      <c r="B899" t="s">
        <v>20</v>
      </c>
      <c r="C899" t="s">
        <v>1488</v>
      </c>
      <c r="D899" t="s">
        <v>1489</v>
      </c>
      <c r="E899" t="s">
        <v>38</v>
      </c>
      <c r="F899" t="s">
        <v>20</v>
      </c>
      <c r="G899" t="s">
        <v>23</v>
      </c>
      <c r="H899" t="s">
        <v>2533</v>
      </c>
      <c r="I899" t="s">
        <v>2534</v>
      </c>
      <c r="J899" t="s">
        <v>2535</v>
      </c>
      <c r="K899" t="s">
        <v>1210</v>
      </c>
      <c r="L899" t="s">
        <v>31</v>
      </c>
      <c r="M899" t="s">
        <v>32</v>
      </c>
      <c r="N899" t="s">
        <v>33</v>
      </c>
      <c r="O899" t="s">
        <v>34</v>
      </c>
      <c r="P899" t="s">
        <v>20</v>
      </c>
      <c r="Q899" t="s">
        <v>20</v>
      </c>
      <c r="R899" t="s">
        <v>2536</v>
      </c>
      <c r="S899" t="s">
        <v>20</v>
      </c>
    </row>
    <row r="900" spans="1:19" x14ac:dyDescent="0.45">
      <c r="A900" t="s">
        <v>1975</v>
      </c>
      <c r="B900" t="s">
        <v>20</v>
      </c>
      <c r="C900" t="s">
        <v>7337</v>
      </c>
      <c r="D900" t="s">
        <v>6433</v>
      </c>
      <c r="E900" t="s">
        <v>2487</v>
      </c>
      <c r="F900" t="s">
        <v>20</v>
      </c>
      <c r="G900" t="s">
        <v>23</v>
      </c>
      <c r="H900" t="s">
        <v>7338</v>
      </c>
      <c r="I900" t="s">
        <v>7339</v>
      </c>
      <c r="J900" t="s">
        <v>7340</v>
      </c>
      <c r="K900" t="s">
        <v>7341</v>
      </c>
      <c r="L900" t="s">
        <v>3418</v>
      </c>
      <c r="M900" t="s">
        <v>32</v>
      </c>
      <c r="N900" t="s">
        <v>62</v>
      </c>
      <c r="O900" t="s">
        <v>34</v>
      </c>
      <c r="P900" t="s">
        <v>20</v>
      </c>
      <c r="Q900" t="s">
        <v>20</v>
      </c>
      <c r="R900" t="s">
        <v>7342</v>
      </c>
      <c r="S900" t="s">
        <v>20</v>
      </c>
    </row>
    <row r="901" spans="1:19" x14ac:dyDescent="0.45">
      <c r="A901" t="s">
        <v>54</v>
      </c>
      <c r="B901" t="s">
        <v>20</v>
      </c>
      <c r="C901" t="s">
        <v>440</v>
      </c>
      <c r="D901" t="s">
        <v>441</v>
      </c>
      <c r="E901" t="s">
        <v>2487</v>
      </c>
      <c r="F901" t="s">
        <v>20</v>
      </c>
      <c r="G901" t="s">
        <v>23</v>
      </c>
      <c r="H901" t="s">
        <v>7929</v>
      </c>
      <c r="I901" t="s">
        <v>7930</v>
      </c>
      <c r="J901" t="s">
        <v>7931</v>
      </c>
      <c r="K901" t="s">
        <v>7932</v>
      </c>
      <c r="L901" t="s">
        <v>3418</v>
      </c>
      <c r="M901" t="s">
        <v>32</v>
      </c>
      <c r="N901" t="s">
        <v>62</v>
      </c>
      <c r="O901" t="s">
        <v>34</v>
      </c>
      <c r="P901" t="s">
        <v>20</v>
      </c>
      <c r="Q901" t="s">
        <v>20</v>
      </c>
      <c r="R901" t="s">
        <v>7933</v>
      </c>
      <c r="S901" t="s">
        <v>20</v>
      </c>
    </row>
    <row r="902" spans="1:19" x14ac:dyDescent="0.45">
      <c r="A902" t="s">
        <v>1027</v>
      </c>
      <c r="B902" t="s">
        <v>20</v>
      </c>
      <c r="C902" t="s">
        <v>6650</v>
      </c>
      <c r="D902" t="s">
        <v>6187</v>
      </c>
      <c r="E902" t="s">
        <v>57</v>
      </c>
      <c r="F902" t="s">
        <v>20</v>
      </c>
      <c r="G902" t="s">
        <v>23</v>
      </c>
      <c r="H902" t="s">
        <v>6508</v>
      </c>
      <c r="I902" t="s">
        <v>6651</v>
      </c>
      <c r="J902" t="s">
        <v>6652</v>
      </c>
      <c r="K902" t="s">
        <v>6653</v>
      </c>
      <c r="L902" t="s">
        <v>722</v>
      </c>
      <c r="M902" t="s">
        <v>32</v>
      </c>
      <c r="N902" t="s">
        <v>62</v>
      </c>
      <c r="O902" t="s">
        <v>34</v>
      </c>
      <c r="P902" t="s">
        <v>20</v>
      </c>
      <c r="Q902" t="s">
        <v>20</v>
      </c>
      <c r="R902" t="s">
        <v>253</v>
      </c>
      <c r="S902" t="s">
        <v>20</v>
      </c>
    </row>
    <row r="903" spans="1:19" x14ac:dyDescent="0.45">
      <c r="A903" t="s">
        <v>64</v>
      </c>
      <c r="B903" t="s">
        <v>20</v>
      </c>
      <c r="C903" t="s">
        <v>601</v>
      </c>
      <c r="D903" t="s">
        <v>602</v>
      </c>
      <c r="E903" t="s">
        <v>38</v>
      </c>
      <c r="F903" t="s">
        <v>20</v>
      </c>
      <c r="G903" t="s">
        <v>23</v>
      </c>
      <c r="H903" t="s">
        <v>11719</v>
      </c>
      <c r="I903" t="s">
        <v>11720</v>
      </c>
      <c r="J903" t="s">
        <v>20</v>
      </c>
      <c r="K903" t="s">
        <v>12826</v>
      </c>
      <c r="L903" t="s">
        <v>6524</v>
      </c>
      <c r="M903" t="s">
        <v>12431</v>
      </c>
      <c r="N903" t="s">
        <v>33</v>
      </c>
      <c r="O903" t="s">
        <v>34</v>
      </c>
      <c r="P903" t="s">
        <v>20</v>
      </c>
      <c r="Q903" t="s">
        <v>20</v>
      </c>
      <c r="R903" t="s">
        <v>20</v>
      </c>
      <c r="S903" t="s">
        <v>11721</v>
      </c>
    </row>
    <row r="904" spans="1:19" x14ac:dyDescent="0.45">
      <c r="A904" t="s">
        <v>395</v>
      </c>
      <c r="B904" t="s">
        <v>20</v>
      </c>
      <c r="C904" t="s">
        <v>1199</v>
      </c>
      <c r="D904" t="s">
        <v>1200</v>
      </c>
      <c r="E904" t="s">
        <v>29</v>
      </c>
      <c r="F904" t="s">
        <v>20</v>
      </c>
      <c r="G904" t="s">
        <v>23</v>
      </c>
      <c r="H904" t="s">
        <v>1201</v>
      </c>
      <c r="I904" t="s">
        <v>1202</v>
      </c>
      <c r="J904" t="s">
        <v>1203</v>
      </c>
      <c r="K904" t="s">
        <v>1204</v>
      </c>
      <c r="L904" t="s">
        <v>9126</v>
      </c>
      <c r="M904" t="s">
        <v>132</v>
      </c>
      <c r="N904" t="s">
        <v>33</v>
      </c>
      <c r="O904" t="s">
        <v>34</v>
      </c>
      <c r="P904" t="s">
        <v>20</v>
      </c>
      <c r="Q904" t="s">
        <v>20</v>
      </c>
      <c r="R904" t="s">
        <v>10008</v>
      </c>
      <c r="S904" t="s">
        <v>20</v>
      </c>
    </row>
    <row r="905" spans="1:19" x14ac:dyDescent="0.45">
      <c r="A905" t="s">
        <v>662</v>
      </c>
      <c r="B905" t="s">
        <v>20</v>
      </c>
      <c r="C905" t="s">
        <v>671</v>
      </c>
      <c r="D905" t="s">
        <v>672</v>
      </c>
      <c r="E905" t="s">
        <v>38</v>
      </c>
      <c r="F905" t="s">
        <v>20</v>
      </c>
      <c r="G905" t="s">
        <v>23</v>
      </c>
      <c r="H905" t="s">
        <v>13805</v>
      </c>
      <c r="I905" t="s">
        <v>13806</v>
      </c>
      <c r="J905" t="s">
        <v>14497</v>
      </c>
      <c r="K905" t="s">
        <v>14498</v>
      </c>
      <c r="L905" t="s">
        <v>9619</v>
      </c>
      <c r="M905" t="s">
        <v>32</v>
      </c>
      <c r="N905" t="s">
        <v>33</v>
      </c>
      <c r="O905" t="s">
        <v>34</v>
      </c>
      <c r="P905" t="s">
        <v>20</v>
      </c>
      <c r="Q905" t="s">
        <v>20</v>
      </c>
      <c r="R905" t="s">
        <v>14499</v>
      </c>
      <c r="S905" t="s">
        <v>20</v>
      </c>
    </row>
    <row r="906" spans="1:19" x14ac:dyDescent="0.45">
      <c r="A906" t="s">
        <v>777</v>
      </c>
      <c r="B906" t="s">
        <v>20</v>
      </c>
      <c r="C906" t="s">
        <v>11259</v>
      </c>
      <c r="D906" t="s">
        <v>5882</v>
      </c>
      <c r="E906" t="s">
        <v>57</v>
      </c>
      <c r="F906" t="s">
        <v>20</v>
      </c>
      <c r="G906" t="s">
        <v>23</v>
      </c>
      <c r="H906" t="s">
        <v>11260</v>
      </c>
      <c r="I906" t="s">
        <v>11261</v>
      </c>
      <c r="J906" t="s">
        <v>11262</v>
      </c>
      <c r="K906" t="s">
        <v>11263</v>
      </c>
      <c r="L906" t="s">
        <v>3418</v>
      </c>
      <c r="M906" t="s">
        <v>32</v>
      </c>
      <c r="N906" t="s">
        <v>62</v>
      </c>
      <c r="O906" t="s">
        <v>34</v>
      </c>
      <c r="P906" t="s">
        <v>20</v>
      </c>
      <c r="Q906" t="s">
        <v>20</v>
      </c>
      <c r="R906" t="s">
        <v>11264</v>
      </c>
      <c r="S906" t="s">
        <v>20</v>
      </c>
    </row>
    <row r="907" spans="1:19" x14ac:dyDescent="0.45">
      <c r="A907" t="s">
        <v>1975</v>
      </c>
      <c r="B907" t="s">
        <v>20</v>
      </c>
      <c r="C907" t="s">
        <v>7394</v>
      </c>
      <c r="D907" t="s">
        <v>7395</v>
      </c>
      <c r="E907" t="s">
        <v>57</v>
      </c>
      <c r="F907" t="s">
        <v>20</v>
      </c>
      <c r="G907" t="s">
        <v>23</v>
      </c>
      <c r="H907" t="s">
        <v>9287</v>
      </c>
      <c r="I907" t="s">
        <v>9288</v>
      </c>
      <c r="J907" t="s">
        <v>9289</v>
      </c>
      <c r="K907" t="s">
        <v>9290</v>
      </c>
      <c r="L907" t="s">
        <v>2769</v>
      </c>
      <c r="M907" t="s">
        <v>32</v>
      </c>
      <c r="N907" t="s">
        <v>62</v>
      </c>
      <c r="O907" t="s">
        <v>34</v>
      </c>
      <c r="P907" t="s">
        <v>20</v>
      </c>
      <c r="Q907" t="s">
        <v>20</v>
      </c>
      <c r="R907" t="s">
        <v>9291</v>
      </c>
      <c r="S907" t="s">
        <v>20</v>
      </c>
    </row>
    <row r="908" spans="1:19" x14ac:dyDescent="0.45">
      <c r="A908" t="s">
        <v>516</v>
      </c>
      <c r="B908" t="s">
        <v>20</v>
      </c>
      <c r="C908" t="s">
        <v>11671</v>
      </c>
      <c r="D908" t="s">
        <v>908</v>
      </c>
      <c r="E908" t="s">
        <v>38</v>
      </c>
      <c r="F908" t="s">
        <v>20</v>
      </c>
      <c r="G908" t="s">
        <v>23</v>
      </c>
      <c r="H908" t="s">
        <v>11708</v>
      </c>
      <c r="I908" t="s">
        <v>11709</v>
      </c>
      <c r="J908" t="s">
        <v>12841</v>
      </c>
      <c r="K908" t="s">
        <v>12842</v>
      </c>
      <c r="L908" t="s">
        <v>6524</v>
      </c>
      <c r="M908" t="s">
        <v>12431</v>
      </c>
      <c r="N908" t="s">
        <v>33</v>
      </c>
      <c r="O908" t="s">
        <v>34</v>
      </c>
      <c r="P908" t="s">
        <v>20</v>
      </c>
      <c r="Q908" t="s">
        <v>20</v>
      </c>
      <c r="R908" t="s">
        <v>12843</v>
      </c>
      <c r="S908" t="s">
        <v>11710</v>
      </c>
    </row>
    <row r="909" spans="1:19" x14ac:dyDescent="0.45">
      <c r="A909" t="s">
        <v>729</v>
      </c>
      <c r="B909" t="s">
        <v>20</v>
      </c>
      <c r="C909" t="s">
        <v>7238</v>
      </c>
      <c r="D909" t="s">
        <v>6260</v>
      </c>
      <c r="E909" t="s">
        <v>57</v>
      </c>
      <c r="F909" t="s">
        <v>20</v>
      </c>
      <c r="G909" t="s">
        <v>23</v>
      </c>
      <c r="H909" t="s">
        <v>7239</v>
      </c>
      <c r="I909" t="s">
        <v>7240</v>
      </c>
      <c r="J909" t="s">
        <v>7241</v>
      </c>
      <c r="K909" t="s">
        <v>7242</v>
      </c>
      <c r="L909" t="s">
        <v>2769</v>
      </c>
      <c r="M909" t="s">
        <v>102</v>
      </c>
      <c r="N909" t="s">
        <v>62</v>
      </c>
      <c r="O909" t="s">
        <v>34</v>
      </c>
      <c r="P909" t="s">
        <v>20</v>
      </c>
      <c r="Q909" t="s">
        <v>20</v>
      </c>
      <c r="R909" t="s">
        <v>7243</v>
      </c>
      <c r="S909" t="s">
        <v>20</v>
      </c>
    </row>
    <row r="910" spans="1:19" x14ac:dyDescent="0.45">
      <c r="A910" t="s">
        <v>1027</v>
      </c>
      <c r="B910" t="s">
        <v>20</v>
      </c>
      <c r="C910" t="s">
        <v>6654</v>
      </c>
      <c r="D910" t="s">
        <v>5740</v>
      </c>
      <c r="E910" t="s">
        <v>57</v>
      </c>
      <c r="F910" t="s">
        <v>20</v>
      </c>
      <c r="G910" t="s">
        <v>23</v>
      </c>
      <c r="H910" t="s">
        <v>6482</v>
      </c>
      <c r="I910" t="s">
        <v>6655</v>
      </c>
      <c r="J910" t="s">
        <v>6656</v>
      </c>
      <c r="K910" t="s">
        <v>6657</v>
      </c>
      <c r="L910" t="s">
        <v>722</v>
      </c>
      <c r="M910" t="s">
        <v>32</v>
      </c>
      <c r="N910" t="s">
        <v>62</v>
      </c>
      <c r="O910" t="s">
        <v>34</v>
      </c>
      <c r="P910" t="s">
        <v>20</v>
      </c>
      <c r="Q910" t="s">
        <v>20</v>
      </c>
      <c r="R910" t="s">
        <v>253</v>
      </c>
      <c r="S910" t="s">
        <v>20</v>
      </c>
    </row>
    <row r="911" spans="1:19" x14ac:dyDescent="0.45">
      <c r="A911" t="s">
        <v>511</v>
      </c>
      <c r="B911" t="s">
        <v>20</v>
      </c>
      <c r="C911" t="s">
        <v>1281</v>
      </c>
      <c r="D911" t="s">
        <v>1282</v>
      </c>
      <c r="E911" t="s">
        <v>38</v>
      </c>
      <c r="F911" t="s">
        <v>20</v>
      </c>
      <c r="G911" t="s">
        <v>23</v>
      </c>
      <c r="H911" t="s">
        <v>9952</v>
      </c>
      <c r="I911" t="s">
        <v>9953</v>
      </c>
      <c r="J911" t="s">
        <v>11091</v>
      </c>
      <c r="K911" t="s">
        <v>11020</v>
      </c>
      <c r="L911" t="s">
        <v>9570</v>
      </c>
      <c r="M911" t="s">
        <v>32</v>
      </c>
      <c r="N911" t="s">
        <v>33</v>
      </c>
      <c r="O911" t="s">
        <v>34</v>
      </c>
      <c r="P911" t="s">
        <v>20</v>
      </c>
      <c r="Q911" t="s">
        <v>20</v>
      </c>
      <c r="R911" t="s">
        <v>11092</v>
      </c>
      <c r="S911" t="s">
        <v>9954</v>
      </c>
    </row>
    <row r="912" spans="1:19" x14ac:dyDescent="0.45">
      <c r="A912" t="s">
        <v>386</v>
      </c>
      <c r="B912" t="s">
        <v>20</v>
      </c>
      <c r="C912" t="s">
        <v>468</v>
      </c>
      <c r="D912" t="s">
        <v>469</v>
      </c>
      <c r="E912" t="s">
        <v>29</v>
      </c>
      <c r="F912" t="s">
        <v>20</v>
      </c>
      <c r="G912" t="s">
        <v>23</v>
      </c>
      <c r="H912" t="s">
        <v>470</v>
      </c>
      <c r="I912" t="s">
        <v>471</v>
      </c>
      <c r="J912" t="s">
        <v>472</v>
      </c>
      <c r="K912" t="s">
        <v>473</v>
      </c>
      <c r="L912" t="s">
        <v>9296</v>
      </c>
      <c r="M912" t="s">
        <v>44</v>
      </c>
      <c r="N912" t="s">
        <v>45</v>
      </c>
      <c r="O912" t="s">
        <v>34</v>
      </c>
      <c r="P912" t="s">
        <v>20</v>
      </c>
      <c r="Q912" t="s">
        <v>20</v>
      </c>
      <c r="R912" t="s">
        <v>475</v>
      </c>
      <c r="S912" t="s">
        <v>20</v>
      </c>
    </row>
    <row r="913" spans="1:19" x14ac:dyDescent="0.45">
      <c r="A913" t="s">
        <v>802</v>
      </c>
      <c r="B913" t="s">
        <v>20</v>
      </c>
      <c r="C913" t="s">
        <v>1635</v>
      </c>
      <c r="D913" t="s">
        <v>1636</v>
      </c>
      <c r="E913" t="s">
        <v>57</v>
      </c>
      <c r="F913" t="s">
        <v>20</v>
      </c>
      <c r="G913" t="s">
        <v>23</v>
      </c>
      <c r="H913" t="s">
        <v>1637</v>
      </c>
      <c r="I913" t="s">
        <v>1222</v>
      </c>
      <c r="J913" t="s">
        <v>1638</v>
      </c>
      <c r="K913" t="s">
        <v>1158</v>
      </c>
      <c r="L913" t="s">
        <v>43</v>
      </c>
      <c r="M913" t="s">
        <v>32</v>
      </c>
      <c r="N913" t="s">
        <v>33</v>
      </c>
      <c r="O913" t="s">
        <v>34</v>
      </c>
      <c r="P913" t="s">
        <v>20</v>
      </c>
      <c r="Q913" t="s">
        <v>20</v>
      </c>
      <c r="R913" t="s">
        <v>1639</v>
      </c>
      <c r="S913" t="s">
        <v>20</v>
      </c>
    </row>
    <row r="914" spans="1:19" x14ac:dyDescent="0.45">
      <c r="A914" t="s">
        <v>362</v>
      </c>
      <c r="B914" t="s">
        <v>20</v>
      </c>
      <c r="C914" t="s">
        <v>363</v>
      </c>
      <c r="D914" t="s">
        <v>364</v>
      </c>
      <c r="E914" t="s">
        <v>38</v>
      </c>
      <c r="F914" t="s">
        <v>20</v>
      </c>
      <c r="G914" t="s">
        <v>23</v>
      </c>
      <c r="H914" t="s">
        <v>365</v>
      </c>
      <c r="I914" t="s">
        <v>366</v>
      </c>
      <c r="J914" t="s">
        <v>367</v>
      </c>
      <c r="K914" t="s">
        <v>368</v>
      </c>
      <c r="L914" t="s">
        <v>31</v>
      </c>
      <c r="M914" t="s">
        <v>32</v>
      </c>
      <c r="N914" t="s">
        <v>33</v>
      </c>
      <c r="O914" t="s">
        <v>34</v>
      </c>
      <c r="P914" t="s">
        <v>20</v>
      </c>
      <c r="Q914" t="s">
        <v>20</v>
      </c>
      <c r="R914" t="s">
        <v>369</v>
      </c>
      <c r="S914" t="s">
        <v>370</v>
      </c>
    </row>
    <row r="915" spans="1:19" x14ac:dyDescent="0.45">
      <c r="A915" t="s">
        <v>211</v>
      </c>
      <c r="B915" t="s">
        <v>20</v>
      </c>
      <c r="C915" t="s">
        <v>1053</v>
      </c>
      <c r="D915" t="s">
        <v>1054</v>
      </c>
      <c r="E915" t="s">
        <v>38</v>
      </c>
      <c r="F915" t="s">
        <v>20</v>
      </c>
      <c r="G915" t="s">
        <v>23</v>
      </c>
      <c r="H915" t="s">
        <v>11731</v>
      </c>
      <c r="I915" t="s">
        <v>11732</v>
      </c>
      <c r="J915" t="s">
        <v>12879</v>
      </c>
      <c r="K915" t="s">
        <v>12880</v>
      </c>
      <c r="L915" t="s">
        <v>6524</v>
      </c>
      <c r="M915" t="s">
        <v>12431</v>
      </c>
      <c r="N915" t="s">
        <v>33</v>
      </c>
      <c r="O915" t="s">
        <v>34</v>
      </c>
      <c r="P915" t="s">
        <v>20</v>
      </c>
      <c r="Q915" t="s">
        <v>20</v>
      </c>
      <c r="R915" t="s">
        <v>12881</v>
      </c>
      <c r="S915" t="s">
        <v>11733</v>
      </c>
    </row>
    <row r="916" spans="1:19" x14ac:dyDescent="0.45">
      <c r="A916" t="s">
        <v>508</v>
      </c>
      <c r="B916" t="s">
        <v>20</v>
      </c>
      <c r="C916" t="s">
        <v>2468</v>
      </c>
      <c r="D916" t="s">
        <v>2469</v>
      </c>
      <c r="E916" t="s">
        <v>2487</v>
      </c>
      <c r="F916" t="s">
        <v>20</v>
      </c>
      <c r="G916" t="s">
        <v>23</v>
      </c>
      <c r="H916" t="s">
        <v>7660</v>
      </c>
      <c r="I916" t="s">
        <v>7661</v>
      </c>
      <c r="J916" t="s">
        <v>7662</v>
      </c>
      <c r="K916" t="s">
        <v>7663</v>
      </c>
      <c r="L916" t="s">
        <v>3418</v>
      </c>
      <c r="M916" t="s">
        <v>6932</v>
      </c>
      <c r="N916" t="s">
        <v>62</v>
      </c>
      <c r="O916" t="s">
        <v>34</v>
      </c>
      <c r="P916" t="s">
        <v>20</v>
      </c>
      <c r="Q916" t="s">
        <v>20</v>
      </c>
      <c r="R916" t="s">
        <v>7664</v>
      </c>
      <c r="S916" t="s">
        <v>20</v>
      </c>
    </row>
    <row r="917" spans="1:19" x14ac:dyDescent="0.45">
      <c r="A917" t="s">
        <v>3096</v>
      </c>
      <c r="B917" t="s">
        <v>20</v>
      </c>
      <c r="C917" t="s">
        <v>10937</v>
      </c>
      <c r="D917" t="s">
        <v>10938</v>
      </c>
      <c r="E917" t="s">
        <v>57</v>
      </c>
      <c r="F917" t="s">
        <v>20</v>
      </c>
      <c r="G917" t="s">
        <v>23</v>
      </c>
      <c r="H917" t="s">
        <v>10939</v>
      </c>
      <c r="I917" t="s">
        <v>10940</v>
      </c>
      <c r="J917" t="s">
        <v>10941</v>
      </c>
      <c r="K917" t="s">
        <v>10942</v>
      </c>
      <c r="L917" t="s">
        <v>3418</v>
      </c>
      <c r="M917" t="s">
        <v>3105</v>
      </c>
      <c r="N917" t="s">
        <v>62</v>
      </c>
      <c r="O917" t="s">
        <v>34</v>
      </c>
      <c r="P917" t="s">
        <v>20</v>
      </c>
      <c r="Q917" t="s">
        <v>20</v>
      </c>
      <c r="R917" t="s">
        <v>10943</v>
      </c>
      <c r="S917" t="s">
        <v>20</v>
      </c>
    </row>
    <row r="918" spans="1:19" x14ac:dyDescent="0.45">
      <c r="A918" t="s">
        <v>231</v>
      </c>
      <c r="B918" t="s">
        <v>20</v>
      </c>
      <c r="C918" t="s">
        <v>1085</v>
      </c>
      <c r="D918" t="s">
        <v>1086</v>
      </c>
      <c r="E918" t="s">
        <v>38</v>
      </c>
      <c r="F918" t="s">
        <v>20</v>
      </c>
      <c r="G918" t="s">
        <v>23</v>
      </c>
      <c r="H918" t="s">
        <v>1087</v>
      </c>
      <c r="I918" t="s">
        <v>1088</v>
      </c>
      <c r="J918" t="s">
        <v>1089</v>
      </c>
      <c r="K918" t="s">
        <v>1090</v>
      </c>
      <c r="L918" t="s">
        <v>6513</v>
      </c>
      <c r="M918" t="s">
        <v>438</v>
      </c>
      <c r="N918" t="s">
        <v>62</v>
      </c>
      <c r="O918" t="s">
        <v>34</v>
      </c>
      <c r="P918" t="s">
        <v>20</v>
      </c>
      <c r="Q918" t="s">
        <v>20</v>
      </c>
      <c r="R918" t="s">
        <v>1091</v>
      </c>
      <c r="S918" t="s">
        <v>20</v>
      </c>
    </row>
    <row r="919" spans="1:19" x14ac:dyDescent="0.45">
      <c r="A919" t="s">
        <v>1598</v>
      </c>
      <c r="B919" t="s">
        <v>20</v>
      </c>
      <c r="C919" t="s">
        <v>1599</v>
      </c>
      <c r="D919" t="s">
        <v>1600</v>
      </c>
      <c r="E919" t="s">
        <v>2487</v>
      </c>
      <c r="F919" t="s">
        <v>20</v>
      </c>
      <c r="G919" t="s">
        <v>23</v>
      </c>
      <c r="H919" t="s">
        <v>6904</v>
      </c>
      <c r="I919" t="s">
        <v>6905</v>
      </c>
      <c r="J919" t="s">
        <v>11116</v>
      </c>
      <c r="K919" t="s">
        <v>11117</v>
      </c>
      <c r="L919" t="s">
        <v>3418</v>
      </c>
      <c r="M919" t="s">
        <v>32</v>
      </c>
      <c r="N919" t="s">
        <v>33</v>
      </c>
      <c r="O919" t="s">
        <v>34</v>
      </c>
      <c r="P919" t="s">
        <v>20</v>
      </c>
      <c r="Q919" t="s">
        <v>20</v>
      </c>
      <c r="R919" t="s">
        <v>11118</v>
      </c>
      <c r="S919" t="s">
        <v>20</v>
      </c>
    </row>
    <row r="920" spans="1:19" x14ac:dyDescent="0.45">
      <c r="A920" t="s">
        <v>1980</v>
      </c>
      <c r="B920" t="s">
        <v>20</v>
      </c>
      <c r="C920" t="s">
        <v>11508</v>
      </c>
      <c r="D920" t="s">
        <v>11239</v>
      </c>
      <c r="E920" t="s">
        <v>57</v>
      </c>
      <c r="F920" t="s">
        <v>20</v>
      </c>
      <c r="G920" t="s">
        <v>23</v>
      </c>
      <c r="H920" t="s">
        <v>11509</v>
      </c>
      <c r="I920" t="s">
        <v>11510</v>
      </c>
      <c r="J920" t="s">
        <v>11511</v>
      </c>
      <c r="K920" t="s">
        <v>11512</v>
      </c>
      <c r="L920" t="s">
        <v>3418</v>
      </c>
      <c r="M920" t="s">
        <v>32</v>
      </c>
      <c r="N920" t="s">
        <v>62</v>
      </c>
      <c r="O920" t="s">
        <v>34</v>
      </c>
      <c r="P920" t="s">
        <v>20</v>
      </c>
      <c r="Q920" t="s">
        <v>20</v>
      </c>
      <c r="R920" t="s">
        <v>11513</v>
      </c>
      <c r="S920" t="s">
        <v>20</v>
      </c>
    </row>
    <row r="921" spans="1:19" x14ac:dyDescent="0.45">
      <c r="A921" t="s">
        <v>169</v>
      </c>
      <c r="B921" t="s">
        <v>20</v>
      </c>
      <c r="C921" t="s">
        <v>7530</v>
      </c>
      <c r="D921" t="s">
        <v>5950</v>
      </c>
      <c r="E921" t="s">
        <v>57</v>
      </c>
      <c r="F921" t="s">
        <v>20</v>
      </c>
      <c r="G921" t="s">
        <v>23</v>
      </c>
      <c r="H921" t="s">
        <v>7531</v>
      </c>
      <c r="I921" t="s">
        <v>7532</v>
      </c>
      <c r="J921" t="s">
        <v>7533</v>
      </c>
      <c r="K921" t="s">
        <v>7534</v>
      </c>
      <c r="L921" t="s">
        <v>2769</v>
      </c>
      <c r="M921" t="s">
        <v>32</v>
      </c>
      <c r="N921" t="s">
        <v>62</v>
      </c>
      <c r="O921" t="s">
        <v>34</v>
      </c>
      <c r="P921" t="s">
        <v>20</v>
      </c>
      <c r="Q921" t="s">
        <v>20</v>
      </c>
      <c r="R921" t="s">
        <v>7085</v>
      </c>
      <c r="S921" t="s">
        <v>20</v>
      </c>
    </row>
    <row r="922" spans="1:19" x14ac:dyDescent="0.45">
      <c r="A922" t="s">
        <v>85</v>
      </c>
      <c r="B922" t="s">
        <v>20</v>
      </c>
      <c r="C922" t="s">
        <v>1511</v>
      </c>
      <c r="D922" t="s">
        <v>1512</v>
      </c>
      <c r="E922" t="s">
        <v>2487</v>
      </c>
      <c r="F922" t="s">
        <v>20</v>
      </c>
      <c r="G922" t="s">
        <v>23</v>
      </c>
      <c r="H922" t="s">
        <v>7602</v>
      </c>
      <c r="I922" t="s">
        <v>7603</v>
      </c>
      <c r="J922" t="s">
        <v>7604</v>
      </c>
      <c r="K922" t="s">
        <v>7605</v>
      </c>
      <c r="L922" t="s">
        <v>3418</v>
      </c>
      <c r="M922" t="s">
        <v>7029</v>
      </c>
      <c r="N922" t="s">
        <v>62</v>
      </c>
      <c r="O922" t="s">
        <v>34</v>
      </c>
      <c r="P922" t="s">
        <v>20</v>
      </c>
      <c r="Q922" t="s">
        <v>20</v>
      </c>
      <c r="R922" t="s">
        <v>7606</v>
      </c>
      <c r="S922" t="s">
        <v>20</v>
      </c>
    </row>
    <row r="923" spans="1:19" x14ac:dyDescent="0.45">
      <c r="A923" t="s">
        <v>120</v>
      </c>
      <c r="B923" t="s">
        <v>20</v>
      </c>
      <c r="C923" t="s">
        <v>1002</v>
      </c>
      <c r="D923" t="s">
        <v>1003</v>
      </c>
      <c r="E923" t="s">
        <v>38</v>
      </c>
      <c r="F923" t="s">
        <v>20</v>
      </c>
      <c r="G923" t="s">
        <v>23</v>
      </c>
      <c r="H923" t="s">
        <v>1607</v>
      </c>
      <c r="I923" t="s">
        <v>1608</v>
      </c>
      <c r="J923" t="s">
        <v>1609</v>
      </c>
      <c r="K923" t="s">
        <v>1610</v>
      </c>
      <c r="L923" t="s">
        <v>3418</v>
      </c>
      <c r="M923" t="s">
        <v>32</v>
      </c>
      <c r="N923" t="s">
        <v>33</v>
      </c>
      <c r="O923" t="s">
        <v>34</v>
      </c>
      <c r="P923" t="s">
        <v>20</v>
      </c>
      <c r="Q923" t="s">
        <v>20</v>
      </c>
      <c r="R923" t="s">
        <v>1611</v>
      </c>
      <c r="S923" t="s">
        <v>1612</v>
      </c>
    </row>
    <row r="924" spans="1:19" x14ac:dyDescent="0.45">
      <c r="A924" t="s">
        <v>1137</v>
      </c>
      <c r="B924" t="s">
        <v>20</v>
      </c>
      <c r="C924" t="s">
        <v>6658</v>
      </c>
      <c r="D924" t="s">
        <v>5847</v>
      </c>
      <c r="E924" t="s">
        <v>57</v>
      </c>
      <c r="F924" t="s">
        <v>20</v>
      </c>
      <c r="G924" t="s">
        <v>23</v>
      </c>
      <c r="H924" t="s">
        <v>6491</v>
      </c>
      <c r="I924" t="s">
        <v>6531</v>
      </c>
      <c r="J924" t="s">
        <v>6659</v>
      </c>
      <c r="K924" t="s">
        <v>6660</v>
      </c>
      <c r="L924" t="s">
        <v>722</v>
      </c>
      <c r="M924" t="s">
        <v>32</v>
      </c>
      <c r="N924" t="s">
        <v>62</v>
      </c>
      <c r="O924" t="s">
        <v>34</v>
      </c>
      <c r="P924" t="s">
        <v>20</v>
      </c>
      <c r="Q924" t="s">
        <v>20</v>
      </c>
      <c r="R924" t="s">
        <v>253</v>
      </c>
      <c r="S924" t="s">
        <v>20</v>
      </c>
    </row>
    <row r="925" spans="1:19" x14ac:dyDescent="0.45">
      <c r="A925" t="s">
        <v>2225</v>
      </c>
      <c r="B925" t="s">
        <v>20</v>
      </c>
      <c r="C925" t="s">
        <v>2226</v>
      </c>
      <c r="D925" t="s">
        <v>2227</v>
      </c>
      <c r="E925" t="s">
        <v>57</v>
      </c>
      <c r="F925" t="s">
        <v>20</v>
      </c>
      <c r="G925" t="s">
        <v>23</v>
      </c>
      <c r="H925" t="s">
        <v>8976</v>
      </c>
      <c r="I925" t="s">
        <v>9275</v>
      </c>
      <c r="J925" t="s">
        <v>9276</v>
      </c>
      <c r="K925" t="s">
        <v>9277</v>
      </c>
      <c r="L925" t="s">
        <v>3418</v>
      </c>
      <c r="M925" t="s">
        <v>32</v>
      </c>
      <c r="N925" t="s">
        <v>62</v>
      </c>
      <c r="O925" t="s">
        <v>34</v>
      </c>
      <c r="P925" t="s">
        <v>20</v>
      </c>
      <c r="Q925" t="s">
        <v>20</v>
      </c>
      <c r="R925" t="s">
        <v>9278</v>
      </c>
      <c r="S925" t="s">
        <v>20</v>
      </c>
    </row>
    <row r="926" spans="1:19" x14ac:dyDescent="0.45">
      <c r="A926" t="s">
        <v>64</v>
      </c>
      <c r="B926" t="s">
        <v>20</v>
      </c>
      <c r="C926" t="s">
        <v>65</v>
      </c>
      <c r="D926" t="s">
        <v>66</v>
      </c>
      <c r="E926" t="s">
        <v>2487</v>
      </c>
      <c r="F926" t="s">
        <v>20</v>
      </c>
      <c r="G926" t="s">
        <v>23</v>
      </c>
      <c r="H926" t="s">
        <v>7496</v>
      </c>
      <c r="I926" t="s">
        <v>7497</v>
      </c>
      <c r="J926" t="s">
        <v>7498</v>
      </c>
      <c r="K926" t="s">
        <v>7499</v>
      </c>
      <c r="L926" t="s">
        <v>3418</v>
      </c>
      <c r="M926" t="s">
        <v>7029</v>
      </c>
      <c r="N926" t="s">
        <v>62</v>
      </c>
      <c r="O926" t="s">
        <v>34</v>
      </c>
      <c r="P926" t="s">
        <v>20</v>
      </c>
      <c r="Q926" t="s">
        <v>20</v>
      </c>
      <c r="R926" t="s">
        <v>7500</v>
      </c>
      <c r="S926" t="s">
        <v>20</v>
      </c>
    </row>
    <row r="927" spans="1:19" x14ac:dyDescent="0.45">
      <c r="A927" t="s">
        <v>1308</v>
      </c>
      <c r="B927" t="s">
        <v>20</v>
      </c>
      <c r="C927" t="s">
        <v>1385</v>
      </c>
      <c r="D927" t="s">
        <v>1386</v>
      </c>
      <c r="E927" t="s">
        <v>38</v>
      </c>
      <c r="F927" t="s">
        <v>20</v>
      </c>
      <c r="G927" t="s">
        <v>23</v>
      </c>
      <c r="H927" t="s">
        <v>12206</v>
      </c>
      <c r="I927" t="s">
        <v>12207</v>
      </c>
      <c r="J927" t="s">
        <v>20</v>
      </c>
      <c r="K927" t="s">
        <v>12853</v>
      </c>
      <c r="L927" t="s">
        <v>6524</v>
      </c>
      <c r="M927" t="s">
        <v>12431</v>
      </c>
      <c r="N927" t="s">
        <v>33</v>
      </c>
      <c r="O927" t="s">
        <v>34</v>
      </c>
      <c r="P927" t="s">
        <v>20</v>
      </c>
      <c r="Q927" t="s">
        <v>20</v>
      </c>
      <c r="R927" t="s">
        <v>20</v>
      </c>
      <c r="S927" t="s">
        <v>12208</v>
      </c>
    </row>
    <row r="928" spans="1:19" x14ac:dyDescent="0.45">
      <c r="A928" t="s">
        <v>1598</v>
      </c>
      <c r="B928" t="s">
        <v>20</v>
      </c>
      <c r="C928" t="s">
        <v>2592</v>
      </c>
      <c r="D928" t="s">
        <v>2593</v>
      </c>
      <c r="E928" t="s">
        <v>38</v>
      </c>
      <c r="F928" t="s">
        <v>20</v>
      </c>
      <c r="G928" t="s">
        <v>23</v>
      </c>
      <c r="H928" t="s">
        <v>9012</v>
      </c>
      <c r="I928" t="s">
        <v>9076</v>
      </c>
      <c r="J928" t="s">
        <v>10826</v>
      </c>
      <c r="K928" t="s">
        <v>10827</v>
      </c>
      <c r="L928" t="s">
        <v>9126</v>
      </c>
      <c r="M928" t="s">
        <v>32</v>
      </c>
      <c r="N928" t="s">
        <v>33</v>
      </c>
      <c r="O928" t="s">
        <v>34</v>
      </c>
      <c r="P928" t="s">
        <v>20</v>
      </c>
      <c r="Q928" t="s">
        <v>20</v>
      </c>
      <c r="R928" t="s">
        <v>10828</v>
      </c>
      <c r="S928" t="s">
        <v>9077</v>
      </c>
    </row>
    <row r="929" spans="1:19" x14ac:dyDescent="0.45">
      <c r="A929" t="s">
        <v>139</v>
      </c>
      <c r="B929" t="s">
        <v>20</v>
      </c>
      <c r="C929" t="s">
        <v>2360</v>
      </c>
      <c r="D929" t="s">
        <v>2361</v>
      </c>
      <c r="E929" t="s">
        <v>57</v>
      </c>
      <c r="F929" t="s">
        <v>20</v>
      </c>
      <c r="G929" t="s">
        <v>23</v>
      </c>
      <c r="H929" t="s">
        <v>2362</v>
      </c>
      <c r="I929" t="s">
        <v>2363</v>
      </c>
      <c r="J929" t="s">
        <v>2364</v>
      </c>
      <c r="K929" t="s">
        <v>2365</v>
      </c>
      <c r="L929" t="s">
        <v>43</v>
      </c>
      <c r="M929" t="s">
        <v>32</v>
      </c>
      <c r="N929" t="s">
        <v>62</v>
      </c>
      <c r="O929" t="s">
        <v>34</v>
      </c>
      <c r="P929" t="s">
        <v>20</v>
      </c>
      <c r="Q929" t="s">
        <v>20</v>
      </c>
      <c r="R929" t="s">
        <v>2366</v>
      </c>
      <c r="S929" t="s">
        <v>20</v>
      </c>
    </row>
    <row r="930" spans="1:19" x14ac:dyDescent="0.45">
      <c r="A930" t="s">
        <v>269</v>
      </c>
      <c r="B930" t="s">
        <v>20</v>
      </c>
      <c r="C930" t="s">
        <v>2569</v>
      </c>
      <c r="D930" t="s">
        <v>2570</v>
      </c>
      <c r="E930" t="s">
        <v>38</v>
      </c>
      <c r="F930" t="s">
        <v>20</v>
      </c>
      <c r="G930" t="s">
        <v>23</v>
      </c>
      <c r="H930" t="s">
        <v>8927</v>
      </c>
      <c r="I930" t="s">
        <v>9078</v>
      </c>
      <c r="J930" t="s">
        <v>10904</v>
      </c>
      <c r="K930" t="s">
        <v>10905</v>
      </c>
      <c r="L930" t="s">
        <v>8094</v>
      </c>
      <c r="M930" t="s">
        <v>32</v>
      </c>
      <c r="N930" t="s">
        <v>33</v>
      </c>
      <c r="O930" t="s">
        <v>34</v>
      </c>
      <c r="P930" t="s">
        <v>20</v>
      </c>
      <c r="Q930" t="s">
        <v>20</v>
      </c>
      <c r="R930" t="s">
        <v>10906</v>
      </c>
      <c r="S930" t="s">
        <v>20</v>
      </c>
    </row>
    <row r="931" spans="1:19" x14ac:dyDescent="0.45">
      <c r="A931" t="s">
        <v>35</v>
      </c>
      <c r="B931" t="s">
        <v>20</v>
      </c>
      <c r="C931" t="s">
        <v>10386</v>
      </c>
      <c r="D931" t="s">
        <v>5720</v>
      </c>
      <c r="E931" t="s">
        <v>38</v>
      </c>
      <c r="F931" t="s">
        <v>20</v>
      </c>
      <c r="G931" t="s">
        <v>23</v>
      </c>
      <c r="H931" t="s">
        <v>12855</v>
      </c>
      <c r="I931" t="s">
        <v>12856</v>
      </c>
      <c r="J931" t="s">
        <v>12857</v>
      </c>
      <c r="K931" t="s">
        <v>12858</v>
      </c>
      <c r="L931" t="s">
        <v>8094</v>
      </c>
      <c r="M931" t="s">
        <v>12431</v>
      </c>
      <c r="N931" t="s">
        <v>33</v>
      </c>
      <c r="O931" t="s">
        <v>34</v>
      </c>
      <c r="P931" t="s">
        <v>20</v>
      </c>
      <c r="Q931" t="s">
        <v>20</v>
      </c>
      <c r="R931" t="s">
        <v>12859</v>
      </c>
      <c r="S931" t="s">
        <v>20</v>
      </c>
    </row>
    <row r="932" spans="1:19" x14ac:dyDescent="0.45">
      <c r="A932" t="s">
        <v>85</v>
      </c>
      <c r="B932" t="s">
        <v>20</v>
      </c>
      <c r="C932" t="s">
        <v>6824</v>
      </c>
      <c r="D932" t="s">
        <v>6825</v>
      </c>
      <c r="E932" t="s">
        <v>38</v>
      </c>
      <c r="F932" t="s">
        <v>20</v>
      </c>
      <c r="G932" t="s">
        <v>23</v>
      </c>
      <c r="H932" t="s">
        <v>6826</v>
      </c>
      <c r="I932" t="s">
        <v>6827</v>
      </c>
      <c r="J932" t="s">
        <v>10847</v>
      </c>
      <c r="K932" t="s">
        <v>10848</v>
      </c>
      <c r="L932" t="s">
        <v>8109</v>
      </c>
      <c r="M932" t="s">
        <v>32</v>
      </c>
      <c r="N932" t="s">
        <v>33</v>
      </c>
      <c r="O932" t="s">
        <v>34</v>
      </c>
      <c r="P932" t="s">
        <v>20</v>
      </c>
      <c r="Q932" t="s">
        <v>20</v>
      </c>
      <c r="R932" t="s">
        <v>10849</v>
      </c>
      <c r="S932" t="s">
        <v>6828</v>
      </c>
    </row>
    <row r="933" spans="1:19" x14ac:dyDescent="0.45">
      <c r="A933" t="s">
        <v>120</v>
      </c>
      <c r="B933" t="s">
        <v>20</v>
      </c>
      <c r="C933" t="s">
        <v>9994</v>
      </c>
      <c r="D933" t="s">
        <v>5794</v>
      </c>
      <c r="E933" t="s">
        <v>38</v>
      </c>
      <c r="F933" t="s">
        <v>20</v>
      </c>
      <c r="G933" t="s">
        <v>23</v>
      </c>
      <c r="H933" t="s">
        <v>9995</v>
      </c>
      <c r="I933" t="s">
        <v>9996</v>
      </c>
      <c r="J933" t="s">
        <v>9997</v>
      </c>
      <c r="K933" t="s">
        <v>9998</v>
      </c>
      <c r="L933" t="s">
        <v>6525</v>
      </c>
      <c r="M933" t="s">
        <v>32</v>
      </c>
      <c r="N933" t="s">
        <v>45</v>
      </c>
      <c r="O933" t="s">
        <v>34</v>
      </c>
      <c r="P933" t="s">
        <v>20</v>
      </c>
      <c r="Q933" t="s">
        <v>20</v>
      </c>
      <c r="R933" t="s">
        <v>10417</v>
      </c>
      <c r="S933" t="s">
        <v>20</v>
      </c>
    </row>
    <row r="934" spans="1:19" x14ac:dyDescent="0.45">
      <c r="A934" t="s">
        <v>246</v>
      </c>
      <c r="B934" t="s">
        <v>20</v>
      </c>
      <c r="C934" t="s">
        <v>247</v>
      </c>
      <c r="D934" t="s">
        <v>248</v>
      </c>
      <c r="E934" t="s">
        <v>57</v>
      </c>
      <c r="F934" t="s">
        <v>20</v>
      </c>
      <c r="G934" t="s">
        <v>23</v>
      </c>
      <c r="H934" t="s">
        <v>249</v>
      </c>
      <c r="I934" t="s">
        <v>250</v>
      </c>
      <c r="J934" t="s">
        <v>251</v>
      </c>
      <c r="K934" t="s">
        <v>252</v>
      </c>
      <c r="L934" t="s">
        <v>43</v>
      </c>
      <c r="M934" t="s">
        <v>32</v>
      </c>
      <c r="N934" t="s">
        <v>62</v>
      </c>
      <c r="O934" t="s">
        <v>34</v>
      </c>
      <c r="P934" t="s">
        <v>20</v>
      </c>
      <c r="Q934" t="s">
        <v>20</v>
      </c>
      <c r="R934" t="s">
        <v>253</v>
      </c>
      <c r="S934" t="s">
        <v>20</v>
      </c>
    </row>
    <row r="935" spans="1:19" x14ac:dyDescent="0.45">
      <c r="A935" t="s">
        <v>261</v>
      </c>
      <c r="B935" t="s">
        <v>20</v>
      </c>
      <c r="C935" t="s">
        <v>685</v>
      </c>
      <c r="D935" t="s">
        <v>686</v>
      </c>
      <c r="E935" t="s">
        <v>38</v>
      </c>
      <c r="F935" t="s">
        <v>2787</v>
      </c>
      <c r="G935" t="s">
        <v>23</v>
      </c>
      <c r="H935" t="s">
        <v>14500</v>
      </c>
      <c r="I935" t="s">
        <v>14501</v>
      </c>
      <c r="J935" t="s">
        <v>14502</v>
      </c>
      <c r="K935" t="s">
        <v>14503</v>
      </c>
      <c r="L935" t="s">
        <v>6533</v>
      </c>
      <c r="M935" t="s">
        <v>24</v>
      </c>
      <c r="N935" t="s">
        <v>210</v>
      </c>
      <c r="O935" t="s">
        <v>2718</v>
      </c>
      <c r="P935" t="s">
        <v>20</v>
      </c>
      <c r="Q935" t="s">
        <v>20</v>
      </c>
      <c r="R935" t="s">
        <v>20</v>
      </c>
      <c r="S935" t="s">
        <v>20</v>
      </c>
    </row>
    <row r="936" spans="1:19" x14ac:dyDescent="0.45">
      <c r="A936" t="s">
        <v>572</v>
      </c>
      <c r="B936" t="s">
        <v>8379</v>
      </c>
      <c r="C936" t="s">
        <v>1729</v>
      </c>
      <c r="D936" t="s">
        <v>1730</v>
      </c>
      <c r="E936" t="s">
        <v>38</v>
      </c>
      <c r="F936" t="s">
        <v>2785</v>
      </c>
      <c r="G936" t="s">
        <v>23</v>
      </c>
      <c r="H936" t="s">
        <v>2320</v>
      </c>
      <c r="I936" t="s">
        <v>2321</v>
      </c>
      <c r="J936" t="s">
        <v>2322</v>
      </c>
      <c r="K936" t="s">
        <v>2323</v>
      </c>
      <c r="L936" t="s">
        <v>12390</v>
      </c>
      <c r="M936" t="s">
        <v>32</v>
      </c>
      <c r="N936" t="s">
        <v>45</v>
      </c>
      <c r="O936" t="s">
        <v>2718</v>
      </c>
      <c r="P936" t="s">
        <v>20</v>
      </c>
      <c r="Q936" t="s">
        <v>20</v>
      </c>
      <c r="R936" t="s">
        <v>20</v>
      </c>
      <c r="S936" t="s">
        <v>8119</v>
      </c>
    </row>
    <row r="937" spans="1:19" x14ac:dyDescent="0.45">
      <c r="A937" t="s">
        <v>563</v>
      </c>
      <c r="B937" t="s">
        <v>20</v>
      </c>
      <c r="C937" t="s">
        <v>3683</v>
      </c>
      <c r="D937" t="s">
        <v>3684</v>
      </c>
      <c r="E937" t="s">
        <v>38</v>
      </c>
      <c r="F937" t="s">
        <v>2904</v>
      </c>
      <c r="G937" t="s">
        <v>23</v>
      </c>
      <c r="H937" t="s">
        <v>14504</v>
      </c>
      <c r="I937" t="s">
        <v>14505</v>
      </c>
      <c r="J937" t="s">
        <v>14506</v>
      </c>
      <c r="K937" t="s">
        <v>14507</v>
      </c>
      <c r="L937" t="s">
        <v>9126</v>
      </c>
      <c r="M937" t="s">
        <v>24</v>
      </c>
      <c r="N937" t="s">
        <v>45</v>
      </c>
      <c r="O937" t="s">
        <v>2718</v>
      </c>
      <c r="P937" t="s">
        <v>20</v>
      </c>
      <c r="Q937" t="s">
        <v>20</v>
      </c>
      <c r="R937" t="s">
        <v>20</v>
      </c>
      <c r="S937" t="s">
        <v>20</v>
      </c>
    </row>
    <row r="938" spans="1:19" x14ac:dyDescent="0.45">
      <c r="A938" t="s">
        <v>572</v>
      </c>
      <c r="B938" t="s">
        <v>3171</v>
      </c>
      <c r="C938" t="s">
        <v>1398</v>
      </c>
      <c r="D938" t="s">
        <v>1399</v>
      </c>
      <c r="E938" t="s">
        <v>29</v>
      </c>
      <c r="F938" t="s">
        <v>14299</v>
      </c>
      <c r="G938" t="s">
        <v>23</v>
      </c>
      <c r="H938" t="s">
        <v>3172</v>
      </c>
      <c r="I938" t="s">
        <v>3173</v>
      </c>
      <c r="J938" t="s">
        <v>3174</v>
      </c>
      <c r="K938" t="s">
        <v>3175</v>
      </c>
      <c r="L938" t="s">
        <v>2413</v>
      </c>
      <c r="M938" t="s">
        <v>7617</v>
      </c>
      <c r="N938" t="s">
        <v>1224</v>
      </c>
      <c r="O938" t="s">
        <v>2718</v>
      </c>
      <c r="P938" t="s">
        <v>722</v>
      </c>
      <c r="Q938" t="s">
        <v>20</v>
      </c>
      <c r="R938" t="s">
        <v>20</v>
      </c>
      <c r="S938" t="s">
        <v>8119</v>
      </c>
    </row>
    <row r="939" spans="1:19" x14ac:dyDescent="0.45">
      <c r="A939" t="s">
        <v>425</v>
      </c>
      <c r="B939" t="s">
        <v>3069</v>
      </c>
      <c r="C939" t="s">
        <v>764</v>
      </c>
      <c r="D939" t="s">
        <v>765</v>
      </c>
      <c r="E939" t="s">
        <v>38</v>
      </c>
      <c r="F939" t="s">
        <v>14273</v>
      </c>
      <c r="G939" t="s">
        <v>23</v>
      </c>
      <c r="H939" t="s">
        <v>3070</v>
      </c>
      <c r="I939" t="s">
        <v>3071</v>
      </c>
      <c r="J939" t="s">
        <v>3072</v>
      </c>
      <c r="K939" t="s">
        <v>3073</v>
      </c>
      <c r="L939" t="s">
        <v>504</v>
      </c>
      <c r="M939" t="s">
        <v>3074</v>
      </c>
      <c r="N939" t="s">
        <v>62</v>
      </c>
      <c r="O939" t="s">
        <v>2718</v>
      </c>
      <c r="P939" t="s">
        <v>20</v>
      </c>
      <c r="Q939" t="s">
        <v>20</v>
      </c>
      <c r="R939" t="s">
        <v>20</v>
      </c>
      <c r="S939" t="s">
        <v>8119</v>
      </c>
    </row>
    <row r="940" spans="1:19" x14ac:dyDescent="0.45">
      <c r="A940" t="s">
        <v>310</v>
      </c>
      <c r="B940" t="s">
        <v>20</v>
      </c>
      <c r="C940" t="s">
        <v>2946</v>
      </c>
      <c r="D940" t="s">
        <v>2947</v>
      </c>
      <c r="E940" t="s">
        <v>38</v>
      </c>
      <c r="F940" t="s">
        <v>2948</v>
      </c>
      <c r="G940" t="s">
        <v>23</v>
      </c>
      <c r="H940" t="s">
        <v>13753</v>
      </c>
      <c r="I940" t="s">
        <v>13754</v>
      </c>
      <c r="J940" t="s">
        <v>14508</v>
      </c>
      <c r="K940" t="s">
        <v>14509</v>
      </c>
      <c r="L940" t="s">
        <v>3418</v>
      </c>
      <c r="M940" t="s">
        <v>24</v>
      </c>
      <c r="N940" t="s">
        <v>146</v>
      </c>
      <c r="O940" t="s">
        <v>2718</v>
      </c>
      <c r="P940" t="s">
        <v>20</v>
      </c>
      <c r="Q940" t="s">
        <v>20</v>
      </c>
      <c r="R940" t="s">
        <v>20</v>
      </c>
      <c r="S940" t="s">
        <v>20</v>
      </c>
    </row>
    <row r="941" spans="1:19" x14ac:dyDescent="0.45">
      <c r="A941" t="s">
        <v>563</v>
      </c>
      <c r="B941" t="s">
        <v>20</v>
      </c>
      <c r="C941" t="s">
        <v>7302</v>
      </c>
      <c r="D941" t="s">
        <v>6059</v>
      </c>
      <c r="E941" t="s">
        <v>38</v>
      </c>
      <c r="F941" t="s">
        <v>2755</v>
      </c>
      <c r="G941" t="s">
        <v>23</v>
      </c>
      <c r="H941" t="s">
        <v>14510</v>
      </c>
      <c r="I941" t="s">
        <v>14511</v>
      </c>
      <c r="J941" t="s">
        <v>14512</v>
      </c>
      <c r="K941" t="s">
        <v>14513</v>
      </c>
      <c r="L941" t="s">
        <v>9126</v>
      </c>
      <c r="M941" t="s">
        <v>24</v>
      </c>
      <c r="N941" t="s">
        <v>3831</v>
      </c>
      <c r="O941" t="s">
        <v>2718</v>
      </c>
      <c r="P941" t="s">
        <v>20</v>
      </c>
      <c r="Q941" t="s">
        <v>20</v>
      </c>
      <c r="R941" t="s">
        <v>20</v>
      </c>
      <c r="S941" t="s">
        <v>14514</v>
      </c>
    </row>
    <row r="942" spans="1:19" x14ac:dyDescent="0.45">
      <c r="A942" t="s">
        <v>1016</v>
      </c>
      <c r="B942" t="s">
        <v>20</v>
      </c>
      <c r="C942" t="s">
        <v>3114</v>
      </c>
      <c r="D942" t="s">
        <v>3115</v>
      </c>
      <c r="E942" t="s">
        <v>38</v>
      </c>
      <c r="F942" t="s">
        <v>14515</v>
      </c>
      <c r="G942" t="s">
        <v>23</v>
      </c>
      <c r="H942" t="s">
        <v>13122</v>
      </c>
      <c r="I942" t="s">
        <v>13123</v>
      </c>
      <c r="J942" t="s">
        <v>13829</v>
      </c>
      <c r="K942" t="s">
        <v>13830</v>
      </c>
      <c r="L942" t="s">
        <v>3418</v>
      </c>
      <c r="M942" t="s">
        <v>24</v>
      </c>
      <c r="N942" t="s">
        <v>3831</v>
      </c>
      <c r="O942" t="s">
        <v>2718</v>
      </c>
      <c r="P942" t="s">
        <v>20</v>
      </c>
      <c r="Q942" t="s">
        <v>20</v>
      </c>
      <c r="R942" t="s">
        <v>20</v>
      </c>
      <c r="S942" t="s">
        <v>13124</v>
      </c>
    </row>
    <row r="943" spans="1:19" x14ac:dyDescent="0.45">
      <c r="A943" t="s">
        <v>246</v>
      </c>
      <c r="B943" t="s">
        <v>20</v>
      </c>
      <c r="C943" t="s">
        <v>529</v>
      </c>
      <c r="D943" t="s">
        <v>530</v>
      </c>
      <c r="E943" t="s">
        <v>38</v>
      </c>
      <c r="F943" t="s">
        <v>2785</v>
      </c>
      <c r="G943" t="s">
        <v>23</v>
      </c>
      <c r="H943" t="s">
        <v>11778</v>
      </c>
      <c r="I943" t="s">
        <v>11779</v>
      </c>
      <c r="J943" t="s">
        <v>11780</v>
      </c>
      <c r="K943" t="s">
        <v>11781</v>
      </c>
      <c r="L943" t="s">
        <v>3418</v>
      </c>
      <c r="M943" t="s">
        <v>24</v>
      </c>
      <c r="N943" t="s">
        <v>62</v>
      </c>
      <c r="O943" t="s">
        <v>2718</v>
      </c>
      <c r="P943" t="s">
        <v>6527</v>
      </c>
      <c r="Q943" t="s">
        <v>20</v>
      </c>
      <c r="R943" t="s">
        <v>20</v>
      </c>
      <c r="S943" t="s">
        <v>20</v>
      </c>
    </row>
    <row r="944" spans="1:19" x14ac:dyDescent="0.45">
      <c r="A944" t="s">
        <v>1016</v>
      </c>
      <c r="B944" t="s">
        <v>20</v>
      </c>
      <c r="C944" t="s">
        <v>1017</v>
      </c>
      <c r="D944" t="s">
        <v>1018</v>
      </c>
      <c r="E944" t="s">
        <v>29</v>
      </c>
      <c r="F944" t="s">
        <v>12375</v>
      </c>
      <c r="G944" t="s">
        <v>23</v>
      </c>
      <c r="H944" t="s">
        <v>12522</v>
      </c>
      <c r="I944" t="s">
        <v>12523</v>
      </c>
      <c r="J944" t="s">
        <v>12524</v>
      </c>
      <c r="K944" t="s">
        <v>12525</v>
      </c>
      <c r="L944" t="s">
        <v>9623</v>
      </c>
      <c r="M944" t="s">
        <v>132</v>
      </c>
      <c r="N944" t="s">
        <v>3831</v>
      </c>
      <c r="O944" t="s">
        <v>2718</v>
      </c>
      <c r="P944" t="s">
        <v>20</v>
      </c>
      <c r="Q944" t="s">
        <v>20</v>
      </c>
      <c r="R944" t="s">
        <v>20</v>
      </c>
      <c r="S944" t="s">
        <v>12526</v>
      </c>
    </row>
    <row r="945" spans="1:19" x14ac:dyDescent="0.45">
      <c r="A945" t="s">
        <v>535</v>
      </c>
      <c r="B945" t="s">
        <v>2997</v>
      </c>
      <c r="C945" t="s">
        <v>2998</v>
      </c>
      <c r="D945" t="s">
        <v>2999</v>
      </c>
      <c r="E945" t="s">
        <v>38</v>
      </c>
      <c r="F945" t="s">
        <v>14516</v>
      </c>
      <c r="G945" t="s">
        <v>23</v>
      </c>
      <c r="H945" t="s">
        <v>3000</v>
      </c>
      <c r="I945" t="s">
        <v>3001</v>
      </c>
      <c r="J945" t="s">
        <v>3002</v>
      </c>
      <c r="K945" t="s">
        <v>3003</v>
      </c>
      <c r="L945" t="s">
        <v>6523</v>
      </c>
      <c r="M945" t="s">
        <v>44</v>
      </c>
      <c r="N945" t="s">
        <v>62</v>
      </c>
      <c r="O945" t="s">
        <v>2718</v>
      </c>
      <c r="P945" t="s">
        <v>20</v>
      </c>
      <c r="Q945" t="s">
        <v>20</v>
      </c>
      <c r="R945" t="s">
        <v>20</v>
      </c>
      <c r="S945" t="s">
        <v>20</v>
      </c>
    </row>
    <row r="946" spans="1:19" x14ac:dyDescent="0.45">
      <c r="A946" t="s">
        <v>246</v>
      </c>
      <c r="B946" t="s">
        <v>13247</v>
      </c>
      <c r="C946" t="s">
        <v>879</v>
      </c>
      <c r="D946" t="s">
        <v>880</v>
      </c>
      <c r="E946" t="s">
        <v>38</v>
      </c>
      <c r="F946" t="s">
        <v>2904</v>
      </c>
      <c r="G946" t="s">
        <v>23</v>
      </c>
      <c r="H946" t="s">
        <v>3616</v>
      </c>
      <c r="I946" t="s">
        <v>3617</v>
      </c>
      <c r="J946" t="s">
        <v>3618</v>
      </c>
      <c r="K946" t="s">
        <v>3619</v>
      </c>
      <c r="L946" t="s">
        <v>8094</v>
      </c>
      <c r="M946" t="s">
        <v>2760</v>
      </c>
      <c r="N946" t="s">
        <v>195</v>
      </c>
      <c r="O946" t="s">
        <v>2718</v>
      </c>
      <c r="P946" t="s">
        <v>6527</v>
      </c>
      <c r="Q946" t="s">
        <v>20</v>
      </c>
      <c r="R946" t="s">
        <v>20</v>
      </c>
      <c r="S946" t="s">
        <v>8185</v>
      </c>
    </row>
    <row r="947" spans="1:19" x14ac:dyDescent="0.45">
      <c r="A947" t="s">
        <v>518</v>
      </c>
      <c r="B947" t="s">
        <v>20</v>
      </c>
      <c r="C947" t="s">
        <v>519</v>
      </c>
      <c r="D947" t="s">
        <v>520</v>
      </c>
      <c r="E947" t="s">
        <v>38</v>
      </c>
      <c r="F947" t="s">
        <v>2755</v>
      </c>
      <c r="G947" t="s">
        <v>23</v>
      </c>
      <c r="H947" t="s">
        <v>11854</v>
      </c>
      <c r="I947" t="s">
        <v>11855</v>
      </c>
      <c r="J947" t="s">
        <v>11856</v>
      </c>
      <c r="K947" t="s">
        <v>11857</v>
      </c>
      <c r="L947" t="s">
        <v>3418</v>
      </c>
      <c r="M947" t="s">
        <v>24</v>
      </c>
      <c r="N947" t="s">
        <v>195</v>
      </c>
      <c r="O947" t="s">
        <v>2718</v>
      </c>
      <c r="P947" t="s">
        <v>20</v>
      </c>
      <c r="Q947" t="s">
        <v>20</v>
      </c>
      <c r="R947" t="s">
        <v>20</v>
      </c>
      <c r="S947" t="s">
        <v>20</v>
      </c>
    </row>
    <row r="948" spans="1:19" x14ac:dyDescent="0.45">
      <c r="A948" t="s">
        <v>501</v>
      </c>
      <c r="B948" t="s">
        <v>3329</v>
      </c>
      <c r="C948" t="s">
        <v>3330</v>
      </c>
      <c r="D948" t="s">
        <v>3331</v>
      </c>
      <c r="E948" t="s">
        <v>38</v>
      </c>
      <c r="F948" t="s">
        <v>2755</v>
      </c>
      <c r="G948" t="s">
        <v>23</v>
      </c>
      <c r="H948" t="s">
        <v>3332</v>
      </c>
      <c r="I948" t="s">
        <v>3333</v>
      </c>
      <c r="J948" t="s">
        <v>3334</v>
      </c>
      <c r="K948" t="s">
        <v>3335</v>
      </c>
      <c r="L948" t="s">
        <v>6524</v>
      </c>
      <c r="M948" t="s">
        <v>132</v>
      </c>
      <c r="N948" t="s">
        <v>45</v>
      </c>
      <c r="O948" t="s">
        <v>2718</v>
      </c>
      <c r="P948" t="s">
        <v>20</v>
      </c>
      <c r="Q948" t="s">
        <v>20</v>
      </c>
      <c r="R948" t="s">
        <v>20</v>
      </c>
      <c r="S948" t="s">
        <v>20</v>
      </c>
    </row>
    <row r="949" spans="1:19" x14ac:dyDescent="0.45">
      <c r="A949" t="s">
        <v>261</v>
      </c>
      <c r="B949" t="s">
        <v>20</v>
      </c>
      <c r="C949" t="s">
        <v>1462</v>
      </c>
      <c r="D949" t="s">
        <v>1463</v>
      </c>
      <c r="E949" t="s">
        <v>38</v>
      </c>
      <c r="F949" t="s">
        <v>2863</v>
      </c>
      <c r="G949" t="s">
        <v>23</v>
      </c>
      <c r="H949" t="s">
        <v>1965</v>
      </c>
      <c r="I949" t="s">
        <v>1966</v>
      </c>
      <c r="J949" t="s">
        <v>1967</v>
      </c>
      <c r="K949" t="s">
        <v>1968</v>
      </c>
      <c r="L949" t="s">
        <v>3418</v>
      </c>
      <c r="M949" t="s">
        <v>24</v>
      </c>
      <c r="N949" t="s">
        <v>146</v>
      </c>
      <c r="O949" t="s">
        <v>2718</v>
      </c>
      <c r="P949" t="s">
        <v>20</v>
      </c>
      <c r="Q949" t="s">
        <v>20</v>
      </c>
      <c r="R949" t="s">
        <v>20</v>
      </c>
      <c r="S949" t="s">
        <v>20</v>
      </c>
    </row>
    <row r="950" spans="1:19" x14ac:dyDescent="0.45">
      <c r="A950" t="s">
        <v>1027</v>
      </c>
      <c r="B950" t="s">
        <v>3758</v>
      </c>
      <c r="C950" t="s">
        <v>3759</v>
      </c>
      <c r="D950" t="s">
        <v>3760</v>
      </c>
      <c r="E950" t="s">
        <v>29</v>
      </c>
      <c r="F950" t="s">
        <v>3182</v>
      </c>
      <c r="G950" t="s">
        <v>23</v>
      </c>
      <c r="H950" t="s">
        <v>3761</v>
      </c>
      <c r="I950" t="s">
        <v>3762</v>
      </c>
      <c r="J950" t="s">
        <v>3763</v>
      </c>
      <c r="K950" t="s">
        <v>3764</v>
      </c>
      <c r="L950" t="s">
        <v>194</v>
      </c>
      <c r="M950" t="s">
        <v>3765</v>
      </c>
      <c r="N950" t="s">
        <v>33</v>
      </c>
      <c r="O950" t="s">
        <v>2718</v>
      </c>
      <c r="P950" t="s">
        <v>20</v>
      </c>
      <c r="Q950" t="s">
        <v>20</v>
      </c>
      <c r="R950" t="s">
        <v>20</v>
      </c>
      <c r="S950" t="s">
        <v>20</v>
      </c>
    </row>
    <row r="951" spans="1:19" x14ac:dyDescent="0.45">
      <c r="A951" t="s">
        <v>592</v>
      </c>
      <c r="B951" t="s">
        <v>20</v>
      </c>
      <c r="C951" t="s">
        <v>2516</v>
      </c>
      <c r="D951" t="s">
        <v>2517</v>
      </c>
      <c r="E951" t="s">
        <v>38</v>
      </c>
      <c r="F951" t="s">
        <v>22</v>
      </c>
      <c r="G951" t="s">
        <v>23</v>
      </c>
      <c r="H951" t="s">
        <v>11830</v>
      </c>
      <c r="I951" t="s">
        <v>11831</v>
      </c>
      <c r="J951" t="s">
        <v>11832</v>
      </c>
      <c r="K951" t="s">
        <v>11833</v>
      </c>
      <c r="L951" t="s">
        <v>6524</v>
      </c>
      <c r="M951" t="s">
        <v>24</v>
      </c>
      <c r="N951" t="s">
        <v>119</v>
      </c>
      <c r="O951" t="s">
        <v>2718</v>
      </c>
      <c r="P951" t="s">
        <v>20</v>
      </c>
      <c r="Q951" t="s">
        <v>20</v>
      </c>
      <c r="R951" t="s">
        <v>20</v>
      </c>
      <c r="S951" t="s">
        <v>20</v>
      </c>
    </row>
    <row r="952" spans="1:19" x14ac:dyDescent="0.45">
      <c r="A952" t="s">
        <v>6679</v>
      </c>
      <c r="B952" t="s">
        <v>20</v>
      </c>
      <c r="C952" t="s">
        <v>13887</v>
      </c>
      <c r="D952" t="s">
        <v>6383</v>
      </c>
      <c r="E952" t="s">
        <v>38</v>
      </c>
      <c r="F952" t="s">
        <v>14517</v>
      </c>
      <c r="G952" t="s">
        <v>23</v>
      </c>
      <c r="H952" t="s">
        <v>13888</v>
      </c>
      <c r="I952" t="s">
        <v>13889</v>
      </c>
      <c r="J952" t="s">
        <v>13890</v>
      </c>
      <c r="K952" t="s">
        <v>13834</v>
      </c>
      <c r="L952" t="s">
        <v>9683</v>
      </c>
      <c r="M952" t="s">
        <v>24</v>
      </c>
      <c r="N952" t="s">
        <v>2727</v>
      </c>
      <c r="O952" t="s">
        <v>2718</v>
      </c>
      <c r="P952" t="s">
        <v>20</v>
      </c>
      <c r="Q952" t="s">
        <v>20</v>
      </c>
      <c r="R952" t="s">
        <v>20</v>
      </c>
      <c r="S952" t="s">
        <v>20</v>
      </c>
    </row>
    <row r="953" spans="1:19" x14ac:dyDescent="0.45">
      <c r="A953" t="s">
        <v>1137</v>
      </c>
      <c r="B953" t="s">
        <v>13257</v>
      </c>
      <c r="C953" t="s">
        <v>3305</v>
      </c>
      <c r="D953" t="s">
        <v>3306</v>
      </c>
      <c r="E953" t="s">
        <v>38</v>
      </c>
      <c r="F953" t="s">
        <v>14518</v>
      </c>
      <c r="G953" t="s">
        <v>23</v>
      </c>
      <c r="H953" t="s">
        <v>3307</v>
      </c>
      <c r="I953" t="s">
        <v>3308</v>
      </c>
      <c r="J953" t="s">
        <v>3309</v>
      </c>
      <c r="K953" t="s">
        <v>3310</v>
      </c>
      <c r="L953" t="s">
        <v>9683</v>
      </c>
      <c r="M953" t="s">
        <v>44</v>
      </c>
      <c r="N953" t="s">
        <v>3831</v>
      </c>
      <c r="O953" t="s">
        <v>2718</v>
      </c>
      <c r="P953" t="s">
        <v>20</v>
      </c>
      <c r="Q953" t="s">
        <v>20</v>
      </c>
      <c r="R953" t="s">
        <v>20</v>
      </c>
      <c r="S953" t="s">
        <v>3311</v>
      </c>
    </row>
    <row r="954" spans="1:19" x14ac:dyDescent="0.45">
      <c r="A954" t="s">
        <v>1980</v>
      </c>
      <c r="B954" t="s">
        <v>20</v>
      </c>
      <c r="C954" t="s">
        <v>7229</v>
      </c>
      <c r="D954" t="s">
        <v>6294</v>
      </c>
      <c r="E954" t="s">
        <v>38</v>
      </c>
      <c r="F954" t="s">
        <v>2755</v>
      </c>
      <c r="G954" t="s">
        <v>23</v>
      </c>
      <c r="H954" t="s">
        <v>14519</v>
      </c>
      <c r="I954" t="s">
        <v>14339</v>
      </c>
      <c r="J954" t="s">
        <v>14520</v>
      </c>
      <c r="K954" t="s">
        <v>14521</v>
      </c>
      <c r="L954" t="s">
        <v>6533</v>
      </c>
      <c r="M954" t="s">
        <v>24</v>
      </c>
      <c r="N954" t="s">
        <v>210</v>
      </c>
      <c r="O954" t="s">
        <v>2718</v>
      </c>
      <c r="P954" t="s">
        <v>20</v>
      </c>
      <c r="Q954" t="s">
        <v>20</v>
      </c>
      <c r="R954" t="s">
        <v>20</v>
      </c>
      <c r="S954" t="s">
        <v>20</v>
      </c>
    </row>
    <row r="955" spans="1:19" x14ac:dyDescent="0.45">
      <c r="A955" t="s">
        <v>335</v>
      </c>
      <c r="B955" t="s">
        <v>3713</v>
      </c>
      <c r="C955" t="s">
        <v>336</v>
      </c>
      <c r="D955" t="s">
        <v>337</v>
      </c>
      <c r="E955" t="s">
        <v>38</v>
      </c>
      <c r="F955" t="s">
        <v>3714</v>
      </c>
      <c r="G955" t="s">
        <v>23</v>
      </c>
      <c r="H955" t="s">
        <v>3715</v>
      </c>
      <c r="I955" t="s">
        <v>3716</v>
      </c>
      <c r="J955" t="s">
        <v>3717</v>
      </c>
      <c r="K955" t="s">
        <v>3718</v>
      </c>
      <c r="L955" t="s">
        <v>13871</v>
      </c>
      <c r="M955" t="s">
        <v>102</v>
      </c>
      <c r="N955" t="s">
        <v>119</v>
      </c>
      <c r="O955" t="s">
        <v>2718</v>
      </c>
      <c r="P955" t="s">
        <v>20</v>
      </c>
      <c r="Q955" t="s">
        <v>20</v>
      </c>
      <c r="R955" t="s">
        <v>20</v>
      </c>
      <c r="S955" t="s">
        <v>8185</v>
      </c>
    </row>
    <row r="956" spans="1:19" x14ac:dyDescent="0.45">
      <c r="A956" t="s">
        <v>525</v>
      </c>
      <c r="B956" t="s">
        <v>20</v>
      </c>
      <c r="C956" t="s">
        <v>1326</v>
      </c>
      <c r="D956" t="s">
        <v>1327</v>
      </c>
      <c r="E956" t="s">
        <v>38</v>
      </c>
      <c r="F956" t="s">
        <v>2785</v>
      </c>
      <c r="G956" t="s">
        <v>23</v>
      </c>
      <c r="H956" t="s">
        <v>13825</v>
      </c>
      <c r="I956" t="s">
        <v>13826</v>
      </c>
      <c r="J956" t="s">
        <v>13827</v>
      </c>
      <c r="K956" t="s">
        <v>13828</v>
      </c>
      <c r="L956" t="s">
        <v>3418</v>
      </c>
      <c r="M956" t="s">
        <v>24</v>
      </c>
      <c r="N956" t="s">
        <v>195</v>
      </c>
      <c r="O956" t="s">
        <v>2718</v>
      </c>
      <c r="P956" t="s">
        <v>20</v>
      </c>
      <c r="Q956" t="s">
        <v>20</v>
      </c>
      <c r="R956" t="s">
        <v>20</v>
      </c>
      <c r="S956" t="s">
        <v>20</v>
      </c>
    </row>
    <row r="957" spans="1:19" x14ac:dyDescent="0.45">
      <c r="A957" t="s">
        <v>1598</v>
      </c>
      <c r="B957" t="s">
        <v>20</v>
      </c>
      <c r="C957" t="s">
        <v>6890</v>
      </c>
      <c r="D957" t="s">
        <v>6052</v>
      </c>
      <c r="E957" t="s">
        <v>21</v>
      </c>
      <c r="F957" t="s">
        <v>12885</v>
      </c>
      <c r="G957" t="s">
        <v>23</v>
      </c>
      <c r="H957" t="s">
        <v>10355</v>
      </c>
      <c r="I957" t="s">
        <v>10356</v>
      </c>
      <c r="J957" t="s">
        <v>10944</v>
      </c>
      <c r="K957" t="s">
        <v>10945</v>
      </c>
      <c r="L957" t="s">
        <v>10764</v>
      </c>
      <c r="M957" t="s">
        <v>24</v>
      </c>
      <c r="N957" t="s">
        <v>1224</v>
      </c>
      <c r="O957" t="s">
        <v>2718</v>
      </c>
      <c r="P957" t="s">
        <v>20</v>
      </c>
      <c r="Q957" t="s">
        <v>20</v>
      </c>
      <c r="R957" t="s">
        <v>20</v>
      </c>
      <c r="S957" t="s">
        <v>20</v>
      </c>
    </row>
    <row r="958" spans="1:19" x14ac:dyDescent="0.45">
      <c r="A958" t="s">
        <v>128</v>
      </c>
      <c r="B958" t="s">
        <v>3063</v>
      </c>
      <c r="C958" t="s">
        <v>129</v>
      </c>
      <c r="D958" t="s">
        <v>130</v>
      </c>
      <c r="E958" t="s">
        <v>38</v>
      </c>
      <c r="F958" t="s">
        <v>3064</v>
      </c>
      <c r="G958" t="s">
        <v>23</v>
      </c>
      <c r="H958" t="s">
        <v>3065</v>
      </c>
      <c r="I958" t="s">
        <v>3066</v>
      </c>
      <c r="J958" t="s">
        <v>3067</v>
      </c>
      <c r="K958" t="s">
        <v>3068</v>
      </c>
      <c r="L958" t="s">
        <v>3418</v>
      </c>
      <c r="M958" t="s">
        <v>2760</v>
      </c>
      <c r="N958" t="s">
        <v>33</v>
      </c>
      <c r="O958" t="s">
        <v>2718</v>
      </c>
      <c r="P958" t="s">
        <v>20</v>
      </c>
      <c r="Q958" t="s">
        <v>20</v>
      </c>
      <c r="R958" t="s">
        <v>20</v>
      </c>
      <c r="S958" t="s">
        <v>20</v>
      </c>
    </row>
    <row r="959" spans="1:19" x14ac:dyDescent="0.45">
      <c r="A959" t="s">
        <v>246</v>
      </c>
      <c r="B959" t="s">
        <v>20</v>
      </c>
      <c r="C959" t="s">
        <v>1793</v>
      </c>
      <c r="D959" t="s">
        <v>1794</v>
      </c>
      <c r="E959" t="s">
        <v>57</v>
      </c>
      <c r="F959" t="s">
        <v>4263</v>
      </c>
      <c r="G959" t="s">
        <v>23</v>
      </c>
      <c r="H959" t="s">
        <v>1795</v>
      </c>
      <c r="I959" t="s">
        <v>1796</v>
      </c>
      <c r="J959" t="s">
        <v>1797</v>
      </c>
      <c r="K959" t="s">
        <v>1798</v>
      </c>
      <c r="L959" t="s">
        <v>3418</v>
      </c>
      <c r="M959" t="s">
        <v>5352</v>
      </c>
      <c r="N959" t="s">
        <v>62</v>
      </c>
      <c r="O959" t="s">
        <v>2718</v>
      </c>
      <c r="P959" t="s">
        <v>20</v>
      </c>
      <c r="Q959" t="s">
        <v>20</v>
      </c>
      <c r="R959" t="s">
        <v>20</v>
      </c>
      <c r="S959" t="s">
        <v>20</v>
      </c>
    </row>
    <row r="960" spans="1:19" x14ac:dyDescent="0.45">
      <c r="A960" t="s">
        <v>592</v>
      </c>
      <c r="B960" t="s">
        <v>3719</v>
      </c>
      <c r="C960" t="s">
        <v>3720</v>
      </c>
      <c r="D960" t="s">
        <v>3721</v>
      </c>
      <c r="E960" t="s">
        <v>38</v>
      </c>
      <c r="F960" t="s">
        <v>2929</v>
      </c>
      <c r="G960" t="s">
        <v>23</v>
      </c>
      <c r="H960" t="s">
        <v>3722</v>
      </c>
      <c r="I960" t="s">
        <v>3723</v>
      </c>
      <c r="J960" t="s">
        <v>3724</v>
      </c>
      <c r="K960" t="s">
        <v>3725</v>
      </c>
      <c r="L960" t="s">
        <v>6523</v>
      </c>
      <c r="M960" t="s">
        <v>1498</v>
      </c>
      <c r="N960" t="s">
        <v>45</v>
      </c>
      <c r="O960" t="s">
        <v>2718</v>
      </c>
      <c r="P960" t="s">
        <v>20</v>
      </c>
      <c r="Q960" t="s">
        <v>20</v>
      </c>
      <c r="R960" t="s">
        <v>20</v>
      </c>
      <c r="S960" t="s">
        <v>20</v>
      </c>
    </row>
    <row r="961" spans="1:19" x14ac:dyDescent="0.45">
      <c r="A961" t="s">
        <v>1137</v>
      </c>
      <c r="B961" t="s">
        <v>20</v>
      </c>
      <c r="C961" t="s">
        <v>1138</v>
      </c>
      <c r="D961" t="s">
        <v>1139</v>
      </c>
      <c r="E961" t="s">
        <v>29</v>
      </c>
      <c r="F961" t="s">
        <v>3182</v>
      </c>
      <c r="G961" t="s">
        <v>23</v>
      </c>
      <c r="H961" t="s">
        <v>1140</v>
      </c>
      <c r="I961" t="s">
        <v>831</v>
      </c>
      <c r="J961" t="s">
        <v>1141</v>
      </c>
      <c r="K961" t="s">
        <v>1142</v>
      </c>
      <c r="L961" t="s">
        <v>9155</v>
      </c>
      <c r="M961" t="s">
        <v>24</v>
      </c>
      <c r="N961" t="s">
        <v>33</v>
      </c>
      <c r="O961" t="s">
        <v>2718</v>
      </c>
      <c r="P961" t="s">
        <v>20</v>
      </c>
      <c r="Q961" t="s">
        <v>20</v>
      </c>
      <c r="R961" t="s">
        <v>20</v>
      </c>
      <c r="S961" t="s">
        <v>20</v>
      </c>
    </row>
    <row r="962" spans="1:19" x14ac:dyDescent="0.45">
      <c r="A962" t="s">
        <v>425</v>
      </c>
      <c r="B962" t="s">
        <v>20</v>
      </c>
      <c r="C962" t="s">
        <v>2682</v>
      </c>
      <c r="D962" t="s">
        <v>2683</v>
      </c>
      <c r="E962" t="s">
        <v>38</v>
      </c>
      <c r="F962" t="s">
        <v>2787</v>
      </c>
      <c r="G962" t="s">
        <v>23</v>
      </c>
      <c r="H962" t="s">
        <v>14522</v>
      </c>
      <c r="I962" t="s">
        <v>14523</v>
      </c>
      <c r="J962" t="s">
        <v>14524</v>
      </c>
      <c r="K962" t="s">
        <v>14525</v>
      </c>
      <c r="L962" t="s">
        <v>3418</v>
      </c>
      <c r="M962" t="s">
        <v>24</v>
      </c>
      <c r="N962" t="s">
        <v>195</v>
      </c>
      <c r="O962" t="s">
        <v>2718</v>
      </c>
      <c r="P962" t="s">
        <v>20</v>
      </c>
      <c r="Q962" t="s">
        <v>20</v>
      </c>
      <c r="R962" t="s">
        <v>20</v>
      </c>
      <c r="S962" t="s">
        <v>20</v>
      </c>
    </row>
    <row r="963" spans="1:19" x14ac:dyDescent="0.45">
      <c r="A963" t="s">
        <v>921</v>
      </c>
      <c r="B963" t="s">
        <v>3218</v>
      </c>
      <c r="C963" t="s">
        <v>3219</v>
      </c>
      <c r="D963" t="s">
        <v>3220</v>
      </c>
      <c r="E963" t="s">
        <v>38</v>
      </c>
      <c r="F963" t="s">
        <v>3221</v>
      </c>
      <c r="G963" t="s">
        <v>23</v>
      </c>
      <c r="H963" t="s">
        <v>3222</v>
      </c>
      <c r="I963" t="s">
        <v>3223</v>
      </c>
      <c r="J963" t="s">
        <v>3224</v>
      </c>
      <c r="K963" t="s">
        <v>3225</v>
      </c>
      <c r="L963" t="s">
        <v>3998</v>
      </c>
      <c r="M963" t="s">
        <v>2760</v>
      </c>
      <c r="N963" t="s">
        <v>195</v>
      </c>
      <c r="O963" t="s">
        <v>2718</v>
      </c>
      <c r="P963" t="s">
        <v>20</v>
      </c>
      <c r="Q963" t="s">
        <v>20</v>
      </c>
      <c r="R963" t="s">
        <v>20</v>
      </c>
      <c r="S963" t="s">
        <v>9316</v>
      </c>
    </row>
    <row r="964" spans="1:19" x14ac:dyDescent="0.45">
      <c r="A964" t="s">
        <v>518</v>
      </c>
      <c r="B964" t="s">
        <v>20</v>
      </c>
      <c r="C964" t="s">
        <v>2421</v>
      </c>
      <c r="D964" t="s">
        <v>2422</v>
      </c>
      <c r="E964" t="s">
        <v>38</v>
      </c>
      <c r="F964" t="s">
        <v>2755</v>
      </c>
      <c r="G964" t="s">
        <v>23</v>
      </c>
      <c r="H964" t="s">
        <v>11845</v>
      </c>
      <c r="I964" t="s">
        <v>11846</v>
      </c>
      <c r="J964" t="s">
        <v>11847</v>
      </c>
      <c r="K964" t="s">
        <v>11848</v>
      </c>
      <c r="L964" t="s">
        <v>3418</v>
      </c>
      <c r="M964" t="s">
        <v>24</v>
      </c>
      <c r="N964" t="s">
        <v>195</v>
      </c>
      <c r="O964" t="s">
        <v>2718</v>
      </c>
      <c r="P964" t="s">
        <v>20</v>
      </c>
      <c r="Q964" t="s">
        <v>20</v>
      </c>
      <c r="R964" t="s">
        <v>20</v>
      </c>
      <c r="S964" t="s">
        <v>20</v>
      </c>
    </row>
    <row r="965" spans="1:19" x14ac:dyDescent="0.45">
      <c r="A965" t="s">
        <v>395</v>
      </c>
      <c r="B965" t="s">
        <v>20</v>
      </c>
      <c r="C965" t="s">
        <v>396</v>
      </c>
      <c r="D965" t="s">
        <v>397</v>
      </c>
      <c r="E965" t="s">
        <v>38</v>
      </c>
      <c r="F965" t="s">
        <v>2785</v>
      </c>
      <c r="G965" t="s">
        <v>23</v>
      </c>
      <c r="H965" t="s">
        <v>14526</v>
      </c>
      <c r="I965" t="s">
        <v>14527</v>
      </c>
      <c r="J965" t="s">
        <v>14528</v>
      </c>
      <c r="K965" t="s">
        <v>14529</v>
      </c>
      <c r="L965" t="s">
        <v>9683</v>
      </c>
      <c r="M965" t="s">
        <v>24</v>
      </c>
      <c r="N965" t="s">
        <v>195</v>
      </c>
      <c r="O965" t="s">
        <v>2718</v>
      </c>
      <c r="P965" t="s">
        <v>20</v>
      </c>
      <c r="Q965" t="s">
        <v>20</v>
      </c>
      <c r="R965" t="s">
        <v>20</v>
      </c>
      <c r="S965" t="s">
        <v>20</v>
      </c>
    </row>
    <row r="966" spans="1:19" x14ac:dyDescent="0.45">
      <c r="A966" t="s">
        <v>104</v>
      </c>
      <c r="B966" t="s">
        <v>3611</v>
      </c>
      <c r="C966" t="s">
        <v>105</v>
      </c>
      <c r="D966" t="s">
        <v>106</v>
      </c>
      <c r="E966" t="s">
        <v>21</v>
      </c>
      <c r="F966" t="s">
        <v>2863</v>
      </c>
      <c r="G966" t="s">
        <v>23</v>
      </c>
      <c r="H966" t="s">
        <v>3612</v>
      </c>
      <c r="I966" t="s">
        <v>3613</v>
      </c>
      <c r="J966" t="s">
        <v>3614</v>
      </c>
      <c r="K966" t="s">
        <v>3615</v>
      </c>
      <c r="L966" t="s">
        <v>1605</v>
      </c>
      <c r="M966" t="s">
        <v>132</v>
      </c>
      <c r="N966" t="s">
        <v>1224</v>
      </c>
      <c r="O966" t="s">
        <v>2718</v>
      </c>
      <c r="P966" t="s">
        <v>20</v>
      </c>
      <c r="Q966" t="s">
        <v>20</v>
      </c>
      <c r="R966" t="s">
        <v>20</v>
      </c>
      <c r="S966" t="s">
        <v>20</v>
      </c>
    </row>
    <row r="967" spans="1:19" x14ac:dyDescent="0.45">
      <c r="A967" t="s">
        <v>1308</v>
      </c>
      <c r="B967" t="s">
        <v>20</v>
      </c>
      <c r="C967" t="s">
        <v>2101</v>
      </c>
      <c r="D967" t="s">
        <v>2102</v>
      </c>
      <c r="E967" t="s">
        <v>38</v>
      </c>
      <c r="F967" t="s">
        <v>14301</v>
      </c>
      <c r="G967" t="s">
        <v>23</v>
      </c>
      <c r="H967" t="s">
        <v>2103</v>
      </c>
      <c r="I967" t="s">
        <v>2104</v>
      </c>
      <c r="J967" t="s">
        <v>2105</v>
      </c>
      <c r="K967" t="s">
        <v>1597</v>
      </c>
      <c r="L967" t="s">
        <v>3998</v>
      </c>
      <c r="M967" t="s">
        <v>24</v>
      </c>
      <c r="N967" t="s">
        <v>3831</v>
      </c>
      <c r="O967" t="s">
        <v>2718</v>
      </c>
      <c r="P967" t="s">
        <v>20</v>
      </c>
      <c r="Q967" t="s">
        <v>20</v>
      </c>
      <c r="R967" t="s">
        <v>20</v>
      </c>
      <c r="S967" t="s">
        <v>2106</v>
      </c>
    </row>
    <row r="968" spans="1:19" x14ac:dyDescent="0.45">
      <c r="A968" t="s">
        <v>139</v>
      </c>
      <c r="B968" t="s">
        <v>20</v>
      </c>
      <c r="C968" t="s">
        <v>1668</v>
      </c>
      <c r="D968" t="s">
        <v>1669</v>
      </c>
      <c r="E968" t="s">
        <v>38</v>
      </c>
      <c r="F968" t="s">
        <v>2787</v>
      </c>
      <c r="G968" t="s">
        <v>23</v>
      </c>
      <c r="H968" t="s">
        <v>11176</v>
      </c>
      <c r="I968" t="s">
        <v>11177</v>
      </c>
      <c r="J968" t="s">
        <v>11178</v>
      </c>
      <c r="K968" t="s">
        <v>11179</v>
      </c>
      <c r="L968" t="s">
        <v>9570</v>
      </c>
      <c r="M968" t="s">
        <v>2100</v>
      </c>
      <c r="N968" t="s">
        <v>62</v>
      </c>
      <c r="O968" t="s">
        <v>2718</v>
      </c>
      <c r="P968" t="s">
        <v>20</v>
      </c>
      <c r="Q968" t="s">
        <v>20</v>
      </c>
      <c r="R968" t="s">
        <v>20</v>
      </c>
      <c r="S968" t="s">
        <v>20</v>
      </c>
    </row>
    <row r="969" spans="1:19" x14ac:dyDescent="0.45">
      <c r="A969" t="s">
        <v>1219</v>
      </c>
      <c r="B969" t="s">
        <v>8260</v>
      </c>
      <c r="C969" t="s">
        <v>3705</v>
      </c>
      <c r="D969" t="s">
        <v>3706</v>
      </c>
      <c r="E969" t="s">
        <v>38</v>
      </c>
      <c r="F969" t="s">
        <v>2722</v>
      </c>
      <c r="G969" t="s">
        <v>23</v>
      </c>
      <c r="H969" t="s">
        <v>8261</v>
      </c>
      <c r="I969" t="s">
        <v>8262</v>
      </c>
      <c r="J969" t="s">
        <v>8263</v>
      </c>
      <c r="K969" t="s">
        <v>8264</v>
      </c>
      <c r="L969" t="s">
        <v>3418</v>
      </c>
      <c r="M969" t="s">
        <v>2760</v>
      </c>
      <c r="N969" t="s">
        <v>113</v>
      </c>
      <c r="O969" t="s">
        <v>2728</v>
      </c>
      <c r="P969" t="s">
        <v>20</v>
      </c>
      <c r="Q969" t="s">
        <v>20</v>
      </c>
      <c r="R969" t="s">
        <v>8265</v>
      </c>
      <c r="S969" t="s">
        <v>20</v>
      </c>
    </row>
    <row r="970" spans="1:19" x14ac:dyDescent="0.45">
      <c r="A970" t="s">
        <v>2861</v>
      </c>
      <c r="B970" t="s">
        <v>14530</v>
      </c>
      <c r="C970" t="s">
        <v>14531</v>
      </c>
      <c r="D970" t="s">
        <v>5919</v>
      </c>
      <c r="E970" t="s">
        <v>21</v>
      </c>
      <c r="F970" t="s">
        <v>9463</v>
      </c>
      <c r="G970" t="s">
        <v>23</v>
      </c>
      <c r="H970" t="s">
        <v>14532</v>
      </c>
      <c r="I970" t="s">
        <v>14533</v>
      </c>
      <c r="J970" t="s">
        <v>14534</v>
      </c>
      <c r="K970" t="s">
        <v>14535</v>
      </c>
      <c r="L970" t="s">
        <v>6525</v>
      </c>
      <c r="M970" t="s">
        <v>3145</v>
      </c>
      <c r="N970" t="s">
        <v>1224</v>
      </c>
      <c r="O970" t="s">
        <v>2728</v>
      </c>
      <c r="P970" t="s">
        <v>20</v>
      </c>
      <c r="Q970" t="s">
        <v>20</v>
      </c>
      <c r="R970" t="s">
        <v>14536</v>
      </c>
      <c r="S970" t="s">
        <v>20</v>
      </c>
    </row>
    <row r="971" spans="1:19" x14ac:dyDescent="0.45">
      <c r="A971" t="s">
        <v>2553</v>
      </c>
      <c r="B971" t="s">
        <v>13291</v>
      </c>
      <c r="C971" t="s">
        <v>3205</v>
      </c>
      <c r="D971" t="s">
        <v>3206</v>
      </c>
      <c r="E971" t="s">
        <v>21</v>
      </c>
      <c r="F971" t="s">
        <v>2722</v>
      </c>
      <c r="G971" t="s">
        <v>23</v>
      </c>
      <c r="H971" t="s">
        <v>13292</v>
      </c>
      <c r="I971" t="s">
        <v>13293</v>
      </c>
      <c r="J971" t="s">
        <v>13294</v>
      </c>
      <c r="K971" t="s">
        <v>13295</v>
      </c>
      <c r="L971" t="s">
        <v>6524</v>
      </c>
      <c r="M971" t="s">
        <v>3145</v>
      </c>
      <c r="N971" t="s">
        <v>1224</v>
      </c>
      <c r="O971" t="s">
        <v>2728</v>
      </c>
      <c r="P971" t="s">
        <v>20</v>
      </c>
      <c r="Q971" t="s">
        <v>20</v>
      </c>
      <c r="R971" t="s">
        <v>13296</v>
      </c>
      <c r="S971" t="s">
        <v>20</v>
      </c>
    </row>
    <row r="972" spans="1:19" x14ac:dyDescent="0.45">
      <c r="A972" t="s">
        <v>2278</v>
      </c>
      <c r="B972" t="s">
        <v>3077</v>
      </c>
      <c r="C972" t="s">
        <v>3078</v>
      </c>
      <c r="D972" t="s">
        <v>3079</v>
      </c>
      <c r="E972" t="s">
        <v>21</v>
      </c>
      <c r="F972" t="s">
        <v>2787</v>
      </c>
      <c r="G972" t="s">
        <v>23</v>
      </c>
      <c r="H972" t="s">
        <v>3080</v>
      </c>
      <c r="I972" t="s">
        <v>3081</v>
      </c>
      <c r="J972" t="s">
        <v>3082</v>
      </c>
      <c r="K972" t="s">
        <v>3083</v>
      </c>
      <c r="L972" t="s">
        <v>2769</v>
      </c>
      <c r="M972" t="s">
        <v>2981</v>
      </c>
      <c r="N972" t="s">
        <v>2727</v>
      </c>
      <c r="O972" t="s">
        <v>2728</v>
      </c>
      <c r="P972" t="s">
        <v>20</v>
      </c>
      <c r="Q972" t="s">
        <v>20</v>
      </c>
      <c r="R972" t="s">
        <v>3084</v>
      </c>
      <c r="S972" t="s">
        <v>20</v>
      </c>
    </row>
    <row r="973" spans="1:19" x14ac:dyDescent="0.45">
      <c r="A973" t="s">
        <v>12382</v>
      </c>
      <c r="B973" t="s">
        <v>10143</v>
      </c>
      <c r="C973" t="s">
        <v>2653</v>
      </c>
      <c r="D973" t="s">
        <v>2654</v>
      </c>
      <c r="E973" t="s">
        <v>38</v>
      </c>
      <c r="F973" t="s">
        <v>2785</v>
      </c>
      <c r="G973" t="s">
        <v>23</v>
      </c>
      <c r="H973" t="s">
        <v>10144</v>
      </c>
      <c r="I973" t="s">
        <v>10145</v>
      </c>
      <c r="J973" t="s">
        <v>10146</v>
      </c>
      <c r="K973" t="s">
        <v>10147</v>
      </c>
      <c r="L973" t="s">
        <v>8377</v>
      </c>
      <c r="M973" t="s">
        <v>136</v>
      </c>
      <c r="N973" t="s">
        <v>113</v>
      </c>
      <c r="O973" t="s">
        <v>2728</v>
      </c>
      <c r="P973" t="s">
        <v>20</v>
      </c>
      <c r="Q973" t="s">
        <v>20</v>
      </c>
      <c r="R973" t="s">
        <v>10148</v>
      </c>
      <c r="S973" t="s">
        <v>20</v>
      </c>
    </row>
    <row r="974" spans="1:19" x14ac:dyDescent="0.45">
      <c r="A974" t="s">
        <v>261</v>
      </c>
      <c r="B974" t="s">
        <v>20</v>
      </c>
      <c r="C974" t="s">
        <v>954</v>
      </c>
      <c r="D974" t="s">
        <v>955</v>
      </c>
      <c r="E974" t="s">
        <v>29</v>
      </c>
      <c r="F974" t="s">
        <v>2785</v>
      </c>
      <c r="G974" t="s">
        <v>23</v>
      </c>
      <c r="H974" t="s">
        <v>10058</v>
      </c>
      <c r="I974" t="s">
        <v>10021</v>
      </c>
      <c r="J974" t="s">
        <v>10059</v>
      </c>
      <c r="K974" t="s">
        <v>10060</v>
      </c>
      <c r="L974" t="s">
        <v>9126</v>
      </c>
      <c r="M974" t="s">
        <v>2760</v>
      </c>
      <c r="N974" t="s">
        <v>2727</v>
      </c>
      <c r="O974" t="s">
        <v>2728</v>
      </c>
      <c r="P974" t="s">
        <v>20</v>
      </c>
      <c r="Q974" t="s">
        <v>20</v>
      </c>
      <c r="R974" t="s">
        <v>10548</v>
      </c>
      <c r="S974" t="s">
        <v>10294</v>
      </c>
    </row>
    <row r="975" spans="1:19" x14ac:dyDescent="0.45">
      <c r="A975" t="s">
        <v>592</v>
      </c>
      <c r="B975" t="s">
        <v>20</v>
      </c>
      <c r="C975" t="s">
        <v>2665</v>
      </c>
      <c r="D975" t="s">
        <v>2666</v>
      </c>
      <c r="E975" t="s">
        <v>29</v>
      </c>
      <c r="F975" t="s">
        <v>14537</v>
      </c>
      <c r="G975" t="s">
        <v>23</v>
      </c>
      <c r="H975" t="s">
        <v>7071</v>
      </c>
      <c r="I975" t="s">
        <v>7072</v>
      </c>
      <c r="J975" t="s">
        <v>7073</v>
      </c>
      <c r="K975" t="s">
        <v>7074</v>
      </c>
      <c r="L975" t="s">
        <v>6513</v>
      </c>
      <c r="M975" t="s">
        <v>32</v>
      </c>
      <c r="N975" t="s">
        <v>119</v>
      </c>
      <c r="O975" t="s">
        <v>2728</v>
      </c>
      <c r="P975" t="s">
        <v>20</v>
      </c>
      <c r="Q975" t="s">
        <v>20</v>
      </c>
      <c r="R975" t="s">
        <v>14538</v>
      </c>
      <c r="S975" t="s">
        <v>14539</v>
      </c>
    </row>
    <row r="976" spans="1:19" x14ac:dyDescent="0.45">
      <c r="A976" t="s">
        <v>2278</v>
      </c>
      <c r="B976" t="s">
        <v>10607</v>
      </c>
      <c r="C976" t="s">
        <v>10608</v>
      </c>
      <c r="D976" t="s">
        <v>6019</v>
      </c>
      <c r="E976" t="s">
        <v>38</v>
      </c>
      <c r="F976" t="s">
        <v>2787</v>
      </c>
      <c r="G976" t="s">
        <v>23</v>
      </c>
      <c r="H976" t="s">
        <v>10609</v>
      </c>
      <c r="I976" t="s">
        <v>10610</v>
      </c>
      <c r="J976" t="s">
        <v>10611</v>
      </c>
      <c r="K976" t="s">
        <v>10612</v>
      </c>
      <c r="L976" t="s">
        <v>9126</v>
      </c>
      <c r="M976" t="s">
        <v>2100</v>
      </c>
      <c r="N976" t="s">
        <v>2727</v>
      </c>
      <c r="O976" t="s">
        <v>2728</v>
      </c>
      <c r="P976" t="s">
        <v>20</v>
      </c>
      <c r="Q976" t="s">
        <v>20</v>
      </c>
      <c r="R976" t="s">
        <v>10613</v>
      </c>
      <c r="S976" t="s">
        <v>20</v>
      </c>
    </row>
    <row r="977" spans="1:19" x14ac:dyDescent="0.45">
      <c r="A977" t="s">
        <v>12382</v>
      </c>
      <c r="B977" t="s">
        <v>20</v>
      </c>
      <c r="C977" t="s">
        <v>1092</v>
      </c>
      <c r="D977" t="s">
        <v>1093</v>
      </c>
      <c r="E977" t="s">
        <v>38</v>
      </c>
      <c r="F977" t="s">
        <v>2722</v>
      </c>
      <c r="G977" t="s">
        <v>23</v>
      </c>
      <c r="H977" t="s">
        <v>3732</v>
      </c>
      <c r="I977" t="s">
        <v>3733</v>
      </c>
      <c r="J977" t="s">
        <v>3734</v>
      </c>
      <c r="K977" t="s">
        <v>3735</v>
      </c>
      <c r="L977" t="s">
        <v>214</v>
      </c>
      <c r="M977" t="s">
        <v>3736</v>
      </c>
      <c r="N977" t="s">
        <v>2858</v>
      </c>
      <c r="O977" t="s">
        <v>2728</v>
      </c>
      <c r="P977" t="s">
        <v>20</v>
      </c>
      <c r="Q977" t="s">
        <v>20</v>
      </c>
      <c r="R977" t="s">
        <v>3737</v>
      </c>
      <c r="S977" t="s">
        <v>20</v>
      </c>
    </row>
    <row r="978" spans="1:19" x14ac:dyDescent="0.45">
      <c r="A978" t="s">
        <v>2278</v>
      </c>
      <c r="B978" t="s">
        <v>20</v>
      </c>
      <c r="C978" t="s">
        <v>8218</v>
      </c>
      <c r="D978" t="s">
        <v>5971</v>
      </c>
      <c r="E978" t="s">
        <v>38</v>
      </c>
      <c r="F978" t="s">
        <v>13914</v>
      </c>
      <c r="G978" t="s">
        <v>23</v>
      </c>
      <c r="H978" t="s">
        <v>13915</v>
      </c>
      <c r="I978" t="s">
        <v>13916</v>
      </c>
      <c r="J978" t="s">
        <v>13917</v>
      </c>
      <c r="K978" t="s">
        <v>13918</v>
      </c>
      <c r="L978" t="s">
        <v>3418</v>
      </c>
      <c r="M978" t="s">
        <v>4946</v>
      </c>
      <c r="N978" t="s">
        <v>62</v>
      </c>
      <c r="O978" t="s">
        <v>2728</v>
      </c>
      <c r="P978" t="s">
        <v>20</v>
      </c>
      <c r="Q978" t="s">
        <v>20</v>
      </c>
      <c r="R978" t="s">
        <v>13919</v>
      </c>
      <c r="S978" t="s">
        <v>13437</v>
      </c>
    </row>
    <row r="979" spans="1:19" x14ac:dyDescent="0.45">
      <c r="A979" t="s">
        <v>2278</v>
      </c>
      <c r="B979" t="s">
        <v>8217</v>
      </c>
      <c r="C979" t="s">
        <v>8218</v>
      </c>
      <c r="D979" t="s">
        <v>5971</v>
      </c>
      <c r="E979" t="s">
        <v>38</v>
      </c>
      <c r="F979" t="s">
        <v>2755</v>
      </c>
      <c r="G979" t="s">
        <v>23</v>
      </c>
      <c r="H979" t="s">
        <v>8219</v>
      </c>
      <c r="I979" t="s">
        <v>8220</v>
      </c>
      <c r="J979" t="s">
        <v>8221</v>
      </c>
      <c r="K979" t="s">
        <v>8222</v>
      </c>
      <c r="L979" t="s">
        <v>6513</v>
      </c>
      <c r="M979" t="s">
        <v>4946</v>
      </c>
      <c r="N979" t="s">
        <v>113</v>
      </c>
      <c r="O979" t="s">
        <v>2728</v>
      </c>
      <c r="P979" t="s">
        <v>20</v>
      </c>
      <c r="Q979" t="s">
        <v>20</v>
      </c>
      <c r="R979" t="s">
        <v>8223</v>
      </c>
      <c r="S979" t="s">
        <v>20</v>
      </c>
    </row>
    <row r="980" spans="1:19" x14ac:dyDescent="0.45">
      <c r="A980" t="s">
        <v>6989</v>
      </c>
      <c r="B980" t="s">
        <v>13297</v>
      </c>
      <c r="C980" t="s">
        <v>2064</v>
      </c>
      <c r="D980" t="s">
        <v>2065</v>
      </c>
      <c r="E980" t="s">
        <v>38</v>
      </c>
      <c r="F980" t="s">
        <v>2787</v>
      </c>
      <c r="G980" t="s">
        <v>23</v>
      </c>
      <c r="H980" t="s">
        <v>6452</v>
      </c>
      <c r="I980" t="s">
        <v>6665</v>
      </c>
      <c r="J980" t="s">
        <v>6666</v>
      </c>
      <c r="K980" t="s">
        <v>6667</v>
      </c>
      <c r="L980" t="s">
        <v>43</v>
      </c>
      <c r="M980" t="s">
        <v>2100</v>
      </c>
      <c r="N980" t="s">
        <v>33</v>
      </c>
      <c r="O980" t="s">
        <v>2728</v>
      </c>
      <c r="P980" t="s">
        <v>722</v>
      </c>
      <c r="Q980" t="s">
        <v>20</v>
      </c>
      <c r="R980" t="s">
        <v>13298</v>
      </c>
      <c r="S980" t="s">
        <v>20</v>
      </c>
    </row>
    <row r="981" spans="1:19" x14ac:dyDescent="0.45">
      <c r="A981" t="s">
        <v>358</v>
      </c>
      <c r="B981" t="s">
        <v>3586</v>
      </c>
      <c r="C981" t="s">
        <v>3587</v>
      </c>
      <c r="D981" t="s">
        <v>3588</v>
      </c>
      <c r="E981" t="s">
        <v>38</v>
      </c>
      <c r="F981" t="s">
        <v>3062</v>
      </c>
      <c r="G981" t="s">
        <v>23</v>
      </c>
      <c r="H981" t="s">
        <v>3589</v>
      </c>
      <c r="I981" t="s">
        <v>3590</v>
      </c>
      <c r="J981" t="s">
        <v>3591</v>
      </c>
      <c r="K981" t="s">
        <v>3592</v>
      </c>
      <c r="L981" t="s">
        <v>9683</v>
      </c>
      <c r="M981" t="s">
        <v>2760</v>
      </c>
      <c r="N981" t="s">
        <v>113</v>
      </c>
      <c r="O981" t="s">
        <v>2728</v>
      </c>
      <c r="P981" t="s">
        <v>20</v>
      </c>
      <c r="Q981" t="s">
        <v>20</v>
      </c>
      <c r="R981" t="s">
        <v>3593</v>
      </c>
      <c r="S981" t="s">
        <v>20</v>
      </c>
    </row>
    <row r="982" spans="1:19" x14ac:dyDescent="0.45">
      <c r="A982" t="s">
        <v>310</v>
      </c>
      <c r="B982" t="s">
        <v>20</v>
      </c>
      <c r="C982" t="s">
        <v>2983</v>
      </c>
      <c r="D982" t="s">
        <v>2984</v>
      </c>
      <c r="E982" t="s">
        <v>38</v>
      </c>
      <c r="F982" t="s">
        <v>2985</v>
      </c>
      <c r="G982" t="s">
        <v>23</v>
      </c>
      <c r="H982" t="s">
        <v>2986</v>
      </c>
      <c r="I982" t="s">
        <v>2987</v>
      </c>
      <c r="J982" t="s">
        <v>2988</v>
      </c>
      <c r="K982" t="s">
        <v>2989</v>
      </c>
      <c r="L982" t="s">
        <v>3418</v>
      </c>
      <c r="M982" t="s">
        <v>2953</v>
      </c>
      <c r="N982" t="s">
        <v>119</v>
      </c>
      <c r="O982" t="s">
        <v>2728</v>
      </c>
      <c r="P982" t="s">
        <v>20</v>
      </c>
      <c r="Q982" t="s">
        <v>20</v>
      </c>
      <c r="R982" t="s">
        <v>2990</v>
      </c>
      <c r="S982" t="s">
        <v>20</v>
      </c>
    </row>
    <row r="983" spans="1:19" x14ac:dyDescent="0.45">
      <c r="A983" t="s">
        <v>104</v>
      </c>
      <c r="B983" t="s">
        <v>8266</v>
      </c>
      <c r="C983" t="s">
        <v>3020</v>
      </c>
      <c r="D983" t="s">
        <v>3021</v>
      </c>
      <c r="E983" t="s">
        <v>38</v>
      </c>
      <c r="F983" t="s">
        <v>2863</v>
      </c>
      <c r="G983" t="s">
        <v>23</v>
      </c>
      <c r="H983" t="s">
        <v>8267</v>
      </c>
      <c r="I983" t="s">
        <v>8268</v>
      </c>
      <c r="J983" t="s">
        <v>8269</v>
      </c>
      <c r="K983" t="s">
        <v>8270</v>
      </c>
      <c r="L983" t="s">
        <v>7506</v>
      </c>
      <c r="M983" t="s">
        <v>132</v>
      </c>
      <c r="N983" t="s">
        <v>45</v>
      </c>
      <c r="O983" t="s">
        <v>2728</v>
      </c>
      <c r="P983" t="s">
        <v>20</v>
      </c>
      <c r="Q983" t="s">
        <v>20</v>
      </c>
      <c r="R983" t="s">
        <v>10601</v>
      </c>
      <c r="S983" t="s">
        <v>10300</v>
      </c>
    </row>
    <row r="984" spans="1:19" x14ac:dyDescent="0.45">
      <c r="A984" t="s">
        <v>3738</v>
      </c>
      <c r="B984" t="s">
        <v>3739</v>
      </c>
      <c r="C984" t="s">
        <v>3740</v>
      </c>
      <c r="D984" t="s">
        <v>3741</v>
      </c>
      <c r="E984" t="s">
        <v>21</v>
      </c>
      <c r="F984" t="s">
        <v>2787</v>
      </c>
      <c r="G984" t="s">
        <v>23</v>
      </c>
      <c r="H984" t="s">
        <v>3742</v>
      </c>
      <c r="I984" t="s">
        <v>3743</v>
      </c>
      <c r="J984" t="s">
        <v>3744</v>
      </c>
      <c r="K984" t="s">
        <v>3745</v>
      </c>
      <c r="L984" t="s">
        <v>3418</v>
      </c>
      <c r="M984" t="s">
        <v>2100</v>
      </c>
      <c r="N984" t="s">
        <v>2727</v>
      </c>
      <c r="O984" t="s">
        <v>2728</v>
      </c>
      <c r="P984" t="s">
        <v>20</v>
      </c>
      <c r="Q984" t="s">
        <v>20</v>
      </c>
      <c r="R984" t="s">
        <v>3746</v>
      </c>
      <c r="S984" t="s">
        <v>20</v>
      </c>
    </row>
    <row r="985" spans="1:19" x14ac:dyDescent="0.45">
      <c r="A985" t="s">
        <v>5243</v>
      </c>
      <c r="B985" t="s">
        <v>13299</v>
      </c>
      <c r="C985" t="s">
        <v>12294</v>
      </c>
      <c r="D985" t="s">
        <v>5703</v>
      </c>
      <c r="E985" t="s">
        <v>38</v>
      </c>
      <c r="F985" t="s">
        <v>2722</v>
      </c>
      <c r="G985" t="s">
        <v>23</v>
      </c>
      <c r="H985" t="s">
        <v>13300</v>
      </c>
      <c r="I985" t="s">
        <v>13301</v>
      </c>
      <c r="J985" t="s">
        <v>13302</v>
      </c>
      <c r="K985" t="s">
        <v>13303</v>
      </c>
      <c r="L985" t="s">
        <v>9683</v>
      </c>
      <c r="M985" t="s">
        <v>3145</v>
      </c>
      <c r="N985" t="s">
        <v>2727</v>
      </c>
      <c r="O985" t="s">
        <v>2728</v>
      </c>
      <c r="P985" t="s">
        <v>20</v>
      </c>
      <c r="Q985" t="s">
        <v>20</v>
      </c>
      <c r="R985" t="s">
        <v>13304</v>
      </c>
      <c r="S985" t="s">
        <v>20</v>
      </c>
    </row>
    <row r="986" spans="1:19" x14ac:dyDescent="0.45">
      <c r="A986" t="s">
        <v>607</v>
      </c>
      <c r="B986" t="s">
        <v>13920</v>
      </c>
      <c r="C986" t="s">
        <v>13412</v>
      </c>
      <c r="D986" t="s">
        <v>9884</v>
      </c>
      <c r="E986" t="s">
        <v>21</v>
      </c>
      <c r="F986" t="s">
        <v>2722</v>
      </c>
      <c r="G986" t="s">
        <v>23</v>
      </c>
      <c r="H986" t="s">
        <v>13921</v>
      </c>
      <c r="I986" t="s">
        <v>13922</v>
      </c>
      <c r="J986" t="s">
        <v>13923</v>
      </c>
      <c r="K986" t="s">
        <v>13924</v>
      </c>
      <c r="L986" t="s">
        <v>9126</v>
      </c>
      <c r="M986" t="s">
        <v>3145</v>
      </c>
      <c r="N986" t="s">
        <v>2727</v>
      </c>
      <c r="O986" t="s">
        <v>2728</v>
      </c>
      <c r="P986" t="s">
        <v>20</v>
      </c>
      <c r="Q986" t="s">
        <v>20</v>
      </c>
      <c r="R986" t="s">
        <v>13925</v>
      </c>
      <c r="S986" t="s">
        <v>20</v>
      </c>
    </row>
    <row r="987" spans="1:19" x14ac:dyDescent="0.45">
      <c r="A987" t="s">
        <v>395</v>
      </c>
      <c r="B987" t="s">
        <v>20</v>
      </c>
      <c r="C987" t="s">
        <v>5030</v>
      </c>
      <c r="D987" t="s">
        <v>5031</v>
      </c>
      <c r="E987" t="s">
        <v>38</v>
      </c>
      <c r="F987" t="s">
        <v>2831</v>
      </c>
      <c r="G987" t="s">
        <v>23</v>
      </c>
      <c r="H987" t="s">
        <v>9552</v>
      </c>
      <c r="I987" t="s">
        <v>9554</v>
      </c>
      <c r="J987" t="s">
        <v>9907</v>
      </c>
      <c r="K987" t="s">
        <v>9908</v>
      </c>
      <c r="L987" t="s">
        <v>3418</v>
      </c>
      <c r="M987" t="s">
        <v>132</v>
      </c>
      <c r="N987" t="s">
        <v>195</v>
      </c>
      <c r="O987" t="s">
        <v>2728</v>
      </c>
      <c r="P987" t="s">
        <v>20</v>
      </c>
      <c r="Q987" t="s">
        <v>20</v>
      </c>
      <c r="R987" t="s">
        <v>11636</v>
      </c>
      <c r="S987" t="s">
        <v>11630</v>
      </c>
    </row>
    <row r="988" spans="1:19" x14ac:dyDescent="0.45">
      <c r="A988" t="s">
        <v>395</v>
      </c>
      <c r="B988" t="s">
        <v>20</v>
      </c>
      <c r="C988" t="s">
        <v>5030</v>
      </c>
      <c r="D988" t="s">
        <v>5031</v>
      </c>
      <c r="E988" t="s">
        <v>38</v>
      </c>
      <c r="F988" t="s">
        <v>2948</v>
      </c>
      <c r="G988" t="s">
        <v>23</v>
      </c>
      <c r="H988" t="s">
        <v>12221</v>
      </c>
      <c r="I988" t="s">
        <v>12222</v>
      </c>
      <c r="J988" t="s">
        <v>12223</v>
      </c>
      <c r="K988" t="s">
        <v>12224</v>
      </c>
      <c r="L988" t="s">
        <v>3418</v>
      </c>
      <c r="M988" t="s">
        <v>132</v>
      </c>
      <c r="N988" t="s">
        <v>195</v>
      </c>
      <c r="O988" t="s">
        <v>2728</v>
      </c>
      <c r="P988" t="s">
        <v>20</v>
      </c>
      <c r="Q988" t="s">
        <v>20</v>
      </c>
      <c r="R988" t="s">
        <v>12225</v>
      </c>
      <c r="S988" t="s">
        <v>12903</v>
      </c>
    </row>
    <row r="989" spans="1:19" x14ac:dyDescent="0.45">
      <c r="A989" t="s">
        <v>2861</v>
      </c>
      <c r="B989" t="s">
        <v>3369</v>
      </c>
      <c r="C989" t="s">
        <v>3370</v>
      </c>
      <c r="D989" t="s">
        <v>3371</v>
      </c>
      <c r="E989" t="s">
        <v>38</v>
      </c>
      <c r="F989" t="s">
        <v>2722</v>
      </c>
      <c r="G989" t="s">
        <v>23</v>
      </c>
      <c r="H989" t="s">
        <v>3372</v>
      </c>
      <c r="I989" t="s">
        <v>3373</v>
      </c>
      <c r="J989" t="s">
        <v>3374</v>
      </c>
      <c r="K989" t="s">
        <v>3375</v>
      </c>
      <c r="L989" t="s">
        <v>722</v>
      </c>
      <c r="M989" t="s">
        <v>1223</v>
      </c>
      <c r="N989" t="s">
        <v>2727</v>
      </c>
      <c r="O989" t="s">
        <v>2728</v>
      </c>
      <c r="P989" t="s">
        <v>20</v>
      </c>
      <c r="Q989" t="s">
        <v>20</v>
      </c>
      <c r="R989" t="s">
        <v>3376</v>
      </c>
      <c r="S989" t="s">
        <v>20</v>
      </c>
    </row>
    <row r="990" spans="1:19" x14ac:dyDescent="0.45">
      <c r="A990" t="s">
        <v>314</v>
      </c>
      <c r="B990" t="s">
        <v>14540</v>
      </c>
      <c r="C990" t="s">
        <v>14541</v>
      </c>
      <c r="D990" t="s">
        <v>5073</v>
      </c>
      <c r="E990" t="s">
        <v>21</v>
      </c>
      <c r="F990" t="s">
        <v>2722</v>
      </c>
      <c r="G990" t="s">
        <v>23</v>
      </c>
      <c r="H990" t="s">
        <v>14542</v>
      </c>
      <c r="I990" t="s">
        <v>14543</v>
      </c>
      <c r="J990" t="s">
        <v>14544</v>
      </c>
      <c r="K990" t="s">
        <v>14545</v>
      </c>
      <c r="L990" t="s">
        <v>6525</v>
      </c>
      <c r="M990" t="s">
        <v>1223</v>
      </c>
      <c r="N990" t="s">
        <v>678</v>
      </c>
      <c r="O990" t="s">
        <v>2728</v>
      </c>
      <c r="P990" t="s">
        <v>20</v>
      </c>
      <c r="Q990" t="s">
        <v>20</v>
      </c>
      <c r="R990" t="s">
        <v>14546</v>
      </c>
      <c r="S990" t="s">
        <v>20</v>
      </c>
    </row>
    <row r="991" spans="1:19" x14ac:dyDescent="0.45">
      <c r="A991" t="s">
        <v>2278</v>
      </c>
      <c r="B991" t="s">
        <v>13305</v>
      </c>
      <c r="C991" t="s">
        <v>13306</v>
      </c>
      <c r="D991" t="s">
        <v>6217</v>
      </c>
      <c r="E991" t="s">
        <v>21</v>
      </c>
      <c r="F991" t="s">
        <v>2722</v>
      </c>
      <c r="G991" t="s">
        <v>23</v>
      </c>
      <c r="H991" t="s">
        <v>13307</v>
      </c>
      <c r="I991" t="s">
        <v>13308</v>
      </c>
      <c r="J991" t="s">
        <v>13309</v>
      </c>
      <c r="K991" t="s">
        <v>13310</v>
      </c>
      <c r="L991" t="s">
        <v>9683</v>
      </c>
      <c r="M991" t="s">
        <v>3145</v>
      </c>
      <c r="N991" t="s">
        <v>2727</v>
      </c>
      <c r="O991" t="s">
        <v>2728</v>
      </c>
      <c r="P991" t="s">
        <v>20</v>
      </c>
      <c r="Q991" t="s">
        <v>20</v>
      </c>
      <c r="R991" t="s">
        <v>13311</v>
      </c>
      <c r="S991" t="s">
        <v>20</v>
      </c>
    </row>
    <row r="992" spans="1:19" x14ac:dyDescent="0.45">
      <c r="A992" t="s">
        <v>5294</v>
      </c>
      <c r="B992" t="s">
        <v>20</v>
      </c>
      <c r="C992" t="s">
        <v>9202</v>
      </c>
      <c r="D992" t="s">
        <v>5475</v>
      </c>
      <c r="E992" t="s">
        <v>38</v>
      </c>
      <c r="F992" t="s">
        <v>13957</v>
      </c>
      <c r="G992" t="s">
        <v>23</v>
      </c>
      <c r="H992" t="s">
        <v>8978</v>
      </c>
      <c r="I992" t="s">
        <v>9203</v>
      </c>
      <c r="J992" t="s">
        <v>9204</v>
      </c>
      <c r="K992" t="s">
        <v>9205</v>
      </c>
      <c r="L992" t="s">
        <v>8109</v>
      </c>
      <c r="M992" t="s">
        <v>2760</v>
      </c>
      <c r="N992" t="s">
        <v>33</v>
      </c>
      <c r="O992" t="s">
        <v>2728</v>
      </c>
      <c r="P992" t="s">
        <v>8377</v>
      </c>
      <c r="Q992" t="s">
        <v>20</v>
      </c>
      <c r="R992" t="s">
        <v>13958</v>
      </c>
      <c r="S992" t="s">
        <v>13437</v>
      </c>
    </row>
    <row r="993" spans="1:19" x14ac:dyDescent="0.45">
      <c r="A993" t="s">
        <v>1975</v>
      </c>
      <c r="B993" t="s">
        <v>20</v>
      </c>
      <c r="C993" t="s">
        <v>9083</v>
      </c>
      <c r="D993" t="s">
        <v>5715</v>
      </c>
      <c r="E993" t="s">
        <v>38</v>
      </c>
      <c r="F993" t="s">
        <v>14154</v>
      </c>
      <c r="G993" t="s">
        <v>23</v>
      </c>
      <c r="H993" t="s">
        <v>14155</v>
      </c>
      <c r="I993" t="s">
        <v>14156</v>
      </c>
      <c r="J993" t="s">
        <v>14157</v>
      </c>
      <c r="K993" t="s">
        <v>14158</v>
      </c>
      <c r="L993" t="s">
        <v>6525</v>
      </c>
      <c r="M993" t="s">
        <v>2760</v>
      </c>
      <c r="N993" t="s">
        <v>62</v>
      </c>
      <c r="O993" t="s">
        <v>2728</v>
      </c>
      <c r="P993" t="s">
        <v>20</v>
      </c>
      <c r="Q993" t="s">
        <v>20</v>
      </c>
      <c r="R993" t="s">
        <v>14283</v>
      </c>
      <c r="S993" t="s">
        <v>14281</v>
      </c>
    </row>
    <row r="994" spans="1:19" x14ac:dyDescent="0.45">
      <c r="A994" t="s">
        <v>1975</v>
      </c>
      <c r="B994" t="s">
        <v>20</v>
      </c>
      <c r="C994" t="s">
        <v>9083</v>
      </c>
      <c r="D994" t="s">
        <v>5715</v>
      </c>
      <c r="E994" t="s">
        <v>38</v>
      </c>
      <c r="F994" t="s">
        <v>2787</v>
      </c>
      <c r="G994" t="s">
        <v>23</v>
      </c>
      <c r="H994" t="s">
        <v>14139</v>
      </c>
      <c r="I994" t="s">
        <v>14140</v>
      </c>
      <c r="J994" t="s">
        <v>14141</v>
      </c>
      <c r="K994" t="s">
        <v>14142</v>
      </c>
      <c r="L994" t="s">
        <v>3418</v>
      </c>
      <c r="M994" t="s">
        <v>2981</v>
      </c>
      <c r="N994" t="s">
        <v>62</v>
      </c>
      <c r="O994" t="s">
        <v>2728</v>
      </c>
      <c r="P994" t="s">
        <v>20</v>
      </c>
      <c r="Q994" t="s">
        <v>20</v>
      </c>
      <c r="R994" t="s">
        <v>14302</v>
      </c>
      <c r="S994" t="s">
        <v>14303</v>
      </c>
    </row>
    <row r="995" spans="1:19" x14ac:dyDescent="0.45">
      <c r="A995" t="s">
        <v>2278</v>
      </c>
      <c r="B995" t="s">
        <v>2796</v>
      </c>
      <c r="C995" t="s">
        <v>2797</v>
      </c>
      <c r="D995" t="s">
        <v>2798</v>
      </c>
      <c r="E995" t="s">
        <v>38</v>
      </c>
      <c r="F995" t="s">
        <v>2755</v>
      </c>
      <c r="G995" t="s">
        <v>23</v>
      </c>
      <c r="H995" t="s">
        <v>2799</v>
      </c>
      <c r="I995" t="s">
        <v>2800</v>
      </c>
      <c r="J995" t="s">
        <v>2801</v>
      </c>
      <c r="K995" t="s">
        <v>2802</v>
      </c>
      <c r="L995" t="s">
        <v>3418</v>
      </c>
      <c r="M995" t="s">
        <v>32</v>
      </c>
      <c r="N995" t="s">
        <v>62</v>
      </c>
      <c r="O995" t="s">
        <v>2728</v>
      </c>
      <c r="P995" t="s">
        <v>20</v>
      </c>
      <c r="Q995" t="s">
        <v>20</v>
      </c>
      <c r="R995" t="s">
        <v>2803</v>
      </c>
      <c r="S995" t="s">
        <v>20</v>
      </c>
    </row>
    <row r="996" spans="1:19" x14ac:dyDescent="0.45">
      <c r="A996" t="s">
        <v>3738</v>
      </c>
      <c r="B996" t="s">
        <v>10077</v>
      </c>
      <c r="C996" t="s">
        <v>8392</v>
      </c>
      <c r="D996" t="s">
        <v>5717</v>
      </c>
      <c r="E996" t="s">
        <v>38</v>
      </c>
      <c r="F996" t="s">
        <v>3062</v>
      </c>
      <c r="G996" t="s">
        <v>23</v>
      </c>
      <c r="H996" t="s">
        <v>10078</v>
      </c>
      <c r="I996" t="s">
        <v>10079</v>
      </c>
      <c r="J996" t="s">
        <v>10080</v>
      </c>
      <c r="K996" t="s">
        <v>10081</v>
      </c>
      <c r="L996" t="s">
        <v>8377</v>
      </c>
      <c r="M996" t="s">
        <v>136</v>
      </c>
      <c r="N996" t="s">
        <v>113</v>
      </c>
      <c r="O996" t="s">
        <v>2728</v>
      </c>
      <c r="P996" t="s">
        <v>20</v>
      </c>
      <c r="Q996" t="s">
        <v>20</v>
      </c>
      <c r="R996" t="s">
        <v>10082</v>
      </c>
      <c r="S996" t="s">
        <v>20</v>
      </c>
    </row>
    <row r="997" spans="1:19" x14ac:dyDescent="0.45">
      <c r="A997" t="s">
        <v>3738</v>
      </c>
      <c r="B997" t="s">
        <v>8391</v>
      </c>
      <c r="C997" t="s">
        <v>8392</v>
      </c>
      <c r="D997" t="s">
        <v>5717</v>
      </c>
      <c r="E997" t="s">
        <v>38</v>
      </c>
      <c r="F997" t="s">
        <v>8147</v>
      </c>
      <c r="G997" t="s">
        <v>23</v>
      </c>
      <c r="H997" t="s">
        <v>8393</v>
      </c>
      <c r="I997" t="s">
        <v>8394</v>
      </c>
      <c r="J997" t="s">
        <v>8395</v>
      </c>
      <c r="K997" t="s">
        <v>8396</v>
      </c>
      <c r="L997" t="s">
        <v>6513</v>
      </c>
      <c r="M997" t="s">
        <v>32</v>
      </c>
      <c r="N997" t="s">
        <v>113</v>
      </c>
      <c r="O997" t="s">
        <v>2728</v>
      </c>
      <c r="P997" t="s">
        <v>20</v>
      </c>
      <c r="Q997" t="s">
        <v>20</v>
      </c>
      <c r="R997" t="s">
        <v>8397</v>
      </c>
      <c r="S997" t="s">
        <v>20</v>
      </c>
    </row>
    <row r="998" spans="1:19" x14ac:dyDescent="0.45">
      <c r="A998" t="s">
        <v>607</v>
      </c>
      <c r="B998" t="s">
        <v>3011</v>
      </c>
      <c r="C998" t="s">
        <v>3012</v>
      </c>
      <c r="D998" t="s">
        <v>3013</v>
      </c>
      <c r="E998" t="s">
        <v>38</v>
      </c>
      <c r="F998" t="s">
        <v>3014</v>
      </c>
      <c r="G998" t="s">
        <v>23</v>
      </c>
      <c r="H998" t="s">
        <v>3015</v>
      </c>
      <c r="I998" t="s">
        <v>3016</v>
      </c>
      <c r="J998" t="s">
        <v>3017</v>
      </c>
      <c r="K998" t="s">
        <v>3018</v>
      </c>
      <c r="L998" t="s">
        <v>3418</v>
      </c>
      <c r="M998" t="s">
        <v>136</v>
      </c>
      <c r="N998" t="s">
        <v>33</v>
      </c>
      <c r="O998" t="s">
        <v>2728</v>
      </c>
      <c r="P998" t="s">
        <v>20</v>
      </c>
      <c r="Q998" t="s">
        <v>20</v>
      </c>
      <c r="R998" t="s">
        <v>10299</v>
      </c>
      <c r="S998" t="s">
        <v>10300</v>
      </c>
    </row>
    <row r="999" spans="1:19" x14ac:dyDescent="0.45">
      <c r="A999" t="s">
        <v>607</v>
      </c>
      <c r="B999" t="s">
        <v>20</v>
      </c>
      <c r="C999" t="s">
        <v>687</v>
      </c>
      <c r="D999" t="s">
        <v>688</v>
      </c>
      <c r="E999" t="s">
        <v>38</v>
      </c>
      <c r="F999" t="s">
        <v>2992</v>
      </c>
      <c r="G999" t="s">
        <v>23</v>
      </c>
      <c r="H999" t="s">
        <v>8986</v>
      </c>
      <c r="I999" t="s">
        <v>9328</v>
      </c>
      <c r="J999" t="s">
        <v>9329</v>
      </c>
      <c r="K999" t="s">
        <v>9330</v>
      </c>
      <c r="L999" t="s">
        <v>6525</v>
      </c>
      <c r="M999" t="s">
        <v>32</v>
      </c>
      <c r="N999" t="s">
        <v>113</v>
      </c>
      <c r="O999" t="s">
        <v>2728</v>
      </c>
      <c r="P999" t="s">
        <v>20</v>
      </c>
      <c r="Q999" t="s">
        <v>20</v>
      </c>
      <c r="R999" t="s">
        <v>9331</v>
      </c>
      <c r="S999" t="s">
        <v>8164</v>
      </c>
    </row>
    <row r="1000" spans="1:19" x14ac:dyDescent="0.45">
      <c r="A1000" t="s">
        <v>515</v>
      </c>
      <c r="B1000" t="s">
        <v>20</v>
      </c>
      <c r="C1000" t="s">
        <v>2474</v>
      </c>
      <c r="D1000" t="s">
        <v>2475</v>
      </c>
      <c r="E1000" t="s">
        <v>38</v>
      </c>
      <c r="F1000" t="s">
        <v>2755</v>
      </c>
      <c r="G1000" t="s">
        <v>23</v>
      </c>
      <c r="H1000" t="s">
        <v>8201</v>
      </c>
      <c r="I1000" t="s">
        <v>8202</v>
      </c>
      <c r="J1000" t="s">
        <v>8203</v>
      </c>
      <c r="K1000" t="s">
        <v>8204</v>
      </c>
      <c r="L1000" t="s">
        <v>7506</v>
      </c>
      <c r="M1000" t="s">
        <v>132</v>
      </c>
      <c r="N1000" t="s">
        <v>195</v>
      </c>
      <c r="O1000" t="s">
        <v>2728</v>
      </c>
      <c r="P1000" t="s">
        <v>20</v>
      </c>
      <c r="Q1000" t="s">
        <v>20</v>
      </c>
      <c r="R1000" t="s">
        <v>8205</v>
      </c>
      <c r="S1000" t="s">
        <v>8119</v>
      </c>
    </row>
    <row r="1001" spans="1:19" x14ac:dyDescent="0.45">
      <c r="A1001" t="s">
        <v>515</v>
      </c>
      <c r="B1001" t="s">
        <v>20</v>
      </c>
      <c r="C1001" t="s">
        <v>2474</v>
      </c>
      <c r="D1001" t="s">
        <v>2475</v>
      </c>
      <c r="E1001" t="s">
        <v>38</v>
      </c>
      <c r="F1001" t="s">
        <v>2755</v>
      </c>
      <c r="G1001" t="s">
        <v>23</v>
      </c>
      <c r="H1001" t="s">
        <v>9545</v>
      </c>
      <c r="I1001" t="s">
        <v>9636</v>
      </c>
      <c r="J1001" t="s">
        <v>9637</v>
      </c>
      <c r="K1001" t="s">
        <v>9638</v>
      </c>
      <c r="L1001" t="s">
        <v>8377</v>
      </c>
      <c r="M1001" t="s">
        <v>132</v>
      </c>
      <c r="N1001" t="s">
        <v>195</v>
      </c>
      <c r="O1001" t="s">
        <v>2728</v>
      </c>
      <c r="P1001" t="s">
        <v>20</v>
      </c>
      <c r="Q1001" t="s">
        <v>20</v>
      </c>
      <c r="R1001" t="s">
        <v>9811</v>
      </c>
      <c r="S1001" t="s">
        <v>9797</v>
      </c>
    </row>
    <row r="1002" spans="1:19" x14ac:dyDescent="0.45">
      <c r="A1002" t="s">
        <v>2278</v>
      </c>
      <c r="B1002" t="s">
        <v>9664</v>
      </c>
      <c r="C1002" t="s">
        <v>3650</v>
      </c>
      <c r="D1002" t="s">
        <v>3651</v>
      </c>
      <c r="E1002" t="s">
        <v>21</v>
      </c>
      <c r="F1002" t="s">
        <v>2787</v>
      </c>
      <c r="G1002" t="s">
        <v>23</v>
      </c>
      <c r="H1002" t="s">
        <v>9535</v>
      </c>
      <c r="I1002" t="s">
        <v>9665</v>
      </c>
      <c r="J1002" t="s">
        <v>9666</v>
      </c>
      <c r="K1002" t="s">
        <v>9667</v>
      </c>
      <c r="L1002" t="s">
        <v>9126</v>
      </c>
      <c r="M1002" t="s">
        <v>2100</v>
      </c>
      <c r="N1002" t="s">
        <v>2727</v>
      </c>
      <c r="O1002" t="s">
        <v>2728</v>
      </c>
      <c r="P1002" t="s">
        <v>20</v>
      </c>
      <c r="Q1002" t="s">
        <v>20</v>
      </c>
      <c r="R1002" t="s">
        <v>9668</v>
      </c>
      <c r="S1002" t="s">
        <v>20</v>
      </c>
    </row>
    <row r="1003" spans="1:19" x14ac:dyDescent="0.45">
      <c r="A1003" t="s">
        <v>2278</v>
      </c>
      <c r="B1003" t="s">
        <v>14547</v>
      </c>
      <c r="C1003" t="s">
        <v>3650</v>
      </c>
      <c r="D1003" t="s">
        <v>3651</v>
      </c>
      <c r="E1003" t="s">
        <v>38</v>
      </c>
      <c r="F1003" t="s">
        <v>2787</v>
      </c>
      <c r="G1003" t="s">
        <v>23</v>
      </c>
      <c r="H1003" t="s">
        <v>14548</v>
      </c>
      <c r="I1003" t="s">
        <v>14549</v>
      </c>
      <c r="J1003" t="s">
        <v>14550</v>
      </c>
      <c r="K1003" t="s">
        <v>14551</v>
      </c>
      <c r="L1003" t="s">
        <v>6525</v>
      </c>
      <c r="M1003" t="s">
        <v>2981</v>
      </c>
      <c r="N1003" t="s">
        <v>1224</v>
      </c>
      <c r="O1003" t="s">
        <v>2728</v>
      </c>
      <c r="P1003" t="s">
        <v>20</v>
      </c>
      <c r="Q1003" t="s">
        <v>20</v>
      </c>
      <c r="R1003" t="s">
        <v>14552</v>
      </c>
      <c r="S1003" t="s">
        <v>20</v>
      </c>
    </row>
    <row r="1004" spans="1:19" x14ac:dyDescent="0.45">
      <c r="A1004" t="s">
        <v>2278</v>
      </c>
      <c r="B1004" t="s">
        <v>8413</v>
      </c>
      <c r="C1004" t="s">
        <v>3650</v>
      </c>
      <c r="D1004" t="s">
        <v>3651</v>
      </c>
      <c r="E1004" t="s">
        <v>38</v>
      </c>
      <c r="F1004" t="s">
        <v>2785</v>
      </c>
      <c r="G1004" t="s">
        <v>23</v>
      </c>
      <c r="H1004" t="s">
        <v>8414</v>
      </c>
      <c r="I1004" t="s">
        <v>8415</v>
      </c>
      <c r="J1004" t="s">
        <v>8416</v>
      </c>
      <c r="K1004" t="s">
        <v>8417</v>
      </c>
      <c r="L1004" t="s">
        <v>6513</v>
      </c>
      <c r="M1004" t="s">
        <v>4946</v>
      </c>
      <c r="N1004" t="s">
        <v>113</v>
      </c>
      <c r="O1004" t="s">
        <v>2728</v>
      </c>
      <c r="P1004" t="s">
        <v>20</v>
      </c>
      <c r="Q1004" t="s">
        <v>20</v>
      </c>
      <c r="R1004" t="s">
        <v>8418</v>
      </c>
      <c r="S1004" t="s">
        <v>20</v>
      </c>
    </row>
    <row r="1005" spans="1:19" x14ac:dyDescent="0.45">
      <c r="A1005" t="s">
        <v>314</v>
      </c>
      <c r="B1005" t="s">
        <v>20</v>
      </c>
      <c r="C1005" t="s">
        <v>3186</v>
      </c>
      <c r="D1005" t="s">
        <v>3187</v>
      </c>
      <c r="E1005" t="s">
        <v>38</v>
      </c>
      <c r="F1005" t="s">
        <v>2787</v>
      </c>
      <c r="G1005" t="s">
        <v>23</v>
      </c>
      <c r="H1005" t="s">
        <v>3188</v>
      </c>
      <c r="I1005" t="s">
        <v>3189</v>
      </c>
      <c r="J1005" t="s">
        <v>3190</v>
      </c>
      <c r="K1005" t="s">
        <v>3191</v>
      </c>
      <c r="L1005" t="s">
        <v>1125</v>
      </c>
      <c r="M1005" t="s">
        <v>2100</v>
      </c>
      <c r="N1005" t="s">
        <v>119</v>
      </c>
      <c r="O1005" t="s">
        <v>2728</v>
      </c>
      <c r="P1005" t="s">
        <v>20</v>
      </c>
      <c r="Q1005" t="s">
        <v>20</v>
      </c>
      <c r="R1005" t="s">
        <v>3192</v>
      </c>
      <c r="S1005" t="s">
        <v>20</v>
      </c>
    </row>
    <row r="1006" spans="1:19" x14ac:dyDescent="0.45">
      <c r="A1006" t="s">
        <v>261</v>
      </c>
      <c r="B1006" t="s">
        <v>20</v>
      </c>
      <c r="C1006" t="s">
        <v>5176</v>
      </c>
      <c r="D1006" t="s">
        <v>5177</v>
      </c>
      <c r="E1006" t="s">
        <v>117</v>
      </c>
      <c r="F1006" t="s">
        <v>10629</v>
      </c>
      <c r="G1006" t="s">
        <v>23</v>
      </c>
      <c r="H1006" t="s">
        <v>10630</v>
      </c>
      <c r="I1006" t="s">
        <v>10421</v>
      </c>
      <c r="J1006" t="s">
        <v>10631</v>
      </c>
      <c r="K1006" t="s">
        <v>10632</v>
      </c>
      <c r="L1006" t="s">
        <v>2769</v>
      </c>
      <c r="M1006" t="s">
        <v>10633</v>
      </c>
      <c r="N1006" t="s">
        <v>10634</v>
      </c>
      <c r="O1006" t="s">
        <v>2728</v>
      </c>
      <c r="P1006" t="s">
        <v>20</v>
      </c>
      <c r="Q1006" t="s">
        <v>20</v>
      </c>
      <c r="R1006" t="s">
        <v>10635</v>
      </c>
      <c r="S1006" t="s">
        <v>10300</v>
      </c>
    </row>
    <row r="1007" spans="1:19" x14ac:dyDescent="0.45">
      <c r="A1007" t="s">
        <v>2278</v>
      </c>
      <c r="B1007" t="s">
        <v>9371</v>
      </c>
      <c r="C1007" t="s">
        <v>5182</v>
      </c>
      <c r="D1007" t="s">
        <v>5183</v>
      </c>
      <c r="E1007" t="s">
        <v>21</v>
      </c>
      <c r="F1007" t="s">
        <v>2787</v>
      </c>
      <c r="G1007" t="s">
        <v>23</v>
      </c>
      <c r="H1007" t="s">
        <v>8943</v>
      </c>
      <c r="I1007" t="s">
        <v>9372</v>
      </c>
      <c r="J1007" t="s">
        <v>9373</v>
      </c>
      <c r="K1007" t="s">
        <v>9374</v>
      </c>
      <c r="L1007" t="s">
        <v>6521</v>
      </c>
      <c r="M1007" t="s">
        <v>9375</v>
      </c>
      <c r="N1007" t="s">
        <v>2809</v>
      </c>
      <c r="O1007" t="s">
        <v>2728</v>
      </c>
      <c r="P1007" t="s">
        <v>20</v>
      </c>
      <c r="Q1007" t="s">
        <v>20</v>
      </c>
      <c r="R1007" t="s">
        <v>9376</v>
      </c>
      <c r="S1007" t="s">
        <v>20</v>
      </c>
    </row>
    <row r="1008" spans="1:19" x14ac:dyDescent="0.45">
      <c r="A1008" t="s">
        <v>133</v>
      </c>
      <c r="B1008" t="s">
        <v>12886</v>
      </c>
      <c r="C1008" t="s">
        <v>12887</v>
      </c>
      <c r="D1008" t="s">
        <v>8961</v>
      </c>
      <c r="E1008" t="s">
        <v>21</v>
      </c>
      <c r="F1008" t="s">
        <v>2787</v>
      </c>
      <c r="G1008" t="s">
        <v>23</v>
      </c>
      <c r="H1008" t="s">
        <v>12888</v>
      </c>
      <c r="I1008" t="s">
        <v>12889</v>
      </c>
      <c r="J1008" t="s">
        <v>12890</v>
      </c>
      <c r="K1008" t="s">
        <v>12891</v>
      </c>
      <c r="L1008" t="s">
        <v>9683</v>
      </c>
      <c r="M1008" t="s">
        <v>3145</v>
      </c>
      <c r="N1008" t="s">
        <v>2727</v>
      </c>
      <c r="O1008" t="s">
        <v>2728</v>
      </c>
      <c r="P1008" t="s">
        <v>20</v>
      </c>
      <c r="Q1008" t="s">
        <v>20</v>
      </c>
      <c r="R1008" t="s">
        <v>12892</v>
      </c>
      <c r="S1008" t="s">
        <v>20</v>
      </c>
    </row>
    <row r="1009" spans="1:19" x14ac:dyDescent="0.45">
      <c r="A1009" t="s">
        <v>563</v>
      </c>
      <c r="B1009" t="s">
        <v>20</v>
      </c>
      <c r="C1009" t="s">
        <v>564</v>
      </c>
      <c r="D1009" t="s">
        <v>565</v>
      </c>
      <c r="E1009" t="s">
        <v>29</v>
      </c>
      <c r="F1009" t="s">
        <v>2785</v>
      </c>
      <c r="G1009" t="s">
        <v>23</v>
      </c>
      <c r="H1009" t="s">
        <v>8120</v>
      </c>
      <c r="I1009" t="s">
        <v>8121</v>
      </c>
      <c r="J1009" t="s">
        <v>8122</v>
      </c>
      <c r="K1009" t="s">
        <v>8123</v>
      </c>
      <c r="L1009" t="s">
        <v>6525</v>
      </c>
      <c r="M1009" t="s">
        <v>2760</v>
      </c>
      <c r="N1009" t="s">
        <v>45</v>
      </c>
      <c r="O1009" t="s">
        <v>2728</v>
      </c>
      <c r="P1009" t="s">
        <v>6524</v>
      </c>
      <c r="Q1009" t="s">
        <v>20</v>
      </c>
      <c r="R1009" t="s">
        <v>9793</v>
      </c>
      <c r="S1009" t="s">
        <v>8119</v>
      </c>
    </row>
    <row r="1010" spans="1:19" x14ac:dyDescent="0.45">
      <c r="A1010" t="s">
        <v>4056</v>
      </c>
      <c r="B1010" t="s">
        <v>20</v>
      </c>
      <c r="C1010" t="s">
        <v>8830</v>
      </c>
      <c r="D1010" t="s">
        <v>5896</v>
      </c>
      <c r="E1010" t="s">
        <v>38</v>
      </c>
      <c r="F1010" t="s">
        <v>2785</v>
      </c>
      <c r="G1010" t="s">
        <v>23</v>
      </c>
      <c r="H1010" t="s">
        <v>13440</v>
      </c>
      <c r="I1010" t="s">
        <v>13441</v>
      </c>
      <c r="J1010" t="s">
        <v>13442</v>
      </c>
      <c r="K1010" t="s">
        <v>13443</v>
      </c>
      <c r="L1010" t="s">
        <v>9683</v>
      </c>
      <c r="M1010" t="s">
        <v>538</v>
      </c>
      <c r="N1010" t="s">
        <v>33</v>
      </c>
      <c r="O1010" t="s">
        <v>2728</v>
      </c>
      <c r="P1010" t="s">
        <v>20</v>
      </c>
      <c r="Q1010" t="s">
        <v>20</v>
      </c>
      <c r="R1010" t="s">
        <v>13444</v>
      </c>
      <c r="S1010" t="s">
        <v>13437</v>
      </c>
    </row>
    <row r="1011" spans="1:19" x14ac:dyDescent="0.45">
      <c r="A1011" t="s">
        <v>362</v>
      </c>
      <c r="B1011" t="s">
        <v>14164</v>
      </c>
      <c r="C1011" t="s">
        <v>7419</v>
      </c>
      <c r="D1011" t="s">
        <v>5984</v>
      </c>
      <c r="E1011" t="s">
        <v>38</v>
      </c>
      <c r="F1011" t="s">
        <v>8147</v>
      </c>
      <c r="G1011" t="s">
        <v>23</v>
      </c>
      <c r="H1011" t="s">
        <v>14165</v>
      </c>
      <c r="I1011" t="s">
        <v>14166</v>
      </c>
      <c r="J1011" t="s">
        <v>14167</v>
      </c>
      <c r="K1011" t="s">
        <v>14168</v>
      </c>
      <c r="L1011" t="s">
        <v>3418</v>
      </c>
      <c r="M1011" t="s">
        <v>6932</v>
      </c>
      <c r="N1011" t="s">
        <v>62</v>
      </c>
      <c r="O1011" t="s">
        <v>2728</v>
      </c>
      <c r="P1011" t="s">
        <v>20</v>
      </c>
      <c r="Q1011" t="s">
        <v>20</v>
      </c>
      <c r="R1011" t="s">
        <v>14169</v>
      </c>
      <c r="S1011" t="s">
        <v>20</v>
      </c>
    </row>
    <row r="1012" spans="1:19" x14ac:dyDescent="0.45">
      <c r="A1012" t="s">
        <v>505</v>
      </c>
      <c r="B1012" t="s">
        <v>8244</v>
      </c>
      <c r="C1012" t="s">
        <v>506</v>
      </c>
      <c r="D1012" t="s">
        <v>507</v>
      </c>
      <c r="E1012" t="s">
        <v>21</v>
      </c>
      <c r="F1012" t="s">
        <v>2773</v>
      </c>
      <c r="G1012" t="s">
        <v>23</v>
      </c>
      <c r="H1012" t="s">
        <v>8245</v>
      </c>
      <c r="I1012" t="s">
        <v>8246</v>
      </c>
      <c r="J1012" t="s">
        <v>8247</v>
      </c>
      <c r="K1012" t="s">
        <v>8248</v>
      </c>
      <c r="L1012" t="s">
        <v>902</v>
      </c>
      <c r="M1012" t="s">
        <v>6526</v>
      </c>
      <c r="N1012" t="s">
        <v>1224</v>
      </c>
      <c r="O1012" t="s">
        <v>2728</v>
      </c>
      <c r="P1012" t="s">
        <v>20</v>
      </c>
      <c r="Q1012" t="s">
        <v>20</v>
      </c>
      <c r="R1012" t="s">
        <v>8249</v>
      </c>
      <c r="S1012" t="s">
        <v>20</v>
      </c>
    </row>
    <row r="1013" spans="1:19" x14ac:dyDescent="0.45">
      <c r="A1013" t="s">
        <v>592</v>
      </c>
      <c r="B1013" t="s">
        <v>14553</v>
      </c>
      <c r="C1013" t="s">
        <v>4201</v>
      </c>
      <c r="D1013" t="s">
        <v>4202</v>
      </c>
      <c r="E1013" t="s">
        <v>38</v>
      </c>
      <c r="F1013" t="s">
        <v>3062</v>
      </c>
      <c r="G1013" t="s">
        <v>23</v>
      </c>
      <c r="H1013" t="s">
        <v>14554</v>
      </c>
      <c r="I1013" t="s">
        <v>14555</v>
      </c>
      <c r="J1013" t="s">
        <v>14556</v>
      </c>
      <c r="K1013" t="s">
        <v>14557</v>
      </c>
      <c r="L1013" t="s">
        <v>9683</v>
      </c>
      <c r="M1013" t="s">
        <v>2760</v>
      </c>
      <c r="N1013" t="s">
        <v>2727</v>
      </c>
      <c r="O1013" t="s">
        <v>2728</v>
      </c>
      <c r="P1013" t="s">
        <v>20</v>
      </c>
      <c r="Q1013" t="s">
        <v>20</v>
      </c>
      <c r="R1013" t="s">
        <v>14558</v>
      </c>
      <c r="S1013" t="s">
        <v>20</v>
      </c>
    </row>
    <row r="1014" spans="1:19" x14ac:dyDescent="0.45">
      <c r="A1014" t="s">
        <v>6989</v>
      </c>
      <c r="B1014" t="s">
        <v>3488</v>
      </c>
      <c r="C1014" t="s">
        <v>2414</v>
      </c>
      <c r="D1014" t="s">
        <v>2415</v>
      </c>
      <c r="E1014" t="s">
        <v>38</v>
      </c>
      <c r="F1014" t="s">
        <v>2787</v>
      </c>
      <c r="G1014" t="s">
        <v>23</v>
      </c>
      <c r="H1014" t="s">
        <v>3489</v>
      </c>
      <c r="I1014" t="s">
        <v>3490</v>
      </c>
      <c r="J1014" t="s">
        <v>3491</v>
      </c>
      <c r="K1014" t="s">
        <v>3492</v>
      </c>
      <c r="L1014" t="s">
        <v>194</v>
      </c>
      <c r="M1014" t="s">
        <v>2981</v>
      </c>
      <c r="N1014" t="s">
        <v>33</v>
      </c>
      <c r="O1014" t="s">
        <v>2728</v>
      </c>
      <c r="P1014" t="s">
        <v>20</v>
      </c>
      <c r="Q1014" t="s">
        <v>20</v>
      </c>
      <c r="R1014" t="s">
        <v>3493</v>
      </c>
      <c r="S1014" t="s">
        <v>20</v>
      </c>
    </row>
    <row r="1015" spans="1:19" x14ac:dyDescent="0.45">
      <c r="A1015" t="s">
        <v>505</v>
      </c>
      <c r="B1015" t="s">
        <v>12251</v>
      </c>
      <c r="C1015" t="s">
        <v>1622</v>
      </c>
      <c r="D1015" t="s">
        <v>1623</v>
      </c>
      <c r="E1015" t="s">
        <v>38</v>
      </c>
      <c r="F1015" t="s">
        <v>2795</v>
      </c>
      <c r="G1015" t="s">
        <v>23</v>
      </c>
      <c r="H1015" t="s">
        <v>1624</v>
      </c>
      <c r="I1015" t="s">
        <v>1625</v>
      </c>
      <c r="J1015" t="s">
        <v>1626</v>
      </c>
      <c r="K1015" t="s">
        <v>1627</v>
      </c>
      <c r="L1015" t="s">
        <v>3418</v>
      </c>
      <c r="M1015" t="s">
        <v>2760</v>
      </c>
      <c r="N1015" t="s">
        <v>195</v>
      </c>
      <c r="O1015" t="s">
        <v>2728</v>
      </c>
      <c r="P1015" t="s">
        <v>20</v>
      </c>
      <c r="Q1015" t="s">
        <v>20</v>
      </c>
      <c r="R1015" t="s">
        <v>1628</v>
      </c>
      <c r="S1015" t="s">
        <v>20</v>
      </c>
    </row>
    <row r="1016" spans="1:19" x14ac:dyDescent="0.45">
      <c r="A1016" t="s">
        <v>104</v>
      </c>
      <c r="B1016" t="s">
        <v>8271</v>
      </c>
      <c r="C1016" t="s">
        <v>8272</v>
      </c>
      <c r="D1016" t="s">
        <v>6063</v>
      </c>
      <c r="E1016" t="s">
        <v>21</v>
      </c>
      <c r="F1016" t="s">
        <v>6530</v>
      </c>
      <c r="G1016" t="s">
        <v>23</v>
      </c>
      <c r="H1016" t="s">
        <v>8273</v>
      </c>
      <c r="I1016" t="s">
        <v>8274</v>
      </c>
      <c r="J1016" t="s">
        <v>8275</v>
      </c>
      <c r="K1016" t="s">
        <v>8276</v>
      </c>
      <c r="L1016" t="s">
        <v>5398</v>
      </c>
      <c r="M1016" t="s">
        <v>132</v>
      </c>
      <c r="N1016" t="s">
        <v>1224</v>
      </c>
      <c r="O1016" t="s">
        <v>2728</v>
      </c>
      <c r="P1016" t="s">
        <v>20</v>
      </c>
      <c r="Q1016" t="s">
        <v>20</v>
      </c>
      <c r="R1016" t="s">
        <v>8277</v>
      </c>
      <c r="S1016" t="s">
        <v>20</v>
      </c>
    </row>
    <row r="1017" spans="1:19" x14ac:dyDescent="0.45">
      <c r="A1017" t="s">
        <v>211</v>
      </c>
      <c r="B1017" t="s">
        <v>14559</v>
      </c>
      <c r="C1017" t="s">
        <v>2176</v>
      </c>
      <c r="D1017" t="s">
        <v>2177</v>
      </c>
      <c r="E1017" t="s">
        <v>38</v>
      </c>
      <c r="F1017" t="s">
        <v>2948</v>
      </c>
      <c r="G1017" t="s">
        <v>23</v>
      </c>
      <c r="H1017" t="s">
        <v>14560</v>
      </c>
      <c r="I1017" t="s">
        <v>14561</v>
      </c>
      <c r="J1017" t="s">
        <v>14562</v>
      </c>
      <c r="K1017" t="s">
        <v>14563</v>
      </c>
      <c r="L1017" t="s">
        <v>9126</v>
      </c>
      <c r="M1017" t="s">
        <v>2760</v>
      </c>
      <c r="N1017" t="s">
        <v>146</v>
      </c>
      <c r="O1017" t="s">
        <v>2728</v>
      </c>
      <c r="P1017" t="s">
        <v>20</v>
      </c>
      <c r="Q1017" t="s">
        <v>20</v>
      </c>
      <c r="R1017" t="s">
        <v>14564</v>
      </c>
      <c r="S1017" t="s">
        <v>20</v>
      </c>
    </row>
    <row r="1018" spans="1:19" x14ac:dyDescent="0.45">
      <c r="A1018" t="s">
        <v>81</v>
      </c>
      <c r="B1018" t="s">
        <v>8380</v>
      </c>
      <c r="C1018" t="s">
        <v>1499</v>
      </c>
      <c r="D1018" t="s">
        <v>1500</v>
      </c>
      <c r="E1018" t="s">
        <v>38</v>
      </c>
      <c r="F1018" t="s">
        <v>2787</v>
      </c>
      <c r="G1018" t="s">
        <v>23</v>
      </c>
      <c r="H1018" t="s">
        <v>8381</v>
      </c>
      <c r="I1018" t="s">
        <v>8382</v>
      </c>
      <c r="J1018" t="s">
        <v>8383</v>
      </c>
      <c r="K1018" t="s">
        <v>8384</v>
      </c>
      <c r="L1018" t="s">
        <v>902</v>
      </c>
      <c r="M1018" t="s">
        <v>2100</v>
      </c>
      <c r="N1018" t="s">
        <v>1224</v>
      </c>
      <c r="O1018" t="s">
        <v>2728</v>
      </c>
      <c r="P1018" t="s">
        <v>20</v>
      </c>
      <c r="Q1018" t="s">
        <v>20</v>
      </c>
      <c r="R1018" t="s">
        <v>8385</v>
      </c>
      <c r="S1018" t="s">
        <v>20</v>
      </c>
    </row>
    <row r="1019" spans="1:19" x14ac:dyDescent="0.45">
      <c r="A1019" t="s">
        <v>104</v>
      </c>
      <c r="B1019" t="s">
        <v>13046</v>
      </c>
      <c r="C1019" t="s">
        <v>11839</v>
      </c>
      <c r="D1019" t="s">
        <v>5965</v>
      </c>
      <c r="E1019" t="s">
        <v>38</v>
      </c>
      <c r="F1019" t="s">
        <v>2863</v>
      </c>
      <c r="G1019" t="s">
        <v>23</v>
      </c>
      <c r="H1019" t="s">
        <v>11840</v>
      </c>
      <c r="I1019" t="s">
        <v>11841</v>
      </c>
      <c r="J1019" t="s">
        <v>11842</v>
      </c>
      <c r="K1019" t="s">
        <v>11843</v>
      </c>
      <c r="L1019" t="s">
        <v>3998</v>
      </c>
      <c r="M1019" t="s">
        <v>2953</v>
      </c>
      <c r="N1019" t="s">
        <v>45</v>
      </c>
      <c r="O1019" t="s">
        <v>2728</v>
      </c>
      <c r="P1019" t="s">
        <v>20</v>
      </c>
      <c r="Q1019" t="s">
        <v>20</v>
      </c>
      <c r="R1019" t="s">
        <v>11844</v>
      </c>
      <c r="S1019" t="s">
        <v>11853</v>
      </c>
    </row>
    <row r="1020" spans="1:19" x14ac:dyDescent="0.45">
      <c r="A1020" t="s">
        <v>64</v>
      </c>
      <c r="B1020" t="s">
        <v>8403</v>
      </c>
      <c r="C1020" t="s">
        <v>148</v>
      </c>
      <c r="D1020" t="s">
        <v>149</v>
      </c>
      <c r="E1020" t="s">
        <v>38</v>
      </c>
      <c r="F1020" t="s">
        <v>2863</v>
      </c>
      <c r="G1020" t="s">
        <v>23</v>
      </c>
      <c r="H1020" t="s">
        <v>8404</v>
      </c>
      <c r="I1020" t="s">
        <v>8405</v>
      </c>
      <c r="J1020" t="s">
        <v>8406</v>
      </c>
      <c r="K1020" t="s">
        <v>8407</v>
      </c>
      <c r="L1020" t="s">
        <v>5398</v>
      </c>
      <c r="M1020" t="s">
        <v>2760</v>
      </c>
      <c r="N1020" t="s">
        <v>1224</v>
      </c>
      <c r="O1020" t="s">
        <v>2728</v>
      </c>
      <c r="P1020" t="s">
        <v>20</v>
      </c>
      <c r="Q1020" t="s">
        <v>20</v>
      </c>
      <c r="R1020" t="s">
        <v>8408</v>
      </c>
      <c r="S1020" t="s">
        <v>20</v>
      </c>
    </row>
    <row r="1021" spans="1:19" x14ac:dyDescent="0.45">
      <c r="A1021" t="s">
        <v>173</v>
      </c>
      <c r="B1021" t="s">
        <v>3004</v>
      </c>
      <c r="C1021" t="s">
        <v>1103</v>
      </c>
      <c r="D1021" t="s">
        <v>1104</v>
      </c>
      <c r="E1021" t="s">
        <v>38</v>
      </c>
      <c r="F1021" t="s">
        <v>2787</v>
      </c>
      <c r="G1021" t="s">
        <v>23</v>
      </c>
      <c r="H1021" t="s">
        <v>3005</v>
      </c>
      <c r="I1021" t="s">
        <v>3006</v>
      </c>
      <c r="J1021" t="s">
        <v>3007</v>
      </c>
      <c r="K1021" t="s">
        <v>3008</v>
      </c>
      <c r="L1021" t="s">
        <v>118</v>
      </c>
      <c r="M1021" t="s">
        <v>3009</v>
      </c>
      <c r="N1021" t="s">
        <v>2727</v>
      </c>
      <c r="O1021" t="s">
        <v>2728</v>
      </c>
      <c r="P1021" t="s">
        <v>20</v>
      </c>
      <c r="Q1021" t="s">
        <v>20</v>
      </c>
      <c r="R1021" t="s">
        <v>3010</v>
      </c>
      <c r="S1021" t="s">
        <v>20</v>
      </c>
    </row>
    <row r="1022" spans="1:19" x14ac:dyDescent="0.45">
      <c r="A1022" t="s">
        <v>269</v>
      </c>
      <c r="B1022" t="s">
        <v>20</v>
      </c>
      <c r="C1022" t="s">
        <v>1482</v>
      </c>
      <c r="D1022" t="s">
        <v>1483</v>
      </c>
      <c r="E1022" t="s">
        <v>38</v>
      </c>
      <c r="F1022" t="s">
        <v>2787</v>
      </c>
      <c r="G1022" t="s">
        <v>23</v>
      </c>
      <c r="H1022" t="s">
        <v>9021</v>
      </c>
      <c r="I1022" t="s">
        <v>9310</v>
      </c>
      <c r="J1022" t="s">
        <v>9311</v>
      </c>
      <c r="K1022" t="s">
        <v>9312</v>
      </c>
      <c r="L1022" t="s">
        <v>3998</v>
      </c>
      <c r="M1022" t="s">
        <v>2760</v>
      </c>
      <c r="N1022" t="s">
        <v>195</v>
      </c>
      <c r="O1022" t="s">
        <v>2728</v>
      </c>
      <c r="P1022" t="s">
        <v>20</v>
      </c>
      <c r="Q1022" t="s">
        <v>20</v>
      </c>
      <c r="R1022" t="s">
        <v>9814</v>
      </c>
      <c r="S1022" t="s">
        <v>9796</v>
      </c>
    </row>
    <row r="1023" spans="1:19" x14ac:dyDescent="0.45">
      <c r="A1023" t="s">
        <v>2761</v>
      </c>
      <c r="B1023" t="s">
        <v>2762</v>
      </c>
      <c r="C1023" t="s">
        <v>2763</v>
      </c>
      <c r="D1023" t="s">
        <v>2764</v>
      </c>
      <c r="E1023" t="s">
        <v>38</v>
      </c>
      <c r="F1023" t="s">
        <v>2722</v>
      </c>
      <c r="G1023" t="s">
        <v>23</v>
      </c>
      <c r="H1023" t="s">
        <v>2765</v>
      </c>
      <c r="I1023" t="s">
        <v>2766</v>
      </c>
      <c r="J1023" t="s">
        <v>2767</v>
      </c>
      <c r="K1023" t="s">
        <v>2768</v>
      </c>
      <c r="L1023" t="s">
        <v>2769</v>
      </c>
      <c r="M1023" t="s">
        <v>1223</v>
      </c>
      <c r="N1023" t="s">
        <v>2727</v>
      </c>
      <c r="O1023" t="s">
        <v>2728</v>
      </c>
      <c r="P1023" t="s">
        <v>6524</v>
      </c>
      <c r="Q1023" t="s">
        <v>20</v>
      </c>
      <c r="R1023" t="s">
        <v>2770</v>
      </c>
      <c r="S1023" t="s">
        <v>20</v>
      </c>
    </row>
    <row r="1024" spans="1:19" x14ac:dyDescent="0.45">
      <c r="A1024" t="s">
        <v>508</v>
      </c>
      <c r="B1024" t="s">
        <v>20</v>
      </c>
      <c r="C1024" t="s">
        <v>586</v>
      </c>
      <c r="D1024" t="s">
        <v>587</v>
      </c>
      <c r="E1024" t="s">
        <v>38</v>
      </c>
      <c r="F1024" t="s">
        <v>14565</v>
      </c>
      <c r="G1024" t="s">
        <v>23</v>
      </c>
      <c r="H1024" t="s">
        <v>13877</v>
      </c>
      <c r="I1024" t="s">
        <v>13878</v>
      </c>
      <c r="J1024" t="s">
        <v>13879</v>
      </c>
      <c r="K1024" t="s">
        <v>13880</v>
      </c>
      <c r="L1024" t="s">
        <v>8094</v>
      </c>
      <c r="M1024" t="s">
        <v>2760</v>
      </c>
      <c r="N1024" t="s">
        <v>146</v>
      </c>
      <c r="O1024" t="s">
        <v>2728</v>
      </c>
      <c r="P1024" t="s">
        <v>20</v>
      </c>
      <c r="Q1024" t="s">
        <v>20</v>
      </c>
      <c r="R1024" t="s">
        <v>14274</v>
      </c>
      <c r="S1024" t="s">
        <v>14275</v>
      </c>
    </row>
    <row r="1025" spans="1:19" x14ac:dyDescent="0.45">
      <c r="A1025" t="s">
        <v>508</v>
      </c>
      <c r="B1025" t="s">
        <v>20</v>
      </c>
      <c r="C1025" t="s">
        <v>586</v>
      </c>
      <c r="D1025" t="s">
        <v>587</v>
      </c>
      <c r="E1025" t="s">
        <v>38</v>
      </c>
      <c r="F1025" t="s">
        <v>14566</v>
      </c>
      <c r="G1025" t="s">
        <v>23</v>
      </c>
      <c r="H1025" t="s">
        <v>1561</v>
      </c>
      <c r="I1025" t="s">
        <v>1562</v>
      </c>
      <c r="J1025" t="s">
        <v>1563</v>
      </c>
      <c r="K1025" t="s">
        <v>1564</v>
      </c>
      <c r="L1025" t="s">
        <v>3418</v>
      </c>
      <c r="M1025" t="s">
        <v>6932</v>
      </c>
      <c r="N1025" t="s">
        <v>195</v>
      </c>
      <c r="O1025" t="s">
        <v>2728</v>
      </c>
      <c r="P1025" t="s">
        <v>20</v>
      </c>
      <c r="Q1025" t="s">
        <v>20</v>
      </c>
      <c r="R1025" t="s">
        <v>1565</v>
      </c>
      <c r="S1025" t="s">
        <v>10300</v>
      </c>
    </row>
    <row r="1026" spans="1:19" x14ac:dyDescent="0.45">
      <c r="A1026" t="s">
        <v>246</v>
      </c>
      <c r="B1026" t="s">
        <v>12253</v>
      </c>
      <c r="C1026" t="s">
        <v>1312</v>
      </c>
      <c r="D1026" t="s">
        <v>1313</v>
      </c>
      <c r="E1026" t="s">
        <v>38</v>
      </c>
      <c r="F1026" t="s">
        <v>4071</v>
      </c>
      <c r="G1026" t="s">
        <v>23</v>
      </c>
      <c r="H1026" t="s">
        <v>1314</v>
      </c>
      <c r="I1026" t="s">
        <v>1315</v>
      </c>
      <c r="J1026" t="s">
        <v>1316</v>
      </c>
      <c r="K1026" t="s">
        <v>1317</v>
      </c>
      <c r="L1026" t="s">
        <v>3418</v>
      </c>
      <c r="M1026" t="s">
        <v>2760</v>
      </c>
      <c r="N1026" t="s">
        <v>195</v>
      </c>
      <c r="O1026" t="s">
        <v>2728</v>
      </c>
      <c r="P1026" t="s">
        <v>20</v>
      </c>
      <c r="Q1026" t="s">
        <v>20</v>
      </c>
      <c r="R1026" t="s">
        <v>1318</v>
      </c>
      <c r="S1026" t="s">
        <v>1319</v>
      </c>
    </row>
    <row r="1027" spans="1:19" x14ac:dyDescent="0.45">
      <c r="A1027" t="s">
        <v>525</v>
      </c>
      <c r="B1027" t="s">
        <v>20</v>
      </c>
      <c r="C1027" t="s">
        <v>1055</v>
      </c>
      <c r="D1027" t="s">
        <v>1056</v>
      </c>
      <c r="E1027" t="s">
        <v>38</v>
      </c>
      <c r="F1027" t="s">
        <v>2785</v>
      </c>
      <c r="G1027" t="s">
        <v>23</v>
      </c>
      <c r="H1027" t="s">
        <v>13857</v>
      </c>
      <c r="I1027" t="s">
        <v>13858</v>
      </c>
      <c r="J1027" t="s">
        <v>13859</v>
      </c>
      <c r="K1027" t="s">
        <v>13860</v>
      </c>
      <c r="L1027" t="s">
        <v>3418</v>
      </c>
      <c r="M1027" t="s">
        <v>2760</v>
      </c>
      <c r="N1027" t="s">
        <v>195</v>
      </c>
      <c r="O1027" t="s">
        <v>2728</v>
      </c>
      <c r="P1027" t="s">
        <v>20</v>
      </c>
      <c r="Q1027" t="s">
        <v>20</v>
      </c>
      <c r="R1027" t="s">
        <v>13861</v>
      </c>
      <c r="S1027" t="s">
        <v>14539</v>
      </c>
    </row>
    <row r="1028" spans="1:19" x14ac:dyDescent="0.45">
      <c r="A1028" t="s">
        <v>19</v>
      </c>
      <c r="B1028" t="s">
        <v>14567</v>
      </c>
      <c r="C1028" t="s">
        <v>294</v>
      </c>
      <c r="D1028" t="s">
        <v>295</v>
      </c>
      <c r="E1028" t="s">
        <v>38</v>
      </c>
      <c r="F1028" t="s">
        <v>2948</v>
      </c>
      <c r="G1028" t="s">
        <v>23</v>
      </c>
      <c r="H1028" t="s">
        <v>14568</v>
      </c>
      <c r="I1028" t="s">
        <v>14569</v>
      </c>
      <c r="J1028" t="s">
        <v>14570</v>
      </c>
      <c r="K1028" t="s">
        <v>14571</v>
      </c>
      <c r="L1028" t="s">
        <v>9126</v>
      </c>
      <c r="M1028" t="s">
        <v>7029</v>
      </c>
      <c r="N1028" t="s">
        <v>146</v>
      </c>
      <c r="O1028" t="s">
        <v>2728</v>
      </c>
      <c r="P1028" t="s">
        <v>20</v>
      </c>
      <c r="Q1028" t="s">
        <v>20</v>
      </c>
      <c r="R1028" t="s">
        <v>14572</v>
      </c>
      <c r="S1028" t="s">
        <v>20</v>
      </c>
    </row>
    <row r="1029" spans="1:19" x14ac:dyDescent="0.45">
      <c r="A1029" t="s">
        <v>358</v>
      </c>
      <c r="B1029" t="s">
        <v>12307</v>
      </c>
      <c r="C1029" t="s">
        <v>359</v>
      </c>
      <c r="D1029" t="s">
        <v>360</v>
      </c>
      <c r="E1029" t="s">
        <v>38</v>
      </c>
      <c r="F1029" t="s">
        <v>2785</v>
      </c>
      <c r="G1029" t="s">
        <v>23</v>
      </c>
      <c r="H1029" t="s">
        <v>10317</v>
      </c>
      <c r="I1029" t="s">
        <v>10318</v>
      </c>
      <c r="J1029" t="s">
        <v>10777</v>
      </c>
      <c r="K1029" t="s">
        <v>10778</v>
      </c>
      <c r="L1029" t="s">
        <v>8109</v>
      </c>
      <c r="M1029" t="s">
        <v>32</v>
      </c>
      <c r="N1029" t="s">
        <v>33</v>
      </c>
      <c r="O1029" t="s">
        <v>2728</v>
      </c>
      <c r="P1029" t="s">
        <v>20</v>
      </c>
      <c r="Q1029" t="s">
        <v>20</v>
      </c>
      <c r="R1029" t="s">
        <v>10779</v>
      </c>
      <c r="S1029" t="s">
        <v>20</v>
      </c>
    </row>
    <row r="1030" spans="1:19" x14ac:dyDescent="0.45">
      <c r="A1030" t="s">
        <v>379</v>
      </c>
      <c r="B1030" t="s">
        <v>20</v>
      </c>
      <c r="C1030" t="s">
        <v>4316</v>
      </c>
      <c r="D1030" t="s">
        <v>4317</v>
      </c>
      <c r="E1030" t="s">
        <v>4007</v>
      </c>
      <c r="F1030" t="s">
        <v>2863</v>
      </c>
      <c r="G1030" t="s">
        <v>23</v>
      </c>
      <c r="H1030" t="s">
        <v>12487</v>
      </c>
      <c r="I1030" t="s">
        <v>12488</v>
      </c>
      <c r="J1030" t="s">
        <v>12489</v>
      </c>
      <c r="K1030" t="s">
        <v>12490</v>
      </c>
      <c r="L1030" t="s">
        <v>3418</v>
      </c>
      <c r="M1030" t="s">
        <v>2760</v>
      </c>
      <c r="N1030" t="s">
        <v>62</v>
      </c>
      <c r="O1030" t="s">
        <v>2728</v>
      </c>
      <c r="P1030" t="s">
        <v>20</v>
      </c>
      <c r="Q1030" t="s">
        <v>20</v>
      </c>
      <c r="R1030" t="s">
        <v>14276</v>
      </c>
      <c r="S1030" t="s">
        <v>14277</v>
      </c>
    </row>
    <row r="1031" spans="1:19" x14ac:dyDescent="0.45">
      <c r="A1031" t="s">
        <v>706</v>
      </c>
      <c r="B1031" t="s">
        <v>20</v>
      </c>
      <c r="C1031" t="s">
        <v>3261</v>
      </c>
      <c r="D1031" t="s">
        <v>3262</v>
      </c>
      <c r="E1031" t="s">
        <v>38</v>
      </c>
      <c r="F1031" t="s">
        <v>2787</v>
      </c>
      <c r="G1031" t="s">
        <v>23</v>
      </c>
      <c r="H1031" t="s">
        <v>3263</v>
      </c>
      <c r="I1031" t="s">
        <v>3264</v>
      </c>
      <c r="J1031" t="s">
        <v>3265</v>
      </c>
      <c r="K1031" t="s">
        <v>3266</v>
      </c>
      <c r="L1031" t="s">
        <v>6525</v>
      </c>
      <c r="M1031" t="s">
        <v>3267</v>
      </c>
      <c r="N1031" t="s">
        <v>9484</v>
      </c>
      <c r="O1031" t="s">
        <v>2728</v>
      </c>
      <c r="P1031" t="s">
        <v>20</v>
      </c>
      <c r="Q1031" t="s">
        <v>20</v>
      </c>
      <c r="R1031" t="s">
        <v>10620</v>
      </c>
      <c r="S1031" t="s">
        <v>20</v>
      </c>
    </row>
    <row r="1032" spans="1:19" x14ac:dyDescent="0.45">
      <c r="A1032" t="s">
        <v>46</v>
      </c>
      <c r="B1032" t="s">
        <v>13932</v>
      </c>
      <c r="C1032" t="s">
        <v>1414</v>
      </c>
      <c r="D1032" t="s">
        <v>1415</v>
      </c>
      <c r="E1032" t="s">
        <v>38</v>
      </c>
      <c r="F1032" t="s">
        <v>4092</v>
      </c>
      <c r="G1032" t="s">
        <v>23</v>
      </c>
      <c r="H1032" t="s">
        <v>13933</v>
      </c>
      <c r="I1032" t="s">
        <v>13934</v>
      </c>
      <c r="J1032" t="s">
        <v>13935</v>
      </c>
      <c r="K1032" t="s">
        <v>13936</v>
      </c>
      <c r="L1032" t="s">
        <v>3998</v>
      </c>
      <c r="M1032" t="s">
        <v>3632</v>
      </c>
      <c r="N1032" t="s">
        <v>10634</v>
      </c>
      <c r="O1032" t="s">
        <v>2728</v>
      </c>
      <c r="P1032" t="s">
        <v>20</v>
      </c>
      <c r="Q1032" t="s">
        <v>20</v>
      </c>
      <c r="R1032" t="s">
        <v>13937</v>
      </c>
      <c r="S1032" t="s">
        <v>20</v>
      </c>
    </row>
    <row r="1033" spans="1:19" x14ac:dyDescent="0.45">
      <c r="A1033" t="s">
        <v>706</v>
      </c>
      <c r="B1033" t="s">
        <v>3043</v>
      </c>
      <c r="C1033" t="s">
        <v>2242</v>
      </c>
      <c r="D1033" t="s">
        <v>2243</v>
      </c>
      <c r="E1033" t="s">
        <v>38</v>
      </c>
      <c r="F1033" t="s">
        <v>2863</v>
      </c>
      <c r="G1033" t="s">
        <v>23</v>
      </c>
      <c r="H1033" t="s">
        <v>3044</v>
      </c>
      <c r="I1033" t="s">
        <v>3045</v>
      </c>
      <c r="J1033" t="s">
        <v>3046</v>
      </c>
      <c r="K1033" t="s">
        <v>3047</v>
      </c>
      <c r="L1033" t="s">
        <v>635</v>
      </c>
      <c r="M1033" t="s">
        <v>2760</v>
      </c>
      <c r="N1033" t="s">
        <v>113</v>
      </c>
      <c r="O1033" t="s">
        <v>2728</v>
      </c>
      <c r="P1033" t="s">
        <v>6524</v>
      </c>
      <c r="Q1033" t="s">
        <v>20</v>
      </c>
      <c r="R1033" t="s">
        <v>3048</v>
      </c>
      <c r="S1033" t="s">
        <v>20</v>
      </c>
    </row>
    <row r="1034" spans="1:19" x14ac:dyDescent="0.45">
      <c r="A1034" t="s">
        <v>511</v>
      </c>
      <c r="B1034" t="s">
        <v>20</v>
      </c>
      <c r="C1034" t="s">
        <v>3522</v>
      </c>
      <c r="D1034" t="s">
        <v>3523</v>
      </c>
      <c r="E1034" t="s">
        <v>38</v>
      </c>
      <c r="F1034" t="s">
        <v>14278</v>
      </c>
      <c r="G1034" t="s">
        <v>23</v>
      </c>
      <c r="H1034" t="s">
        <v>8386</v>
      </c>
      <c r="I1034" t="s">
        <v>8387</v>
      </c>
      <c r="J1034" t="s">
        <v>8388</v>
      </c>
      <c r="K1034" t="s">
        <v>8389</v>
      </c>
      <c r="L1034" t="s">
        <v>9155</v>
      </c>
      <c r="M1034" t="s">
        <v>3105</v>
      </c>
      <c r="N1034" t="s">
        <v>62</v>
      </c>
      <c r="O1034" t="s">
        <v>2728</v>
      </c>
      <c r="P1034" t="s">
        <v>20</v>
      </c>
      <c r="Q1034" t="s">
        <v>20</v>
      </c>
      <c r="R1034" t="s">
        <v>8390</v>
      </c>
      <c r="S1034" t="s">
        <v>8104</v>
      </c>
    </row>
    <row r="1035" spans="1:19" x14ac:dyDescent="0.45">
      <c r="A1035" t="s">
        <v>1189</v>
      </c>
      <c r="B1035" t="s">
        <v>14573</v>
      </c>
      <c r="C1035" t="s">
        <v>13901</v>
      </c>
      <c r="D1035" t="s">
        <v>517</v>
      </c>
      <c r="E1035" t="s">
        <v>38</v>
      </c>
      <c r="F1035" t="s">
        <v>2787</v>
      </c>
      <c r="G1035" t="s">
        <v>23</v>
      </c>
      <c r="H1035" t="s">
        <v>14574</v>
      </c>
      <c r="I1035" t="s">
        <v>14575</v>
      </c>
      <c r="J1035" t="s">
        <v>14576</v>
      </c>
      <c r="K1035" t="s">
        <v>14577</v>
      </c>
      <c r="L1035" t="s">
        <v>3418</v>
      </c>
      <c r="M1035" t="s">
        <v>2760</v>
      </c>
      <c r="N1035" t="s">
        <v>62</v>
      </c>
      <c r="O1035" t="s">
        <v>2728</v>
      </c>
      <c r="P1035" t="s">
        <v>20</v>
      </c>
      <c r="Q1035" t="s">
        <v>20</v>
      </c>
      <c r="R1035" t="s">
        <v>14578</v>
      </c>
      <c r="S1035" t="s">
        <v>20</v>
      </c>
    </row>
    <row r="1036" spans="1:19" x14ac:dyDescent="0.45">
      <c r="A1036" t="s">
        <v>572</v>
      </c>
      <c r="B1036" t="s">
        <v>12393</v>
      </c>
      <c r="C1036" t="s">
        <v>2407</v>
      </c>
      <c r="D1036" t="s">
        <v>2408</v>
      </c>
      <c r="E1036" t="s">
        <v>38</v>
      </c>
      <c r="F1036" t="s">
        <v>2785</v>
      </c>
      <c r="G1036" t="s">
        <v>23</v>
      </c>
      <c r="H1036" t="s">
        <v>8324</v>
      </c>
      <c r="I1036" t="s">
        <v>8325</v>
      </c>
      <c r="J1036" t="s">
        <v>8326</v>
      </c>
      <c r="K1036" t="s">
        <v>8327</v>
      </c>
      <c r="L1036" t="s">
        <v>3998</v>
      </c>
      <c r="M1036" t="s">
        <v>32</v>
      </c>
      <c r="N1036" t="s">
        <v>45</v>
      </c>
      <c r="O1036" t="s">
        <v>2728</v>
      </c>
      <c r="P1036" t="s">
        <v>20</v>
      </c>
      <c r="Q1036" t="s">
        <v>20</v>
      </c>
      <c r="R1036" t="s">
        <v>13938</v>
      </c>
      <c r="S1036" t="s">
        <v>13437</v>
      </c>
    </row>
    <row r="1037" spans="1:19" x14ac:dyDescent="0.45">
      <c r="A1037" t="s">
        <v>943</v>
      </c>
      <c r="B1037" t="s">
        <v>20</v>
      </c>
      <c r="C1037" t="s">
        <v>2562</v>
      </c>
      <c r="D1037" t="s">
        <v>2563</v>
      </c>
      <c r="E1037" t="s">
        <v>38</v>
      </c>
      <c r="F1037" t="s">
        <v>13258</v>
      </c>
      <c r="G1037" t="s">
        <v>23</v>
      </c>
      <c r="H1037" t="s">
        <v>13259</v>
      </c>
      <c r="I1037" t="s">
        <v>13260</v>
      </c>
      <c r="J1037" t="s">
        <v>13261</v>
      </c>
      <c r="K1037" t="s">
        <v>13262</v>
      </c>
      <c r="L1037" t="s">
        <v>6525</v>
      </c>
      <c r="M1037" t="s">
        <v>538</v>
      </c>
      <c r="N1037" t="s">
        <v>119</v>
      </c>
      <c r="O1037" t="s">
        <v>2728</v>
      </c>
      <c r="P1037" t="s">
        <v>20</v>
      </c>
      <c r="Q1037" t="s">
        <v>20</v>
      </c>
      <c r="R1037" t="s">
        <v>13263</v>
      </c>
      <c r="S1037" t="s">
        <v>12903</v>
      </c>
    </row>
    <row r="1038" spans="1:19" x14ac:dyDescent="0.45">
      <c r="A1038" t="s">
        <v>425</v>
      </c>
      <c r="B1038" t="s">
        <v>8056</v>
      </c>
      <c r="C1038" t="s">
        <v>764</v>
      </c>
      <c r="D1038" t="s">
        <v>765</v>
      </c>
      <c r="E1038" t="s">
        <v>38</v>
      </c>
      <c r="F1038" t="s">
        <v>2755</v>
      </c>
      <c r="G1038" t="s">
        <v>23</v>
      </c>
      <c r="H1038" t="s">
        <v>766</v>
      </c>
      <c r="I1038" t="s">
        <v>767</v>
      </c>
      <c r="J1038" t="s">
        <v>768</v>
      </c>
      <c r="K1038" t="s">
        <v>769</v>
      </c>
      <c r="L1038" t="s">
        <v>31</v>
      </c>
      <c r="M1038" t="s">
        <v>2760</v>
      </c>
      <c r="N1038" t="s">
        <v>195</v>
      </c>
      <c r="O1038" t="s">
        <v>2728</v>
      </c>
      <c r="P1038" t="s">
        <v>20</v>
      </c>
      <c r="Q1038" t="s">
        <v>20</v>
      </c>
      <c r="R1038" t="s">
        <v>10298</v>
      </c>
      <c r="S1038" t="s">
        <v>10295</v>
      </c>
    </row>
    <row r="1039" spans="1:19" x14ac:dyDescent="0.45">
      <c r="A1039" t="s">
        <v>85</v>
      </c>
      <c r="B1039" t="s">
        <v>20</v>
      </c>
      <c r="C1039" t="s">
        <v>488</v>
      </c>
      <c r="D1039" t="s">
        <v>489</v>
      </c>
      <c r="E1039" t="s">
        <v>38</v>
      </c>
      <c r="F1039" t="s">
        <v>2863</v>
      </c>
      <c r="G1039" t="s">
        <v>23</v>
      </c>
      <c r="H1039" t="s">
        <v>490</v>
      </c>
      <c r="I1039" t="s">
        <v>491</v>
      </c>
      <c r="J1039" t="s">
        <v>492</v>
      </c>
      <c r="K1039" t="s">
        <v>493</v>
      </c>
      <c r="L1039" t="s">
        <v>3998</v>
      </c>
      <c r="M1039" t="s">
        <v>32</v>
      </c>
      <c r="N1039" t="s">
        <v>146</v>
      </c>
      <c r="O1039" t="s">
        <v>2728</v>
      </c>
      <c r="P1039" t="s">
        <v>20</v>
      </c>
      <c r="Q1039" t="s">
        <v>20</v>
      </c>
      <c r="R1039" t="s">
        <v>12046</v>
      </c>
      <c r="S1039" t="s">
        <v>11853</v>
      </c>
    </row>
    <row r="1040" spans="1:19" x14ac:dyDescent="0.45">
      <c r="A1040" t="s">
        <v>211</v>
      </c>
      <c r="B1040" t="s">
        <v>14579</v>
      </c>
      <c r="C1040" t="s">
        <v>6794</v>
      </c>
      <c r="D1040" t="s">
        <v>5643</v>
      </c>
      <c r="E1040" t="s">
        <v>38</v>
      </c>
      <c r="F1040" t="s">
        <v>2948</v>
      </c>
      <c r="G1040" t="s">
        <v>23</v>
      </c>
      <c r="H1040" t="s">
        <v>14580</v>
      </c>
      <c r="I1040" t="s">
        <v>14581</v>
      </c>
      <c r="J1040" t="s">
        <v>14582</v>
      </c>
      <c r="K1040" t="s">
        <v>14583</v>
      </c>
      <c r="L1040" t="s">
        <v>9126</v>
      </c>
      <c r="M1040" t="s">
        <v>2760</v>
      </c>
      <c r="N1040" t="s">
        <v>146</v>
      </c>
      <c r="O1040" t="s">
        <v>2728</v>
      </c>
      <c r="P1040" t="s">
        <v>20</v>
      </c>
      <c r="Q1040" t="s">
        <v>20</v>
      </c>
      <c r="R1040" t="s">
        <v>14584</v>
      </c>
      <c r="S1040" t="s">
        <v>20</v>
      </c>
    </row>
    <row r="1041" spans="1:19" x14ac:dyDescent="0.45">
      <c r="A1041" t="s">
        <v>261</v>
      </c>
      <c r="B1041" t="s">
        <v>20</v>
      </c>
      <c r="C1041" t="s">
        <v>2354</v>
      </c>
      <c r="D1041" t="s">
        <v>2355</v>
      </c>
      <c r="E1041" t="s">
        <v>38</v>
      </c>
      <c r="F1041" t="s">
        <v>2755</v>
      </c>
      <c r="G1041" t="s">
        <v>23</v>
      </c>
      <c r="H1041" t="s">
        <v>10344</v>
      </c>
      <c r="I1041" t="s">
        <v>10345</v>
      </c>
      <c r="J1041" t="s">
        <v>11095</v>
      </c>
      <c r="K1041" t="s">
        <v>11096</v>
      </c>
      <c r="L1041" t="s">
        <v>8377</v>
      </c>
      <c r="M1041" t="s">
        <v>32</v>
      </c>
      <c r="N1041" t="s">
        <v>146</v>
      </c>
      <c r="O1041" t="s">
        <v>2728</v>
      </c>
      <c r="P1041" t="s">
        <v>20</v>
      </c>
      <c r="Q1041" t="s">
        <v>20</v>
      </c>
      <c r="R1041" t="s">
        <v>11097</v>
      </c>
      <c r="S1041" t="s">
        <v>11925</v>
      </c>
    </row>
    <row r="1042" spans="1:19" x14ac:dyDescent="0.45">
      <c r="A1042" t="s">
        <v>261</v>
      </c>
      <c r="B1042" t="s">
        <v>20</v>
      </c>
      <c r="C1042" t="s">
        <v>2354</v>
      </c>
      <c r="D1042" t="s">
        <v>2355</v>
      </c>
      <c r="E1042" t="s">
        <v>21</v>
      </c>
      <c r="F1042" t="s">
        <v>2787</v>
      </c>
      <c r="G1042" t="s">
        <v>23</v>
      </c>
      <c r="H1042" t="s">
        <v>12258</v>
      </c>
      <c r="I1042" t="s">
        <v>12259</v>
      </c>
      <c r="J1042" t="s">
        <v>12260</v>
      </c>
      <c r="K1042" t="s">
        <v>12261</v>
      </c>
      <c r="L1042" t="s">
        <v>6527</v>
      </c>
      <c r="M1042" t="s">
        <v>32</v>
      </c>
      <c r="N1042" t="s">
        <v>146</v>
      </c>
      <c r="O1042" t="s">
        <v>2728</v>
      </c>
      <c r="P1042" t="s">
        <v>20</v>
      </c>
      <c r="Q1042" t="s">
        <v>20</v>
      </c>
      <c r="R1042" t="s">
        <v>12262</v>
      </c>
      <c r="S1042" t="s">
        <v>20</v>
      </c>
    </row>
    <row r="1043" spans="1:19" x14ac:dyDescent="0.45">
      <c r="A1043" t="s">
        <v>1975</v>
      </c>
      <c r="B1043" t="s">
        <v>9338</v>
      </c>
      <c r="C1043" t="s">
        <v>2331</v>
      </c>
      <c r="D1043" t="s">
        <v>2332</v>
      </c>
      <c r="E1043" t="s">
        <v>21</v>
      </c>
      <c r="F1043" t="s">
        <v>2722</v>
      </c>
      <c r="G1043" t="s">
        <v>23</v>
      </c>
      <c r="H1043" t="s">
        <v>9000</v>
      </c>
      <c r="I1043" t="s">
        <v>9339</v>
      </c>
      <c r="J1043" t="s">
        <v>9340</v>
      </c>
      <c r="K1043" t="s">
        <v>9341</v>
      </c>
      <c r="L1043" t="s">
        <v>3998</v>
      </c>
      <c r="M1043" t="s">
        <v>3145</v>
      </c>
      <c r="N1043" t="s">
        <v>2727</v>
      </c>
      <c r="O1043" t="s">
        <v>2728</v>
      </c>
      <c r="P1043" t="s">
        <v>20</v>
      </c>
      <c r="Q1043" t="s">
        <v>20</v>
      </c>
      <c r="R1043" t="s">
        <v>9342</v>
      </c>
      <c r="S1043" t="s">
        <v>20</v>
      </c>
    </row>
    <row r="1044" spans="1:19" x14ac:dyDescent="0.45">
      <c r="A1044" t="s">
        <v>1308</v>
      </c>
      <c r="B1044" t="s">
        <v>2897</v>
      </c>
      <c r="C1044" t="s">
        <v>2284</v>
      </c>
      <c r="D1044" t="s">
        <v>2285</v>
      </c>
      <c r="E1044" t="s">
        <v>38</v>
      </c>
      <c r="F1044" t="s">
        <v>2898</v>
      </c>
      <c r="G1044" t="s">
        <v>23</v>
      </c>
      <c r="H1044" t="s">
        <v>2899</v>
      </c>
      <c r="I1044" t="s">
        <v>2900</v>
      </c>
      <c r="J1044" t="s">
        <v>2901</v>
      </c>
      <c r="K1044" t="s">
        <v>2450</v>
      </c>
      <c r="L1044" t="s">
        <v>6513</v>
      </c>
      <c r="M1044" t="s">
        <v>1391</v>
      </c>
      <c r="N1044" t="s">
        <v>119</v>
      </c>
      <c r="O1044" t="s">
        <v>2728</v>
      </c>
      <c r="P1044" t="s">
        <v>20</v>
      </c>
      <c r="Q1044" t="s">
        <v>20</v>
      </c>
      <c r="R1044" t="s">
        <v>10565</v>
      </c>
      <c r="S1044" t="s">
        <v>10294</v>
      </c>
    </row>
    <row r="1045" spans="1:19" x14ac:dyDescent="0.45">
      <c r="A1045" t="s">
        <v>1016</v>
      </c>
      <c r="B1045" t="s">
        <v>20</v>
      </c>
      <c r="C1045" t="s">
        <v>1954</v>
      </c>
      <c r="D1045" t="s">
        <v>1955</v>
      </c>
      <c r="E1045" t="s">
        <v>38</v>
      </c>
      <c r="F1045" t="s">
        <v>14279</v>
      </c>
      <c r="G1045" t="s">
        <v>23</v>
      </c>
      <c r="H1045" t="s">
        <v>13128</v>
      </c>
      <c r="I1045" t="s">
        <v>13129</v>
      </c>
      <c r="J1045" t="s">
        <v>13881</v>
      </c>
      <c r="K1045" t="s">
        <v>13882</v>
      </c>
      <c r="L1045" t="s">
        <v>9126</v>
      </c>
      <c r="M1045" t="s">
        <v>132</v>
      </c>
      <c r="N1045" t="s">
        <v>195</v>
      </c>
      <c r="O1045" t="s">
        <v>2728</v>
      </c>
      <c r="P1045" t="s">
        <v>20</v>
      </c>
      <c r="Q1045" t="s">
        <v>20</v>
      </c>
      <c r="R1045" t="s">
        <v>14280</v>
      </c>
      <c r="S1045" t="s">
        <v>14281</v>
      </c>
    </row>
    <row r="1046" spans="1:19" x14ac:dyDescent="0.45">
      <c r="A1046" t="s">
        <v>104</v>
      </c>
      <c r="B1046" t="s">
        <v>14585</v>
      </c>
      <c r="C1046" t="s">
        <v>180</v>
      </c>
      <c r="D1046" t="s">
        <v>181</v>
      </c>
      <c r="E1046" t="s">
        <v>57</v>
      </c>
      <c r="F1046" t="s">
        <v>3891</v>
      </c>
      <c r="G1046" t="s">
        <v>23</v>
      </c>
      <c r="H1046" t="s">
        <v>182</v>
      </c>
      <c r="I1046" t="s">
        <v>183</v>
      </c>
      <c r="J1046" t="s">
        <v>184</v>
      </c>
      <c r="K1046" t="s">
        <v>185</v>
      </c>
      <c r="L1046" t="s">
        <v>3418</v>
      </c>
      <c r="M1046" t="s">
        <v>2953</v>
      </c>
      <c r="N1046" t="s">
        <v>33</v>
      </c>
      <c r="O1046" t="s">
        <v>2728</v>
      </c>
      <c r="P1046" t="s">
        <v>20</v>
      </c>
      <c r="Q1046" t="s">
        <v>20</v>
      </c>
      <c r="R1046" t="s">
        <v>186</v>
      </c>
      <c r="S1046" t="s">
        <v>20</v>
      </c>
    </row>
    <row r="1047" spans="1:19" x14ac:dyDescent="0.45">
      <c r="A1047" t="s">
        <v>261</v>
      </c>
      <c r="B1047" t="s">
        <v>20</v>
      </c>
      <c r="C1047" t="s">
        <v>2391</v>
      </c>
      <c r="D1047" t="s">
        <v>2392</v>
      </c>
      <c r="E1047" t="s">
        <v>21</v>
      </c>
      <c r="F1047" t="s">
        <v>2713</v>
      </c>
      <c r="G1047" t="s">
        <v>23</v>
      </c>
      <c r="H1047" t="s">
        <v>13264</v>
      </c>
      <c r="I1047" t="s">
        <v>13131</v>
      </c>
      <c r="J1047" t="s">
        <v>13265</v>
      </c>
      <c r="K1047" t="s">
        <v>13266</v>
      </c>
      <c r="L1047" t="s">
        <v>6524</v>
      </c>
      <c r="M1047" t="s">
        <v>12446</v>
      </c>
      <c r="N1047" t="s">
        <v>1224</v>
      </c>
      <c r="O1047" t="s">
        <v>2728</v>
      </c>
      <c r="P1047" t="s">
        <v>20</v>
      </c>
      <c r="Q1047" t="s">
        <v>20</v>
      </c>
      <c r="R1047" t="s">
        <v>13267</v>
      </c>
      <c r="S1047" t="s">
        <v>20</v>
      </c>
    </row>
    <row r="1048" spans="1:19" x14ac:dyDescent="0.45">
      <c r="A1048" t="s">
        <v>508</v>
      </c>
      <c r="B1048" t="s">
        <v>20</v>
      </c>
      <c r="C1048" t="s">
        <v>509</v>
      </c>
      <c r="D1048" t="s">
        <v>510</v>
      </c>
      <c r="E1048" t="s">
        <v>29</v>
      </c>
      <c r="F1048" t="s">
        <v>2785</v>
      </c>
      <c r="G1048" t="s">
        <v>23</v>
      </c>
      <c r="H1048" t="s">
        <v>8990</v>
      </c>
      <c r="I1048" t="s">
        <v>9123</v>
      </c>
      <c r="J1048" t="s">
        <v>9124</v>
      </c>
      <c r="K1048" t="s">
        <v>9125</v>
      </c>
      <c r="L1048" t="s">
        <v>9126</v>
      </c>
      <c r="M1048" t="s">
        <v>2760</v>
      </c>
      <c r="N1048" t="s">
        <v>195</v>
      </c>
      <c r="O1048" t="s">
        <v>2728</v>
      </c>
      <c r="P1048" t="s">
        <v>20</v>
      </c>
      <c r="Q1048" t="s">
        <v>20</v>
      </c>
      <c r="R1048" t="s">
        <v>9127</v>
      </c>
      <c r="S1048" t="s">
        <v>11853</v>
      </c>
    </row>
    <row r="1049" spans="1:19" x14ac:dyDescent="0.45">
      <c r="A1049" t="s">
        <v>592</v>
      </c>
      <c r="B1049" t="s">
        <v>20</v>
      </c>
      <c r="C1049" t="s">
        <v>1708</v>
      </c>
      <c r="D1049" t="s">
        <v>1709</v>
      </c>
      <c r="E1049" t="s">
        <v>38</v>
      </c>
      <c r="F1049" t="s">
        <v>2795</v>
      </c>
      <c r="G1049" t="s">
        <v>23</v>
      </c>
      <c r="H1049" t="s">
        <v>3287</v>
      </c>
      <c r="I1049" t="s">
        <v>3288</v>
      </c>
      <c r="J1049" t="s">
        <v>3289</v>
      </c>
      <c r="K1049" t="s">
        <v>3290</v>
      </c>
      <c r="L1049" t="s">
        <v>131</v>
      </c>
      <c r="M1049" t="s">
        <v>1498</v>
      </c>
      <c r="N1049" t="s">
        <v>45</v>
      </c>
      <c r="O1049" t="s">
        <v>2728</v>
      </c>
      <c r="P1049" t="s">
        <v>20</v>
      </c>
      <c r="Q1049" t="s">
        <v>20</v>
      </c>
      <c r="R1049" t="s">
        <v>3291</v>
      </c>
      <c r="S1049" t="s">
        <v>20</v>
      </c>
    </row>
    <row r="1050" spans="1:19" x14ac:dyDescent="0.45">
      <c r="A1050" t="s">
        <v>362</v>
      </c>
      <c r="B1050" t="s">
        <v>20</v>
      </c>
      <c r="C1050" t="s">
        <v>3929</v>
      </c>
      <c r="D1050" t="s">
        <v>3930</v>
      </c>
      <c r="E1050" t="s">
        <v>38</v>
      </c>
      <c r="F1050" t="s">
        <v>2948</v>
      </c>
      <c r="G1050" t="s">
        <v>23</v>
      </c>
      <c r="H1050" t="s">
        <v>10596</v>
      </c>
      <c r="I1050" t="s">
        <v>10597</v>
      </c>
      <c r="J1050" t="s">
        <v>10598</v>
      </c>
      <c r="K1050" t="s">
        <v>10599</v>
      </c>
      <c r="L1050" t="s">
        <v>3418</v>
      </c>
      <c r="M1050" t="s">
        <v>6932</v>
      </c>
      <c r="N1050" t="s">
        <v>195</v>
      </c>
      <c r="O1050" t="s">
        <v>2728</v>
      </c>
      <c r="P1050" t="s">
        <v>20</v>
      </c>
      <c r="Q1050" t="s">
        <v>20</v>
      </c>
      <c r="R1050" t="s">
        <v>10600</v>
      </c>
      <c r="S1050" t="s">
        <v>10295</v>
      </c>
    </row>
    <row r="1051" spans="1:19" x14ac:dyDescent="0.45">
      <c r="A1051" t="s">
        <v>246</v>
      </c>
      <c r="B1051" t="s">
        <v>20</v>
      </c>
      <c r="C1051" t="s">
        <v>529</v>
      </c>
      <c r="D1051" t="s">
        <v>530</v>
      </c>
      <c r="E1051" t="s">
        <v>38</v>
      </c>
      <c r="F1051" t="s">
        <v>2785</v>
      </c>
      <c r="G1051" t="s">
        <v>23</v>
      </c>
      <c r="H1051" t="s">
        <v>11788</v>
      </c>
      <c r="I1051" t="s">
        <v>11789</v>
      </c>
      <c r="J1051" t="s">
        <v>11790</v>
      </c>
      <c r="K1051" t="s">
        <v>11791</v>
      </c>
      <c r="L1051" t="s">
        <v>9126</v>
      </c>
      <c r="M1051" t="s">
        <v>2760</v>
      </c>
      <c r="N1051" t="s">
        <v>33</v>
      </c>
      <c r="O1051" t="s">
        <v>2728</v>
      </c>
      <c r="P1051" t="s">
        <v>6527</v>
      </c>
      <c r="Q1051" t="s">
        <v>20</v>
      </c>
      <c r="R1051" t="s">
        <v>13436</v>
      </c>
      <c r="S1051" t="s">
        <v>13437</v>
      </c>
    </row>
    <row r="1052" spans="1:19" x14ac:dyDescent="0.45">
      <c r="A1052" t="s">
        <v>81</v>
      </c>
      <c r="B1052" t="s">
        <v>9669</v>
      </c>
      <c r="C1052" t="s">
        <v>82</v>
      </c>
      <c r="D1052" t="s">
        <v>83</v>
      </c>
      <c r="E1052" t="s">
        <v>21</v>
      </c>
      <c r="F1052" t="s">
        <v>2787</v>
      </c>
      <c r="G1052" t="s">
        <v>23</v>
      </c>
      <c r="H1052" t="s">
        <v>9028</v>
      </c>
      <c r="I1052" t="s">
        <v>9670</v>
      </c>
      <c r="J1052" t="s">
        <v>9671</v>
      </c>
      <c r="K1052" t="s">
        <v>9672</v>
      </c>
      <c r="L1052" t="s">
        <v>6523</v>
      </c>
      <c r="M1052" t="s">
        <v>2981</v>
      </c>
      <c r="N1052" t="s">
        <v>3696</v>
      </c>
      <c r="O1052" t="s">
        <v>2728</v>
      </c>
      <c r="P1052" t="s">
        <v>20</v>
      </c>
      <c r="Q1052" t="s">
        <v>20</v>
      </c>
      <c r="R1052" t="s">
        <v>9673</v>
      </c>
      <c r="S1052" t="s">
        <v>20</v>
      </c>
    </row>
    <row r="1053" spans="1:19" x14ac:dyDescent="0.45">
      <c r="A1053" t="s">
        <v>715</v>
      </c>
      <c r="B1053" t="s">
        <v>12266</v>
      </c>
      <c r="C1053" t="s">
        <v>970</v>
      </c>
      <c r="D1053" t="s">
        <v>971</v>
      </c>
      <c r="E1053" t="s">
        <v>38</v>
      </c>
      <c r="F1053" t="s">
        <v>2795</v>
      </c>
      <c r="G1053" t="s">
        <v>23</v>
      </c>
      <c r="H1053" t="s">
        <v>972</v>
      </c>
      <c r="I1053" t="s">
        <v>973</v>
      </c>
      <c r="J1053" t="s">
        <v>974</v>
      </c>
      <c r="K1053" t="s">
        <v>975</v>
      </c>
      <c r="L1053" t="s">
        <v>3418</v>
      </c>
      <c r="M1053" t="s">
        <v>102</v>
      </c>
      <c r="N1053" t="s">
        <v>146</v>
      </c>
      <c r="O1053" t="s">
        <v>2728</v>
      </c>
      <c r="P1053" t="s">
        <v>20</v>
      </c>
      <c r="Q1053" t="s">
        <v>20</v>
      </c>
      <c r="R1053" t="s">
        <v>12267</v>
      </c>
      <c r="S1053" t="s">
        <v>20</v>
      </c>
    </row>
    <row r="1054" spans="1:19" x14ac:dyDescent="0.45">
      <c r="A1054" t="s">
        <v>535</v>
      </c>
      <c r="B1054" t="s">
        <v>10160</v>
      </c>
      <c r="C1054" t="s">
        <v>2998</v>
      </c>
      <c r="D1054" t="s">
        <v>2999</v>
      </c>
      <c r="E1054" t="s">
        <v>21</v>
      </c>
      <c r="F1054" t="s">
        <v>2722</v>
      </c>
      <c r="G1054" t="s">
        <v>23</v>
      </c>
      <c r="H1054" t="s">
        <v>10161</v>
      </c>
      <c r="I1054" t="s">
        <v>10162</v>
      </c>
      <c r="J1054" t="s">
        <v>10163</v>
      </c>
      <c r="K1054" t="s">
        <v>10164</v>
      </c>
      <c r="L1054" t="s">
        <v>9126</v>
      </c>
      <c r="M1054" t="s">
        <v>3145</v>
      </c>
      <c r="N1054" t="s">
        <v>2727</v>
      </c>
      <c r="O1054" t="s">
        <v>2728</v>
      </c>
      <c r="P1054" t="s">
        <v>20</v>
      </c>
      <c r="Q1054" t="s">
        <v>20</v>
      </c>
      <c r="R1054" t="s">
        <v>10165</v>
      </c>
      <c r="S1054" t="s">
        <v>20</v>
      </c>
    </row>
    <row r="1055" spans="1:19" x14ac:dyDescent="0.45">
      <c r="A1055" t="s">
        <v>572</v>
      </c>
      <c r="B1055" t="s">
        <v>12904</v>
      </c>
      <c r="C1055" t="s">
        <v>4376</v>
      </c>
      <c r="D1055" t="s">
        <v>4377</v>
      </c>
      <c r="E1055" t="s">
        <v>21</v>
      </c>
      <c r="F1055" t="s">
        <v>2722</v>
      </c>
      <c r="G1055" t="s">
        <v>23</v>
      </c>
      <c r="H1055" t="s">
        <v>12905</v>
      </c>
      <c r="I1055" t="s">
        <v>12906</v>
      </c>
      <c r="J1055" t="s">
        <v>12907</v>
      </c>
      <c r="K1055" t="s">
        <v>12908</v>
      </c>
      <c r="L1055" t="s">
        <v>6527</v>
      </c>
      <c r="M1055" t="s">
        <v>3145</v>
      </c>
      <c r="N1055" t="s">
        <v>1224</v>
      </c>
      <c r="O1055" t="s">
        <v>2728</v>
      </c>
      <c r="P1055" t="s">
        <v>6524</v>
      </c>
      <c r="Q1055" t="s">
        <v>20</v>
      </c>
      <c r="R1055" t="s">
        <v>12909</v>
      </c>
      <c r="S1055" t="s">
        <v>20</v>
      </c>
    </row>
    <row r="1056" spans="1:19" x14ac:dyDescent="0.45">
      <c r="A1056" t="s">
        <v>505</v>
      </c>
      <c r="B1056" t="s">
        <v>9642</v>
      </c>
      <c r="C1056" t="s">
        <v>788</v>
      </c>
      <c r="D1056" t="s">
        <v>789</v>
      </c>
      <c r="E1056" t="s">
        <v>38</v>
      </c>
      <c r="F1056" t="s">
        <v>3182</v>
      </c>
      <c r="G1056" t="s">
        <v>23</v>
      </c>
      <c r="H1056" t="s">
        <v>790</v>
      </c>
      <c r="I1056" t="s">
        <v>791</v>
      </c>
      <c r="J1056" t="s">
        <v>792</v>
      </c>
      <c r="K1056" t="s">
        <v>793</v>
      </c>
      <c r="L1056" t="s">
        <v>6533</v>
      </c>
      <c r="M1056" t="s">
        <v>6932</v>
      </c>
      <c r="N1056" t="s">
        <v>195</v>
      </c>
      <c r="O1056" t="s">
        <v>2728</v>
      </c>
      <c r="P1056" t="s">
        <v>20</v>
      </c>
      <c r="Q1056" t="s">
        <v>20</v>
      </c>
      <c r="R1056" t="s">
        <v>10579</v>
      </c>
      <c r="S1056" t="s">
        <v>10300</v>
      </c>
    </row>
    <row r="1057" spans="1:19" x14ac:dyDescent="0.45">
      <c r="A1057" t="s">
        <v>505</v>
      </c>
      <c r="B1057" t="s">
        <v>10626</v>
      </c>
      <c r="C1057" t="s">
        <v>788</v>
      </c>
      <c r="D1057" t="s">
        <v>789</v>
      </c>
      <c r="E1057" t="s">
        <v>38</v>
      </c>
      <c r="F1057" t="s">
        <v>3673</v>
      </c>
      <c r="G1057" t="s">
        <v>23</v>
      </c>
      <c r="H1057" t="s">
        <v>6472</v>
      </c>
      <c r="I1057" t="s">
        <v>6564</v>
      </c>
      <c r="J1057" t="s">
        <v>6565</v>
      </c>
      <c r="K1057" t="s">
        <v>6566</v>
      </c>
      <c r="L1057" t="s">
        <v>722</v>
      </c>
      <c r="M1057" t="s">
        <v>32</v>
      </c>
      <c r="N1057" t="s">
        <v>62</v>
      </c>
      <c r="O1057" t="s">
        <v>2728</v>
      </c>
      <c r="P1057" t="s">
        <v>20</v>
      </c>
      <c r="Q1057" t="s">
        <v>20</v>
      </c>
      <c r="R1057" t="s">
        <v>10627</v>
      </c>
      <c r="S1057" t="s">
        <v>20</v>
      </c>
    </row>
    <row r="1058" spans="1:19" x14ac:dyDescent="0.45">
      <c r="A1058" t="s">
        <v>921</v>
      </c>
      <c r="B1058" t="s">
        <v>12910</v>
      </c>
      <c r="C1058" t="s">
        <v>12761</v>
      </c>
      <c r="D1058" t="s">
        <v>9890</v>
      </c>
      <c r="E1058" t="s">
        <v>21</v>
      </c>
      <c r="F1058" t="s">
        <v>2722</v>
      </c>
      <c r="G1058" t="s">
        <v>23</v>
      </c>
      <c r="H1058" t="s">
        <v>12911</v>
      </c>
      <c r="I1058" t="s">
        <v>12912</v>
      </c>
      <c r="J1058" t="s">
        <v>12913</v>
      </c>
      <c r="K1058" t="s">
        <v>12914</v>
      </c>
      <c r="L1058" t="s">
        <v>6527</v>
      </c>
      <c r="M1058" t="s">
        <v>3145</v>
      </c>
      <c r="N1058" t="s">
        <v>1224</v>
      </c>
      <c r="O1058" t="s">
        <v>2728</v>
      </c>
      <c r="P1058" t="s">
        <v>20</v>
      </c>
      <c r="Q1058" t="s">
        <v>20</v>
      </c>
      <c r="R1058" t="s">
        <v>12915</v>
      </c>
      <c r="S1058" t="s">
        <v>20</v>
      </c>
    </row>
    <row r="1059" spans="1:19" x14ac:dyDescent="0.45">
      <c r="A1059" t="s">
        <v>706</v>
      </c>
      <c r="B1059" t="s">
        <v>2937</v>
      </c>
      <c r="C1059" t="s">
        <v>2938</v>
      </c>
      <c r="D1059" t="s">
        <v>2939</v>
      </c>
      <c r="E1059" t="s">
        <v>38</v>
      </c>
      <c r="F1059" t="s">
        <v>2940</v>
      </c>
      <c r="G1059" t="s">
        <v>23</v>
      </c>
      <c r="H1059" t="s">
        <v>2941</v>
      </c>
      <c r="I1059" t="s">
        <v>2942</v>
      </c>
      <c r="J1059" t="s">
        <v>2943</v>
      </c>
      <c r="K1059" t="s">
        <v>2944</v>
      </c>
      <c r="L1059" t="s">
        <v>161</v>
      </c>
      <c r="M1059" t="s">
        <v>136</v>
      </c>
      <c r="N1059" t="s">
        <v>1224</v>
      </c>
      <c r="O1059" t="s">
        <v>2728</v>
      </c>
      <c r="P1059" t="s">
        <v>6527</v>
      </c>
      <c r="Q1059" t="s">
        <v>20</v>
      </c>
      <c r="R1059" t="s">
        <v>2945</v>
      </c>
      <c r="S1059" t="s">
        <v>20</v>
      </c>
    </row>
    <row r="1060" spans="1:19" x14ac:dyDescent="0.45">
      <c r="A1060" t="s">
        <v>3096</v>
      </c>
      <c r="B1060" t="s">
        <v>3097</v>
      </c>
      <c r="C1060" t="s">
        <v>3098</v>
      </c>
      <c r="D1060" t="s">
        <v>3099</v>
      </c>
      <c r="E1060" t="s">
        <v>38</v>
      </c>
      <c r="F1060" t="s">
        <v>3100</v>
      </c>
      <c r="G1060" t="s">
        <v>23</v>
      </c>
      <c r="H1060" t="s">
        <v>3101</v>
      </c>
      <c r="I1060" t="s">
        <v>3102</v>
      </c>
      <c r="J1060" t="s">
        <v>3103</v>
      </c>
      <c r="K1060" t="s">
        <v>3104</v>
      </c>
      <c r="L1060" t="s">
        <v>118</v>
      </c>
      <c r="M1060" t="s">
        <v>3105</v>
      </c>
      <c r="N1060" t="s">
        <v>1224</v>
      </c>
      <c r="O1060" t="s">
        <v>2728</v>
      </c>
      <c r="P1060" t="s">
        <v>6524</v>
      </c>
      <c r="Q1060" t="s">
        <v>20</v>
      </c>
      <c r="R1060" t="s">
        <v>3106</v>
      </c>
      <c r="S1060" t="s">
        <v>20</v>
      </c>
    </row>
    <row r="1061" spans="1:19" x14ac:dyDescent="0.45">
      <c r="A1061" t="s">
        <v>3902</v>
      </c>
      <c r="B1061" t="s">
        <v>9344</v>
      </c>
      <c r="C1061" t="s">
        <v>4352</v>
      </c>
      <c r="D1061" t="s">
        <v>4353</v>
      </c>
      <c r="E1061" t="s">
        <v>21</v>
      </c>
      <c r="F1061" t="s">
        <v>2722</v>
      </c>
      <c r="G1061" t="s">
        <v>23</v>
      </c>
      <c r="H1061" t="s">
        <v>9002</v>
      </c>
      <c r="I1061" t="s">
        <v>9345</v>
      </c>
      <c r="J1061" t="s">
        <v>9346</v>
      </c>
      <c r="K1061" t="s">
        <v>9347</v>
      </c>
      <c r="L1061" t="s">
        <v>6513</v>
      </c>
      <c r="M1061" t="s">
        <v>1223</v>
      </c>
      <c r="N1061" t="s">
        <v>1224</v>
      </c>
      <c r="O1061" t="s">
        <v>2728</v>
      </c>
      <c r="P1061" t="s">
        <v>20</v>
      </c>
      <c r="Q1061" t="s">
        <v>20</v>
      </c>
      <c r="R1061" t="s">
        <v>9348</v>
      </c>
      <c r="S1061" t="s">
        <v>20</v>
      </c>
    </row>
    <row r="1062" spans="1:19" x14ac:dyDescent="0.45">
      <c r="A1062" t="s">
        <v>1043</v>
      </c>
      <c r="B1062" t="s">
        <v>8086</v>
      </c>
      <c r="C1062" t="s">
        <v>2852</v>
      </c>
      <c r="D1062" t="s">
        <v>2853</v>
      </c>
      <c r="E1062" t="s">
        <v>38</v>
      </c>
      <c r="F1062" t="s">
        <v>2785</v>
      </c>
      <c r="G1062" t="s">
        <v>23</v>
      </c>
      <c r="H1062" t="s">
        <v>6471</v>
      </c>
      <c r="I1062" t="s">
        <v>8087</v>
      </c>
      <c r="J1062" t="s">
        <v>8088</v>
      </c>
      <c r="K1062" t="s">
        <v>8089</v>
      </c>
      <c r="L1062" t="s">
        <v>6527</v>
      </c>
      <c r="M1062" t="s">
        <v>132</v>
      </c>
      <c r="N1062" t="s">
        <v>45</v>
      </c>
      <c r="O1062" t="s">
        <v>2728</v>
      </c>
      <c r="P1062" t="s">
        <v>635</v>
      </c>
      <c r="Q1062" t="s">
        <v>20</v>
      </c>
      <c r="R1062" t="s">
        <v>10574</v>
      </c>
      <c r="S1062" t="s">
        <v>10302</v>
      </c>
    </row>
    <row r="1063" spans="1:19" x14ac:dyDescent="0.45">
      <c r="A1063" t="s">
        <v>1043</v>
      </c>
      <c r="B1063" t="s">
        <v>13944</v>
      </c>
      <c r="C1063" t="s">
        <v>2852</v>
      </c>
      <c r="D1063" t="s">
        <v>2853</v>
      </c>
      <c r="E1063" t="s">
        <v>21</v>
      </c>
      <c r="F1063" t="s">
        <v>2722</v>
      </c>
      <c r="G1063" t="s">
        <v>23</v>
      </c>
      <c r="H1063" t="s">
        <v>13945</v>
      </c>
      <c r="I1063" t="s">
        <v>13946</v>
      </c>
      <c r="J1063" t="s">
        <v>13947</v>
      </c>
      <c r="K1063" t="s">
        <v>13948</v>
      </c>
      <c r="L1063" t="s">
        <v>12390</v>
      </c>
      <c r="M1063" t="s">
        <v>3145</v>
      </c>
      <c r="N1063" t="s">
        <v>2727</v>
      </c>
      <c r="O1063" t="s">
        <v>2728</v>
      </c>
      <c r="P1063" t="s">
        <v>20</v>
      </c>
      <c r="Q1063" t="s">
        <v>20</v>
      </c>
      <c r="R1063" t="s">
        <v>13949</v>
      </c>
      <c r="S1063" t="s">
        <v>20</v>
      </c>
    </row>
    <row r="1064" spans="1:19" x14ac:dyDescent="0.45">
      <c r="A1064" t="s">
        <v>1043</v>
      </c>
      <c r="B1064" t="s">
        <v>2851</v>
      </c>
      <c r="C1064" t="s">
        <v>2852</v>
      </c>
      <c r="D1064" t="s">
        <v>2853</v>
      </c>
      <c r="E1064" t="s">
        <v>38</v>
      </c>
      <c r="F1064" t="s">
        <v>2722</v>
      </c>
      <c r="G1064" t="s">
        <v>23</v>
      </c>
      <c r="H1064" t="s">
        <v>2854</v>
      </c>
      <c r="I1064" t="s">
        <v>2855</v>
      </c>
      <c r="J1064" t="s">
        <v>2856</v>
      </c>
      <c r="K1064" t="s">
        <v>2857</v>
      </c>
      <c r="L1064" t="s">
        <v>3418</v>
      </c>
      <c r="M1064" t="s">
        <v>1223</v>
      </c>
      <c r="N1064" t="s">
        <v>2858</v>
      </c>
      <c r="O1064" t="s">
        <v>2728</v>
      </c>
      <c r="P1064" t="s">
        <v>20</v>
      </c>
      <c r="Q1064" t="s">
        <v>20</v>
      </c>
      <c r="R1064" t="s">
        <v>12268</v>
      </c>
      <c r="S1064" t="s">
        <v>12269</v>
      </c>
    </row>
    <row r="1065" spans="1:19" x14ac:dyDescent="0.45">
      <c r="A1065" t="s">
        <v>120</v>
      </c>
      <c r="B1065" t="s">
        <v>2778</v>
      </c>
      <c r="C1065" t="s">
        <v>2779</v>
      </c>
      <c r="D1065" t="s">
        <v>2780</v>
      </c>
      <c r="E1065" t="s">
        <v>38</v>
      </c>
      <c r="F1065" t="s">
        <v>14586</v>
      </c>
      <c r="G1065" t="s">
        <v>23</v>
      </c>
      <c r="H1065" t="s">
        <v>2781</v>
      </c>
      <c r="I1065" t="s">
        <v>2782</v>
      </c>
      <c r="J1065" t="s">
        <v>2783</v>
      </c>
      <c r="K1065" t="s">
        <v>2784</v>
      </c>
      <c r="L1065" t="s">
        <v>9126</v>
      </c>
      <c r="M1065" t="s">
        <v>136</v>
      </c>
      <c r="N1065" t="s">
        <v>119</v>
      </c>
      <c r="O1065" t="s">
        <v>2728</v>
      </c>
      <c r="P1065" t="s">
        <v>20</v>
      </c>
      <c r="Q1065" t="s">
        <v>20</v>
      </c>
      <c r="R1065" t="s">
        <v>10549</v>
      </c>
      <c r="S1065" t="s">
        <v>9797</v>
      </c>
    </row>
    <row r="1066" spans="1:19" x14ac:dyDescent="0.45">
      <c r="A1066" t="s">
        <v>94</v>
      </c>
      <c r="B1066" t="s">
        <v>3627</v>
      </c>
      <c r="C1066" t="s">
        <v>1754</v>
      </c>
      <c r="D1066" t="s">
        <v>1755</v>
      </c>
      <c r="E1066" t="s">
        <v>21</v>
      </c>
      <c r="F1066" t="s">
        <v>2785</v>
      </c>
      <c r="G1066" t="s">
        <v>23</v>
      </c>
      <c r="H1066" t="s">
        <v>3628</v>
      </c>
      <c r="I1066" t="s">
        <v>3629</v>
      </c>
      <c r="J1066" t="s">
        <v>3630</v>
      </c>
      <c r="K1066" t="s">
        <v>3631</v>
      </c>
      <c r="L1066" t="s">
        <v>168</v>
      </c>
      <c r="M1066" t="s">
        <v>3632</v>
      </c>
      <c r="N1066" t="s">
        <v>2858</v>
      </c>
      <c r="O1066" t="s">
        <v>2728</v>
      </c>
      <c r="P1066" t="s">
        <v>20</v>
      </c>
      <c r="Q1066" t="s">
        <v>20</v>
      </c>
      <c r="R1066" t="s">
        <v>3633</v>
      </c>
      <c r="S1066" t="s">
        <v>20</v>
      </c>
    </row>
    <row r="1067" spans="1:19" x14ac:dyDescent="0.45">
      <c r="A1067" t="s">
        <v>94</v>
      </c>
      <c r="B1067" t="s">
        <v>3323</v>
      </c>
      <c r="C1067" t="s">
        <v>1754</v>
      </c>
      <c r="D1067" t="s">
        <v>1755</v>
      </c>
      <c r="E1067" t="s">
        <v>21</v>
      </c>
      <c r="F1067" t="s">
        <v>2863</v>
      </c>
      <c r="G1067" t="s">
        <v>23</v>
      </c>
      <c r="H1067" t="s">
        <v>3324</v>
      </c>
      <c r="I1067" t="s">
        <v>3325</v>
      </c>
      <c r="J1067" t="s">
        <v>3326</v>
      </c>
      <c r="K1067" t="s">
        <v>3327</v>
      </c>
      <c r="L1067" t="s">
        <v>118</v>
      </c>
      <c r="M1067" t="s">
        <v>538</v>
      </c>
      <c r="N1067" t="s">
        <v>1224</v>
      </c>
      <c r="O1067" t="s">
        <v>2728</v>
      </c>
      <c r="P1067" t="s">
        <v>118</v>
      </c>
      <c r="Q1067" t="s">
        <v>20</v>
      </c>
      <c r="R1067" t="s">
        <v>3328</v>
      </c>
      <c r="S1067" t="s">
        <v>20</v>
      </c>
    </row>
    <row r="1068" spans="1:19" x14ac:dyDescent="0.45">
      <c r="A1068" t="s">
        <v>94</v>
      </c>
      <c r="B1068" t="s">
        <v>20</v>
      </c>
      <c r="C1068" t="s">
        <v>1754</v>
      </c>
      <c r="D1068" t="s">
        <v>1755</v>
      </c>
      <c r="E1068" t="s">
        <v>38</v>
      </c>
      <c r="F1068" t="s">
        <v>14587</v>
      </c>
      <c r="G1068" t="s">
        <v>23</v>
      </c>
      <c r="H1068" t="s">
        <v>8931</v>
      </c>
      <c r="I1068" t="s">
        <v>9303</v>
      </c>
      <c r="J1068" t="s">
        <v>9304</v>
      </c>
      <c r="K1068" t="s">
        <v>9305</v>
      </c>
      <c r="L1068" t="s">
        <v>9126</v>
      </c>
      <c r="M1068" t="s">
        <v>2760</v>
      </c>
      <c r="N1068" t="s">
        <v>33</v>
      </c>
      <c r="O1068" t="s">
        <v>2728</v>
      </c>
      <c r="P1068" t="s">
        <v>20</v>
      </c>
      <c r="Q1068" t="s">
        <v>20</v>
      </c>
      <c r="R1068" t="s">
        <v>10301</v>
      </c>
      <c r="S1068" t="s">
        <v>10294</v>
      </c>
    </row>
    <row r="1069" spans="1:19" x14ac:dyDescent="0.45">
      <c r="A1069" t="s">
        <v>395</v>
      </c>
      <c r="B1069" t="s">
        <v>10554</v>
      </c>
      <c r="C1069" t="s">
        <v>3543</v>
      </c>
      <c r="D1069" t="s">
        <v>3544</v>
      </c>
      <c r="E1069" t="s">
        <v>38</v>
      </c>
      <c r="F1069" t="s">
        <v>2785</v>
      </c>
      <c r="G1069" t="s">
        <v>23</v>
      </c>
      <c r="H1069" t="s">
        <v>10555</v>
      </c>
      <c r="I1069" t="s">
        <v>10556</v>
      </c>
      <c r="J1069" t="s">
        <v>10557</v>
      </c>
      <c r="K1069" t="s">
        <v>10558</v>
      </c>
      <c r="L1069" t="s">
        <v>9126</v>
      </c>
      <c r="M1069" t="s">
        <v>132</v>
      </c>
      <c r="N1069" t="s">
        <v>195</v>
      </c>
      <c r="O1069" t="s">
        <v>2728</v>
      </c>
      <c r="P1069" t="s">
        <v>20</v>
      </c>
      <c r="Q1069" t="s">
        <v>20</v>
      </c>
      <c r="R1069" t="s">
        <v>10559</v>
      </c>
      <c r="S1069" t="s">
        <v>20</v>
      </c>
    </row>
    <row r="1070" spans="1:19" x14ac:dyDescent="0.45">
      <c r="A1070" t="s">
        <v>395</v>
      </c>
      <c r="B1070" t="s">
        <v>20</v>
      </c>
      <c r="C1070" t="s">
        <v>3543</v>
      </c>
      <c r="D1070" t="s">
        <v>3544</v>
      </c>
      <c r="E1070" t="s">
        <v>38</v>
      </c>
      <c r="F1070" t="s">
        <v>2785</v>
      </c>
      <c r="G1070" t="s">
        <v>23</v>
      </c>
      <c r="H1070" t="s">
        <v>8996</v>
      </c>
      <c r="I1070" t="s">
        <v>9152</v>
      </c>
      <c r="J1070" t="s">
        <v>9153</v>
      </c>
      <c r="K1070" t="s">
        <v>9154</v>
      </c>
      <c r="L1070" t="s">
        <v>9155</v>
      </c>
      <c r="M1070" t="s">
        <v>132</v>
      </c>
      <c r="N1070" t="s">
        <v>9705</v>
      </c>
      <c r="O1070" t="s">
        <v>2728</v>
      </c>
      <c r="P1070" t="s">
        <v>20</v>
      </c>
      <c r="Q1070" t="s">
        <v>20</v>
      </c>
      <c r="R1070" t="s">
        <v>12270</v>
      </c>
      <c r="S1070" t="s">
        <v>12271</v>
      </c>
    </row>
    <row r="1071" spans="1:19" x14ac:dyDescent="0.45">
      <c r="A1071" t="s">
        <v>395</v>
      </c>
      <c r="B1071" t="s">
        <v>20</v>
      </c>
      <c r="C1071" t="s">
        <v>3543</v>
      </c>
      <c r="D1071" t="s">
        <v>3544</v>
      </c>
      <c r="E1071" t="s">
        <v>38</v>
      </c>
      <c r="F1071" t="s">
        <v>2785</v>
      </c>
      <c r="G1071" t="s">
        <v>23</v>
      </c>
      <c r="H1071" t="s">
        <v>10524</v>
      </c>
      <c r="I1071" t="s">
        <v>10525</v>
      </c>
      <c r="J1071" t="s">
        <v>10526</v>
      </c>
      <c r="K1071" t="s">
        <v>10527</v>
      </c>
      <c r="L1071" t="s">
        <v>6533</v>
      </c>
      <c r="M1071" t="s">
        <v>132</v>
      </c>
      <c r="N1071" t="s">
        <v>195</v>
      </c>
      <c r="O1071" t="s">
        <v>2728</v>
      </c>
      <c r="P1071" t="s">
        <v>20</v>
      </c>
      <c r="Q1071" t="s">
        <v>20</v>
      </c>
      <c r="R1071" t="s">
        <v>11632</v>
      </c>
      <c r="S1071" t="s">
        <v>11631</v>
      </c>
    </row>
    <row r="1072" spans="1:19" x14ac:dyDescent="0.45">
      <c r="A1072" t="s">
        <v>173</v>
      </c>
      <c r="B1072" t="s">
        <v>13268</v>
      </c>
      <c r="C1072" t="s">
        <v>3234</v>
      </c>
      <c r="D1072" t="s">
        <v>3235</v>
      </c>
      <c r="E1072" t="s">
        <v>38</v>
      </c>
      <c r="F1072" t="s">
        <v>2787</v>
      </c>
      <c r="G1072" t="s">
        <v>23</v>
      </c>
      <c r="H1072" t="s">
        <v>13269</v>
      </c>
      <c r="I1072" t="s">
        <v>13270</v>
      </c>
      <c r="J1072" t="s">
        <v>13271</v>
      </c>
      <c r="K1072" t="s">
        <v>13272</v>
      </c>
      <c r="L1072" t="s">
        <v>6524</v>
      </c>
      <c r="M1072" t="s">
        <v>2981</v>
      </c>
      <c r="N1072" t="s">
        <v>33</v>
      </c>
      <c r="O1072" t="s">
        <v>2728</v>
      </c>
      <c r="P1072" t="s">
        <v>20</v>
      </c>
      <c r="Q1072" t="s">
        <v>20</v>
      </c>
      <c r="R1072" t="s">
        <v>13273</v>
      </c>
      <c r="S1072" t="s">
        <v>20</v>
      </c>
    </row>
    <row r="1073" spans="1:19" x14ac:dyDescent="0.45">
      <c r="A1073" t="s">
        <v>511</v>
      </c>
      <c r="B1073" t="s">
        <v>8430</v>
      </c>
      <c r="C1073" t="s">
        <v>8431</v>
      </c>
      <c r="D1073" t="s">
        <v>6218</v>
      </c>
      <c r="E1073" t="s">
        <v>38</v>
      </c>
      <c r="F1073" t="s">
        <v>2722</v>
      </c>
      <c r="G1073" t="s">
        <v>23</v>
      </c>
      <c r="H1073" t="s">
        <v>8432</v>
      </c>
      <c r="I1073" t="s">
        <v>8433</v>
      </c>
      <c r="J1073" t="s">
        <v>8434</v>
      </c>
      <c r="K1073" t="s">
        <v>8435</v>
      </c>
      <c r="L1073" t="s">
        <v>2769</v>
      </c>
      <c r="M1073" t="s">
        <v>3145</v>
      </c>
      <c r="N1073" t="s">
        <v>2727</v>
      </c>
      <c r="O1073" t="s">
        <v>2728</v>
      </c>
      <c r="P1073" t="s">
        <v>20</v>
      </c>
      <c r="Q1073" t="s">
        <v>20</v>
      </c>
      <c r="R1073" t="s">
        <v>8436</v>
      </c>
      <c r="S1073" t="s">
        <v>20</v>
      </c>
    </row>
    <row r="1074" spans="1:19" x14ac:dyDescent="0.45">
      <c r="A1074" t="s">
        <v>515</v>
      </c>
      <c r="B1074" t="s">
        <v>20</v>
      </c>
      <c r="C1074" t="s">
        <v>4669</v>
      </c>
      <c r="D1074" t="s">
        <v>4670</v>
      </c>
      <c r="E1074" t="s">
        <v>38</v>
      </c>
      <c r="F1074" t="s">
        <v>2787</v>
      </c>
      <c r="G1074" t="s">
        <v>23</v>
      </c>
      <c r="H1074" t="s">
        <v>9036</v>
      </c>
      <c r="I1074" t="s">
        <v>9359</v>
      </c>
      <c r="J1074" t="s">
        <v>9360</v>
      </c>
      <c r="K1074" t="s">
        <v>9361</v>
      </c>
      <c r="L1074" t="s">
        <v>6513</v>
      </c>
      <c r="M1074" t="s">
        <v>2100</v>
      </c>
      <c r="N1074" t="s">
        <v>678</v>
      </c>
      <c r="O1074" t="s">
        <v>2728</v>
      </c>
      <c r="P1074" t="s">
        <v>20</v>
      </c>
      <c r="Q1074" t="s">
        <v>20</v>
      </c>
      <c r="R1074" t="s">
        <v>9362</v>
      </c>
      <c r="S1074" t="s">
        <v>20</v>
      </c>
    </row>
    <row r="1075" spans="1:19" x14ac:dyDescent="0.45">
      <c r="A1075" t="s">
        <v>239</v>
      </c>
      <c r="B1075" t="s">
        <v>3270</v>
      </c>
      <c r="C1075" t="s">
        <v>3271</v>
      </c>
      <c r="D1075" t="s">
        <v>3272</v>
      </c>
      <c r="E1075" t="s">
        <v>38</v>
      </c>
      <c r="F1075" t="s">
        <v>2904</v>
      </c>
      <c r="G1075" t="s">
        <v>23</v>
      </c>
      <c r="H1075" t="s">
        <v>3273</v>
      </c>
      <c r="I1075" t="s">
        <v>3274</v>
      </c>
      <c r="J1075" t="s">
        <v>3275</v>
      </c>
      <c r="K1075" t="s">
        <v>3276</v>
      </c>
      <c r="L1075" t="s">
        <v>6533</v>
      </c>
      <c r="M1075" t="s">
        <v>2760</v>
      </c>
      <c r="N1075" t="s">
        <v>210</v>
      </c>
      <c r="O1075" t="s">
        <v>2728</v>
      </c>
      <c r="P1075" t="s">
        <v>20</v>
      </c>
      <c r="Q1075" t="s">
        <v>20</v>
      </c>
      <c r="R1075" t="s">
        <v>9399</v>
      </c>
      <c r="S1075" t="s">
        <v>20</v>
      </c>
    </row>
    <row r="1076" spans="1:19" x14ac:dyDescent="0.45">
      <c r="A1076" t="s">
        <v>211</v>
      </c>
      <c r="B1076" t="s">
        <v>20</v>
      </c>
      <c r="C1076" t="s">
        <v>1908</v>
      </c>
      <c r="D1076" t="s">
        <v>1909</v>
      </c>
      <c r="E1076" t="s">
        <v>38</v>
      </c>
      <c r="F1076" t="s">
        <v>2948</v>
      </c>
      <c r="G1076" t="s">
        <v>23</v>
      </c>
      <c r="H1076" t="s">
        <v>12272</v>
      </c>
      <c r="I1076" t="s">
        <v>12273</v>
      </c>
      <c r="J1076" t="s">
        <v>12274</v>
      </c>
      <c r="K1076" t="s">
        <v>12275</v>
      </c>
      <c r="L1076" t="s">
        <v>3418</v>
      </c>
      <c r="M1076" t="s">
        <v>102</v>
      </c>
      <c r="N1076" t="s">
        <v>146</v>
      </c>
      <c r="O1076" t="s">
        <v>2728</v>
      </c>
      <c r="P1076" t="s">
        <v>20</v>
      </c>
      <c r="Q1076" t="s">
        <v>20</v>
      </c>
      <c r="R1076" t="s">
        <v>12276</v>
      </c>
      <c r="S1076" t="s">
        <v>12277</v>
      </c>
    </row>
    <row r="1077" spans="1:19" x14ac:dyDescent="0.45">
      <c r="A1077" t="s">
        <v>211</v>
      </c>
      <c r="B1077" t="s">
        <v>12278</v>
      </c>
      <c r="C1077" t="s">
        <v>1908</v>
      </c>
      <c r="D1077" t="s">
        <v>1909</v>
      </c>
      <c r="E1077" t="s">
        <v>38</v>
      </c>
      <c r="F1077" t="s">
        <v>2787</v>
      </c>
      <c r="G1077" t="s">
        <v>23</v>
      </c>
      <c r="H1077" t="s">
        <v>12279</v>
      </c>
      <c r="I1077" t="s">
        <v>12280</v>
      </c>
      <c r="J1077" t="s">
        <v>12281</v>
      </c>
      <c r="K1077" t="s">
        <v>12282</v>
      </c>
      <c r="L1077" t="s">
        <v>6524</v>
      </c>
      <c r="M1077" t="s">
        <v>2100</v>
      </c>
      <c r="N1077" t="s">
        <v>146</v>
      </c>
      <c r="O1077" t="s">
        <v>2728</v>
      </c>
      <c r="P1077" t="s">
        <v>20</v>
      </c>
      <c r="Q1077" t="s">
        <v>20</v>
      </c>
      <c r="R1077" t="s">
        <v>12283</v>
      </c>
      <c r="S1077" t="s">
        <v>20</v>
      </c>
    </row>
    <row r="1078" spans="1:19" x14ac:dyDescent="0.45">
      <c r="A1078" t="s">
        <v>1137</v>
      </c>
      <c r="B1078" t="s">
        <v>10403</v>
      </c>
      <c r="C1078" t="s">
        <v>1932</v>
      </c>
      <c r="D1078" t="s">
        <v>1933</v>
      </c>
      <c r="E1078" t="s">
        <v>38</v>
      </c>
      <c r="F1078" t="s">
        <v>2904</v>
      </c>
      <c r="G1078" t="s">
        <v>23</v>
      </c>
      <c r="H1078" t="s">
        <v>1934</v>
      </c>
      <c r="I1078" t="s">
        <v>1935</v>
      </c>
      <c r="J1078" t="s">
        <v>1936</v>
      </c>
      <c r="K1078" t="s">
        <v>1937</v>
      </c>
      <c r="L1078" t="s">
        <v>9126</v>
      </c>
      <c r="M1078" t="s">
        <v>10532</v>
      </c>
      <c r="N1078" t="s">
        <v>195</v>
      </c>
      <c r="O1078" t="s">
        <v>2728</v>
      </c>
      <c r="P1078" t="s">
        <v>20</v>
      </c>
      <c r="Q1078" t="s">
        <v>20</v>
      </c>
      <c r="R1078" t="s">
        <v>11660</v>
      </c>
      <c r="S1078" t="s">
        <v>11631</v>
      </c>
    </row>
    <row r="1079" spans="1:19" x14ac:dyDescent="0.45">
      <c r="A1079" t="s">
        <v>535</v>
      </c>
      <c r="B1079" t="s">
        <v>8099</v>
      </c>
      <c r="C1079" t="s">
        <v>859</v>
      </c>
      <c r="D1079" t="s">
        <v>860</v>
      </c>
      <c r="E1079" t="s">
        <v>38</v>
      </c>
      <c r="F1079" t="s">
        <v>2785</v>
      </c>
      <c r="G1079" t="s">
        <v>23</v>
      </c>
      <c r="H1079" t="s">
        <v>8100</v>
      </c>
      <c r="I1079" t="s">
        <v>8101</v>
      </c>
      <c r="J1079" t="s">
        <v>8102</v>
      </c>
      <c r="K1079" t="s">
        <v>8103</v>
      </c>
      <c r="L1079" t="s">
        <v>8094</v>
      </c>
      <c r="M1079" t="s">
        <v>2760</v>
      </c>
      <c r="N1079" t="s">
        <v>9484</v>
      </c>
      <c r="O1079" t="s">
        <v>2728</v>
      </c>
      <c r="P1079" t="s">
        <v>20</v>
      </c>
      <c r="Q1079" t="s">
        <v>20</v>
      </c>
      <c r="R1079" t="s">
        <v>12048</v>
      </c>
      <c r="S1079" t="s">
        <v>20</v>
      </c>
    </row>
    <row r="1080" spans="1:19" x14ac:dyDescent="0.45">
      <c r="A1080" t="s">
        <v>943</v>
      </c>
      <c r="B1080" t="s">
        <v>20</v>
      </c>
      <c r="C1080" t="s">
        <v>1690</v>
      </c>
      <c r="D1080" t="s">
        <v>1691</v>
      </c>
      <c r="E1080" t="s">
        <v>38</v>
      </c>
      <c r="F1080" t="s">
        <v>2755</v>
      </c>
      <c r="G1080" t="s">
        <v>23</v>
      </c>
      <c r="H1080" t="s">
        <v>8974</v>
      </c>
      <c r="I1080" t="s">
        <v>9170</v>
      </c>
      <c r="J1080" t="s">
        <v>9171</v>
      </c>
      <c r="K1080" t="s">
        <v>9172</v>
      </c>
      <c r="L1080" t="s">
        <v>8109</v>
      </c>
      <c r="M1080" t="s">
        <v>538</v>
      </c>
      <c r="N1080" t="s">
        <v>119</v>
      </c>
      <c r="O1080" t="s">
        <v>2728</v>
      </c>
      <c r="P1080" t="s">
        <v>20</v>
      </c>
      <c r="Q1080" t="s">
        <v>20</v>
      </c>
      <c r="R1080" t="s">
        <v>12289</v>
      </c>
      <c r="S1080" t="s">
        <v>12271</v>
      </c>
    </row>
    <row r="1081" spans="1:19" x14ac:dyDescent="0.45">
      <c r="A1081" t="s">
        <v>425</v>
      </c>
      <c r="B1081" t="s">
        <v>20</v>
      </c>
      <c r="C1081" t="s">
        <v>426</v>
      </c>
      <c r="D1081" t="s">
        <v>427</v>
      </c>
      <c r="E1081" t="s">
        <v>38</v>
      </c>
      <c r="F1081" t="s">
        <v>2785</v>
      </c>
      <c r="G1081" t="s">
        <v>23</v>
      </c>
      <c r="H1081" t="s">
        <v>8206</v>
      </c>
      <c r="I1081" t="s">
        <v>8207</v>
      </c>
      <c r="J1081" t="s">
        <v>8208</v>
      </c>
      <c r="K1081" t="s">
        <v>8209</v>
      </c>
      <c r="L1081" t="s">
        <v>6875</v>
      </c>
      <c r="M1081" t="s">
        <v>132</v>
      </c>
      <c r="N1081" t="s">
        <v>195</v>
      </c>
      <c r="O1081" t="s">
        <v>2728</v>
      </c>
      <c r="P1081" t="s">
        <v>20</v>
      </c>
      <c r="Q1081" t="s">
        <v>20</v>
      </c>
      <c r="R1081" t="s">
        <v>8210</v>
      </c>
      <c r="S1081" t="s">
        <v>8119</v>
      </c>
    </row>
    <row r="1082" spans="1:19" x14ac:dyDescent="0.45">
      <c r="A1082" t="s">
        <v>2761</v>
      </c>
      <c r="B1082" t="s">
        <v>2817</v>
      </c>
      <c r="C1082" t="s">
        <v>2818</v>
      </c>
      <c r="D1082" t="s">
        <v>2819</v>
      </c>
      <c r="E1082" t="s">
        <v>38</v>
      </c>
      <c r="F1082" t="s">
        <v>2722</v>
      </c>
      <c r="G1082" t="s">
        <v>23</v>
      </c>
      <c r="H1082" t="s">
        <v>2820</v>
      </c>
      <c r="I1082" t="s">
        <v>2821</v>
      </c>
      <c r="J1082" t="s">
        <v>2822</v>
      </c>
      <c r="K1082" t="s">
        <v>2823</v>
      </c>
      <c r="L1082" t="s">
        <v>168</v>
      </c>
      <c r="M1082" t="s">
        <v>1223</v>
      </c>
      <c r="N1082" t="s">
        <v>2727</v>
      </c>
      <c r="O1082" t="s">
        <v>2728</v>
      </c>
      <c r="P1082" t="s">
        <v>20</v>
      </c>
      <c r="Q1082" t="s">
        <v>20</v>
      </c>
      <c r="R1082" t="s">
        <v>2824</v>
      </c>
      <c r="S1082" t="s">
        <v>20</v>
      </c>
    </row>
    <row r="1083" spans="1:19" x14ac:dyDescent="0.45">
      <c r="A1083" t="s">
        <v>706</v>
      </c>
      <c r="B1083" t="s">
        <v>3252</v>
      </c>
      <c r="C1083" t="s">
        <v>3253</v>
      </c>
      <c r="D1083" t="s">
        <v>3254</v>
      </c>
      <c r="E1083" t="s">
        <v>38</v>
      </c>
      <c r="F1083" t="s">
        <v>3255</v>
      </c>
      <c r="G1083" t="s">
        <v>23</v>
      </c>
      <c r="H1083" t="s">
        <v>3256</v>
      </c>
      <c r="I1083" t="s">
        <v>3257</v>
      </c>
      <c r="J1083" t="s">
        <v>3258</v>
      </c>
      <c r="K1083" t="s">
        <v>3259</v>
      </c>
      <c r="L1083" t="s">
        <v>161</v>
      </c>
      <c r="M1083" t="s">
        <v>136</v>
      </c>
      <c r="N1083" t="s">
        <v>1224</v>
      </c>
      <c r="O1083" t="s">
        <v>2728</v>
      </c>
      <c r="P1083" t="s">
        <v>118</v>
      </c>
      <c r="Q1083" t="s">
        <v>20</v>
      </c>
      <c r="R1083" t="s">
        <v>3260</v>
      </c>
      <c r="S1083" t="s">
        <v>20</v>
      </c>
    </row>
    <row r="1084" spans="1:19" x14ac:dyDescent="0.45">
      <c r="A1084" t="s">
        <v>362</v>
      </c>
      <c r="B1084" t="s">
        <v>6687</v>
      </c>
      <c r="C1084" t="s">
        <v>6688</v>
      </c>
      <c r="D1084" t="s">
        <v>6236</v>
      </c>
      <c r="E1084" t="s">
        <v>38</v>
      </c>
      <c r="F1084" t="s">
        <v>2948</v>
      </c>
      <c r="G1084" t="s">
        <v>23</v>
      </c>
      <c r="H1084" t="s">
        <v>6474</v>
      </c>
      <c r="I1084" t="s">
        <v>6689</v>
      </c>
      <c r="J1084" t="s">
        <v>6690</v>
      </c>
      <c r="K1084" t="s">
        <v>6691</v>
      </c>
      <c r="L1084" t="s">
        <v>43</v>
      </c>
      <c r="M1084" t="s">
        <v>2760</v>
      </c>
      <c r="N1084" t="s">
        <v>146</v>
      </c>
      <c r="O1084" t="s">
        <v>2728</v>
      </c>
      <c r="P1084" t="s">
        <v>20</v>
      </c>
      <c r="Q1084" t="s">
        <v>20</v>
      </c>
      <c r="R1084" t="s">
        <v>6692</v>
      </c>
      <c r="S1084" t="s">
        <v>20</v>
      </c>
    </row>
    <row r="1085" spans="1:19" x14ac:dyDescent="0.45">
      <c r="A1085" t="s">
        <v>729</v>
      </c>
      <c r="B1085" t="s">
        <v>10111</v>
      </c>
      <c r="C1085" t="s">
        <v>3036</v>
      </c>
      <c r="D1085" t="s">
        <v>3037</v>
      </c>
      <c r="E1085" t="s">
        <v>21</v>
      </c>
      <c r="F1085" t="s">
        <v>10112</v>
      </c>
      <c r="G1085" t="s">
        <v>23</v>
      </c>
      <c r="H1085" t="s">
        <v>10113</v>
      </c>
      <c r="I1085" t="s">
        <v>10114</v>
      </c>
      <c r="J1085" t="s">
        <v>10115</v>
      </c>
      <c r="K1085" t="s">
        <v>10116</v>
      </c>
      <c r="L1085" t="s">
        <v>9126</v>
      </c>
      <c r="M1085" t="s">
        <v>2100</v>
      </c>
      <c r="N1085" t="s">
        <v>2727</v>
      </c>
      <c r="O1085" t="s">
        <v>2728</v>
      </c>
      <c r="P1085" t="s">
        <v>20</v>
      </c>
      <c r="Q1085" t="s">
        <v>20</v>
      </c>
      <c r="R1085" t="s">
        <v>10117</v>
      </c>
      <c r="S1085" t="s">
        <v>20</v>
      </c>
    </row>
    <row r="1086" spans="1:19" x14ac:dyDescent="0.45">
      <c r="A1086" t="s">
        <v>729</v>
      </c>
      <c r="B1086" t="s">
        <v>3035</v>
      </c>
      <c r="C1086" t="s">
        <v>3036</v>
      </c>
      <c r="D1086" t="s">
        <v>3037</v>
      </c>
      <c r="E1086" t="s">
        <v>38</v>
      </c>
      <c r="F1086" t="s">
        <v>2787</v>
      </c>
      <c r="G1086" t="s">
        <v>23</v>
      </c>
      <c r="H1086" t="s">
        <v>3038</v>
      </c>
      <c r="I1086" t="s">
        <v>3039</v>
      </c>
      <c r="J1086" t="s">
        <v>3040</v>
      </c>
      <c r="K1086" t="s">
        <v>3041</v>
      </c>
      <c r="L1086" t="s">
        <v>722</v>
      </c>
      <c r="M1086" t="s">
        <v>2100</v>
      </c>
      <c r="N1086" t="s">
        <v>2727</v>
      </c>
      <c r="O1086" t="s">
        <v>2728</v>
      </c>
      <c r="P1086" t="s">
        <v>20</v>
      </c>
      <c r="Q1086" t="s">
        <v>20</v>
      </c>
      <c r="R1086" t="s">
        <v>3042</v>
      </c>
      <c r="S1086" t="s">
        <v>20</v>
      </c>
    </row>
    <row r="1087" spans="1:19" x14ac:dyDescent="0.45">
      <c r="A1087" t="s">
        <v>413</v>
      </c>
      <c r="B1087" t="s">
        <v>20</v>
      </c>
      <c r="C1087" t="s">
        <v>414</v>
      </c>
      <c r="D1087" t="s">
        <v>415</v>
      </c>
      <c r="E1087" t="s">
        <v>29</v>
      </c>
      <c r="F1087" t="s">
        <v>14300</v>
      </c>
      <c r="G1087" t="s">
        <v>23</v>
      </c>
      <c r="H1087" t="s">
        <v>8987</v>
      </c>
      <c r="I1087" t="s">
        <v>9177</v>
      </c>
      <c r="J1087" t="s">
        <v>9178</v>
      </c>
      <c r="K1087" t="s">
        <v>9179</v>
      </c>
      <c r="L1087" t="s">
        <v>3418</v>
      </c>
      <c r="M1087" t="s">
        <v>44</v>
      </c>
      <c r="N1087" t="s">
        <v>119</v>
      </c>
      <c r="O1087" t="s">
        <v>2728</v>
      </c>
      <c r="P1087" t="s">
        <v>20</v>
      </c>
      <c r="Q1087" t="s">
        <v>20</v>
      </c>
      <c r="R1087" t="s">
        <v>14588</v>
      </c>
      <c r="S1087" t="s">
        <v>14539</v>
      </c>
    </row>
    <row r="1088" spans="1:19" x14ac:dyDescent="0.45">
      <c r="A1088" t="s">
        <v>362</v>
      </c>
      <c r="B1088" t="s">
        <v>8095</v>
      </c>
      <c r="C1088" t="s">
        <v>3748</v>
      </c>
      <c r="D1088" t="s">
        <v>3749</v>
      </c>
      <c r="E1088" t="s">
        <v>38</v>
      </c>
      <c r="F1088" t="s">
        <v>2904</v>
      </c>
      <c r="G1088" t="s">
        <v>23</v>
      </c>
      <c r="H1088" t="s">
        <v>6473</v>
      </c>
      <c r="I1088" t="s">
        <v>8096</v>
      </c>
      <c r="J1088" t="s">
        <v>8097</v>
      </c>
      <c r="K1088" t="s">
        <v>8098</v>
      </c>
      <c r="L1088" t="s">
        <v>53</v>
      </c>
      <c r="M1088" t="s">
        <v>132</v>
      </c>
      <c r="N1088" t="s">
        <v>62</v>
      </c>
      <c r="O1088" t="s">
        <v>2728</v>
      </c>
      <c r="P1088" t="s">
        <v>53</v>
      </c>
      <c r="Q1088" t="s">
        <v>20</v>
      </c>
      <c r="R1088" t="s">
        <v>9795</v>
      </c>
      <c r="S1088" t="s">
        <v>9796</v>
      </c>
    </row>
    <row r="1089" spans="1:19" x14ac:dyDescent="0.45">
      <c r="A1089" t="s">
        <v>310</v>
      </c>
      <c r="B1089" t="s">
        <v>20</v>
      </c>
      <c r="C1089" t="s">
        <v>976</v>
      </c>
      <c r="D1089" t="s">
        <v>977</v>
      </c>
      <c r="E1089" t="s">
        <v>38</v>
      </c>
      <c r="F1089" t="s">
        <v>2785</v>
      </c>
      <c r="G1089" t="s">
        <v>23</v>
      </c>
      <c r="H1089" t="s">
        <v>7405</v>
      </c>
      <c r="I1089" t="s">
        <v>7406</v>
      </c>
      <c r="J1089" t="s">
        <v>7407</v>
      </c>
      <c r="K1089" t="s">
        <v>7408</v>
      </c>
      <c r="L1089" t="s">
        <v>9126</v>
      </c>
      <c r="M1089" t="s">
        <v>2760</v>
      </c>
      <c r="N1089" t="s">
        <v>33</v>
      </c>
      <c r="O1089" t="s">
        <v>2728</v>
      </c>
      <c r="P1089" t="s">
        <v>20</v>
      </c>
      <c r="Q1089" t="s">
        <v>20</v>
      </c>
      <c r="R1089" t="s">
        <v>13050</v>
      </c>
      <c r="S1089" t="s">
        <v>12953</v>
      </c>
    </row>
    <row r="1090" spans="1:19" x14ac:dyDescent="0.45">
      <c r="A1090" t="s">
        <v>104</v>
      </c>
      <c r="B1090" t="s">
        <v>8409</v>
      </c>
      <c r="C1090" t="s">
        <v>3999</v>
      </c>
      <c r="D1090" t="s">
        <v>4000</v>
      </c>
      <c r="E1090" t="s">
        <v>38</v>
      </c>
      <c r="F1090" t="s">
        <v>2831</v>
      </c>
      <c r="G1090" t="s">
        <v>23</v>
      </c>
      <c r="H1090" t="s">
        <v>8410</v>
      </c>
      <c r="I1090" t="s">
        <v>6877</v>
      </c>
      <c r="J1090" t="s">
        <v>8411</v>
      </c>
      <c r="K1090" t="s">
        <v>8412</v>
      </c>
      <c r="L1090" t="s">
        <v>6527</v>
      </c>
      <c r="M1090" t="s">
        <v>2760</v>
      </c>
      <c r="N1090" t="s">
        <v>45</v>
      </c>
      <c r="O1090" t="s">
        <v>2728</v>
      </c>
      <c r="P1090" t="s">
        <v>20</v>
      </c>
      <c r="Q1090" t="s">
        <v>20</v>
      </c>
      <c r="R1090" t="s">
        <v>10303</v>
      </c>
      <c r="S1090" t="s">
        <v>10302</v>
      </c>
    </row>
    <row r="1091" spans="1:19" x14ac:dyDescent="0.45">
      <c r="A1091" t="s">
        <v>114</v>
      </c>
      <c r="B1091" t="s">
        <v>20</v>
      </c>
      <c r="C1091" t="s">
        <v>10040</v>
      </c>
      <c r="D1091" t="s">
        <v>6432</v>
      </c>
      <c r="E1091" t="s">
        <v>38</v>
      </c>
      <c r="F1091" t="s">
        <v>2863</v>
      </c>
      <c r="G1091" t="s">
        <v>23</v>
      </c>
      <c r="H1091" t="s">
        <v>13883</v>
      </c>
      <c r="I1091" t="s">
        <v>13884</v>
      </c>
      <c r="J1091" t="s">
        <v>13885</v>
      </c>
      <c r="K1091" t="s">
        <v>13886</v>
      </c>
      <c r="L1091" t="s">
        <v>11782</v>
      </c>
      <c r="M1091" t="s">
        <v>32</v>
      </c>
      <c r="N1091" t="s">
        <v>45</v>
      </c>
      <c r="O1091" t="s">
        <v>2728</v>
      </c>
      <c r="P1091" t="s">
        <v>20</v>
      </c>
      <c r="Q1091" t="s">
        <v>20</v>
      </c>
      <c r="R1091" t="s">
        <v>14282</v>
      </c>
      <c r="S1091" t="s">
        <v>14277</v>
      </c>
    </row>
    <row r="1092" spans="1:19" x14ac:dyDescent="0.45">
      <c r="A1092" t="s">
        <v>358</v>
      </c>
      <c r="B1092" t="s">
        <v>12311</v>
      </c>
      <c r="C1092" t="s">
        <v>2496</v>
      </c>
      <c r="D1092" t="s">
        <v>2497</v>
      </c>
      <c r="E1092" t="s">
        <v>117</v>
      </c>
      <c r="F1092" t="s">
        <v>2985</v>
      </c>
      <c r="G1092" t="s">
        <v>23</v>
      </c>
      <c r="H1092" t="s">
        <v>7526</v>
      </c>
      <c r="I1092" t="s">
        <v>7527</v>
      </c>
      <c r="J1092" t="s">
        <v>7528</v>
      </c>
      <c r="K1092" t="s">
        <v>7529</v>
      </c>
      <c r="L1092" t="s">
        <v>9619</v>
      </c>
      <c r="M1092" t="s">
        <v>7212</v>
      </c>
      <c r="N1092" t="s">
        <v>33</v>
      </c>
      <c r="O1092" t="s">
        <v>2728</v>
      </c>
      <c r="P1092" t="s">
        <v>20</v>
      </c>
      <c r="Q1092" t="s">
        <v>20</v>
      </c>
      <c r="R1092" t="s">
        <v>12312</v>
      </c>
      <c r="S1092" t="s">
        <v>20</v>
      </c>
    </row>
    <row r="1093" spans="1:19" x14ac:dyDescent="0.45">
      <c r="A1093" t="s">
        <v>413</v>
      </c>
      <c r="B1093" t="s">
        <v>20</v>
      </c>
      <c r="C1093" t="s">
        <v>896</v>
      </c>
      <c r="D1093" t="s">
        <v>897</v>
      </c>
      <c r="E1093" t="s">
        <v>38</v>
      </c>
      <c r="F1093" t="s">
        <v>2795</v>
      </c>
      <c r="G1093" t="s">
        <v>23</v>
      </c>
      <c r="H1093" t="s">
        <v>898</v>
      </c>
      <c r="I1093" t="s">
        <v>899</v>
      </c>
      <c r="J1093" t="s">
        <v>900</v>
      </c>
      <c r="K1093" t="s">
        <v>901</v>
      </c>
      <c r="L1093" t="s">
        <v>902</v>
      </c>
      <c r="M1093" t="s">
        <v>32</v>
      </c>
      <c r="N1093" t="s">
        <v>119</v>
      </c>
      <c r="O1093" t="s">
        <v>2728</v>
      </c>
      <c r="P1093" t="s">
        <v>20</v>
      </c>
      <c r="Q1093" t="s">
        <v>20</v>
      </c>
      <c r="R1093" t="s">
        <v>903</v>
      </c>
      <c r="S1093" t="s">
        <v>20</v>
      </c>
    </row>
    <row r="1094" spans="1:19" x14ac:dyDescent="0.45">
      <c r="A1094" t="s">
        <v>6989</v>
      </c>
      <c r="B1094" t="s">
        <v>3605</v>
      </c>
      <c r="C1094" t="s">
        <v>1366</v>
      </c>
      <c r="D1094" t="s">
        <v>1367</v>
      </c>
      <c r="E1094" t="s">
        <v>38</v>
      </c>
      <c r="F1094" t="s">
        <v>2787</v>
      </c>
      <c r="G1094" t="s">
        <v>23</v>
      </c>
      <c r="H1094" t="s">
        <v>3606</v>
      </c>
      <c r="I1094" t="s">
        <v>3607</v>
      </c>
      <c r="J1094" t="s">
        <v>3608</v>
      </c>
      <c r="K1094" t="s">
        <v>3609</v>
      </c>
      <c r="L1094" t="s">
        <v>2413</v>
      </c>
      <c r="M1094" t="s">
        <v>2760</v>
      </c>
      <c r="N1094" t="s">
        <v>146</v>
      </c>
      <c r="O1094" t="s">
        <v>2728</v>
      </c>
      <c r="P1094" t="s">
        <v>20</v>
      </c>
      <c r="Q1094" t="s">
        <v>20</v>
      </c>
      <c r="R1094" t="s">
        <v>3610</v>
      </c>
      <c r="S1094" t="s">
        <v>20</v>
      </c>
    </row>
    <row r="1095" spans="1:19" x14ac:dyDescent="0.45">
      <c r="A1095" t="s">
        <v>525</v>
      </c>
      <c r="B1095" t="s">
        <v>20</v>
      </c>
      <c r="C1095" t="s">
        <v>2038</v>
      </c>
      <c r="D1095" t="s">
        <v>2039</v>
      </c>
      <c r="E1095" t="s">
        <v>38</v>
      </c>
      <c r="F1095" t="s">
        <v>2755</v>
      </c>
      <c r="G1095" t="s">
        <v>23</v>
      </c>
      <c r="H1095" t="s">
        <v>10602</v>
      </c>
      <c r="I1095" t="s">
        <v>10603</v>
      </c>
      <c r="J1095" t="s">
        <v>10604</v>
      </c>
      <c r="K1095" t="s">
        <v>10605</v>
      </c>
      <c r="L1095" t="s">
        <v>3418</v>
      </c>
      <c r="M1095" t="s">
        <v>6932</v>
      </c>
      <c r="N1095" t="s">
        <v>195</v>
      </c>
      <c r="O1095" t="s">
        <v>2728</v>
      </c>
      <c r="P1095" t="s">
        <v>20</v>
      </c>
      <c r="Q1095" t="s">
        <v>20</v>
      </c>
      <c r="R1095" t="s">
        <v>10606</v>
      </c>
      <c r="S1095" t="s">
        <v>10294</v>
      </c>
    </row>
    <row r="1096" spans="1:19" x14ac:dyDescent="0.45">
      <c r="A1096" t="s">
        <v>79</v>
      </c>
      <c r="B1096" t="s">
        <v>20</v>
      </c>
      <c r="C1096" t="s">
        <v>1195</v>
      </c>
      <c r="D1096" t="s">
        <v>1196</v>
      </c>
      <c r="E1096" t="s">
        <v>38</v>
      </c>
      <c r="F1096" t="s">
        <v>14304</v>
      </c>
      <c r="G1096" t="s">
        <v>23</v>
      </c>
      <c r="H1096" t="s">
        <v>8917</v>
      </c>
      <c r="I1096" t="s">
        <v>9250</v>
      </c>
      <c r="J1096" t="s">
        <v>9251</v>
      </c>
      <c r="K1096" t="s">
        <v>9252</v>
      </c>
      <c r="L1096" t="s">
        <v>6521</v>
      </c>
      <c r="M1096" t="s">
        <v>44</v>
      </c>
      <c r="N1096" t="s">
        <v>119</v>
      </c>
      <c r="O1096" t="s">
        <v>2728</v>
      </c>
      <c r="P1096" t="s">
        <v>20</v>
      </c>
      <c r="Q1096" t="s">
        <v>20</v>
      </c>
      <c r="R1096" t="s">
        <v>11920</v>
      </c>
      <c r="S1096" t="s">
        <v>20</v>
      </c>
    </row>
    <row r="1097" spans="1:19" x14ac:dyDescent="0.45">
      <c r="A1097" t="s">
        <v>79</v>
      </c>
      <c r="B1097" t="s">
        <v>20</v>
      </c>
      <c r="C1097" t="s">
        <v>1862</v>
      </c>
      <c r="D1097" t="s">
        <v>1863</v>
      </c>
      <c r="E1097" t="s">
        <v>38</v>
      </c>
      <c r="F1097" t="s">
        <v>14286</v>
      </c>
      <c r="G1097" t="s">
        <v>23</v>
      </c>
      <c r="H1097" t="s">
        <v>13275</v>
      </c>
      <c r="I1097" t="s">
        <v>13276</v>
      </c>
      <c r="J1097" t="s">
        <v>13277</v>
      </c>
      <c r="K1097" t="s">
        <v>13278</v>
      </c>
      <c r="L1097" t="s">
        <v>6524</v>
      </c>
      <c r="M1097" t="s">
        <v>2760</v>
      </c>
      <c r="N1097" t="s">
        <v>119</v>
      </c>
      <c r="O1097" t="s">
        <v>2728</v>
      </c>
      <c r="P1097" t="s">
        <v>20</v>
      </c>
      <c r="Q1097" t="s">
        <v>20</v>
      </c>
      <c r="R1097" t="s">
        <v>13279</v>
      </c>
      <c r="S1097" t="s">
        <v>12953</v>
      </c>
    </row>
    <row r="1098" spans="1:19" x14ac:dyDescent="0.45">
      <c r="A1098" t="s">
        <v>79</v>
      </c>
      <c r="B1098" t="s">
        <v>20</v>
      </c>
      <c r="C1098" t="s">
        <v>1576</v>
      </c>
      <c r="D1098" t="s">
        <v>1577</v>
      </c>
      <c r="E1098" t="s">
        <v>38</v>
      </c>
      <c r="F1098" t="s">
        <v>14170</v>
      </c>
      <c r="G1098" t="s">
        <v>23</v>
      </c>
      <c r="H1098" t="s">
        <v>8944</v>
      </c>
      <c r="I1098" t="s">
        <v>9066</v>
      </c>
      <c r="J1098" t="s">
        <v>10292</v>
      </c>
      <c r="K1098" t="s">
        <v>10293</v>
      </c>
      <c r="L1098" t="s">
        <v>2769</v>
      </c>
      <c r="M1098" t="s">
        <v>44</v>
      </c>
      <c r="N1098" t="s">
        <v>33</v>
      </c>
      <c r="O1098" t="s">
        <v>2728</v>
      </c>
      <c r="P1098" t="s">
        <v>20</v>
      </c>
      <c r="Q1098" t="s">
        <v>20</v>
      </c>
      <c r="R1098" t="s">
        <v>12291</v>
      </c>
      <c r="S1098" t="s">
        <v>12292</v>
      </c>
    </row>
    <row r="1099" spans="1:19" x14ac:dyDescent="0.45">
      <c r="A1099" t="s">
        <v>2432</v>
      </c>
      <c r="B1099" t="s">
        <v>20</v>
      </c>
      <c r="C1099" t="s">
        <v>13960</v>
      </c>
      <c r="D1099" t="s">
        <v>4502</v>
      </c>
      <c r="E1099" t="s">
        <v>38</v>
      </c>
      <c r="F1099" t="s">
        <v>2992</v>
      </c>
      <c r="G1099" t="s">
        <v>23</v>
      </c>
      <c r="H1099" t="s">
        <v>14589</v>
      </c>
      <c r="I1099" t="s">
        <v>14590</v>
      </c>
      <c r="J1099" t="s">
        <v>14591</v>
      </c>
      <c r="K1099" t="s">
        <v>14592</v>
      </c>
      <c r="L1099" t="s">
        <v>9126</v>
      </c>
      <c r="M1099" t="s">
        <v>14593</v>
      </c>
      <c r="N1099" t="s">
        <v>195</v>
      </c>
      <c r="O1099" t="s">
        <v>2728</v>
      </c>
      <c r="P1099" t="s">
        <v>20</v>
      </c>
      <c r="Q1099" t="s">
        <v>20</v>
      </c>
      <c r="R1099" t="s">
        <v>14594</v>
      </c>
      <c r="S1099" t="s">
        <v>14281</v>
      </c>
    </row>
    <row r="1100" spans="1:19" x14ac:dyDescent="0.45">
      <c r="A1100" t="s">
        <v>35</v>
      </c>
      <c r="B1100" t="s">
        <v>20</v>
      </c>
      <c r="C1100" t="s">
        <v>2731</v>
      </c>
      <c r="D1100" t="s">
        <v>2732</v>
      </c>
      <c r="E1100" t="s">
        <v>38</v>
      </c>
      <c r="F1100" t="s">
        <v>2785</v>
      </c>
      <c r="G1100" t="s">
        <v>23</v>
      </c>
      <c r="H1100" t="s">
        <v>8308</v>
      </c>
      <c r="I1100" t="s">
        <v>8309</v>
      </c>
      <c r="J1100" t="s">
        <v>8310</v>
      </c>
      <c r="K1100" t="s">
        <v>8311</v>
      </c>
      <c r="L1100" t="s">
        <v>13871</v>
      </c>
      <c r="M1100" t="s">
        <v>32</v>
      </c>
      <c r="N1100" t="s">
        <v>45</v>
      </c>
      <c r="O1100" t="s">
        <v>2728</v>
      </c>
      <c r="P1100" t="s">
        <v>20</v>
      </c>
      <c r="Q1100" t="s">
        <v>20</v>
      </c>
      <c r="R1100" t="s">
        <v>8312</v>
      </c>
      <c r="S1100" t="s">
        <v>8104</v>
      </c>
    </row>
    <row r="1101" spans="1:19" x14ac:dyDescent="0.45">
      <c r="A1101" t="s">
        <v>869</v>
      </c>
      <c r="B1101" t="s">
        <v>20</v>
      </c>
      <c r="C1101" t="s">
        <v>2583</v>
      </c>
      <c r="D1101" t="s">
        <v>2584</v>
      </c>
      <c r="E1101" t="s">
        <v>38</v>
      </c>
      <c r="F1101" t="s">
        <v>2785</v>
      </c>
      <c r="G1101" t="s">
        <v>23</v>
      </c>
      <c r="H1101" t="s">
        <v>12918</v>
      </c>
      <c r="I1101" t="s">
        <v>12919</v>
      </c>
      <c r="J1101" t="s">
        <v>12920</v>
      </c>
      <c r="K1101" t="s">
        <v>12921</v>
      </c>
      <c r="L1101" t="s">
        <v>3418</v>
      </c>
      <c r="M1101" t="s">
        <v>2760</v>
      </c>
      <c r="N1101" t="s">
        <v>146</v>
      </c>
      <c r="O1101" t="s">
        <v>2728</v>
      </c>
      <c r="P1101" t="s">
        <v>20</v>
      </c>
      <c r="Q1101" t="s">
        <v>20</v>
      </c>
      <c r="R1101" t="s">
        <v>12922</v>
      </c>
      <c r="S1101" t="s">
        <v>12319</v>
      </c>
    </row>
    <row r="1102" spans="1:19" x14ac:dyDescent="0.45">
      <c r="A1102" t="s">
        <v>310</v>
      </c>
      <c r="B1102" t="s">
        <v>20</v>
      </c>
      <c r="C1102" t="s">
        <v>910</v>
      </c>
      <c r="D1102" t="s">
        <v>911</v>
      </c>
      <c r="E1102" t="s">
        <v>38</v>
      </c>
      <c r="F1102" t="s">
        <v>14595</v>
      </c>
      <c r="G1102" t="s">
        <v>23</v>
      </c>
      <c r="H1102" t="s">
        <v>8998</v>
      </c>
      <c r="I1102" t="s">
        <v>9400</v>
      </c>
      <c r="J1102" t="s">
        <v>9401</v>
      </c>
      <c r="K1102" t="s">
        <v>9402</v>
      </c>
      <c r="L1102" t="s">
        <v>6513</v>
      </c>
      <c r="M1102" t="s">
        <v>2760</v>
      </c>
      <c r="N1102" t="s">
        <v>119</v>
      </c>
      <c r="O1102" t="s">
        <v>2728</v>
      </c>
      <c r="P1102" t="s">
        <v>20</v>
      </c>
      <c r="Q1102" t="s">
        <v>20</v>
      </c>
      <c r="R1102" t="s">
        <v>9403</v>
      </c>
      <c r="S1102" t="s">
        <v>20</v>
      </c>
    </row>
    <row r="1103" spans="1:19" x14ac:dyDescent="0.45">
      <c r="A1103" t="s">
        <v>2278</v>
      </c>
      <c r="B1103" t="s">
        <v>8186</v>
      </c>
      <c r="C1103" t="s">
        <v>3078</v>
      </c>
      <c r="D1103" t="s">
        <v>3079</v>
      </c>
      <c r="E1103" t="s">
        <v>38</v>
      </c>
      <c r="F1103" t="s">
        <v>2787</v>
      </c>
      <c r="G1103" t="s">
        <v>23</v>
      </c>
      <c r="H1103" t="s">
        <v>8187</v>
      </c>
      <c r="I1103" t="s">
        <v>7708</v>
      </c>
      <c r="J1103" t="s">
        <v>8188</v>
      </c>
      <c r="K1103" t="s">
        <v>8189</v>
      </c>
      <c r="L1103" t="s">
        <v>3418</v>
      </c>
      <c r="M1103" t="s">
        <v>2981</v>
      </c>
      <c r="N1103" t="s">
        <v>113</v>
      </c>
      <c r="O1103" t="s">
        <v>2728</v>
      </c>
      <c r="P1103" t="s">
        <v>20</v>
      </c>
      <c r="Q1103" t="s">
        <v>20</v>
      </c>
      <c r="R1103" t="s">
        <v>8190</v>
      </c>
      <c r="S1103" t="s">
        <v>8191</v>
      </c>
    </row>
    <row r="1104" spans="1:19" x14ac:dyDescent="0.45">
      <c r="A1104" t="s">
        <v>5307</v>
      </c>
      <c r="B1104" t="s">
        <v>11926</v>
      </c>
      <c r="C1104" t="s">
        <v>11927</v>
      </c>
      <c r="D1104" t="s">
        <v>6199</v>
      </c>
      <c r="E1104" t="s">
        <v>21</v>
      </c>
      <c r="F1104" t="s">
        <v>2722</v>
      </c>
      <c r="G1104" t="s">
        <v>23</v>
      </c>
      <c r="H1104" t="s">
        <v>11928</v>
      </c>
      <c r="I1104" t="s">
        <v>11929</v>
      </c>
      <c r="J1104" t="s">
        <v>11930</v>
      </c>
      <c r="K1104" t="s">
        <v>11931</v>
      </c>
      <c r="L1104" t="s">
        <v>9683</v>
      </c>
      <c r="M1104" t="s">
        <v>3145</v>
      </c>
      <c r="N1104" t="s">
        <v>2727</v>
      </c>
      <c r="O1104" t="s">
        <v>2728</v>
      </c>
      <c r="P1104" t="s">
        <v>20</v>
      </c>
      <c r="Q1104" t="s">
        <v>20</v>
      </c>
      <c r="R1104" t="s">
        <v>11932</v>
      </c>
      <c r="S1104" t="s">
        <v>20</v>
      </c>
    </row>
    <row r="1105" spans="1:19" x14ac:dyDescent="0.45">
      <c r="A1105" t="s">
        <v>12382</v>
      </c>
      <c r="B1105" t="s">
        <v>9687</v>
      </c>
      <c r="C1105" t="s">
        <v>9688</v>
      </c>
      <c r="D1105" t="s">
        <v>5756</v>
      </c>
      <c r="E1105" t="s">
        <v>38</v>
      </c>
      <c r="F1105" t="s">
        <v>8147</v>
      </c>
      <c r="G1105" t="s">
        <v>23</v>
      </c>
      <c r="H1105" t="s">
        <v>9004</v>
      </c>
      <c r="I1105" t="s">
        <v>9689</v>
      </c>
      <c r="J1105" t="s">
        <v>9690</v>
      </c>
      <c r="K1105" t="s">
        <v>9691</v>
      </c>
      <c r="L1105" t="s">
        <v>6523</v>
      </c>
      <c r="M1105" t="s">
        <v>136</v>
      </c>
      <c r="N1105" t="s">
        <v>3696</v>
      </c>
      <c r="O1105" t="s">
        <v>2728</v>
      </c>
      <c r="P1105" t="s">
        <v>20</v>
      </c>
      <c r="Q1105" t="s">
        <v>20</v>
      </c>
      <c r="R1105" t="s">
        <v>9692</v>
      </c>
      <c r="S1105" t="s">
        <v>20</v>
      </c>
    </row>
    <row r="1106" spans="1:19" x14ac:dyDescent="0.45">
      <c r="A1106" t="s">
        <v>314</v>
      </c>
      <c r="B1106" t="s">
        <v>20</v>
      </c>
      <c r="C1106" t="s">
        <v>12923</v>
      </c>
      <c r="D1106" t="s">
        <v>5803</v>
      </c>
      <c r="E1106" t="s">
        <v>38</v>
      </c>
      <c r="F1106" t="s">
        <v>3062</v>
      </c>
      <c r="G1106" t="s">
        <v>23</v>
      </c>
      <c r="H1106" t="s">
        <v>12924</v>
      </c>
      <c r="I1106" t="s">
        <v>12925</v>
      </c>
      <c r="J1106" t="s">
        <v>12926</v>
      </c>
      <c r="K1106" t="s">
        <v>12927</v>
      </c>
      <c r="L1106" t="s">
        <v>6527</v>
      </c>
      <c r="M1106" t="s">
        <v>1223</v>
      </c>
      <c r="N1106" t="s">
        <v>678</v>
      </c>
      <c r="O1106" t="s">
        <v>2728</v>
      </c>
      <c r="P1106" t="s">
        <v>20</v>
      </c>
      <c r="Q1106" t="s">
        <v>20</v>
      </c>
      <c r="R1106" t="s">
        <v>12928</v>
      </c>
      <c r="S1106" t="s">
        <v>20</v>
      </c>
    </row>
    <row r="1107" spans="1:19" x14ac:dyDescent="0.45">
      <c r="A1107" t="s">
        <v>3738</v>
      </c>
      <c r="B1107" t="s">
        <v>8145</v>
      </c>
      <c r="C1107" t="s">
        <v>8146</v>
      </c>
      <c r="D1107" t="s">
        <v>5721</v>
      </c>
      <c r="E1107" t="s">
        <v>38</v>
      </c>
      <c r="F1107" t="s">
        <v>8147</v>
      </c>
      <c r="G1107" t="s">
        <v>23</v>
      </c>
      <c r="H1107" t="s">
        <v>8148</v>
      </c>
      <c r="I1107" t="s">
        <v>8149</v>
      </c>
      <c r="J1107" t="s">
        <v>8150</v>
      </c>
      <c r="K1107" t="s">
        <v>8151</v>
      </c>
      <c r="L1107" t="s">
        <v>6513</v>
      </c>
      <c r="M1107" t="s">
        <v>32</v>
      </c>
      <c r="N1107" t="s">
        <v>113</v>
      </c>
      <c r="O1107" t="s">
        <v>2728</v>
      </c>
      <c r="P1107" t="s">
        <v>20</v>
      </c>
      <c r="Q1107" t="s">
        <v>20</v>
      </c>
      <c r="R1107" t="s">
        <v>8152</v>
      </c>
      <c r="S1107" t="s">
        <v>20</v>
      </c>
    </row>
    <row r="1108" spans="1:19" x14ac:dyDescent="0.45">
      <c r="A1108" t="s">
        <v>12382</v>
      </c>
      <c r="B1108" t="s">
        <v>10095</v>
      </c>
      <c r="C1108" t="s">
        <v>1092</v>
      </c>
      <c r="D1108" t="s">
        <v>1093</v>
      </c>
      <c r="E1108" t="s">
        <v>38</v>
      </c>
      <c r="F1108" t="s">
        <v>2785</v>
      </c>
      <c r="G1108" t="s">
        <v>23</v>
      </c>
      <c r="H1108" t="s">
        <v>10096</v>
      </c>
      <c r="I1108" t="s">
        <v>10097</v>
      </c>
      <c r="J1108" t="s">
        <v>10098</v>
      </c>
      <c r="K1108" t="s">
        <v>10099</v>
      </c>
      <c r="L1108" t="s">
        <v>6527</v>
      </c>
      <c r="M1108" t="s">
        <v>136</v>
      </c>
      <c r="N1108" t="s">
        <v>113</v>
      </c>
      <c r="O1108" t="s">
        <v>2728</v>
      </c>
      <c r="P1108" t="s">
        <v>20</v>
      </c>
      <c r="Q1108" t="s">
        <v>20</v>
      </c>
      <c r="R1108" t="s">
        <v>10100</v>
      </c>
      <c r="S1108" t="s">
        <v>20</v>
      </c>
    </row>
    <row r="1109" spans="1:19" x14ac:dyDescent="0.45">
      <c r="A1109" t="s">
        <v>3120</v>
      </c>
      <c r="B1109" t="s">
        <v>3508</v>
      </c>
      <c r="C1109" t="s">
        <v>3509</v>
      </c>
      <c r="D1109" t="s">
        <v>3510</v>
      </c>
      <c r="E1109" t="s">
        <v>117</v>
      </c>
      <c r="F1109" t="s">
        <v>14596</v>
      </c>
      <c r="G1109" t="s">
        <v>23</v>
      </c>
      <c r="H1109" t="s">
        <v>3511</v>
      </c>
      <c r="I1109" t="s">
        <v>3512</v>
      </c>
      <c r="J1109" t="s">
        <v>3513</v>
      </c>
      <c r="K1109" t="s">
        <v>3514</v>
      </c>
      <c r="L1109" t="s">
        <v>1125</v>
      </c>
      <c r="M1109" t="s">
        <v>2760</v>
      </c>
      <c r="N1109" t="s">
        <v>119</v>
      </c>
      <c r="O1109" t="s">
        <v>2728</v>
      </c>
      <c r="P1109" t="s">
        <v>111</v>
      </c>
      <c r="Q1109" t="s">
        <v>20</v>
      </c>
      <c r="R1109" t="s">
        <v>3515</v>
      </c>
      <c r="S1109" t="s">
        <v>20</v>
      </c>
    </row>
    <row r="1110" spans="1:19" x14ac:dyDescent="0.45">
      <c r="A1110" t="s">
        <v>607</v>
      </c>
      <c r="B1110" t="s">
        <v>2719</v>
      </c>
      <c r="C1110" t="s">
        <v>2720</v>
      </c>
      <c r="D1110" t="s">
        <v>2721</v>
      </c>
      <c r="E1110" t="s">
        <v>38</v>
      </c>
      <c r="F1110" t="s">
        <v>2722</v>
      </c>
      <c r="G1110" t="s">
        <v>23</v>
      </c>
      <c r="H1110" t="s">
        <v>2723</v>
      </c>
      <c r="I1110" t="s">
        <v>2724</v>
      </c>
      <c r="J1110" t="s">
        <v>2725</v>
      </c>
      <c r="K1110" t="s">
        <v>2726</v>
      </c>
      <c r="L1110" t="s">
        <v>3418</v>
      </c>
      <c r="M1110" t="s">
        <v>1223</v>
      </c>
      <c r="N1110" t="s">
        <v>2727</v>
      </c>
      <c r="O1110" t="s">
        <v>2728</v>
      </c>
      <c r="P1110" t="s">
        <v>20</v>
      </c>
      <c r="Q1110" t="s">
        <v>20</v>
      </c>
      <c r="R1110" t="s">
        <v>2729</v>
      </c>
      <c r="S1110" t="s">
        <v>20</v>
      </c>
    </row>
    <row r="1111" spans="1:19" x14ac:dyDescent="0.45">
      <c r="A1111" t="s">
        <v>6989</v>
      </c>
      <c r="B1111" t="s">
        <v>20</v>
      </c>
      <c r="C1111" t="s">
        <v>2064</v>
      </c>
      <c r="D1111" t="s">
        <v>2065</v>
      </c>
      <c r="E1111" t="s">
        <v>38</v>
      </c>
      <c r="F1111" t="s">
        <v>2863</v>
      </c>
      <c r="G1111" t="s">
        <v>23</v>
      </c>
      <c r="H1111" t="s">
        <v>8291</v>
      </c>
      <c r="I1111" t="s">
        <v>8292</v>
      </c>
      <c r="J1111" t="s">
        <v>8293</v>
      </c>
      <c r="K1111" t="s">
        <v>8294</v>
      </c>
      <c r="L1111" t="s">
        <v>2330</v>
      </c>
      <c r="M1111" t="s">
        <v>2760</v>
      </c>
      <c r="N1111" t="s">
        <v>33</v>
      </c>
      <c r="O1111" t="s">
        <v>2728</v>
      </c>
      <c r="P1111" t="s">
        <v>20</v>
      </c>
      <c r="Q1111" t="s">
        <v>20</v>
      </c>
      <c r="R1111" t="s">
        <v>8295</v>
      </c>
      <c r="S1111" t="s">
        <v>8119</v>
      </c>
    </row>
    <row r="1112" spans="1:19" x14ac:dyDescent="0.45">
      <c r="A1112" t="s">
        <v>12382</v>
      </c>
      <c r="B1112" t="s">
        <v>20</v>
      </c>
      <c r="C1112" t="s">
        <v>3621</v>
      </c>
      <c r="D1112" t="s">
        <v>3622</v>
      </c>
      <c r="E1112" t="s">
        <v>38</v>
      </c>
      <c r="F1112" t="s">
        <v>2785</v>
      </c>
      <c r="G1112" t="s">
        <v>23</v>
      </c>
      <c r="H1112" t="s">
        <v>13248</v>
      </c>
      <c r="I1112" t="s">
        <v>13249</v>
      </c>
      <c r="J1112" t="s">
        <v>13250</v>
      </c>
      <c r="K1112" t="s">
        <v>13251</v>
      </c>
      <c r="L1112" t="s">
        <v>6524</v>
      </c>
      <c r="M1112" t="s">
        <v>136</v>
      </c>
      <c r="N1112" t="s">
        <v>33</v>
      </c>
      <c r="O1112" t="s">
        <v>2728</v>
      </c>
      <c r="P1112" t="s">
        <v>20</v>
      </c>
      <c r="Q1112" t="s">
        <v>20</v>
      </c>
      <c r="R1112" t="s">
        <v>13434</v>
      </c>
      <c r="S1112" t="s">
        <v>13435</v>
      </c>
    </row>
    <row r="1113" spans="1:19" x14ac:dyDescent="0.45">
      <c r="A1113" t="s">
        <v>2561</v>
      </c>
      <c r="B1113" t="s">
        <v>14597</v>
      </c>
      <c r="C1113" t="s">
        <v>4902</v>
      </c>
      <c r="D1113" t="s">
        <v>4903</v>
      </c>
      <c r="E1113" t="s">
        <v>38</v>
      </c>
      <c r="F1113" t="s">
        <v>2787</v>
      </c>
      <c r="G1113" t="s">
        <v>23</v>
      </c>
      <c r="H1113" t="s">
        <v>14598</v>
      </c>
      <c r="I1113" t="s">
        <v>14599</v>
      </c>
      <c r="J1113" t="s">
        <v>14600</v>
      </c>
      <c r="K1113" t="s">
        <v>14601</v>
      </c>
      <c r="L1113" t="s">
        <v>3418</v>
      </c>
      <c r="M1113" t="s">
        <v>538</v>
      </c>
      <c r="N1113" t="s">
        <v>119</v>
      </c>
      <c r="O1113" t="s">
        <v>2728</v>
      </c>
      <c r="P1113" t="s">
        <v>20</v>
      </c>
      <c r="Q1113" t="s">
        <v>20</v>
      </c>
      <c r="R1113" t="s">
        <v>14602</v>
      </c>
      <c r="S1113" t="s">
        <v>20</v>
      </c>
    </row>
    <row r="1114" spans="1:19" x14ac:dyDescent="0.45">
      <c r="A1114" t="s">
        <v>12382</v>
      </c>
      <c r="B1114" t="s">
        <v>20</v>
      </c>
      <c r="C1114" t="s">
        <v>1545</v>
      </c>
      <c r="D1114" t="s">
        <v>1546</v>
      </c>
      <c r="E1114" t="s">
        <v>38</v>
      </c>
      <c r="F1114" t="s">
        <v>2785</v>
      </c>
      <c r="G1114" t="s">
        <v>23</v>
      </c>
      <c r="H1114" t="s">
        <v>13252</v>
      </c>
      <c r="I1114" t="s">
        <v>13253</v>
      </c>
      <c r="J1114" t="s">
        <v>13254</v>
      </c>
      <c r="K1114" t="s">
        <v>13255</v>
      </c>
      <c r="L1114" t="s">
        <v>13256</v>
      </c>
      <c r="M1114" t="s">
        <v>136</v>
      </c>
      <c r="N1114" t="s">
        <v>33</v>
      </c>
      <c r="O1114" t="s">
        <v>2728</v>
      </c>
      <c r="P1114" t="s">
        <v>20</v>
      </c>
      <c r="Q1114" t="s">
        <v>20</v>
      </c>
      <c r="R1114" t="s">
        <v>13438</v>
      </c>
      <c r="S1114" t="s">
        <v>13437</v>
      </c>
    </row>
    <row r="1115" spans="1:19" x14ac:dyDescent="0.45">
      <c r="A1115" t="s">
        <v>13014</v>
      </c>
      <c r="B1115" t="s">
        <v>13313</v>
      </c>
      <c r="C1115" t="s">
        <v>13314</v>
      </c>
      <c r="D1115" t="s">
        <v>6422</v>
      </c>
      <c r="E1115" t="s">
        <v>21</v>
      </c>
      <c r="F1115" t="s">
        <v>2722</v>
      </c>
      <c r="G1115" t="s">
        <v>23</v>
      </c>
      <c r="H1115" t="s">
        <v>13315</v>
      </c>
      <c r="I1115" t="s">
        <v>13316</v>
      </c>
      <c r="J1115" t="s">
        <v>13317</v>
      </c>
      <c r="K1115" t="s">
        <v>13318</v>
      </c>
      <c r="L1115" t="s">
        <v>12390</v>
      </c>
      <c r="M1115" t="s">
        <v>3145</v>
      </c>
      <c r="N1115" t="s">
        <v>2727</v>
      </c>
      <c r="O1115" t="s">
        <v>2728</v>
      </c>
      <c r="P1115" t="s">
        <v>20</v>
      </c>
      <c r="Q1115" t="s">
        <v>20</v>
      </c>
      <c r="R1115" t="s">
        <v>13319</v>
      </c>
      <c r="S1115" t="s">
        <v>20</v>
      </c>
    </row>
    <row r="1116" spans="1:19" x14ac:dyDescent="0.45">
      <c r="A1116" t="s">
        <v>3738</v>
      </c>
      <c r="B1116" t="s">
        <v>14603</v>
      </c>
      <c r="C1116" t="s">
        <v>14604</v>
      </c>
      <c r="D1116" t="s">
        <v>6347</v>
      </c>
      <c r="E1116" t="s">
        <v>38</v>
      </c>
      <c r="F1116" t="s">
        <v>2722</v>
      </c>
      <c r="G1116" t="s">
        <v>23</v>
      </c>
      <c r="H1116" t="s">
        <v>14605</v>
      </c>
      <c r="I1116" t="s">
        <v>14606</v>
      </c>
      <c r="J1116" t="s">
        <v>14607</v>
      </c>
      <c r="K1116" t="s">
        <v>14608</v>
      </c>
      <c r="L1116" t="s">
        <v>9683</v>
      </c>
      <c r="M1116" t="s">
        <v>3145</v>
      </c>
      <c r="N1116" t="s">
        <v>2727</v>
      </c>
      <c r="O1116" t="s">
        <v>2728</v>
      </c>
      <c r="P1116" t="s">
        <v>20</v>
      </c>
      <c r="Q1116" t="s">
        <v>20</v>
      </c>
      <c r="R1116" t="s">
        <v>14609</v>
      </c>
      <c r="S1116" t="s">
        <v>20</v>
      </c>
    </row>
    <row r="1117" spans="1:19" x14ac:dyDescent="0.45">
      <c r="A1117" t="s">
        <v>1219</v>
      </c>
      <c r="B1117" t="s">
        <v>8369</v>
      </c>
      <c r="C1117" t="s">
        <v>8370</v>
      </c>
      <c r="D1117" t="s">
        <v>5631</v>
      </c>
      <c r="E1117" t="s">
        <v>38</v>
      </c>
      <c r="F1117" t="s">
        <v>5397</v>
      </c>
      <c r="G1117" t="s">
        <v>23</v>
      </c>
      <c r="H1117" t="s">
        <v>8371</v>
      </c>
      <c r="I1117" t="s">
        <v>8372</v>
      </c>
      <c r="J1117" t="s">
        <v>8373</v>
      </c>
      <c r="K1117" t="s">
        <v>8374</v>
      </c>
      <c r="L1117" t="s">
        <v>2769</v>
      </c>
      <c r="M1117" t="s">
        <v>411</v>
      </c>
      <c r="N1117" t="s">
        <v>113</v>
      </c>
      <c r="O1117" t="s">
        <v>2728</v>
      </c>
      <c r="P1117" t="s">
        <v>20</v>
      </c>
      <c r="Q1117" t="s">
        <v>20</v>
      </c>
      <c r="R1117" t="s">
        <v>8375</v>
      </c>
      <c r="S1117" t="s">
        <v>20</v>
      </c>
    </row>
    <row r="1118" spans="1:19" x14ac:dyDescent="0.45">
      <c r="A1118" t="s">
        <v>5243</v>
      </c>
      <c r="B1118" t="s">
        <v>12293</v>
      </c>
      <c r="C1118" t="s">
        <v>12294</v>
      </c>
      <c r="D1118" t="s">
        <v>5703</v>
      </c>
      <c r="E1118" t="s">
        <v>21</v>
      </c>
      <c r="F1118" t="s">
        <v>2722</v>
      </c>
      <c r="G1118" t="s">
        <v>23</v>
      </c>
      <c r="H1118" t="s">
        <v>12295</v>
      </c>
      <c r="I1118" t="s">
        <v>12296</v>
      </c>
      <c r="J1118" t="s">
        <v>12297</v>
      </c>
      <c r="K1118" t="s">
        <v>12298</v>
      </c>
      <c r="L1118" t="s">
        <v>8377</v>
      </c>
      <c r="M1118" t="s">
        <v>3145</v>
      </c>
      <c r="N1118" t="s">
        <v>2858</v>
      </c>
      <c r="O1118" t="s">
        <v>2728</v>
      </c>
      <c r="P1118" t="s">
        <v>20</v>
      </c>
      <c r="Q1118" t="s">
        <v>20</v>
      </c>
      <c r="R1118" t="s">
        <v>12299</v>
      </c>
      <c r="S1118" t="s">
        <v>20</v>
      </c>
    </row>
    <row r="1119" spans="1:19" x14ac:dyDescent="0.45">
      <c r="A1119" t="s">
        <v>5307</v>
      </c>
      <c r="B1119" t="s">
        <v>8165</v>
      </c>
      <c r="C1119" t="s">
        <v>8166</v>
      </c>
      <c r="D1119" t="s">
        <v>5859</v>
      </c>
      <c r="E1119" t="s">
        <v>38</v>
      </c>
      <c r="F1119" t="s">
        <v>2787</v>
      </c>
      <c r="G1119" t="s">
        <v>23</v>
      </c>
      <c r="H1119" t="s">
        <v>8167</v>
      </c>
      <c r="I1119" t="s">
        <v>8168</v>
      </c>
      <c r="J1119" t="s">
        <v>8169</v>
      </c>
      <c r="K1119" t="s">
        <v>8170</v>
      </c>
      <c r="L1119" t="s">
        <v>722</v>
      </c>
      <c r="M1119" t="s">
        <v>2981</v>
      </c>
      <c r="N1119" t="s">
        <v>113</v>
      </c>
      <c r="O1119" t="s">
        <v>2728</v>
      </c>
      <c r="P1119" t="s">
        <v>20</v>
      </c>
      <c r="Q1119" t="s">
        <v>20</v>
      </c>
      <c r="R1119" t="s">
        <v>8171</v>
      </c>
      <c r="S1119" t="s">
        <v>20</v>
      </c>
    </row>
    <row r="1120" spans="1:19" x14ac:dyDescent="0.45">
      <c r="A1120" t="s">
        <v>2553</v>
      </c>
      <c r="B1120" t="s">
        <v>8301</v>
      </c>
      <c r="C1120" t="s">
        <v>8302</v>
      </c>
      <c r="D1120" t="s">
        <v>8303</v>
      </c>
      <c r="E1120" t="s">
        <v>38</v>
      </c>
      <c r="F1120" t="s">
        <v>2785</v>
      </c>
      <c r="G1120" t="s">
        <v>23</v>
      </c>
      <c r="H1120" t="s">
        <v>8304</v>
      </c>
      <c r="I1120" t="s">
        <v>7469</v>
      </c>
      <c r="J1120" t="s">
        <v>8305</v>
      </c>
      <c r="K1120" t="s">
        <v>8306</v>
      </c>
      <c r="L1120" t="s">
        <v>6513</v>
      </c>
      <c r="M1120" t="s">
        <v>32</v>
      </c>
      <c r="N1120" t="s">
        <v>113</v>
      </c>
      <c r="O1120" t="s">
        <v>2728</v>
      </c>
      <c r="P1120" t="s">
        <v>20</v>
      </c>
      <c r="Q1120" t="s">
        <v>20</v>
      </c>
      <c r="R1120" t="s">
        <v>8307</v>
      </c>
      <c r="S1120" t="s">
        <v>8164</v>
      </c>
    </row>
    <row r="1121" spans="1:19" x14ac:dyDescent="0.45">
      <c r="A1121" t="s">
        <v>2278</v>
      </c>
      <c r="B1121" t="s">
        <v>8211</v>
      </c>
      <c r="C1121" t="s">
        <v>8212</v>
      </c>
      <c r="D1121" t="s">
        <v>5844</v>
      </c>
      <c r="E1121" t="s">
        <v>38</v>
      </c>
      <c r="F1121" t="s">
        <v>2785</v>
      </c>
      <c r="G1121" t="s">
        <v>23</v>
      </c>
      <c r="H1121" t="s">
        <v>8213</v>
      </c>
      <c r="I1121" t="s">
        <v>7072</v>
      </c>
      <c r="J1121" t="s">
        <v>8214</v>
      </c>
      <c r="K1121" t="s">
        <v>8215</v>
      </c>
      <c r="L1121" t="s">
        <v>6524</v>
      </c>
      <c r="M1121" t="s">
        <v>4946</v>
      </c>
      <c r="N1121" t="s">
        <v>113</v>
      </c>
      <c r="O1121" t="s">
        <v>2728</v>
      </c>
      <c r="P1121" t="s">
        <v>6527</v>
      </c>
      <c r="Q1121" t="s">
        <v>20</v>
      </c>
      <c r="R1121" t="s">
        <v>8216</v>
      </c>
      <c r="S1121" t="s">
        <v>20</v>
      </c>
    </row>
    <row r="1122" spans="1:19" x14ac:dyDescent="0.45">
      <c r="A1122" t="s">
        <v>395</v>
      </c>
      <c r="B1122" t="s">
        <v>10093</v>
      </c>
      <c r="C1122" t="s">
        <v>476</v>
      </c>
      <c r="D1122" t="s">
        <v>477</v>
      </c>
      <c r="E1122" t="s">
        <v>29</v>
      </c>
      <c r="F1122" t="s">
        <v>3182</v>
      </c>
      <c r="G1122" t="s">
        <v>23</v>
      </c>
      <c r="H1122" t="s">
        <v>478</v>
      </c>
      <c r="I1122" t="s">
        <v>479</v>
      </c>
      <c r="J1122" t="s">
        <v>480</v>
      </c>
      <c r="K1122" t="s">
        <v>481</v>
      </c>
      <c r="L1122" t="s">
        <v>9126</v>
      </c>
      <c r="M1122" t="s">
        <v>132</v>
      </c>
      <c r="N1122" t="s">
        <v>195</v>
      </c>
      <c r="O1122" t="s">
        <v>2728</v>
      </c>
      <c r="P1122" t="s">
        <v>20</v>
      </c>
      <c r="Q1122" t="s">
        <v>20</v>
      </c>
      <c r="R1122" t="s">
        <v>10094</v>
      </c>
      <c r="S1122" t="s">
        <v>20</v>
      </c>
    </row>
    <row r="1123" spans="1:19" x14ac:dyDescent="0.45">
      <c r="A1123" t="s">
        <v>6679</v>
      </c>
      <c r="B1123" t="s">
        <v>8419</v>
      </c>
      <c r="C1123" t="s">
        <v>8420</v>
      </c>
      <c r="D1123" t="s">
        <v>6115</v>
      </c>
      <c r="E1123" t="s">
        <v>38</v>
      </c>
      <c r="F1123" t="s">
        <v>2785</v>
      </c>
      <c r="G1123" t="s">
        <v>23</v>
      </c>
      <c r="H1123" t="s">
        <v>8421</v>
      </c>
      <c r="I1123" t="s">
        <v>8422</v>
      </c>
      <c r="J1123" t="s">
        <v>8423</v>
      </c>
      <c r="K1123" t="s">
        <v>8424</v>
      </c>
      <c r="L1123" t="s">
        <v>2330</v>
      </c>
      <c r="M1123" t="s">
        <v>2760</v>
      </c>
      <c r="N1123" t="s">
        <v>113</v>
      </c>
      <c r="O1123" t="s">
        <v>2728</v>
      </c>
      <c r="P1123" t="s">
        <v>20</v>
      </c>
      <c r="Q1123" t="s">
        <v>20</v>
      </c>
      <c r="R1123" t="s">
        <v>8425</v>
      </c>
      <c r="S1123" t="s">
        <v>20</v>
      </c>
    </row>
    <row r="1124" spans="1:19" x14ac:dyDescent="0.45">
      <c r="A1124" t="s">
        <v>6679</v>
      </c>
      <c r="B1124" t="s">
        <v>20</v>
      </c>
      <c r="C1124" t="s">
        <v>6680</v>
      </c>
      <c r="D1124" t="s">
        <v>5661</v>
      </c>
      <c r="E1124" t="s">
        <v>2487</v>
      </c>
      <c r="F1124" t="s">
        <v>3062</v>
      </c>
      <c r="G1124" t="s">
        <v>23</v>
      </c>
      <c r="H1124" t="s">
        <v>6480</v>
      </c>
      <c r="I1124" t="s">
        <v>6681</v>
      </c>
      <c r="J1124" t="s">
        <v>6682</v>
      </c>
      <c r="K1124" t="s">
        <v>6683</v>
      </c>
      <c r="L1124" t="s">
        <v>3418</v>
      </c>
      <c r="M1124" t="s">
        <v>3910</v>
      </c>
      <c r="N1124" t="s">
        <v>119</v>
      </c>
      <c r="O1124" t="s">
        <v>2728</v>
      </c>
      <c r="P1124" t="s">
        <v>20</v>
      </c>
      <c r="Q1124" t="s">
        <v>20</v>
      </c>
      <c r="R1124" t="s">
        <v>6684</v>
      </c>
      <c r="S1124" t="s">
        <v>20</v>
      </c>
    </row>
    <row r="1125" spans="1:19" x14ac:dyDescent="0.45">
      <c r="A1125" t="s">
        <v>9698</v>
      </c>
      <c r="B1125" t="s">
        <v>10580</v>
      </c>
      <c r="C1125" t="s">
        <v>10581</v>
      </c>
      <c r="D1125" t="s">
        <v>6354</v>
      </c>
      <c r="E1125" t="s">
        <v>21</v>
      </c>
      <c r="F1125" t="s">
        <v>2722</v>
      </c>
      <c r="G1125" t="s">
        <v>23</v>
      </c>
      <c r="H1125" t="s">
        <v>10582</v>
      </c>
      <c r="I1125" t="s">
        <v>10330</v>
      </c>
      <c r="J1125" t="s">
        <v>10583</v>
      </c>
      <c r="K1125" t="s">
        <v>10584</v>
      </c>
      <c r="L1125" t="s">
        <v>9126</v>
      </c>
      <c r="M1125" t="s">
        <v>3145</v>
      </c>
      <c r="N1125" t="s">
        <v>2727</v>
      </c>
      <c r="O1125" t="s">
        <v>2728</v>
      </c>
      <c r="P1125" t="s">
        <v>20</v>
      </c>
      <c r="Q1125" t="s">
        <v>20</v>
      </c>
      <c r="R1125" t="s">
        <v>10585</v>
      </c>
      <c r="S1125" t="s">
        <v>20</v>
      </c>
    </row>
    <row r="1126" spans="1:19" x14ac:dyDescent="0.45">
      <c r="A1126" t="s">
        <v>4056</v>
      </c>
      <c r="B1126" t="s">
        <v>13950</v>
      </c>
      <c r="C1126" t="s">
        <v>13951</v>
      </c>
      <c r="D1126" t="s">
        <v>5932</v>
      </c>
      <c r="E1126" t="s">
        <v>21</v>
      </c>
      <c r="F1126" t="s">
        <v>2722</v>
      </c>
      <c r="G1126" t="s">
        <v>23</v>
      </c>
      <c r="H1126" t="s">
        <v>13952</v>
      </c>
      <c r="I1126" t="s">
        <v>13953</v>
      </c>
      <c r="J1126" t="s">
        <v>13954</v>
      </c>
      <c r="K1126" t="s">
        <v>13955</v>
      </c>
      <c r="L1126" t="s">
        <v>9126</v>
      </c>
      <c r="M1126" t="s">
        <v>3145</v>
      </c>
      <c r="N1126" t="s">
        <v>2727</v>
      </c>
      <c r="O1126" t="s">
        <v>2728</v>
      </c>
      <c r="P1126" t="s">
        <v>20</v>
      </c>
      <c r="Q1126" t="s">
        <v>20</v>
      </c>
      <c r="R1126" t="s">
        <v>13956</v>
      </c>
      <c r="S1126" t="s">
        <v>20</v>
      </c>
    </row>
    <row r="1127" spans="1:19" x14ac:dyDescent="0.45">
      <c r="A1127" t="s">
        <v>2278</v>
      </c>
      <c r="B1127" t="s">
        <v>11908</v>
      </c>
      <c r="C1127" t="s">
        <v>11909</v>
      </c>
      <c r="D1127" t="s">
        <v>5791</v>
      </c>
      <c r="E1127" t="s">
        <v>21</v>
      </c>
      <c r="F1127" t="s">
        <v>2722</v>
      </c>
      <c r="G1127" t="s">
        <v>23</v>
      </c>
      <c r="H1127" t="s">
        <v>11910</v>
      </c>
      <c r="I1127" t="s">
        <v>11911</v>
      </c>
      <c r="J1127" t="s">
        <v>11912</v>
      </c>
      <c r="K1127" t="s">
        <v>11913</v>
      </c>
      <c r="L1127" t="s">
        <v>9126</v>
      </c>
      <c r="M1127" t="s">
        <v>3145</v>
      </c>
      <c r="N1127" t="s">
        <v>2727</v>
      </c>
      <c r="O1127" t="s">
        <v>2728</v>
      </c>
      <c r="P1127" t="s">
        <v>6527</v>
      </c>
      <c r="Q1127" t="s">
        <v>20</v>
      </c>
      <c r="R1127" t="s">
        <v>11914</v>
      </c>
      <c r="S1127" t="s">
        <v>20</v>
      </c>
    </row>
    <row r="1128" spans="1:19" x14ac:dyDescent="0.45">
      <c r="A1128" t="s">
        <v>3026</v>
      </c>
      <c r="B1128" t="s">
        <v>3027</v>
      </c>
      <c r="C1128" t="s">
        <v>3028</v>
      </c>
      <c r="D1128" t="s">
        <v>3029</v>
      </c>
      <c r="E1128" t="s">
        <v>38</v>
      </c>
      <c r="F1128" t="s">
        <v>2722</v>
      </c>
      <c r="G1128" t="s">
        <v>23</v>
      </c>
      <c r="H1128" t="s">
        <v>3030</v>
      </c>
      <c r="I1128" t="s">
        <v>3031</v>
      </c>
      <c r="J1128" t="s">
        <v>3032</v>
      </c>
      <c r="K1128" t="s">
        <v>3033</v>
      </c>
      <c r="L1128" t="s">
        <v>3418</v>
      </c>
      <c r="M1128" t="s">
        <v>1223</v>
      </c>
      <c r="N1128" t="s">
        <v>2727</v>
      </c>
      <c r="O1128" t="s">
        <v>2728</v>
      </c>
      <c r="P1128" t="s">
        <v>20</v>
      </c>
      <c r="Q1128" t="s">
        <v>20</v>
      </c>
      <c r="R1128" t="s">
        <v>3034</v>
      </c>
      <c r="S1128" t="s">
        <v>20</v>
      </c>
    </row>
    <row r="1129" spans="1:19" x14ac:dyDescent="0.45">
      <c r="A1129" t="s">
        <v>2553</v>
      </c>
      <c r="B1129" t="s">
        <v>9693</v>
      </c>
      <c r="C1129" t="s">
        <v>9694</v>
      </c>
      <c r="D1129" t="s">
        <v>5949</v>
      </c>
      <c r="E1129" t="s">
        <v>21</v>
      </c>
      <c r="F1129" t="s">
        <v>2722</v>
      </c>
      <c r="G1129" t="s">
        <v>23</v>
      </c>
      <c r="H1129" t="s">
        <v>9547</v>
      </c>
      <c r="I1129" t="s">
        <v>9568</v>
      </c>
      <c r="J1129" t="s">
        <v>9695</v>
      </c>
      <c r="K1129" t="s">
        <v>9696</v>
      </c>
      <c r="L1129" t="s">
        <v>9126</v>
      </c>
      <c r="M1129" t="s">
        <v>3145</v>
      </c>
      <c r="N1129" t="s">
        <v>2727</v>
      </c>
      <c r="O1129" t="s">
        <v>2728</v>
      </c>
      <c r="P1129" t="s">
        <v>20</v>
      </c>
      <c r="Q1129" t="s">
        <v>20</v>
      </c>
      <c r="R1129" t="s">
        <v>9697</v>
      </c>
      <c r="S1129" t="s">
        <v>20</v>
      </c>
    </row>
    <row r="1130" spans="1:19" x14ac:dyDescent="0.45">
      <c r="A1130" t="s">
        <v>3120</v>
      </c>
      <c r="B1130" t="s">
        <v>2737</v>
      </c>
      <c r="C1130" t="s">
        <v>2738</v>
      </c>
      <c r="D1130" t="s">
        <v>2739</v>
      </c>
      <c r="E1130" t="s">
        <v>38</v>
      </c>
      <c r="F1130" t="s">
        <v>13439</v>
      </c>
      <c r="G1130" t="s">
        <v>23</v>
      </c>
      <c r="H1130" t="s">
        <v>2740</v>
      </c>
      <c r="I1130" t="s">
        <v>2741</v>
      </c>
      <c r="J1130" t="s">
        <v>2742</v>
      </c>
      <c r="K1130" t="s">
        <v>2743</v>
      </c>
      <c r="L1130" t="s">
        <v>3418</v>
      </c>
      <c r="M1130" t="s">
        <v>136</v>
      </c>
      <c r="N1130" t="s">
        <v>210</v>
      </c>
      <c r="O1130" t="s">
        <v>2728</v>
      </c>
      <c r="P1130" t="s">
        <v>20</v>
      </c>
      <c r="Q1130" t="s">
        <v>20</v>
      </c>
      <c r="R1130" t="s">
        <v>2744</v>
      </c>
      <c r="S1130" t="s">
        <v>20</v>
      </c>
    </row>
    <row r="1131" spans="1:19" x14ac:dyDescent="0.45">
      <c r="A1131" t="s">
        <v>4800</v>
      </c>
      <c r="B1131" t="s">
        <v>10118</v>
      </c>
      <c r="C1131" t="s">
        <v>10119</v>
      </c>
      <c r="D1131" t="s">
        <v>5766</v>
      </c>
      <c r="E1131" t="s">
        <v>21</v>
      </c>
      <c r="F1131" t="s">
        <v>2722</v>
      </c>
      <c r="G1131" t="s">
        <v>23</v>
      </c>
      <c r="H1131" t="s">
        <v>10120</v>
      </c>
      <c r="I1131" t="s">
        <v>10121</v>
      </c>
      <c r="J1131" t="s">
        <v>10122</v>
      </c>
      <c r="K1131" t="s">
        <v>10123</v>
      </c>
      <c r="L1131" t="s">
        <v>9126</v>
      </c>
      <c r="M1131" t="s">
        <v>3145</v>
      </c>
      <c r="N1131" t="s">
        <v>2727</v>
      </c>
      <c r="O1131" t="s">
        <v>2728</v>
      </c>
      <c r="P1131" t="s">
        <v>20</v>
      </c>
      <c r="Q1131" t="s">
        <v>20</v>
      </c>
      <c r="R1131" t="s">
        <v>10124</v>
      </c>
      <c r="S1131" t="s">
        <v>20</v>
      </c>
    </row>
    <row r="1132" spans="1:19" x14ac:dyDescent="0.45">
      <c r="A1132" t="s">
        <v>1219</v>
      </c>
      <c r="B1132" t="s">
        <v>8224</v>
      </c>
      <c r="C1132" t="s">
        <v>1220</v>
      </c>
      <c r="D1132" t="s">
        <v>1221</v>
      </c>
      <c r="E1132" t="s">
        <v>38</v>
      </c>
      <c r="F1132" t="s">
        <v>2722</v>
      </c>
      <c r="G1132" t="s">
        <v>23</v>
      </c>
      <c r="H1132" t="s">
        <v>8225</v>
      </c>
      <c r="I1132" t="s">
        <v>8226</v>
      </c>
      <c r="J1132" t="s">
        <v>8227</v>
      </c>
      <c r="K1132" t="s">
        <v>8228</v>
      </c>
      <c r="L1132" t="s">
        <v>3418</v>
      </c>
      <c r="M1132" t="s">
        <v>2760</v>
      </c>
      <c r="N1132" t="s">
        <v>113</v>
      </c>
      <c r="O1132" t="s">
        <v>2728</v>
      </c>
      <c r="P1132" t="s">
        <v>20</v>
      </c>
      <c r="Q1132" t="s">
        <v>20</v>
      </c>
      <c r="R1132" t="s">
        <v>8229</v>
      </c>
      <c r="S1132" t="s">
        <v>20</v>
      </c>
    </row>
    <row r="1133" spans="1:19" x14ac:dyDescent="0.45">
      <c r="A1133" t="s">
        <v>314</v>
      </c>
      <c r="B1133" t="s">
        <v>8254</v>
      </c>
      <c r="C1133" t="s">
        <v>8255</v>
      </c>
      <c r="D1133" t="s">
        <v>6073</v>
      </c>
      <c r="E1133" t="s">
        <v>21</v>
      </c>
      <c r="F1133" t="s">
        <v>2787</v>
      </c>
      <c r="G1133" t="s">
        <v>23</v>
      </c>
      <c r="H1133" t="s">
        <v>8256</v>
      </c>
      <c r="I1133" t="s">
        <v>7794</v>
      </c>
      <c r="J1133" t="s">
        <v>8257</v>
      </c>
      <c r="K1133" t="s">
        <v>8258</v>
      </c>
      <c r="L1133" t="s">
        <v>3998</v>
      </c>
      <c r="M1133" t="s">
        <v>2100</v>
      </c>
      <c r="N1133" t="s">
        <v>2727</v>
      </c>
      <c r="O1133" t="s">
        <v>2728</v>
      </c>
      <c r="P1133" t="s">
        <v>20</v>
      </c>
      <c r="Q1133" t="s">
        <v>20</v>
      </c>
      <c r="R1133" t="s">
        <v>8259</v>
      </c>
      <c r="S1133" t="s">
        <v>20</v>
      </c>
    </row>
    <row r="1134" spans="1:19" x14ac:dyDescent="0.45">
      <c r="A1134" t="s">
        <v>516</v>
      </c>
      <c r="B1134" t="s">
        <v>14610</v>
      </c>
      <c r="C1134" t="s">
        <v>14611</v>
      </c>
      <c r="D1134" t="s">
        <v>6101</v>
      </c>
      <c r="E1134" t="s">
        <v>4007</v>
      </c>
      <c r="F1134" t="s">
        <v>2787</v>
      </c>
      <c r="G1134" t="s">
        <v>23</v>
      </c>
      <c r="H1134" t="s">
        <v>14612</v>
      </c>
      <c r="I1134" t="s">
        <v>14613</v>
      </c>
      <c r="J1134" t="s">
        <v>14614</v>
      </c>
      <c r="K1134" t="s">
        <v>14615</v>
      </c>
      <c r="L1134" t="s">
        <v>3418</v>
      </c>
      <c r="M1134" t="s">
        <v>2100</v>
      </c>
      <c r="N1134" t="s">
        <v>14121</v>
      </c>
      <c r="O1134" t="s">
        <v>2728</v>
      </c>
      <c r="P1134" t="s">
        <v>20</v>
      </c>
      <c r="Q1134" t="s">
        <v>20</v>
      </c>
      <c r="R1134" t="s">
        <v>14616</v>
      </c>
      <c r="S1134" t="s">
        <v>14617</v>
      </c>
    </row>
    <row r="1135" spans="1:19" x14ac:dyDescent="0.45">
      <c r="A1135" t="s">
        <v>4056</v>
      </c>
      <c r="B1135" t="s">
        <v>20</v>
      </c>
      <c r="C1135" t="s">
        <v>10125</v>
      </c>
      <c r="D1135" t="s">
        <v>5574</v>
      </c>
      <c r="E1135" t="s">
        <v>38</v>
      </c>
      <c r="F1135" t="s">
        <v>5396</v>
      </c>
      <c r="G1135" t="s">
        <v>23</v>
      </c>
      <c r="H1135" t="s">
        <v>10126</v>
      </c>
      <c r="I1135" t="s">
        <v>10127</v>
      </c>
      <c r="J1135" t="s">
        <v>10128</v>
      </c>
      <c r="K1135" t="s">
        <v>10129</v>
      </c>
      <c r="L1135" t="s">
        <v>3998</v>
      </c>
      <c r="M1135" t="s">
        <v>44</v>
      </c>
      <c r="N1135" t="s">
        <v>210</v>
      </c>
      <c r="O1135" t="s">
        <v>2728</v>
      </c>
      <c r="P1135" t="s">
        <v>20</v>
      </c>
      <c r="Q1135" t="s">
        <v>20</v>
      </c>
      <c r="R1135" t="s">
        <v>10130</v>
      </c>
      <c r="S1135" t="s">
        <v>9797</v>
      </c>
    </row>
    <row r="1136" spans="1:19" x14ac:dyDescent="0.45">
      <c r="A1136" t="s">
        <v>3738</v>
      </c>
      <c r="B1136" t="s">
        <v>8283</v>
      </c>
      <c r="C1136" t="s">
        <v>8284</v>
      </c>
      <c r="D1136" t="s">
        <v>5722</v>
      </c>
      <c r="E1136" t="s">
        <v>38</v>
      </c>
      <c r="F1136" t="s">
        <v>8147</v>
      </c>
      <c r="G1136" t="s">
        <v>23</v>
      </c>
      <c r="H1136" t="s">
        <v>8285</v>
      </c>
      <c r="I1136" t="s">
        <v>8286</v>
      </c>
      <c r="J1136" t="s">
        <v>8287</v>
      </c>
      <c r="K1136" t="s">
        <v>8288</v>
      </c>
      <c r="L1136" t="s">
        <v>2330</v>
      </c>
      <c r="M1136" t="s">
        <v>32</v>
      </c>
      <c r="N1136" t="s">
        <v>113</v>
      </c>
      <c r="O1136" t="s">
        <v>2728</v>
      </c>
      <c r="P1136" t="s">
        <v>20</v>
      </c>
      <c r="Q1136" t="s">
        <v>20</v>
      </c>
      <c r="R1136" t="s">
        <v>8289</v>
      </c>
      <c r="S1136" t="s">
        <v>20</v>
      </c>
    </row>
    <row r="1137" spans="1:19" x14ac:dyDescent="0.45">
      <c r="A1137" t="s">
        <v>5294</v>
      </c>
      <c r="B1137" t="s">
        <v>20</v>
      </c>
      <c r="C1137" t="s">
        <v>9377</v>
      </c>
      <c r="D1137" t="s">
        <v>5678</v>
      </c>
      <c r="E1137" t="s">
        <v>38</v>
      </c>
      <c r="F1137" t="s">
        <v>2785</v>
      </c>
      <c r="G1137" t="s">
        <v>23</v>
      </c>
      <c r="H1137" t="s">
        <v>8975</v>
      </c>
      <c r="I1137" t="s">
        <v>9378</v>
      </c>
      <c r="J1137" t="s">
        <v>9379</v>
      </c>
      <c r="K1137" t="s">
        <v>9380</v>
      </c>
      <c r="L1137" t="s">
        <v>2769</v>
      </c>
      <c r="M1137" t="s">
        <v>2760</v>
      </c>
      <c r="N1137" t="s">
        <v>146</v>
      </c>
      <c r="O1137" t="s">
        <v>2728</v>
      </c>
      <c r="P1137" t="s">
        <v>20</v>
      </c>
      <c r="Q1137" t="s">
        <v>20</v>
      </c>
      <c r="R1137" t="s">
        <v>9381</v>
      </c>
      <c r="S1137" t="s">
        <v>9382</v>
      </c>
    </row>
    <row r="1138" spans="1:19" x14ac:dyDescent="0.45">
      <c r="A1138" t="s">
        <v>9698</v>
      </c>
      <c r="B1138" t="s">
        <v>9699</v>
      </c>
      <c r="C1138" t="s">
        <v>9700</v>
      </c>
      <c r="D1138" t="s">
        <v>6367</v>
      </c>
      <c r="E1138" t="s">
        <v>21</v>
      </c>
      <c r="F1138" t="s">
        <v>2722</v>
      </c>
      <c r="G1138" t="s">
        <v>23</v>
      </c>
      <c r="H1138" t="s">
        <v>9051</v>
      </c>
      <c r="I1138" t="s">
        <v>9701</v>
      </c>
      <c r="J1138" t="s">
        <v>9702</v>
      </c>
      <c r="K1138" t="s">
        <v>9703</v>
      </c>
      <c r="L1138" t="s">
        <v>6523</v>
      </c>
      <c r="M1138" t="s">
        <v>2760</v>
      </c>
      <c r="N1138" t="s">
        <v>678</v>
      </c>
      <c r="O1138" t="s">
        <v>2728</v>
      </c>
      <c r="P1138" t="s">
        <v>20</v>
      </c>
      <c r="Q1138" t="s">
        <v>20</v>
      </c>
      <c r="R1138" t="s">
        <v>9704</v>
      </c>
      <c r="S1138" t="s">
        <v>20</v>
      </c>
    </row>
    <row r="1139" spans="1:19" x14ac:dyDescent="0.45">
      <c r="A1139" t="s">
        <v>505</v>
      </c>
      <c r="B1139" t="s">
        <v>8173</v>
      </c>
      <c r="C1139" t="s">
        <v>506</v>
      </c>
      <c r="D1139" t="s">
        <v>507</v>
      </c>
      <c r="E1139" t="s">
        <v>38</v>
      </c>
      <c r="F1139" t="s">
        <v>2787</v>
      </c>
      <c r="G1139" t="s">
        <v>23</v>
      </c>
      <c r="H1139" t="s">
        <v>8174</v>
      </c>
      <c r="I1139" t="s">
        <v>8175</v>
      </c>
      <c r="J1139" t="s">
        <v>8176</v>
      </c>
      <c r="K1139" t="s">
        <v>8177</v>
      </c>
      <c r="L1139" t="s">
        <v>3998</v>
      </c>
      <c r="M1139" t="s">
        <v>2100</v>
      </c>
      <c r="N1139" t="s">
        <v>2727</v>
      </c>
      <c r="O1139" t="s">
        <v>2728</v>
      </c>
      <c r="P1139" t="s">
        <v>20</v>
      </c>
      <c r="Q1139" t="s">
        <v>20</v>
      </c>
      <c r="R1139" t="s">
        <v>8178</v>
      </c>
      <c r="S1139" t="s">
        <v>20</v>
      </c>
    </row>
    <row r="1140" spans="1:19" x14ac:dyDescent="0.45">
      <c r="A1140" t="s">
        <v>592</v>
      </c>
      <c r="B1140" t="s">
        <v>14618</v>
      </c>
      <c r="C1140" t="s">
        <v>4201</v>
      </c>
      <c r="D1140" t="s">
        <v>4202</v>
      </c>
      <c r="E1140" t="s">
        <v>38</v>
      </c>
      <c r="F1140" t="s">
        <v>3062</v>
      </c>
      <c r="G1140" t="s">
        <v>23</v>
      </c>
      <c r="H1140" t="s">
        <v>14619</v>
      </c>
      <c r="I1140" t="s">
        <v>14620</v>
      </c>
      <c r="J1140" t="s">
        <v>14621</v>
      </c>
      <c r="K1140" t="s">
        <v>14622</v>
      </c>
      <c r="L1140" t="s">
        <v>9574</v>
      </c>
      <c r="M1140" t="s">
        <v>1223</v>
      </c>
      <c r="N1140" t="s">
        <v>2727</v>
      </c>
      <c r="O1140" t="s">
        <v>2728</v>
      </c>
      <c r="P1140" t="s">
        <v>20</v>
      </c>
      <c r="Q1140" t="s">
        <v>20</v>
      </c>
      <c r="R1140" t="s">
        <v>14623</v>
      </c>
      <c r="S1140" t="s">
        <v>20</v>
      </c>
    </row>
    <row r="1141" spans="1:19" x14ac:dyDescent="0.45">
      <c r="A1141" t="s">
        <v>104</v>
      </c>
      <c r="B1141" t="s">
        <v>20</v>
      </c>
      <c r="C1141" t="s">
        <v>8272</v>
      </c>
      <c r="D1141" t="s">
        <v>6063</v>
      </c>
      <c r="E1141" t="s">
        <v>38</v>
      </c>
      <c r="F1141" t="s">
        <v>14624</v>
      </c>
      <c r="G1141" t="s">
        <v>23</v>
      </c>
      <c r="H1141" t="s">
        <v>10375</v>
      </c>
      <c r="I1141" t="s">
        <v>10376</v>
      </c>
      <c r="J1141" t="s">
        <v>11119</v>
      </c>
      <c r="K1141" t="s">
        <v>11010</v>
      </c>
      <c r="L1141" t="s">
        <v>8094</v>
      </c>
      <c r="M1141" t="s">
        <v>32</v>
      </c>
      <c r="N1141" t="s">
        <v>45</v>
      </c>
      <c r="O1141" t="s">
        <v>2728</v>
      </c>
      <c r="P1141" t="s">
        <v>20</v>
      </c>
      <c r="Q1141" t="s">
        <v>20</v>
      </c>
      <c r="R1141" t="s">
        <v>12902</v>
      </c>
      <c r="S1141" t="s">
        <v>12903</v>
      </c>
    </row>
    <row r="1142" spans="1:19" x14ac:dyDescent="0.45">
      <c r="A1142" t="s">
        <v>592</v>
      </c>
      <c r="B1142" t="s">
        <v>13926</v>
      </c>
      <c r="C1142" t="s">
        <v>2198</v>
      </c>
      <c r="D1142" t="s">
        <v>2199</v>
      </c>
      <c r="E1142" t="s">
        <v>21</v>
      </c>
      <c r="F1142" t="s">
        <v>2722</v>
      </c>
      <c r="G1142" t="s">
        <v>23</v>
      </c>
      <c r="H1142" t="s">
        <v>13927</v>
      </c>
      <c r="I1142" t="s">
        <v>13928</v>
      </c>
      <c r="J1142" t="s">
        <v>13929</v>
      </c>
      <c r="K1142" t="s">
        <v>13930</v>
      </c>
      <c r="L1142" t="s">
        <v>9126</v>
      </c>
      <c r="M1142" t="s">
        <v>3145</v>
      </c>
      <c r="N1142" t="s">
        <v>2727</v>
      </c>
      <c r="O1142" t="s">
        <v>2728</v>
      </c>
      <c r="P1142" t="s">
        <v>20</v>
      </c>
      <c r="Q1142" t="s">
        <v>20</v>
      </c>
      <c r="R1142" t="s">
        <v>13931</v>
      </c>
      <c r="S1142" t="s">
        <v>20</v>
      </c>
    </row>
    <row r="1143" spans="1:19" x14ac:dyDescent="0.45">
      <c r="A1143" t="s">
        <v>269</v>
      </c>
      <c r="B1143" t="s">
        <v>3419</v>
      </c>
      <c r="C1143" t="s">
        <v>1482</v>
      </c>
      <c r="D1143" t="s">
        <v>1483</v>
      </c>
      <c r="E1143" t="s">
        <v>38</v>
      </c>
      <c r="F1143" t="s">
        <v>2948</v>
      </c>
      <c r="G1143" t="s">
        <v>23</v>
      </c>
      <c r="H1143" t="s">
        <v>3420</v>
      </c>
      <c r="I1143" t="s">
        <v>3421</v>
      </c>
      <c r="J1143" t="s">
        <v>3422</v>
      </c>
      <c r="K1143" t="s">
        <v>3423</v>
      </c>
      <c r="L1143" t="s">
        <v>168</v>
      </c>
      <c r="M1143" t="s">
        <v>2760</v>
      </c>
      <c r="N1143" t="s">
        <v>146</v>
      </c>
      <c r="O1143" t="s">
        <v>2728</v>
      </c>
      <c r="P1143" t="s">
        <v>20</v>
      </c>
      <c r="Q1143" t="s">
        <v>20</v>
      </c>
      <c r="R1143" t="s">
        <v>3424</v>
      </c>
      <c r="S1143" t="s">
        <v>20</v>
      </c>
    </row>
    <row r="1144" spans="1:19" x14ac:dyDescent="0.45">
      <c r="A1144" t="s">
        <v>94</v>
      </c>
      <c r="B1144" t="s">
        <v>3107</v>
      </c>
      <c r="C1144" t="s">
        <v>95</v>
      </c>
      <c r="D1144" t="s">
        <v>96</v>
      </c>
      <c r="E1144" t="s">
        <v>38</v>
      </c>
      <c r="F1144" t="s">
        <v>14625</v>
      </c>
      <c r="G1144" t="s">
        <v>23</v>
      </c>
      <c r="H1144" t="s">
        <v>3108</v>
      </c>
      <c r="I1144" t="s">
        <v>3109</v>
      </c>
      <c r="J1144" t="s">
        <v>3110</v>
      </c>
      <c r="K1144" t="s">
        <v>3111</v>
      </c>
      <c r="L1144" t="s">
        <v>3418</v>
      </c>
      <c r="M1144" t="s">
        <v>538</v>
      </c>
      <c r="N1144" t="s">
        <v>45</v>
      </c>
      <c r="O1144" t="s">
        <v>2728</v>
      </c>
      <c r="P1144" t="s">
        <v>20</v>
      </c>
      <c r="Q1144" t="s">
        <v>20</v>
      </c>
      <c r="R1144" t="s">
        <v>3112</v>
      </c>
      <c r="S1144" t="s">
        <v>20</v>
      </c>
    </row>
    <row r="1145" spans="1:19" x14ac:dyDescent="0.45">
      <c r="A1145" t="s">
        <v>1308</v>
      </c>
      <c r="B1145" t="s">
        <v>20</v>
      </c>
      <c r="C1145" t="s">
        <v>2629</v>
      </c>
      <c r="D1145" t="s">
        <v>2630</v>
      </c>
      <c r="E1145" t="s">
        <v>38</v>
      </c>
      <c r="F1145" t="s">
        <v>2785</v>
      </c>
      <c r="G1145" t="s">
        <v>23</v>
      </c>
      <c r="H1145" t="s">
        <v>2631</v>
      </c>
      <c r="I1145" t="s">
        <v>2632</v>
      </c>
      <c r="J1145" t="s">
        <v>2633</v>
      </c>
      <c r="K1145" t="s">
        <v>2125</v>
      </c>
      <c r="L1145" t="s">
        <v>6533</v>
      </c>
      <c r="M1145" t="s">
        <v>32</v>
      </c>
      <c r="N1145" t="s">
        <v>195</v>
      </c>
      <c r="O1145" t="s">
        <v>2728</v>
      </c>
      <c r="P1145" t="s">
        <v>20</v>
      </c>
      <c r="Q1145" t="s">
        <v>20</v>
      </c>
      <c r="R1145" t="s">
        <v>12306</v>
      </c>
      <c r="S1145" t="s">
        <v>11883</v>
      </c>
    </row>
    <row r="1146" spans="1:19" x14ac:dyDescent="0.45">
      <c r="A1146" t="s">
        <v>114</v>
      </c>
      <c r="B1146" t="s">
        <v>12929</v>
      </c>
      <c r="C1146" t="s">
        <v>3394</v>
      </c>
      <c r="D1146" t="s">
        <v>3395</v>
      </c>
      <c r="E1146" t="s">
        <v>38</v>
      </c>
      <c r="F1146" t="s">
        <v>2755</v>
      </c>
      <c r="G1146" t="s">
        <v>23</v>
      </c>
      <c r="H1146" t="s">
        <v>12930</v>
      </c>
      <c r="I1146" t="s">
        <v>12931</v>
      </c>
      <c r="J1146" t="s">
        <v>12932</v>
      </c>
      <c r="K1146" t="s">
        <v>12933</v>
      </c>
      <c r="L1146" t="s">
        <v>6527</v>
      </c>
      <c r="M1146" t="s">
        <v>3145</v>
      </c>
      <c r="N1146" t="s">
        <v>2858</v>
      </c>
      <c r="O1146" t="s">
        <v>2728</v>
      </c>
      <c r="P1146" t="s">
        <v>20</v>
      </c>
      <c r="Q1146" t="s">
        <v>20</v>
      </c>
      <c r="R1146" t="s">
        <v>12934</v>
      </c>
      <c r="S1146" t="s">
        <v>20</v>
      </c>
    </row>
    <row r="1147" spans="1:19" x14ac:dyDescent="0.45">
      <c r="A1147" t="s">
        <v>2911</v>
      </c>
      <c r="B1147" t="s">
        <v>2974</v>
      </c>
      <c r="C1147" t="s">
        <v>2975</v>
      </c>
      <c r="D1147" t="s">
        <v>2976</v>
      </c>
      <c r="E1147" t="s">
        <v>38</v>
      </c>
      <c r="F1147" t="s">
        <v>2787</v>
      </c>
      <c r="G1147" t="s">
        <v>23</v>
      </c>
      <c r="H1147" t="s">
        <v>2977</v>
      </c>
      <c r="I1147" t="s">
        <v>2978</v>
      </c>
      <c r="J1147" t="s">
        <v>2979</v>
      </c>
      <c r="K1147" t="s">
        <v>2980</v>
      </c>
      <c r="L1147" t="s">
        <v>722</v>
      </c>
      <c r="M1147" t="s">
        <v>2981</v>
      </c>
      <c r="N1147" t="s">
        <v>2727</v>
      </c>
      <c r="O1147" t="s">
        <v>2728</v>
      </c>
      <c r="P1147" t="s">
        <v>20</v>
      </c>
      <c r="Q1147" t="s">
        <v>20</v>
      </c>
      <c r="R1147" t="s">
        <v>2982</v>
      </c>
      <c r="S1147" t="s">
        <v>20</v>
      </c>
    </row>
    <row r="1148" spans="1:19" x14ac:dyDescent="0.45">
      <c r="A1148" t="s">
        <v>511</v>
      </c>
      <c r="B1148" t="s">
        <v>20</v>
      </c>
      <c r="C1148" t="s">
        <v>3522</v>
      </c>
      <c r="D1148" t="s">
        <v>3523</v>
      </c>
      <c r="E1148" t="s">
        <v>21</v>
      </c>
      <c r="F1148" t="s">
        <v>9383</v>
      </c>
      <c r="G1148" t="s">
        <v>23</v>
      </c>
      <c r="H1148" t="s">
        <v>9384</v>
      </c>
      <c r="I1148" t="s">
        <v>9385</v>
      </c>
      <c r="J1148" t="s">
        <v>9386</v>
      </c>
      <c r="K1148" t="s">
        <v>9387</v>
      </c>
      <c r="L1148" t="s">
        <v>9155</v>
      </c>
      <c r="M1148" t="s">
        <v>3105</v>
      </c>
      <c r="N1148" t="s">
        <v>33</v>
      </c>
      <c r="O1148" t="s">
        <v>2728</v>
      </c>
      <c r="P1148" t="s">
        <v>20</v>
      </c>
      <c r="Q1148" t="s">
        <v>20</v>
      </c>
      <c r="R1148" t="s">
        <v>9388</v>
      </c>
      <c r="S1148" t="s">
        <v>9363</v>
      </c>
    </row>
    <row r="1149" spans="1:19" x14ac:dyDescent="0.45">
      <c r="A1149" t="s">
        <v>508</v>
      </c>
      <c r="B1149" t="s">
        <v>9641</v>
      </c>
      <c r="C1149" t="s">
        <v>2094</v>
      </c>
      <c r="D1149" t="s">
        <v>2095</v>
      </c>
      <c r="E1149" t="s">
        <v>38</v>
      </c>
      <c r="F1149" t="s">
        <v>2795</v>
      </c>
      <c r="G1149" t="s">
        <v>23</v>
      </c>
      <c r="H1149" t="s">
        <v>2204</v>
      </c>
      <c r="I1149" t="s">
        <v>2205</v>
      </c>
      <c r="J1149" t="s">
        <v>2206</v>
      </c>
      <c r="K1149" t="s">
        <v>2207</v>
      </c>
      <c r="L1149" t="s">
        <v>3418</v>
      </c>
      <c r="M1149" t="s">
        <v>6932</v>
      </c>
      <c r="N1149" t="s">
        <v>195</v>
      </c>
      <c r="O1149" t="s">
        <v>2728</v>
      </c>
      <c r="P1149" t="s">
        <v>20</v>
      </c>
      <c r="Q1149" t="s">
        <v>20</v>
      </c>
      <c r="R1149" t="s">
        <v>13048</v>
      </c>
      <c r="S1149" t="s">
        <v>12903</v>
      </c>
    </row>
    <row r="1150" spans="1:19" x14ac:dyDescent="0.45">
      <c r="A1150" t="s">
        <v>211</v>
      </c>
      <c r="B1150" t="s">
        <v>12308</v>
      </c>
      <c r="C1150" t="s">
        <v>6794</v>
      </c>
      <c r="D1150" t="s">
        <v>5643</v>
      </c>
      <c r="E1150" t="s">
        <v>38</v>
      </c>
      <c r="F1150" t="s">
        <v>11207</v>
      </c>
      <c r="G1150" t="s">
        <v>23</v>
      </c>
      <c r="H1150" t="s">
        <v>6795</v>
      </c>
      <c r="I1150" t="s">
        <v>6796</v>
      </c>
      <c r="J1150" t="s">
        <v>10796</v>
      </c>
      <c r="K1150" t="s">
        <v>10797</v>
      </c>
      <c r="L1150" t="s">
        <v>6533</v>
      </c>
      <c r="M1150" t="s">
        <v>102</v>
      </c>
      <c r="N1150" t="s">
        <v>33</v>
      </c>
      <c r="O1150" t="s">
        <v>2728</v>
      </c>
      <c r="P1150" t="s">
        <v>20</v>
      </c>
      <c r="Q1150" t="s">
        <v>20</v>
      </c>
      <c r="R1150" t="s">
        <v>10798</v>
      </c>
      <c r="S1150" t="s">
        <v>20</v>
      </c>
    </row>
    <row r="1151" spans="1:19" x14ac:dyDescent="0.45">
      <c r="A1151" t="s">
        <v>81</v>
      </c>
      <c r="B1151" t="s">
        <v>12263</v>
      </c>
      <c r="C1151" t="s">
        <v>1845</v>
      </c>
      <c r="D1151" t="s">
        <v>1846</v>
      </c>
      <c r="E1151" t="s">
        <v>38</v>
      </c>
      <c r="F1151" t="s">
        <v>3182</v>
      </c>
      <c r="G1151" t="s">
        <v>23</v>
      </c>
      <c r="H1151" t="s">
        <v>1847</v>
      </c>
      <c r="I1151" t="s">
        <v>1848</v>
      </c>
      <c r="J1151" t="s">
        <v>1849</v>
      </c>
      <c r="K1151" t="s">
        <v>1850</v>
      </c>
      <c r="L1151" t="s">
        <v>101</v>
      </c>
      <c r="M1151" t="s">
        <v>205</v>
      </c>
      <c r="N1151" t="s">
        <v>33</v>
      </c>
      <c r="O1151" t="s">
        <v>2728</v>
      </c>
      <c r="P1151" t="s">
        <v>20</v>
      </c>
      <c r="Q1151" t="s">
        <v>20</v>
      </c>
      <c r="R1151" t="s">
        <v>12264</v>
      </c>
      <c r="S1151" t="s">
        <v>12265</v>
      </c>
    </row>
    <row r="1152" spans="1:19" x14ac:dyDescent="0.45">
      <c r="A1152" t="s">
        <v>413</v>
      </c>
      <c r="B1152" t="s">
        <v>12935</v>
      </c>
      <c r="C1152" t="s">
        <v>12936</v>
      </c>
      <c r="D1152" t="s">
        <v>6131</v>
      </c>
      <c r="E1152" t="s">
        <v>38</v>
      </c>
      <c r="F1152" t="s">
        <v>2787</v>
      </c>
      <c r="G1152" t="s">
        <v>23</v>
      </c>
      <c r="H1152" t="s">
        <v>12937</v>
      </c>
      <c r="I1152" t="s">
        <v>12938</v>
      </c>
      <c r="J1152" t="s">
        <v>12939</v>
      </c>
      <c r="K1152" t="s">
        <v>12940</v>
      </c>
      <c r="L1152" t="s">
        <v>3998</v>
      </c>
      <c r="M1152" t="s">
        <v>2100</v>
      </c>
      <c r="N1152" t="s">
        <v>3407</v>
      </c>
      <c r="O1152" t="s">
        <v>2728</v>
      </c>
      <c r="P1152" t="s">
        <v>6524</v>
      </c>
      <c r="Q1152" t="s">
        <v>20</v>
      </c>
      <c r="R1152" t="s">
        <v>12941</v>
      </c>
      <c r="S1152" t="s">
        <v>20</v>
      </c>
    </row>
    <row r="1153" spans="1:19" x14ac:dyDescent="0.45">
      <c r="A1153" t="s">
        <v>729</v>
      </c>
      <c r="B1153" t="s">
        <v>2786</v>
      </c>
      <c r="C1153" t="s">
        <v>1320</v>
      </c>
      <c r="D1153" t="s">
        <v>1321</v>
      </c>
      <c r="E1153" t="s">
        <v>38</v>
      </c>
      <c r="F1153" t="s">
        <v>2787</v>
      </c>
      <c r="G1153" t="s">
        <v>23</v>
      </c>
      <c r="H1153" t="s">
        <v>2788</v>
      </c>
      <c r="I1153" t="s">
        <v>2789</v>
      </c>
      <c r="J1153" t="s">
        <v>2790</v>
      </c>
      <c r="K1153" t="s">
        <v>2791</v>
      </c>
      <c r="L1153" t="s">
        <v>722</v>
      </c>
      <c r="M1153" t="s">
        <v>2100</v>
      </c>
      <c r="N1153" t="s">
        <v>2727</v>
      </c>
      <c r="O1153" t="s">
        <v>2728</v>
      </c>
      <c r="P1153" t="s">
        <v>20</v>
      </c>
      <c r="Q1153" t="s">
        <v>20</v>
      </c>
      <c r="R1153" t="s">
        <v>2792</v>
      </c>
      <c r="S1153" t="s">
        <v>20</v>
      </c>
    </row>
    <row r="1154" spans="1:19" x14ac:dyDescent="0.45">
      <c r="A1154" t="s">
        <v>120</v>
      </c>
      <c r="B1154" t="s">
        <v>20</v>
      </c>
      <c r="C1154" t="s">
        <v>1695</v>
      </c>
      <c r="D1154" t="s">
        <v>1696</v>
      </c>
      <c r="E1154" t="s">
        <v>29</v>
      </c>
      <c r="F1154" t="s">
        <v>3182</v>
      </c>
      <c r="G1154" t="s">
        <v>23</v>
      </c>
      <c r="H1154" t="s">
        <v>1697</v>
      </c>
      <c r="I1154" t="s">
        <v>1698</v>
      </c>
      <c r="J1154" t="s">
        <v>1699</v>
      </c>
      <c r="K1154" t="s">
        <v>1700</v>
      </c>
      <c r="L1154" t="s">
        <v>9126</v>
      </c>
      <c r="M1154" t="s">
        <v>32</v>
      </c>
      <c r="N1154" t="s">
        <v>62</v>
      </c>
      <c r="O1154" t="s">
        <v>2728</v>
      </c>
      <c r="P1154" t="s">
        <v>20</v>
      </c>
      <c r="Q1154" t="s">
        <v>20</v>
      </c>
      <c r="R1154" t="s">
        <v>14626</v>
      </c>
      <c r="S1154" t="s">
        <v>14539</v>
      </c>
    </row>
    <row r="1155" spans="1:19" x14ac:dyDescent="0.45">
      <c r="A1155" t="s">
        <v>572</v>
      </c>
      <c r="B1155" t="s">
        <v>11862</v>
      </c>
      <c r="C1155" t="s">
        <v>4376</v>
      </c>
      <c r="D1155" t="s">
        <v>4377</v>
      </c>
      <c r="E1155" t="s">
        <v>21</v>
      </c>
      <c r="F1155" t="s">
        <v>2787</v>
      </c>
      <c r="G1155" t="s">
        <v>23</v>
      </c>
      <c r="H1155" t="s">
        <v>11863</v>
      </c>
      <c r="I1155" t="s">
        <v>11864</v>
      </c>
      <c r="J1155" t="s">
        <v>11865</v>
      </c>
      <c r="K1155" t="s">
        <v>11866</v>
      </c>
      <c r="L1155" t="s">
        <v>9683</v>
      </c>
      <c r="M1155" t="s">
        <v>2100</v>
      </c>
      <c r="N1155" t="s">
        <v>2727</v>
      </c>
      <c r="O1155" t="s">
        <v>2728</v>
      </c>
      <c r="P1155" t="s">
        <v>6524</v>
      </c>
      <c r="Q1155" t="s">
        <v>20</v>
      </c>
      <c r="R1155" t="s">
        <v>11867</v>
      </c>
      <c r="S1155" t="s">
        <v>20</v>
      </c>
    </row>
    <row r="1156" spans="1:19" x14ac:dyDescent="0.45">
      <c r="A1156" t="s">
        <v>1308</v>
      </c>
      <c r="B1156" t="s">
        <v>20</v>
      </c>
      <c r="C1156" t="s">
        <v>10003</v>
      </c>
      <c r="D1156" t="s">
        <v>1461</v>
      </c>
      <c r="E1156" t="s">
        <v>38</v>
      </c>
      <c r="F1156" t="s">
        <v>2722</v>
      </c>
      <c r="G1156" t="s">
        <v>23</v>
      </c>
      <c r="H1156" t="s">
        <v>10004</v>
      </c>
      <c r="I1156" t="s">
        <v>10005</v>
      </c>
      <c r="J1156" t="s">
        <v>10006</v>
      </c>
      <c r="K1156" t="s">
        <v>10007</v>
      </c>
      <c r="L1156" t="s">
        <v>9683</v>
      </c>
      <c r="M1156" t="s">
        <v>2760</v>
      </c>
      <c r="N1156" t="s">
        <v>195</v>
      </c>
      <c r="O1156" t="s">
        <v>2728</v>
      </c>
      <c r="P1156" t="s">
        <v>20</v>
      </c>
      <c r="Q1156" t="s">
        <v>20</v>
      </c>
      <c r="R1156" t="s">
        <v>14627</v>
      </c>
      <c r="S1156" t="s">
        <v>14281</v>
      </c>
    </row>
    <row r="1157" spans="1:19" x14ac:dyDescent="0.45">
      <c r="A1157" t="s">
        <v>3096</v>
      </c>
      <c r="B1157" t="s">
        <v>3494</v>
      </c>
      <c r="C1157" t="s">
        <v>3098</v>
      </c>
      <c r="D1157" t="s">
        <v>3099</v>
      </c>
      <c r="E1157" t="s">
        <v>38</v>
      </c>
      <c r="F1157" t="s">
        <v>3495</v>
      </c>
      <c r="G1157" t="s">
        <v>23</v>
      </c>
      <c r="H1157" t="s">
        <v>3496</v>
      </c>
      <c r="I1157" t="s">
        <v>3497</v>
      </c>
      <c r="J1157" t="s">
        <v>3498</v>
      </c>
      <c r="K1157" t="s">
        <v>3499</v>
      </c>
      <c r="L1157" t="s">
        <v>118</v>
      </c>
      <c r="M1157" t="s">
        <v>3105</v>
      </c>
      <c r="N1157" t="s">
        <v>1224</v>
      </c>
      <c r="O1157" t="s">
        <v>2728</v>
      </c>
      <c r="P1157" t="s">
        <v>118</v>
      </c>
      <c r="Q1157" t="s">
        <v>20</v>
      </c>
      <c r="R1157" t="s">
        <v>3500</v>
      </c>
      <c r="S1157" t="s">
        <v>3501</v>
      </c>
    </row>
    <row r="1158" spans="1:19" x14ac:dyDescent="0.45">
      <c r="A1158" t="s">
        <v>362</v>
      </c>
      <c r="B1158" t="s">
        <v>8172</v>
      </c>
      <c r="C1158" t="s">
        <v>542</v>
      </c>
      <c r="D1158" t="s">
        <v>543</v>
      </c>
      <c r="E1158" t="s">
        <v>29</v>
      </c>
      <c r="F1158" t="s">
        <v>3182</v>
      </c>
      <c r="G1158" t="s">
        <v>23</v>
      </c>
      <c r="H1158" t="s">
        <v>544</v>
      </c>
      <c r="I1158" t="s">
        <v>545</v>
      </c>
      <c r="J1158" t="s">
        <v>546</v>
      </c>
      <c r="K1158" t="s">
        <v>547</v>
      </c>
      <c r="L1158" t="s">
        <v>3418</v>
      </c>
      <c r="M1158" t="s">
        <v>32</v>
      </c>
      <c r="N1158" t="s">
        <v>195</v>
      </c>
      <c r="O1158" t="s">
        <v>2728</v>
      </c>
      <c r="P1158" t="s">
        <v>20</v>
      </c>
      <c r="Q1158" t="s">
        <v>20</v>
      </c>
      <c r="R1158" t="s">
        <v>11659</v>
      </c>
      <c r="S1158" t="s">
        <v>11631</v>
      </c>
    </row>
    <row r="1159" spans="1:19" x14ac:dyDescent="0.45">
      <c r="A1159" t="s">
        <v>269</v>
      </c>
      <c r="B1159" t="s">
        <v>20</v>
      </c>
      <c r="C1159" t="s">
        <v>1552</v>
      </c>
      <c r="D1159" t="s">
        <v>1553</v>
      </c>
      <c r="E1159" t="s">
        <v>38</v>
      </c>
      <c r="F1159" t="s">
        <v>3182</v>
      </c>
      <c r="G1159" t="s">
        <v>23</v>
      </c>
      <c r="H1159" t="s">
        <v>2122</v>
      </c>
      <c r="I1159" t="s">
        <v>2123</v>
      </c>
      <c r="J1159" t="s">
        <v>2124</v>
      </c>
      <c r="K1159" t="s">
        <v>2125</v>
      </c>
      <c r="L1159" t="s">
        <v>9155</v>
      </c>
      <c r="M1159" t="s">
        <v>6932</v>
      </c>
      <c r="N1159" t="s">
        <v>195</v>
      </c>
      <c r="O1159" t="s">
        <v>2728</v>
      </c>
      <c r="P1159" t="s">
        <v>20</v>
      </c>
      <c r="Q1159" t="s">
        <v>20</v>
      </c>
      <c r="R1159" t="s">
        <v>2126</v>
      </c>
      <c r="S1159" t="s">
        <v>11853</v>
      </c>
    </row>
    <row r="1160" spans="1:19" x14ac:dyDescent="0.45">
      <c r="A1160" t="s">
        <v>7222</v>
      </c>
      <c r="B1160" t="s">
        <v>12942</v>
      </c>
      <c r="C1160" t="s">
        <v>12943</v>
      </c>
      <c r="D1160" t="s">
        <v>5646</v>
      </c>
      <c r="E1160" t="s">
        <v>21</v>
      </c>
      <c r="F1160" t="s">
        <v>2722</v>
      </c>
      <c r="G1160" t="s">
        <v>23</v>
      </c>
      <c r="H1160" t="s">
        <v>12944</v>
      </c>
      <c r="I1160" t="s">
        <v>12945</v>
      </c>
      <c r="J1160" t="s">
        <v>12946</v>
      </c>
      <c r="K1160" t="s">
        <v>12947</v>
      </c>
      <c r="L1160" t="s">
        <v>6527</v>
      </c>
      <c r="M1160" t="s">
        <v>1223</v>
      </c>
      <c r="N1160" t="s">
        <v>2858</v>
      </c>
      <c r="O1160" t="s">
        <v>2728</v>
      </c>
      <c r="P1160" t="s">
        <v>20</v>
      </c>
      <c r="Q1160" t="s">
        <v>20</v>
      </c>
      <c r="R1160" t="s">
        <v>12948</v>
      </c>
      <c r="S1160" t="s">
        <v>20</v>
      </c>
    </row>
    <row r="1161" spans="1:19" x14ac:dyDescent="0.45">
      <c r="A1161" t="s">
        <v>2432</v>
      </c>
      <c r="B1161" t="s">
        <v>9679</v>
      </c>
      <c r="C1161" t="s">
        <v>6841</v>
      </c>
      <c r="D1161" t="s">
        <v>5700</v>
      </c>
      <c r="E1161" t="s">
        <v>21</v>
      </c>
      <c r="F1161" t="s">
        <v>2787</v>
      </c>
      <c r="G1161" t="s">
        <v>23</v>
      </c>
      <c r="H1161" t="s">
        <v>9539</v>
      </c>
      <c r="I1161" t="s">
        <v>9680</v>
      </c>
      <c r="J1161" t="s">
        <v>9681</v>
      </c>
      <c r="K1161" t="s">
        <v>9682</v>
      </c>
      <c r="L1161" t="s">
        <v>9683</v>
      </c>
      <c r="M1161" t="s">
        <v>2100</v>
      </c>
      <c r="N1161" t="s">
        <v>2727</v>
      </c>
      <c r="O1161" t="s">
        <v>2728</v>
      </c>
      <c r="P1161" t="s">
        <v>20</v>
      </c>
      <c r="Q1161" t="s">
        <v>20</v>
      </c>
      <c r="R1161" t="s">
        <v>9684</v>
      </c>
      <c r="S1161" t="s">
        <v>20</v>
      </c>
    </row>
    <row r="1162" spans="1:19" x14ac:dyDescent="0.45">
      <c r="A1162" t="s">
        <v>187</v>
      </c>
      <c r="B1162" t="s">
        <v>3377</v>
      </c>
      <c r="C1162" t="s">
        <v>3378</v>
      </c>
      <c r="D1162" t="s">
        <v>3379</v>
      </c>
      <c r="E1162" t="s">
        <v>38</v>
      </c>
      <c r="F1162" t="s">
        <v>2785</v>
      </c>
      <c r="G1162" t="s">
        <v>23</v>
      </c>
      <c r="H1162" t="s">
        <v>3380</v>
      </c>
      <c r="I1162" t="s">
        <v>3381</v>
      </c>
      <c r="J1162" t="s">
        <v>3382</v>
      </c>
      <c r="K1162" t="s">
        <v>3383</v>
      </c>
      <c r="L1162" t="s">
        <v>168</v>
      </c>
      <c r="M1162" t="s">
        <v>1311</v>
      </c>
      <c r="N1162" t="s">
        <v>195</v>
      </c>
      <c r="O1162" t="s">
        <v>2728</v>
      </c>
      <c r="P1162" t="s">
        <v>20</v>
      </c>
      <c r="Q1162" t="s">
        <v>20</v>
      </c>
      <c r="R1162" t="s">
        <v>13320</v>
      </c>
      <c r="S1162" t="s">
        <v>12903</v>
      </c>
    </row>
    <row r="1163" spans="1:19" x14ac:dyDescent="0.45">
      <c r="A1163" t="s">
        <v>425</v>
      </c>
      <c r="B1163" t="s">
        <v>2905</v>
      </c>
      <c r="C1163" t="s">
        <v>643</v>
      </c>
      <c r="D1163" t="s">
        <v>644</v>
      </c>
      <c r="E1163" t="s">
        <v>38</v>
      </c>
      <c r="F1163" t="s">
        <v>2795</v>
      </c>
      <c r="G1163" t="s">
        <v>23</v>
      </c>
      <c r="H1163" t="s">
        <v>2906</v>
      </c>
      <c r="I1163" t="s">
        <v>2907</v>
      </c>
      <c r="J1163" t="s">
        <v>2908</v>
      </c>
      <c r="K1163" t="s">
        <v>2909</v>
      </c>
      <c r="L1163" t="s">
        <v>209</v>
      </c>
      <c r="M1163" t="s">
        <v>2760</v>
      </c>
      <c r="N1163" t="s">
        <v>146</v>
      </c>
      <c r="O1163" t="s">
        <v>2728</v>
      </c>
      <c r="P1163" t="s">
        <v>20</v>
      </c>
      <c r="Q1163" t="s">
        <v>20</v>
      </c>
      <c r="R1163" t="s">
        <v>2910</v>
      </c>
      <c r="S1163" t="s">
        <v>20</v>
      </c>
    </row>
    <row r="1164" spans="1:19" x14ac:dyDescent="0.45">
      <c r="A1164" t="s">
        <v>535</v>
      </c>
      <c r="B1164" t="s">
        <v>20</v>
      </c>
      <c r="C1164" t="s">
        <v>859</v>
      </c>
      <c r="D1164" t="s">
        <v>860</v>
      </c>
      <c r="E1164" t="s">
        <v>38</v>
      </c>
      <c r="F1164" t="s">
        <v>2785</v>
      </c>
      <c r="G1164" t="s">
        <v>23</v>
      </c>
      <c r="H1164" t="s">
        <v>12284</v>
      </c>
      <c r="I1164" t="s">
        <v>12285</v>
      </c>
      <c r="J1164" t="s">
        <v>12286</v>
      </c>
      <c r="K1164" t="s">
        <v>12287</v>
      </c>
      <c r="L1164" t="s">
        <v>6527</v>
      </c>
      <c r="M1164" t="s">
        <v>32</v>
      </c>
      <c r="N1164" t="s">
        <v>45</v>
      </c>
      <c r="O1164" t="s">
        <v>2728</v>
      </c>
      <c r="P1164" t="s">
        <v>20</v>
      </c>
      <c r="Q1164" t="s">
        <v>20</v>
      </c>
      <c r="R1164" t="s">
        <v>12288</v>
      </c>
      <c r="S1164" t="s">
        <v>12269</v>
      </c>
    </row>
    <row r="1165" spans="1:19" x14ac:dyDescent="0.45">
      <c r="A1165" t="s">
        <v>425</v>
      </c>
      <c r="B1165" t="s">
        <v>20</v>
      </c>
      <c r="C1165" t="s">
        <v>426</v>
      </c>
      <c r="D1165" t="s">
        <v>427</v>
      </c>
      <c r="E1165" t="s">
        <v>38</v>
      </c>
      <c r="F1165" t="s">
        <v>2785</v>
      </c>
      <c r="G1165" t="s">
        <v>23</v>
      </c>
      <c r="H1165" t="s">
        <v>8159</v>
      </c>
      <c r="I1165" t="s">
        <v>8160</v>
      </c>
      <c r="J1165" t="s">
        <v>8161</v>
      </c>
      <c r="K1165" t="s">
        <v>8162</v>
      </c>
      <c r="L1165" t="s">
        <v>6513</v>
      </c>
      <c r="M1165" t="s">
        <v>132</v>
      </c>
      <c r="N1165" t="s">
        <v>195</v>
      </c>
      <c r="O1165" t="s">
        <v>2728</v>
      </c>
      <c r="P1165" t="s">
        <v>20</v>
      </c>
      <c r="Q1165" t="s">
        <v>20</v>
      </c>
      <c r="R1165" t="s">
        <v>8163</v>
      </c>
      <c r="S1165" t="s">
        <v>8119</v>
      </c>
    </row>
    <row r="1166" spans="1:19" x14ac:dyDescent="0.45">
      <c r="A1166" t="s">
        <v>446</v>
      </c>
      <c r="B1166" t="s">
        <v>3670</v>
      </c>
      <c r="C1166" t="s">
        <v>3671</v>
      </c>
      <c r="D1166" t="s">
        <v>3672</v>
      </c>
      <c r="E1166" t="s">
        <v>38</v>
      </c>
      <c r="F1166" t="s">
        <v>3673</v>
      </c>
      <c r="G1166" t="s">
        <v>23</v>
      </c>
      <c r="H1166" t="s">
        <v>3674</v>
      </c>
      <c r="I1166" t="s">
        <v>3675</v>
      </c>
      <c r="J1166" t="s">
        <v>3676</v>
      </c>
      <c r="K1166" t="s">
        <v>3677</v>
      </c>
      <c r="L1166" t="s">
        <v>677</v>
      </c>
      <c r="M1166" t="s">
        <v>2760</v>
      </c>
      <c r="N1166" t="s">
        <v>210</v>
      </c>
      <c r="O1166" t="s">
        <v>2728</v>
      </c>
      <c r="P1166" t="s">
        <v>20</v>
      </c>
      <c r="Q1166" t="s">
        <v>20</v>
      </c>
      <c r="R1166" t="s">
        <v>3678</v>
      </c>
      <c r="S1166" t="s">
        <v>20</v>
      </c>
    </row>
    <row r="1167" spans="1:19" x14ac:dyDescent="0.45">
      <c r="A1167" t="s">
        <v>1613</v>
      </c>
      <c r="B1167" t="s">
        <v>20</v>
      </c>
      <c r="C1167" t="s">
        <v>1614</v>
      </c>
      <c r="D1167" t="s">
        <v>1615</v>
      </c>
      <c r="E1167" t="s">
        <v>38</v>
      </c>
      <c r="F1167" t="s">
        <v>2785</v>
      </c>
      <c r="G1167" t="s">
        <v>23</v>
      </c>
      <c r="H1167" t="s">
        <v>6914</v>
      </c>
      <c r="I1167" t="s">
        <v>6915</v>
      </c>
      <c r="J1167" t="s">
        <v>9809</v>
      </c>
      <c r="K1167" t="s">
        <v>9810</v>
      </c>
      <c r="L1167" t="s">
        <v>3418</v>
      </c>
      <c r="M1167" t="s">
        <v>1391</v>
      </c>
      <c r="N1167" t="s">
        <v>195</v>
      </c>
      <c r="O1167" t="s">
        <v>2728</v>
      </c>
      <c r="P1167" t="s">
        <v>20</v>
      </c>
      <c r="Q1167" t="s">
        <v>20</v>
      </c>
      <c r="R1167" t="s">
        <v>9910</v>
      </c>
      <c r="S1167" t="s">
        <v>9794</v>
      </c>
    </row>
    <row r="1168" spans="1:19" x14ac:dyDescent="0.45">
      <c r="A1168" t="s">
        <v>729</v>
      </c>
      <c r="B1168" t="s">
        <v>20</v>
      </c>
      <c r="C1168" t="s">
        <v>3036</v>
      </c>
      <c r="D1168" t="s">
        <v>3037</v>
      </c>
      <c r="E1168" t="s">
        <v>57</v>
      </c>
      <c r="F1168" t="s">
        <v>2795</v>
      </c>
      <c r="G1168" t="s">
        <v>23</v>
      </c>
      <c r="H1168" t="s">
        <v>7981</v>
      </c>
      <c r="I1168" t="s">
        <v>7982</v>
      </c>
      <c r="J1168" t="s">
        <v>7983</v>
      </c>
      <c r="K1168" t="s">
        <v>7984</v>
      </c>
      <c r="L1168" t="s">
        <v>2330</v>
      </c>
      <c r="M1168" t="s">
        <v>32</v>
      </c>
      <c r="N1168" t="s">
        <v>119</v>
      </c>
      <c r="O1168" t="s">
        <v>2728</v>
      </c>
      <c r="P1168" t="s">
        <v>20</v>
      </c>
      <c r="Q1168" t="s">
        <v>20</v>
      </c>
      <c r="R1168" t="s">
        <v>7985</v>
      </c>
      <c r="S1168" t="s">
        <v>20</v>
      </c>
    </row>
    <row r="1169" spans="1:19" x14ac:dyDescent="0.45">
      <c r="A1169" t="s">
        <v>94</v>
      </c>
      <c r="B1169" t="s">
        <v>3698</v>
      </c>
      <c r="C1169" t="s">
        <v>1566</v>
      </c>
      <c r="D1169" t="s">
        <v>1567</v>
      </c>
      <c r="E1169" t="s">
        <v>38</v>
      </c>
      <c r="F1169" t="s">
        <v>3568</v>
      </c>
      <c r="G1169" t="s">
        <v>23</v>
      </c>
      <c r="H1169" t="s">
        <v>3699</v>
      </c>
      <c r="I1169" t="s">
        <v>3700</v>
      </c>
      <c r="J1169" t="s">
        <v>3701</v>
      </c>
      <c r="K1169" t="s">
        <v>3702</v>
      </c>
      <c r="L1169" t="s">
        <v>118</v>
      </c>
      <c r="M1169" t="s">
        <v>538</v>
      </c>
      <c r="N1169" t="s">
        <v>1224</v>
      </c>
      <c r="O1169" t="s">
        <v>2728</v>
      </c>
      <c r="P1169" t="s">
        <v>20</v>
      </c>
      <c r="Q1169" t="s">
        <v>20</v>
      </c>
      <c r="R1169" t="s">
        <v>3703</v>
      </c>
      <c r="S1169" t="s">
        <v>20</v>
      </c>
    </row>
    <row r="1170" spans="1:19" x14ac:dyDescent="0.45">
      <c r="A1170" t="s">
        <v>335</v>
      </c>
      <c r="B1170" t="s">
        <v>8110</v>
      </c>
      <c r="C1170" t="s">
        <v>1050</v>
      </c>
      <c r="D1170" t="s">
        <v>1051</v>
      </c>
      <c r="E1170" t="s">
        <v>38</v>
      </c>
      <c r="F1170" t="s">
        <v>2773</v>
      </c>
      <c r="G1170" t="s">
        <v>23</v>
      </c>
      <c r="H1170" t="s">
        <v>6470</v>
      </c>
      <c r="I1170" t="s">
        <v>8111</v>
      </c>
      <c r="J1170" t="s">
        <v>8112</v>
      </c>
      <c r="K1170" t="s">
        <v>8113</v>
      </c>
      <c r="L1170" t="s">
        <v>2769</v>
      </c>
      <c r="M1170" t="s">
        <v>2760</v>
      </c>
      <c r="N1170" t="s">
        <v>1224</v>
      </c>
      <c r="O1170" t="s">
        <v>2728</v>
      </c>
      <c r="P1170" t="s">
        <v>635</v>
      </c>
      <c r="Q1170" t="s">
        <v>20</v>
      </c>
      <c r="R1170" t="s">
        <v>10628</v>
      </c>
      <c r="S1170" t="s">
        <v>10302</v>
      </c>
    </row>
    <row r="1171" spans="1:19" x14ac:dyDescent="0.45">
      <c r="A1171" t="s">
        <v>81</v>
      </c>
      <c r="B1171" t="s">
        <v>13051</v>
      </c>
      <c r="C1171" t="s">
        <v>1674</v>
      </c>
      <c r="D1171" t="s">
        <v>1675</v>
      </c>
      <c r="E1171" t="s">
        <v>57</v>
      </c>
      <c r="F1171" t="s">
        <v>4263</v>
      </c>
      <c r="G1171" t="s">
        <v>23</v>
      </c>
      <c r="H1171" t="s">
        <v>2220</v>
      </c>
      <c r="I1171" t="s">
        <v>2221</v>
      </c>
      <c r="J1171" t="s">
        <v>2222</v>
      </c>
      <c r="K1171" t="s">
        <v>2223</v>
      </c>
      <c r="L1171" t="s">
        <v>3418</v>
      </c>
      <c r="M1171" t="s">
        <v>32</v>
      </c>
      <c r="N1171" t="s">
        <v>146</v>
      </c>
      <c r="O1171" t="s">
        <v>2728</v>
      </c>
      <c r="P1171" t="s">
        <v>20</v>
      </c>
      <c r="Q1171" t="s">
        <v>20</v>
      </c>
      <c r="R1171" t="s">
        <v>2224</v>
      </c>
      <c r="S1171" t="s">
        <v>20</v>
      </c>
    </row>
    <row r="1172" spans="1:19" x14ac:dyDescent="0.45">
      <c r="A1172" t="s">
        <v>362</v>
      </c>
      <c r="B1172" t="s">
        <v>3747</v>
      </c>
      <c r="C1172" t="s">
        <v>3748</v>
      </c>
      <c r="D1172" t="s">
        <v>3749</v>
      </c>
      <c r="E1172" t="s">
        <v>38</v>
      </c>
      <c r="F1172" t="s">
        <v>2992</v>
      </c>
      <c r="G1172" t="s">
        <v>23</v>
      </c>
      <c r="H1172" t="s">
        <v>3750</v>
      </c>
      <c r="I1172" t="s">
        <v>3751</v>
      </c>
      <c r="J1172" t="s">
        <v>3752</v>
      </c>
      <c r="K1172" t="s">
        <v>3753</v>
      </c>
      <c r="L1172" t="s">
        <v>722</v>
      </c>
      <c r="M1172" t="s">
        <v>2760</v>
      </c>
      <c r="N1172" t="s">
        <v>146</v>
      </c>
      <c r="O1172" t="s">
        <v>2728</v>
      </c>
      <c r="P1172" t="s">
        <v>20</v>
      </c>
      <c r="Q1172" t="s">
        <v>20</v>
      </c>
      <c r="R1172" t="s">
        <v>12310</v>
      </c>
      <c r="S1172" t="s">
        <v>11853</v>
      </c>
    </row>
    <row r="1173" spans="1:19" x14ac:dyDescent="0.45">
      <c r="A1173" t="s">
        <v>104</v>
      </c>
      <c r="B1173" t="s">
        <v>20</v>
      </c>
      <c r="C1173" t="s">
        <v>3999</v>
      </c>
      <c r="D1173" t="s">
        <v>4000</v>
      </c>
      <c r="E1173" t="s">
        <v>38</v>
      </c>
      <c r="F1173" t="s">
        <v>3062</v>
      </c>
      <c r="G1173" t="s">
        <v>23</v>
      </c>
      <c r="H1173" t="s">
        <v>8993</v>
      </c>
      <c r="I1173" t="s">
        <v>9180</v>
      </c>
      <c r="J1173" t="s">
        <v>9181</v>
      </c>
      <c r="K1173" t="s">
        <v>9182</v>
      </c>
      <c r="L1173" t="s">
        <v>3998</v>
      </c>
      <c r="M1173" t="s">
        <v>2760</v>
      </c>
      <c r="N1173" t="s">
        <v>33</v>
      </c>
      <c r="O1173" t="s">
        <v>2728</v>
      </c>
      <c r="P1173" t="s">
        <v>20</v>
      </c>
      <c r="Q1173" t="s">
        <v>20</v>
      </c>
      <c r="R1173" t="s">
        <v>12290</v>
      </c>
      <c r="S1173" t="s">
        <v>12271</v>
      </c>
    </row>
    <row r="1174" spans="1:19" x14ac:dyDescent="0.45">
      <c r="A1174" t="s">
        <v>413</v>
      </c>
      <c r="B1174" t="s">
        <v>9911</v>
      </c>
      <c r="C1174" t="s">
        <v>896</v>
      </c>
      <c r="D1174" t="s">
        <v>897</v>
      </c>
      <c r="E1174" t="s">
        <v>38</v>
      </c>
      <c r="F1174" t="s">
        <v>2787</v>
      </c>
      <c r="G1174" t="s">
        <v>23</v>
      </c>
      <c r="H1174" t="s">
        <v>9010</v>
      </c>
      <c r="I1174" t="s">
        <v>9243</v>
      </c>
      <c r="J1174" t="s">
        <v>9244</v>
      </c>
      <c r="K1174" t="s">
        <v>9245</v>
      </c>
      <c r="L1174" t="s">
        <v>2769</v>
      </c>
      <c r="M1174" t="s">
        <v>2100</v>
      </c>
      <c r="N1174" t="s">
        <v>2727</v>
      </c>
      <c r="O1174" t="s">
        <v>2728</v>
      </c>
      <c r="P1174" t="s">
        <v>20</v>
      </c>
      <c r="Q1174" t="s">
        <v>20</v>
      </c>
      <c r="R1174" t="s">
        <v>9246</v>
      </c>
      <c r="S1174" t="s">
        <v>20</v>
      </c>
    </row>
    <row r="1175" spans="1:19" x14ac:dyDescent="0.45">
      <c r="A1175" t="s">
        <v>6989</v>
      </c>
      <c r="B1175" t="s">
        <v>2991</v>
      </c>
      <c r="C1175" t="s">
        <v>1366</v>
      </c>
      <c r="D1175" t="s">
        <v>1367</v>
      </c>
      <c r="E1175" t="s">
        <v>38</v>
      </c>
      <c r="F1175" t="s">
        <v>2992</v>
      </c>
      <c r="G1175" t="s">
        <v>23</v>
      </c>
      <c r="H1175" t="s">
        <v>2993</v>
      </c>
      <c r="I1175" t="s">
        <v>2994</v>
      </c>
      <c r="J1175" t="s">
        <v>2995</v>
      </c>
      <c r="K1175" t="s">
        <v>2996</v>
      </c>
      <c r="L1175" t="s">
        <v>118</v>
      </c>
      <c r="M1175" t="s">
        <v>2760</v>
      </c>
      <c r="N1175" t="s">
        <v>146</v>
      </c>
      <c r="O1175" t="s">
        <v>2728</v>
      </c>
      <c r="P1175" t="s">
        <v>20</v>
      </c>
      <c r="Q1175" t="s">
        <v>20</v>
      </c>
      <c r="R1175" t="s">
        <v>9685</v>
      </c>
      <c r="S1175" t="s">
        <v>9686</v>
      </c>
    </row>
    <row r="1176" spans="1:19" x14ac:dyDescent="0.45">
      <c r="A1176" t="s">
        <v>46</v>
      </c>
      <c r="B1176" t="s">
        <v>3408</v>
      </c>
      <c r="C1176" t="s">
        <v>3409</v>
      </c>
      <c r="D1176" t="s">
        <v>3410</v>
      </c>
      <c r="E1176" t="s">
        <v>21</v>
      </c>
      <c r="F1176" t="s">
        <v>3062</v>
      </c>
      <c r="G1176" t="s">
        <v>23</v>
      </c>
      <c r="H1176" t="s">
        <v>3411</v>
      </c>
      <c r="I1176" t="s">
        <v>3412</v>
      </c>
      <c r="J1176" t="s">
        <v>3413</v>
      </c>
      <c r="K1176" t="s">
        <v>3414</v>
      </c>
      <c r="L1176" t="s">
        <v>43</v>
      </c>
      <c r="M1176" t="s">
        <v>1223</v>
      </c>
      <c r="N1176" t="s">
        <v>1224</v>
      </c>
      <c r="O1176" t="s">
        <v>2728</v>
      </c>
      <c r="P1176" t="s">
        <v>20</v>
      </c>
      <c r="Q1176" t="s">
        <v>20</v>
      </c>
      <c r="R1176" t="s">
        <v>3415</v>
      </c>
      <c r="S1176" t="s">
        <v>20</v>
      </c>
    </row>
    <row r="1177" spans="1:19" x14ac:dyDescent="0.45">
      <c r="A1177" t="s">
        <v>85</v>
      </c>
      <c r="B1177" t="s">
        <v>8114</v>
      </c>
      <c r="C1177" t="s">
        <v>1807</v>
      </c>
      <c r="D1177" t="s">
        <v>1808</v>
      </c>
      <c r="E1177" t="s">
        <v>38</v>
      </c>
      <c r="F1177" t="s">
        <v>2785</v>
      </c>
      <c r="G1177" t="s">
        <v>23</v>
      </c>
      <c r="H1177" t="s">
        <v>8115</v>
      </c>
      <c r="I1177" t="s">
        <v>8116</v>
      </c>
      <c r="J1177" t="s">
        <v>8117</v>
      </c>
      <c r="K1177" t="s">
        <v>8118</v>
      </c>
      <c r="L1177" t="s">
        <v>9126</v>
      </c>
      <c r="M1177" t="s">
        <v>2760</v>
      </c>
      <c r="N1177" t="s">
        <v>33</v>
      </c>
      <c r="O1177" t="s">
        <v>2728</v>
      </c>
      <c r="P1177" t="s">
        <v>20</v>
      </c>
      <c r="Q1177" t="s">
        <v>20</v>
      </c>
      <c r="R1177" t="s">
        <v>12916</v>
      </c>
      <c r="S1177" t="s">
        <v>12917</v>
      </c>
    </row>
    <row r="1178" spans="1:19" x14ac:dyDescent="0.45">
      <c r="A1178" t="s">
        <v>2432</v>
      </c>
      <c r="B1178" t="s">
        <v>13959</v>
      </c>
      <c r="C1178" t="s">
        <v>13960</v>
      </c>
      <c r="D1178" t="s">
        <v>4502</v>
      </c>
      <c r="E1178" t="s">
        <v>21</v>
      </c>
      <c r="F1178" t="s">
        <v>2722</v>
      </c>
      <c r="G1178" t="s">
        <v>23</v>
      </c>
      <c r="H1178" t="s">
        <v>13961</v>
      </c>
      <c r="I1178" t="s">
        <v>13962</v>
      </c>
      <c r="J1178" t="s">
        <v>13963</v>
      </c>
      <c r="K1178" t="s">
        <v>13964</v>
      </c>
      <c r="L1178" t="s">
        <v>9126</v>
      </c>
      <c r="M1178" t="s">
        <v>3145</v>
      </c>
      <c r="N1178" t="s">
        <v>1224</v>
      </c>
      <c r="O1178" t="s">
        <v>2728</v>
      </c>
      <c r="P1178" t="s">
        <v>20</v>
      </c>
      <c r="Q1178" t="s">
        <v>20</v>
      </c>
      <c r="R1178" t="s">
        <v>13965</v>
      </c>
      <c r="S1178" t="s">
        <v>20</v>
      </c>
    </row>
    <row r="1179" spans="1:19" x14ac:dyDescent="0.45">
      <c r="A1179" t="s">
        <v>592</v>
      </c>
      <c r="B1179" t="s">
        <v>20</v>
      </c>
      <c r="C1179" t="s">
        <v>1495</v>
      </c>
      <c r="D1179" t="s">
        <v>1496</v>
      </c>
      <c r="E1179" t="s">
        <v>38</v>
      </c>
      <c r="F1179" t="s">
        <v>2795</v>
      </c>
      <c r="G1179" t="s">
        <v>23</v>
      </c>
      <c r="H1179" t="s">
        <v>3533</v>
      </c>
      <c r="I1179" t="s">
        <v>3534</v>
      </c>
      <c r="J1179" t="s">
        <v>3535</v>
      </c>
      <c r="K1179" t="s">
        <v>3536</v>
      </c>
      <c r="L1179" t="s">
        <v>131</v>
      </c>
      <c r="M1179" t="s">
        <v>1498</v>
      </c>
      <c r="N1179" t="s">
        <v>45</v>
      </c>
      <c r="O1179" t="s">
        <v>2728</v>
      </c>
      <c r="P1179" t="s">
        <v>20</v>
      </c>
      <c r="Q1179" t="s">
        <v>20</v>
      </c>
      <c r="R1179" t="s">
        <v>3537</v>
      </c>
      <c r="S1179" t="s">
        <v>20</v>
      </c>
    </row>
    <row r="1180" spans="1:19" x14ac:dyDescent="0.45">
      <c r="A1180" t="s">
        <v>6989</v>
      </c>
      <c r="B1180" t="s">
        <v>3554</v>
      </c>
      <c r="C1180" t="s">
        <v>223</v>
      </c>
      <c r="D1180" t="s">
        <v>224</v>
      </c>
      <c r="E1180" t="s">
        <v>38</v>
      </c>
      <c r="F1180" t="s">
        <v>2948</v>
      </c>
      <c r="G1180" t="s">
        <v>23</v>
      </c>
      <c r="H1180" t="s">
        <v>3555</v>
      </c>
      <c r="I1180" t="s">
        <v>3556</v>
      </c>
      <c r="J1180" t="s">
        <v>3557</v>
      </c>
      <c r="K1180" t="s">
        <v>3558</v>
      </c>
      <c r="L1180" t="s">
        <v>722</v>
      </c>
      <c r="M1180" t="s">
        <v>1223</v>
      </c>
      <c r="N1180" t="s">
        <v>2727</v>
      </c>
      <c r="O1180" t="s">
        <v>2728</v>
      </c>
      <c r="P1180" t="s">
        <v>20</v>
      </c>
      <c r="Q1180" t="s">
        <v>20</v>
      </c>
      <c r="R1180" t="s">
        <v>3559</v>
      </c>
      <c r="S1180" t="s">
        <v>20</v>
      </c>
    </row>
    <row r="1181" spans="1:19" x14ac:dyDescent="0.45">
      <c r="A1181" t="s">
        <v>46</v>
      </c>
      <c r="B1181" t="s">
        <v>20</v>
      </c>
      <c r="C1181" t="s">
        <v>47</v>
      </c>
      <c r="D1181" t="s">
        <v>48</v>
      </c>
      <c r="E1181" t="s">
        <v>29</v>
      </c>
      <c r="F1181" t="s">
        <v>3182</v>
      </c>
      <c r="G1181" t="s">
        <v>23</v>
      </c>
      <c r="H1181" t="s">
        <v>49</v>
      </c>
      <c r="I1181" t="s">
        <v>50</v>
      </c>
      <c r="J1181" t="s">
        <v>51</v>
      </c>
      <c r="K1181" t="s">
        <v>52</v>
      </c>
      <c r="L1181" t="s">
        <v>8377</v>
      </c>
      <c r="M1181" t="s">
        <v>538</v>
      </c>
      <c r="N1181" t="s">
        <v>119</v>
      </c>
      <c r="O1181" t="s">
        <v>2728</v>
      </c>
      <c r="P1181" t="s">
        <v>20</v>
      </c>
      <c r="Q1181" t="s">
        <v>20</v>
      </c>
      <c r="R1181" t="s">
        <v>11657</v>
      </c>
      <c r="S1181" t="s">
        <v>11635</v>
      </c>
    </row>
    <row r="1182" spans="1:19" x14ac:dyDescent="0.45">
      <c r="A1182" t="s">
        <v>358</v>
      </c>
      <c r="B1182" t="s">
        <v>20</v>
      </c>
      <c r="C1182" t="s">
        <v>2256</v>
      </c>
      <c r="D1182" t="s">
        <v>2257</v>
      </c>
      <c r="E1182" t="s">
        <v>38</v>
      </c>
      <c r="F1182" t="s">
        <v>14628</v>
      </c>
      <c r="G1182" t="s">
        <v>23</v>
      </c>
      <c r="H1182" t="s">
        <v>10377</v>
      </c>
      <c r="I1182" t="s">
        <v>10378</v>
      </c>
      <c r="J1182" t="s">
        <v>11133</v>
      </c>
      <c r="K1182" t="s">
        <v>11134</v>
      </c>
      <c r="L1182" t="s">
        <v>3998</v>
      </c>
      <c r="M1182" t="s">
        <v>2760</v>
      </c>
      <c r="N1182" t="s">
        <v>146</v>
      </c>
      <c r="O1182" t="s">
        <v>2728</v>
      </c>
      <c r="P1182" t="s">
        <v>20</v>
      </c>
      <c r="Q1182" t="s">
        <v>20</v>
      </c>
      <c r="R1182" t="s">
        <v>11135</v>
      </c>
      <c r="S1182" t="s">
        <v>12903</v>
      </c>
    </row>
    <row r="1183" spans="1:19" x14ac:dyDescent="0.45">
      <c r="A1183" t="s">
        <v>19</v>
      </c>
      <c r="B1183" t="s">
        <v>14629</v>
      </c>
      <c r="C1183" t="s">
        <v>2084</v>
      </c>
      <c r="D1183" t="s">
        <v>2085</v>
      </c>
      <c r="E1183" t="s">
        <v>38</v>
      </c>
      <c r="F1183" t="s">
        <v>14630</v>
      </c>
      <c r="G1183" t="s">
        <v>23</v>
      </c>
      <c r="H1183" t="s">
        <v>13181</v>
      </c>
      <c r="I1183" t="s">
        <v>13182</v>
      </c>
      <c r="J1183" t="s">
        <v>14631</v>
      </c>
      <c r="K1183" t="s">
        <v>14632</v>
      </c>
      <c r="L1183" t="s">
        <v>12390</v>
      </c>
      <c r="M1183" t="s">
        <v>7029</v>
      </c>
      <c r="N1183" t="s">
        <v>146</v>
      </c>
      <c r="O1183" t="s">
        <v>2728</v>
      </c>
      <c r="P1183" t="s">
        <v>20</v>
      </c>
      <c r="Q1183" t="s">
        <v>20</v>
      </c>
      <c r="R1183" t="s">
        <v>14633</v>
      </c>
      <c r="S1183" t="s">
        <v>13183</v>
      </c>
    </row>
    <row r="1184" spans="1:19" x14ac:dyDescent="0.45">
      <c r="A1184" t="s">
        <v>592</v>
      </c>
      <c r="B1184" t="s">
        <v>20</v>
      </c>
      <c r="C1184" t="s">
        <v>2516</v>
      </c>
      <c r="D1184" t="s">
        <v>2517</v>
      </c>
      <c r="E1184" t="s">
        <v>57</v>
      </c>
      <c r="F1184" t="s">
        <v>2795</v>
      </c>
      <c r="G1184" t="s">
        <v>23</v>
      </c>
      <c r="H1184" t="s">
        <v>3549</v>
      </c>
      <c r="I1184" t="s">
        <v>3550</v>
      </c>
      <c r="J1184" t="s">
        <v>3551</v>
      </c>
      <c r="K1184" t="s">
        <v>3552</v>
      </c>
      <c r="L1184" t="s">
        <v>504</v>
      </c>
      <c r="M1184" t="s">
        <v>1498</v>
      </c>
      <c r="N1184" t="s">
        <v>45</v>
      </c>
      <c r="O1184" t="s">
        <v>2728</v>
      </c>
      <c r="P1184" t="s">
        <v>20</v>
      </c>
      <c r="Q1184" t="s">
        <v>20</v>
      </c>
      <c r="R1184" t="s">
        <v>3553</v>
      </c>
      <c r="S1184" t="s">
        <v>20</v>
      </c>
    </row>
    <row r="1185" spans="1:19" x14ac:dyDescent="0.45">
      <c r="A1185" t="s">
        <v>2225</v>
      </c>
      <c r="B1185" t="s">
        <v>10154</v>
      </c>
      <c r="C1185" t="s">
        <v>3390</v>
      </c>
      <c r="D1185" t="s">
        <v>3391</v>
      </c>
      <c r="E1185" t="s">
        <v>21</v>
      </c>
      <c r="F1185" t="s">
        <v>2722</v>
      </c>
      <c r="G1185" t="s">
        <v>23</v>
      </c>
      <c r="H1185" t="s">
        <v>10155</v>
      </c>
      <c r="I1185" t="s">
        <v>10156</v>
      </c>
      <c r="J1185" t="s">
        <v>10157</v>
      </c>
      <c r="K1185" t="s">
        <v>10158</v>
      </c>
      <c r="L1185" t="s">
        <v>9126</v>
      </c>
      <c r="M1185" t="s">
        <v>3145</v>
      </c>
      <c r="N1185" t="s">
        <v>2727</v>
      </c>
      <c r="O1185" t="s">
        <v>2728</v>
      </c>
      <c r="P1185" t="s">
        <v>20</v>
      </c>
      <c r="Q1185" t="s">
        <v>20</v>
      </c>
      <c r="R1185" t="s">
        <v>10159</v>
      </c>
      <c r="S1185" t="s">
        <v>20</v>
      </c>
    </row>
    <row r="1186" spans="1:19" x14ac:dyDescent="0.45">
      <c r="A1186" t="s">
        <v>928</v>
      </c>
      <c r="B1186" t="s">
        <v>20</v>
      </c>
      <c r="C1186" t="s">
        <v>929</v>
      </c>
      <c r="D1186" t="s">
        <v>930</v>
      </c>
      <c r="E1186" t="s">
        <v>29</v>
      </c>
      <c r="F1186" t="s">
        <v>14634</v>
      </c>
      <c r="G1186" t="s">
        <v>23</v>
      </c>
      <c r="H1186" t="s">
        <v>12949</v>
      </c>
      <c r="I1186" t="s">
        <v>12856</v>
      </c>
      <c r="J1186" t="s">
        <v>12950</v>
      </c>
      <c r="K1186" t="s">
        <v>12951</v>
      </c>
      <c r="L1186" t="s">
        <v>3418</v>
      </c>
      <c r="M1186" t="s">
        <v>92</v>
      </c>
      <c r="N1186" t="s">
        <v>62</v>
      </c>
      <c r="O1186" t="s">
        <v>2728</v>
      </c>
      <c r="P1186" t="s">
        <v>20</v>
      </c>
      <c r="Q1186" t="s">
        <v>20</v>
      </c>
      <c r="R1186" t="s">
        <v>12952</v>
      </c>
      <c r="S1186" t="s">
        <v>12319</v>
      </c>
    </row>
    <row r="1187" spans="1:19" x14ac:dyDescent="0.45">
      <c r="A1187" t="s">
        <v>706</v>
      </c>
      <c r="B1187" t="s">
        <v>3573</v>
      </c>
      <c r="C1187" t="s">
        <v>1193</v>
      </c>
      <c r="D1187" t="s">
        <v>1194</v>
      </c>
      <c r="E1187" t="s">
        <v>21</v>
      </c>
      <c r="F1187" t="s">
        <v>2722</v>
      </c>
      <c r="G1187" t="s">
        <v>23</v>
      </c>
      <c r="H1187" t="s">
        <v>3574</v>
      </c>
      <c r="I1187" t="s">
        <v>3575</v>
      </c>
      <c r="J1187" t="s">
        <v>3576</v>
      </c>
      <c r="K1187" t="s">
        <v>3577</v>
      </c>
      <c r="L1187" t="s">
        <v>161</v>
      </c>
      <c r="M1187" t="s">
        <v>1223</v>
      </c>
      <c r="N1187" t="s">
        <v>1224</v>
      </c>
      <c r="O1187" t="s">
        <v>2728</v>
      </c>
      <c r="P1187" t="s">
        <v>118</v>
      </c>
      <c r="Q1187" t="s">
        <v>20</v>
      </c>
      <c r="R1187" t="s">
        <v>3578</v>
      </c>
      <c r="S1187" t="s">
        <v>20</v>
      </c>
    </row>
    <row r="1188" spans="1:19" x14ac:dyDescent="0.45">
      <c r="A1188" t="s">
        <v>1613</v>
      </c>
      <c r="B1188" t="s">
        <v>20</v>
      </c>
      <c r="C1188" t="s">
        <v>8711</v>
      </c>
      <c r="D1188" t="s">
        <v>6351</v>
      </c>
      <c r="E1188" t="s">
        <v>38</v>
      </c>
      <c r="F1188" t="s">
        <v>2785</v>
      </c>
      <c r="G1188" t="s">
        <v>23</v>
      </c>
      <c r="H1188" t="s">
        <v>13906</v>
      </c>
      <c r="I1188" t="s">
        <v>13907</v>
      </c>
      <c r="J1188" t="s">
        <v>13908</v>
      </c>
      <c r="K1188" t="s">
        <v>13909</v>
      </c>
      <c r="L1188" t="s">
        <v>6533</v>
      </c>
      <c r="M1188" t="s">
        <v>1391</v>
      </c>
      <c r="N1188" t="s">
        <v>195</v>
      </c>
      <c r="O1188" t="s">
        <v>2728</v>
      </c>
      <c r="P1188" t="s">
        <v>20</v>
      </c>
      <c r="Q1188" t="s">
        <v>20</v>
      </c>
      <c r="R1188" t="s">
        <v>14284</v>
      </c>
      <c r="S1188" t="s">
        <v>14275</v>
      </c>
    </row>
    <row r="1189" spans="1:19" x14ac:dyDescent="0.45">
      <c r="A1189" t="s">
        <v>35</v>
      </c>
      <c r="B1189" t="s">
        <v>14635</v>
      </c>
      <c r="C1189" t="s">
        <v>2485</v>
      </c>
      <c r="D1189" t="s">
        <v>2486</v>
      </c>
      <c r="E1189" t="s">
        <v>21</v>
      </c>
      <c r="F1189" t="s">
        <v>2940</v>
      </c>
      <c r="G1189" t="s">
        <v>23</v>
      </c>
      <c r="H1189" t="s">
        <v>14636</v>
      </c>
      <c r="I1189" t="s">
        <v>14637</v>
      </c>
      <c r="J1189" t="s">
        <v>14638</v>
      </c>
      <c r="K1189" t="s">
        <v>14639</v>
      </c>
      <c r="L1189" t="s">
        <v>6525</v>
      </c>
      <c r="M1189" t="s">
        <v>3145</v>
      </c>
      <c r="N1189" t="s">
        <v>1224</v>
      </c>
      <c r="O1189" t="s">
        <v>2728</v>
      </c>
      <c r="P1189" t="s">
        <v>20</v>
      </c>
      <c r="Q1189" t="s">
        <v>20</v>
      </c>
      <c r="R1189" t="s">
        <v>14640</v>
      </c>
      <c r="S1189" t="s">
        <v>20</v>
      </c>
    </row>
    <row r="1190" spans="1:19" x14ac:dyDescent="0.45">
      <c r="A1190" t="s">
        <v>563</v>
      </c>
      <c r="B1190" t="s">
        <v>10614</v>
      </c>
      <c r="C1190" t="s">
        <v>2017</v>
      </c>
      <c r="D1190" t="s">
        <v>2018</v>
      </c>
      <c r="E1190" t="s">
        <v>21</v>
      </c>
      <c r="F1190" t="s">
        <v>2722</v>
      </c>
      <c r="G1190" t="s">
        <v>23</v>
      </c>
      <c r="H1190" t="s">
        <v>10615</v>
      </c>
      <c r="I1190" t="s">
        <v>10616</v>
      </c>
      <c r="J1190" t="s">
        <v>10617</v>
      </c>
      <c r="K1190" t="s">
        <v>10618</v>
      </c>
      <c r="L1190" t="s">
        <v>9574</v>
      </c>
      <c r="M1190" t="s">
        <v>3145</v>
      </c>
      <c r="N1190" t="s">
        <v>2727</v>
      </c>
      <c r="O1190" t="s">
        <v>2728</v>
      </c>
      <c r="P1190" t="s">
        <v>6524</v>
      </c>
      <c r="Q1190" t="s">
        <v>20</v>
      </c>
      <c r="R1190" t="s">
        <v>10619</v>
      </c>
      <c r="S1190" t="s">
        <v>20</v>
      </c>
    </row>
    <row r="1191" spans="1:19" x14ac:dyDescent="0.45">
      <c r="A1191" t="s">
        <v>211</v>
      </c>
      <c r="B1191" t="s">
        <v>20</v>
      </c>
      <c r="C1191" t="s">
        <v>292</v>
      </c>
      <c r="D1191" t="s">
        <v>293</v>
      </c>
      <c r="E1191" t="s">
        <v>29</v>
      </c>
      <c r="F1191" t="s">
        <v>2785</v>
      </c>
      <c r="G1191" t="s">
        <v>23</v>
      </c>
      <c r="H1191" t="s">
        <v>11915</v>
      </c>
      <c r="I1191" t="s">
        <v>11916</v>
      </c>
      <c r="J1191" t="s">
        <v>11917</v>
      </c>
      <c r="K1191" t="s">
        <v>11918</v>
      </c>
      <c r="L1191" t="s">
        <v>9683</v>
      </c>
      <c r="M1191" t="s">
        <v>32</v>
      </c>
      <c r="N1191" t="s">
        <v>146</v>
      </c>
      <c r="O1191" t="s">
        <v>2728</v>
      </c>
      <c r="P1191" t="s">
        <v>20</v>
      </c>
      <c r="Q1191" t="s">
        <v>20</v>
      </c>
      <c r="R1191" t="s">
        <v>11919</v>
      </c>
      <c r="S1191" t="s">
        <v>11853</v>
      </c>
    </row>
    <row r="1192" spans="1:19" x14ac:dyDescent="0.45">
      <c r="A1192" t="s">
        <v>211</v>
      </c>
      <c r="B1192" t="s">
        <v>10560</v>
      </c>
      <c r="C1192" t="s">
        <v>550</v>
      </c>
      <c r="D1192" t="s">
        <v>551</v>
      </c>
      <c r="E1192" t="s">
        <v>21</v>
      </c>
      <c r="F1192" t="s">
        <v>2787</v>
      </c>
      <c r="G1192" t="s">
        <v>23</v>
      </c>
      <c r="H1192" t="s">
        <v>10561</v>
      </c>
      <c r="I1192" t="s">
        <v>10490</v>
      </c>
      <c r="J1192" t="s">
        <v>10562</v>
      </c>
      <c r="K1192" t="s">
        <v>10563</v>
      </c>
      <c r="L1192" t="s">
        <v>2769</v>
      </c>
      <c r="M1192" t="s">
        <v>2981</v>
      </c>
      <c r="N1192" t="s">
        <v>2858</v>
      </c>
      <c r="O1192" t="s">
        <v>2728</v>
      </c>
      <c r="P1192" t="s">
        <v>20</v>
      </c>
      <c r="Q1192" t="s">
        <v>20</v>
      </c>
      <c r="R1192" t="s">
        <v>10564</v>
      </c>
      <c r="S1192" t="s">
        <v>20</v>
      </c>
    </row>
    <row r="1193" spans="1:19" x14ac:dyDescent="0.45">
      <c r="A1193" t="s">
        <v>1016</v>
      </c>
      <c r="B1193" t="s">
        <v>3726</v>
      </c>
      <c r="C1193" t="s">
        <v>3441</v>
      </c>
      <c r="D1193" t="s">
        <v>3442</v>
      </c>
      <c r="E1193" t="s">
        <v>38</v>
      </c>
      <c r="F1193" t="s">
        <v>2787</v>
      </c>
      <c r="G1193" t="s">
        <v>23</v>
      </c>
      <c r="H1193" t="s">
        <v>3727</v>
      </c>
      <c r="I1193" t="s">
        <v>3728</v>
      </c>
      <c r="J1193" t="s">
        <v>3729</v>
      </c>
      <c r="K1193" t="s">
        <v>3730</v>
      </c>
      <c r="L1193" t="s">
        <v>722</v>
      </c>
      <c r="M1193" t="s">
        <v>2100</v>
      </c>
      <c r="N1193" t="s">
        <v>2727</v>
      </c>
      <c r="O1193" t="s">
        <v>2728</v>
      </c>
      <c r="P1193" t="s">
        <v>20</v>
      </c>
      <c r="Q1193" t="s">
        <v>20</v>
      </c>
      <c r="R1193" t="s">
        <v>3731</v>
      </c>
      <c r="S1193" t="s">
        <v>20</v>
      </c>
    </row>
    <row r="1194" spans="1:19" x14ac:dyDescent="0.45">
      <c r="A1194" t="s">
        <v>94</v>
      </c>
      <c r="B1194" t="s">
        <v>8398</v>
      </c>
      <c r="C1194" t="s">
        <v>2107</v>
      </c>
      <c r="D1194" t="s">
        <v>2108</v>
      </c>
      <c r="E1194" t="s">
        <v>38</v>
      </c>
      <c r="F1194" t="s">
        <v>2787</v>
      </c>
      <c r="G1194" t="s">
        <v>23</v>
      </c>
      <c r="H1194" t="s">
        <v>2386</v>
      </c>
      <c r="I1194" t="s">
        <v>2387</v>
      </c>
      <c r="J1194" t="s">
        <v>2388</v>
      </c>
      <c r="K1194" t="s">
        <v>2389</v>
      </c>
      <c r="L1194" t="s">
        <v>296</v>
      </c>
      <c r="M1194" t="s">
        <v>2100</v>
      </c>
      <c r="N1194" t="s">
        <v>2727</v>
      </c>
      <c r="O1194" t="s">
        <v>2728</v>
      </c>
      <c r="P1194" t="s">
        <v>20</v>
      </c>
      <c r="Q1194" t="s">
        <v>20</v>
      </c>
      <c r="R1194" t="s">
        <v>2390</v>
      </c>
      <c r="S1194" t="s">
        <v>20</v>
      </c>
    </row>
    <row r="1195" spans="1:19" x14ac:dyDescent="0.45">
      <c r="A1195" t="s">
        <v>114</v>
      </c>
      <c r="B1195" t="s">
        <v>13433</v>
      </c>
      <c r="C1195" t="s">
        <v>7257</v>
      </c>
      <c r="D1195" t="s">
        <v>5822</v>
      </c>
      <c r="E1195" t="s">
        <v>57</v>
      </c>
      <c r="F1195" t="s">
        <v>4263</v>
      </c>
      <c r="G1195" t="s">
        <v>23</v>
      </c>
      <c r="H1195" t="s">
        <v>7258</v>
      </c>
      <c r="I1195" t="s">
        <v>7259</v>
      </c>
      <c r="J1195" t="s">
        <v>7260</v>
      </c>
      <c r="K1195" t="s">
        <v>7261</v>
      </c>
      <c r="L1195" t="s">
        <v>3998</v>
      </c>
      <c r="M1195" t="s">
        <v>2760</v>
      </c>
      <c r="N1195" t="s">
        <v>62</v>
      </c>
      <c r="O1195" t="s">
        <v>2728</v>
      </c>
      <c r="P1195" t="s">
        <v>20</v>
      </c>
      <c r="Q1195" t="s">
        <v>20</v>
      </c>
      <c r="R1195" t="s">
        <v>14285</v>
      </c>
      <c r="S1195" t="s">
        <v>14277</v>
      </c>
    </row>
    <row r="1196" spans="1:19" x14ac:dyDescent="0.45">
      <c r="A1196" t="s">
        <v>94</v>
      </c>
      <c r="B1196" t="s">
        <v>2745</v>
      </c>
      <c r="C1196" t="s">
        <v>2746</v>
      </c>
      <c r="D1196" t="s">
        <v>2747</v>
      </c>
      <c r="E1196" t="s">
        <v>38</v>
      </c>
      <c r="F1196" t="s">
        <v>2748</v>
      </c>
      <c r="G1196" t="s">
        <v>23</v>
      </c>
      <c r="H1196" t="s">
        <v>2749</v>
      </c>
      <c r="I1196" t="s">
        <v>2750</v>
      </c>
      <c r="J1196" t="s">
        <v>2751</v>
      </c>
      <c r="K1196" t="s">
        <v>2752</v>
      </c>
      <c r="L1196" t="s">
        <v>161</v>
      </c>
      <c r="M1196" t="s">
        <v>538</v>
      </c>
      <c r="N1196" t="s">
        <v>1224</v>
      </c>
      <c r="O1196" t="s">
        <v>2728</v>
      </c>
      <c r="P1196" t="s">
        <v>20</v>
      </c>
      <c r="Q1196" t="s">
        <v>20</v>
      </c>
      <c r="R1196" t="s">
        <v>2753</v>
      </c>
      <c r="S1196" t="s">
        <v>20</v>
      </c>
    </row>
    <row r="1197" spans="1:19" x14ac:dyDescent="0.45">
      <c r="A1197" t="s">
        <v>592</v>
      </c>
      <c r="B1197" t="s">
        <v>11933</v>
      </c>
      <c r="C1197" t="s">
        <v>1488</v>
      </c>
      <c r="D1197" t="s">
        <v>1489</v>
      </c>
      <c r="E1197" t="s">
        <v>21</v>
      </c>
      <c r="F1197" t="s">
        <v>2787</v>
      </c>
      <c r="G1197" t="s">
        <v>23</v>
      </c>
      <c r="H1197" t="s">
        <v>11934</v>
      </c>
      <c r="I1197" t="s">
        <v>11935</v>
      </c>
      <c r="J1197" t="s">
        <v>11936</v>
      </c>
      <c r="K1197" t="s">
        <v>11937</v>
      </c>
      <c r="L1197" t="s">
        <v>8377</v>
      </c>
      <c r="M1197" t="s">
        <v>2100</v>
      </c>
      <c r="N1197" t="s">
        <v>3696</v>
      </c>
      <c r="O1197" t="s">
        <v>2728</v>
      </c>
      <c r="P1197" t="s">
        <v>20</v>
      </c>
      <c r="Q1197" t="s">
        <v>20</v>
      </c>
      <c r="R1197" t="s">
        <v>11938</v>
      </c>
      <c r="S1197" t="s">
        <v>2935</v>
      </c>
    </row>
    <row r="1198" spans="1:19" x14ac:dyDescent="0.45">
      <c r="A1198" t="s">
        <v>592</v>
      </c>
      <c r="B1198" t="s">
        <v>11945</v>
      </c>
      <c r="C1198" t="s">
        <v>1488</v>
      </c>
      <c r="D1198" t="s">
        <v>1489</v>
      </c>
      <c r="E1198" t="s">
        <v>21</v>
      </c>
      <c r="F1198" t="s">
        <v>2722</v>
      </c>
      <c r="G1198" t="s">
        <v>23</v>
      </c>
      <c r="H1198" t="s">
        <v>11946</v>
      </c>
      <c r="I1198" t="s">
        <v>11947</v>
      </c>
      <c r="J1198" t="s">
        <v>11948</v>
      </c>
      <c r="K1198" t="s">
        <v>11949</v>
      </c>
      <c r="L1198" t="s">
        <v>9683</v>
      </c>
      <c r="M1198" t="s">
        <v>3145</v>
      </c>
      <c r="N1198" t="s">
        <v>2727</v>
      </c>
      <c r="O1198" t="s">
        <v>2728</v>
      </c>
      <c r="P1198" t="s">
        <v>20</v>
      </c>
      <c r="Q1198" t="s">
        <v>20</v>
      </c>
      <c r="R1198" t="s">
        <v>11950</v>
      </c>
      <c r="S1198" t="s">
        <v>20</v>
      </c>
    </row>
    <row r="1199" spans="1:19" x14ac:dyDescent="0.45">
      <c r="A1199" t="s">
        <v>211</v>
      </c>
      <c r="B1199" t="s">
        <v>20</v>
      </c>
      <c r="C1199" t="s">
        <v>1197</v>
      </c>
      <c r="D1199" t="s">
        <v>1198</v>
      </c>
      <c r="E1199" t="s">
        <v>38</v>
      </c>
      <c r="F1199" t="s">
        <v>3062</v>
      </c>
      <c r="G1199" t="s">
        <v>23</v>
      </c>
      <c r="H1199" t="s">
        <v>11774</v>
      </c>
      <c r="I1199" t="s">
        <v>11775</v>
      </c>
      <c r="J1199" t="s">
        <v>11776</v>
      </c>
      <c r="K1199" t="s">
        <v>11777</v>
      </c>
      <c r="L1199" t="s">
        <v>6525</v>
      </c>
      <c r="M1199" t="s">
        <v>102</v>
      </c>
      <c r="N1199" t="s">
        <v>33</v>
      </c>
      <c r="O1199" t="s">
        <v>2728</v>
      </c>
      <c r="P1199" t="s">
        <v>20</v>
      </c>
      <c r="Q1199" t="s">
        <v>20</v>
      </c>
      <c r="R1199" t="s">
        <v>13445</v>
      </c>
      <c r="S1199" t="s">
        <v>13437</v>
      </c>
    </row>
    <row r="1200" spans="1:19" x14ac:dyDescent="0.45">
      <c r="A1200" t="s">
        <v>6989</v>
      </c>
      <c r="B1200" t="s">
        <v>20</v>
      </c>
      <c r="C1200" t="s">
        <v>1747</v>
      </c>
      <c r="D1200" t="s">
        <v>1748</v>
      </c>
      <c r="E1200" t="s">
        <v>38</v>
      </c>
      <c r="F1200" t="s">
        <v>2755</v>
      </c>
      <c r="G1200" t="s">
        <v>23</v>
      </c>
      <c r="H1200" t="s">
        <v>9317</v>
      </c>
      <c r="I1200" t="s">
        <v>9318</v>
      </c>
      <c r="J1200" t="s">
        <v>9319</v>
      </c>
      <c r="K1200" t="s">
        <v>9320</v>
      </c>
      <c r="L1200" t="s">
        <v>7506</v>
      </c>
      <c r="M1200" t="s">
        <v>2760</v>
      </c>
      <c r="N1200" t="s">
        <v>146</v>
      </c>
      <c r="O1200" t="s">
        <v>2728</v>
      </c>
      <c r="P1200" t="s">
        <v>20</v>
      </c>
      <c r="Q1200" t="s">
        <v>20</v>
      </c>
      <c r="R1200" t="s">
        <v>9707</v>
      </c>
      <c r="S1200" t="s">
        <v>9686</v>
      </c>
    </row>
    <row r="1201" spans="1:19" x14ac:dyDescent="0.45">
      <c r="A1201" t="s">
        <v>802</v>
      </c>
      <c r="B1201" t="s">
        <v>14305</v>
      </c>
      <c r="C1201" t="s">
        <v>1741</v>
      </c>
      <c r="D1201" t="s">
        <v>1742</v>
      </c>
      <c r="E1201" t="s">
        <v>29</v>
      </c>
      <c r="F1201" t="s">
        <v>2795</v>
      </c>
      <c r="G1201" t="s">
        <v>23</v>
      </c>
      <c r="H1201" t="s">
        <v>1743</v>
      </c>
      <c r="I1201" t="s">
        <v>1744</v>
      </c>
      <c r="J1201" t="s">
        <v>1745</v>
      </c>
      <c r="K1201" t="s">
        <v>1746</v>
      </c>
      <c r="L1201" t="s">
        <v>43</v>
      </c>
      <c r="M1201" t="s">
        <v>32</v>
      </c>
      <c r="N1201" t="s">
        <v>146</v>
      </c>
      <c r="O1201" t="s">
        <v>2728</v>
      </c>
      <c r="P1201" t="s">
        <v>20</v>
      </c>
      <c r="Q1201" t="s">
        <v>20</v>
      </c>
      <c r="R1201" t="s">
        <v>14306</v>
      </c>
      <c r="S1201" t="s">
        <v>20</v>
      </c>
    </row>
    <row r="1202" spans="1:19" x14ac:dyDescent="0.45">
      <c r="A1202" t="s">
        <v>508</v>
      </c>
      <c r="B1202" t="s">
        <v>9708</v>
      </c>
      <c r="C1202" t="s">
        <v>2468</v>
      </c>
      <c r="D1202" t="s">
        <v>2469</v>
      </c>
      <c r="E1202" t="s">
        <v>21</v>
      </c>
      <c r="F1202" t="s">
        <v>2722</v>
      </c>
      <c r="G1202" t="s">
        <v>23</v>
      </c>
      <c r="H1202" t="s">
        <v>9045</v>
      </c>
      <c r="I1202" t="s">
        <v>9709</v>
      </c>
      <c r="J1202" t="s">
        <v>9710</v>
      </c>
      <c r="K1202" t="s">
        <v>9711</v>
      </c>
      <c r="L1202" t="s">
        <v>9126</v>
      </c>
      <c r="M1202" t="s">
        <v>3145</v>
      </c>
      <c r="N1202" t="s">
        <v>2727</v>
      </c>
      <c r="O1202" t="s">
        <v>2728</v>
      </c>
      <c r="P1202" t="s">
        <v>20</v>
      </c>
      <c r="Q1202" t="s">
        <v>20</v>
      </c>
      <c r="R1202" t="s">
        <v>9712</v>
      </c>
      <c r="S1202" t="s">
        <v>20</v>
      </c>
    </row>
    <row r="1203" spans="1:19" x14ac:dyDescent="0.45">
      <c r="A1203" t="s">
        <v>187</v>
      </c>
      <c r="B1203" t="s">
        <v>20</v>
      </c>
      <c r="C1203" t="s">
        <v>3050</v>
      </c>
      <c r="D1203" t="s">
        <v>3051</v>
      </c>
      <c r="E1203" t="s">
        <v>38</v>
      </c>
      <c r="F1203" t="s">
        <v>2785</v>
      </c>
      <c r="G1203" t="s">
        <v>23</v>
      </c>
      <c r="H1203" t="s">
        <v>10538</v>
      </c>
      <c r="I1203" t="s">
        <v>10539</v>
      </c>
      <c r="J1203" t="s">
        <v>10540</v>
      </c>
      <c r="K1203" t="s">
        <v>10541</v>
      </c>
      <c r="L1203" t="s">
        <v>3418</v>
      </c>
      <c r="M1203" t="s">
        <v>1311</v>
      </c>
      <c r="N1203" t="s">
        <v>195</v>
      </c>
      <c r="O1203" t="s">
        <v>2728</v>
      </c>
      <c r="P1203" t="s">
        <v>20</v>
      </c>
      <c r="Q1203" t="s">
        <v>20</v>
      </c>
      <c r="R1203" t="s">
        <v>11643</v>
      </c>
      <c r="S1203" t="s">
        <v>11631</v>
      </c>
    </row>
    <row r="1204" spans="1:19" x14ac:dyDescent="0.45">
      <c r="A1204" t="s">
        <v>173</v>
      </c>
      <c r="B1204" t="s">
        <v>20</v>
      </c>
      <c r="C1204" t="s">
        <v>1354</v>
      </c>
      <c r="D1204" t="s">
        <v>1355</v>
      </c>
      <c r="E1204" t="s">
        <v>38</v>
      </c>
      <c r="F1204" t="s">
        <v>4086</v>
      </c>
      <c r="G1204" t="s">
        <v>23</v>
      </c>
      <c r="H1204" t="s">
        <v>1356</v>
      </c>
      <c r="I1204" t="s">
        <v>1357</v>
      </c>
      <c r="J1204" t="s">
        <v>1358</v>
      </c>
      <c r="K1204" t="s">
        <v>1359</v>
      </c>
      <c r="L1204" t="s">
        <v>9619</v>
      </c>
      <c r="M1204" t="s">
        <v>2760</v>
      </c>
      <c r="N1204" t="s">
        <v>33</v>
      </c>
      <c r="O1204" t="s">
        <v>2728</v>
      </c>
      <c r="P1204" t="s">
        <v>20</v>
      </c>
      <c r="Q1204" t="s">
        <v>20</v>
      </c>
      <c r="R1204" t="s">
        <v>12047</v>
      </c>
      <c r="S1204" t="s">
        <v>11853</v>
      </c>
    </row>
    <row r="1205" spans="1:19" x14ac:dyDescent="0.45">
      <c r="A1205" t="s">
        <v>54</v>
      </c>
      <c r="B1205" t="s">
        <v>12394</v>
      </c>
      <c r="C1205" t="s">
        <v>162</v>
      </c>
      <c r="D1205" t="s">
        <v>163</v>
      </c>
      <c r="E1205" t="s">
        <v>38</v>
      </c>
      <c r="F1205" t="s">
        <v>2787</v>
      </c>
      <c r="G1205" t="s">
        <v>23</v>
      </c>
      <c r="H1205" t="s">
        <v>7699</v>
      </c>
      <c r="I1205" t="s">
        <v>7700</v>
      </c>
      <c r="J1205" t="s">
        <v>7701</v>
      </c>
      <c r="K1205" t="s">
        <v>7702</v>
      </c>
      <c r="L1205" t="s">
        <v>2330</v>
      </c>
      <c r="M1205" t="s">
        <v>2981</v>
      </c>
      <c r="N1205" t="s">
        <v>1224</v>
      </c>
      <c r="O1205" t="s">
        <v>2728</v>
      </c>
      <c r="P1205" t="s">
        <v>20</v>
      </c>
      <c r="Q1205" t="s">
        <v>20</v>
      </c>
      <c r="R1205" t="s">
        <v>7703</v>
      </c>
      <c r="S1205" t="s">
        <v>20</v>
      </c>
    </row>
    <row r="1206" spans="1:19" x14ac:dyDescent="0.45">
      <c r="A1206" t="s">
        <v>1308</v>
      </c>
      <c r="B1206" t="s">
        <v>20</v>
      </c>
      <c r="C1206" t="s">
        <v>1385</v>
      </c>
      <c r="D1206" t="s">
        <v>1386</v>
      </c>
      <c r="E1206" t="s">
        <v>38</v>
      </c>
      <c r="F1206" t="s">
        <v>2785</v>
      </c>
      <c r="G1206" t="s">
        <v>23</v>
      </c>
      <c r="H1206" t="s">
        <v>10533</v>
      </c>
      <c r="I1206" t="s">
        <v>10534</v>
      </c>
      <c r="J1206" t="s">
        <v>10535</v>
      </c>
      <c r="K1206" t="s">
        <v>10536</v>
      </c>
      <c r="L1206" t="s">
        <v>3418</v>
      </c>
      <c r="M1206" t="s">
        <v>1311</v>
      </c>
      <c r="N1206" t="s">
        <v>195</v>
      </c>
      <c r="O1206" t="s">
        <v>2728</v>
      </c>
      <c r="P1206" t="s">
        <v>20</v>
      </c>
      <c r="Q1206" t="s">
        <v>20</v>
      </c>
      <c r="R1206" t="s">
        <v>11634</v>
      </c>
      <c r="S1206" t="s">
        <v>11635</v>
      </c>
    </row>
    <row r="1207" spans="1:19" x14ac:dyDescent="0.45">
      <c r="A1207" t="s">
        <v>269</v>
      </c>
      <c r="B1207" t="s">
        <v>3425</v>
      </c>
      <c r="C1207" t="s">
        <v>2569</v>
      </c>
      <c r="D1207" t="s">
        <v>2570</v>
      </c>
      <c r="E1207" t="s">
        <v>38</v>
      </c>
      <c r="F1207" t="s">
        <v>2785</v>
      </c>
      <c r="G1207" t="s">
        <v>23</v>
      </c>
      <c r="H1207" t="s">
        <v>3426</v>
      </c>
      <c r="I1207" t="s">
        <v>3427</v>
      </c>
      <c r="J1207" t="s">
        <v>3428</v>
      </c>
      <c r="K1207" t="s">
        <v>3429</v>
      </c>
      <c r="L1207" t="s">
        <v>3998</v>
      </c>
      <c r="M1207" t="s">
        <v>2760</v>
      </c>
      <c r="N1207" t="s">
        <v>146</v>
      </c>
      <c r="O1207" t="s">
        <v>2728</v>
      </c>
      <c r="P1207" t="s">
        <v>20</v>
      </c>
      <c r="Q1207" t="s">
        <v>20</v>
      </c>
      <c r="R1207" t="s">
        <v>13312</v>
      </c>
      <c r="S1207" t="s">
        <v>12903</v>
      </c>
    </row>
    <row r="1208" spans="1:19" x14ac:dyDescent="0.45">
      <c r="A1208" t="s">
        <v>81</v>
      </c>
      <c r="B1208" t="s">
        <v>13280</v>
      </c>
      <c r="C1208" t="s">
        <v>2367</v>
      </c>
      <c r="D1208" t="s">
        <v>2368</v>
      </c>
      <c r="E1208" t="s">
        <v>21</v>
      </c>
      <c r="F1208" t="s">
        <v>2787</v>
      </c>
      <c r="G1208" t="s">
        <v>23</v>
      </c>
      <c r="H1208" t="s">
        <v>13281</v>
      </c>
      <c r="I1208" t="s">
        <v>13282</v>
      </c>
      <c r="J1208" t="s">
        <v>13283</v>
      </c>
      <c r="K1208" t="s">
        <v>13284</v>
      </c>
      <c r="L1208" t="s">
        <v>6524</v>
      </c>
      <c r="M1208" t="s">
        <v>2981</v>
      </c>
      <c r="N1208" t="s">
        <v>2858</v>
      </c>
      <c r="O1208" t="s">
        <v>2728</v>
      </c>
      <c r="P1208" t="s">
        <v>20</v>
      </c>
      <c r="Q1208" t="s">
        <v>20</v>
      </c>
      <c r="R1208" t="s">
        <v>13285</v>
      </c>
      <c r="S1208" t="s">
        <v>20</v>
      </c>
    </row>
    <row r="1209" spans="1:19" x14ac:dyDescent="0.45">
      <c r="A1209" t="s">
        <v>563</v>
      </c>
      <c r="B1209" t="s">
        <v>3502</v>
      </c>
      <c r="C1209" t="s">
        <v>2017</v>
      </c>
      <c r="D1209" t="s">
        <v>2018</v>
      </c>
      <c r="E1209" t="s">
        <v>38</v>
      </c>
      <c r="F1209" t="s">
        <v>2787</v>
      </c>
      <c r="G1209" t="s">
        <v>23</v>
      </c>
      <c r="H1209" t="s">
        <v>3503</v>
      </c>
      <c r="I1209" t="s">
        <v>3504</v>
      </c>
      <c r="J1209" t="s">
        <v>3505</v>
      </c>
      <c r="K1209" t="s">
        <v>3506</v>
      </c>
      <c r="L1209" t="s">
        <v>53</v>
      </c>
      <c r="M1209" t="s">
        <v>2981</v>
      </c>
      <c r="N1209" t="s">
        <v>62</v>
      </c>
      <c r="O1209" t="s">
        <v>2728</v>
      </c>
      <c r="P1209" t="s">
        <v>6524</v>
      </c>
      <c r="Q1209" t="s">
        <v>20</v>
      </c>
      <c r="R1209" t="s">
        <v>3507</v>
      </c>
      <c r="S1209" t="s">
        <v>20</v>
      </c>
    </row>
    <row r="1210" spans="1:19" x14ac:dyDescent="0.45">
      <c r="A1210" t="s">
        <v>46</v>
      </c>
      <c r="B1210" t="s">
        <v>13966</v>
      </c>
      <c r="C1210" t="s">
        <v>1986</v>
      </c>
      <c r="D1210" t="s">
        <v>1987</v>
      </c>
      <c r="E1210" t="s">
        <v>21</v>
      </c>
      <c r="F1210" t="s">
        <v>2722</v>
      </c>
      <c r="G1210" t="s">
        <v>23</v>
      </c>
      <c r="H1210" t="s">
        <v>13967</v>
      </c>
      <c r="I1210" t="s">
        <v>13968</v>
      </c>
      <c r="J1210" t="s">
        <v>13969</v>
      </c>
      <c r="K1210" t="s">
        <v>13970</v>
      </c>
      <c r="L1210" t="s">
        <v>6525</v>
      </c>
      <c r="M1210" t="s">
        <v>3145</v>
      </c>
      <c r="N1210" t="s">
        <v>1224</v>
      </c>
      <c r="O1210" t="s">
        <v>2728</v>
      </c>
      <c r="P1210" t="s">
        <v>20</v>
      </c>
      <c r="Q1210" t="s">
        <v>20</v>
      </c>
      <c r="R1210" t="s">
        <v>13971</v>
      </c>
      <c r="S1210" t="s">
        <v>20</v>
      </c>
    </row>
    <row r="1211" spans="1:19" x14ac:dyDescent="0.45">
      <c r="A1211" t="s">
        <v>6989</v>
      </c>
      <c r="B1211" t="s">
        <v>20</v>
      </c>
      <c r="C1211" t="s">
        <v>1747</v>
      </c>
      <c r="D1211" t="s">
        <v>1748</v>
      </c>
      <c r="E1211" t="s">
        <v>38</v>
      </c>
      <c r="F1211" t="s">
        <v>5396</v>
      </c>
      <c r="G1211" t="s">
        <v>23</v>
      </c>
      <c r="H1211" t="s">
        <v>8105</v>
      </c>
      <c r="I1211" t="s">
        <v>8106</v>
      </c>
      <c r="J1211" t="s">
        <v>8107</v>
      </c>
      <c r="K1211" t="s">
        <v>8108</v>
      </c>
      <c r="L1211" t="s">
        <v>8109</v>
      </c>
      <c r="M1211" t="s">
        <v>2760</v>
      </c>
      <c r="N1211" t="s">
        <v>146</v>
      </c>
      <c r="O1211" t="s">
        <v>2728</v>
      </c>
      <c r="P1211" t="s">
        <v>20</v>
      </c>
      <c r="Q1211" t="s">
        <v>20</v>
      </c>
      <c r="R1211" t="s">
        <v>9706</v>
      </c>
      <c r="S1211" t="s">
        <v>9686</v>
      </c>
    </row>
    <row r="1212" spans="1:19" x14ac:dyDescent="0.45">
      <c r="A1212" t="s">
        <v>921</v>
      </c>
      <c r="B1212" t="s">
        <v>3689</v>
      </c>
      <c r="C1212" t="s">
        <v>3690</v>
      </c>
      <c r="D1212" t="s">
        <v>3691</v>
      </c>
      <c r="E1212" t="s">
        <v>21</v>
      </c>
      <c r="F1212" t="s">
        <v>2722</v>
      </c>
      <c r="G1212" t="s">
        <v>23</v>
      </c>
      <c r="H1212" t="s">
        <v>3692</v>
      </c>
      <c r="I1212" t="s">
        <v>3693</v>
      </c>
      <c r="J1212" t="s">
        <v>3694</v>
      </c>
      <c r="K1212" t="s">
        <v>3695</v>
      </c>
      <c r="L1212" t="s">
        <v>1605</v>
      </c>
      <c r="M1212" t="s">
        <v>3145</v>
      </c>
      <c r="N1212" t="s">
        <v>3696</v>
      </c>
      <c r="O1212" t="s">
        <v>2728</v>
      </c>
      <c r="P1212" t="s">
        <v>20</v>
      </c>
      <c r="Q1212" t="s">
        <v>20</v>
      </c>
      <c r="R1212" t="s">
        <v>3697</v>
      </c>
      <c r="S1212" t="s">
        <v>20</v>
      </c>
    </row>
    <row r="1213" spans="1:19" x14ac:dyDescent="0.45">
      <c r="A1213" t="s">
        <v>104</v>
      </c>
      <c r="B1213" t="s">
        <v>20</v>
      </c>
      <c r="C1213" t="s">
        <v>105</v>
      </c>
      <c r="D1213" t="s">
        <v>106</v>
      </c>
      <c r="E1213" t="s">
        <v>38</v>
      </c>
      <c r="F1213" t="s">
        <v>14287</v>
      </c>
      <c r="G1213" t="s">
        <v>23</v>
      </c>
      <c r="H1213" t="s">
        <v>1420</v>
      </c>
      <c r="I1213" t="s">
        <v>1421</v>
      </c>
      <c r="J1213" t="s">
        <v>1422</v>
      </c>
      <c r="K1213" t="s">
        <v>840</v>
      </c>
      <c r="L1213" t="s">
        <v>6525</v>
      </c>
      <c r="M1213" t="s">
        <v>2953</v>
      </c>
      <c r="N1213" t="s">
        <v>9484</v>
      </c>
      <c r="O1213" t="s">
        <v>2728</v>
      </c>
      <c r="P1213" t="s">
        <v>20</v>
      </c>
      <c r="Q1213" t="s">
        <v>20</v>
      </c>
      <c r="R1213" t="s">
        <v>14288</v>
      </c>
      <c r="S1213" t="s">
        <v>20</v>
      </c>
    </row>
    <row r="1214" spans="1:19" x14ac:dyDescent="0.45">
      <c r="A1214" t="s">
        <v>1308</v>
      </c>
      <c r="B1214" t="s">
        <v>20</v>
      </c>
      <c r="C1214" t="s">
        <v>2101</v>
      </c>
      <c r="D1214" t="s">
        <v>2102</v>
      </c>
      <c r="E1214" t="s">
        <v>38</v>
      </c>
      <c r="F1214" t="s">
        <v>2785</v>
      </c>
      <c r="G1214" t="s">
        <v>23</v>
      </c>
      <c r="H1214" t="s">
        <v>13910</v>
      </c>
      <c r="I1214" t="s">
        <v>13911</v>
      </c>
      <c r="J1214" t="s">
        <v>13912</v>
      </c>
      <c r="K1214" t="s">
        <v>13913</v>
      </c>
      <c r="L1214" t="s">
        <v>3418</v>
      </c>
      <c r="M1214" t="s">
        <v>2760</v>
      </c>
      <c r="N1214" t="s">
        <v>33</v>
      </c>
      <c r="O1214" t="s">
        <v>2728</v>
      </c>
      <c r="P1214" t="s">
        <v>20</v>
      </c>
      <c r="Q1214" t="s">
        <v>20</v>
      </c>
      <c r="R1214" t="s">
        <v>14289</v>
      </c>
      <c r="S1214" t="s">
        <v>14275</v>
      </c>
    </row>
    <row r="1215" spans="1:19" x14ac:dyDescent="0.45">
      <c r="A1215" t="s">
        <v>54</v>
      </c>
      <c r="B1215" t="s">
        <v>14163</v>
      </c>
      <c r="C1215" t="s">
        <v>162</v>
      </c>
      <c r="D1215" t="s">
        <v>163</v>
      </c>
      <c r="E1215" t="s">
        <v>38</v>
      </c>
      <c r="F1215" t="s">
        <v>13361</v>
      </c>
      <c r="G1215" t="s">
        <v>23</v>
      </c>
      <c r="H1215" t="s">
        <v>10360</v>
      </c>
      <c r="I1215" t="s">
        <v>10361</v>
      </c>
      <c r="J1215" t="s">
        <v>11053</v>
      </c>
      <c r="K1215" t="s">
        <v>11054</v>
      </c>
      <c r="L1215" t="s">
        <v>6525</v>
      </c>
      <c r="M1215" t="s">
        <v>2760</v>
      </c>
      <c r="N1215" t="s">
        <v>146</v>
      </c>
      <c r="O1215" t="s">
        <v>2728</v>
      </c>
      <c r="P1215" t="s">
        <v>20</v>
      </c>
      <c r="Q1215" t="s">
        <v>20</v>
      </c>
      <c r="R1215" t="s">
        <v>14290</v>
      </c>
      <c r="S1215" t="s">
        <v>14277</v>
      </c>
    </row>
    <row r="1216" spans="1:19" x14ac:dyDescent="0.45">
      <c r="A1216" t="s">
        <v>1735</v>
      </c>
      <c r="B1216" t="s">
        <v>3141</v>
      </c>
      <c r="C1216" t="s">
        <v>1736</v>
      </c>
      <c r="D1216" t="s">
        <v>1737</v>
      </c>
      <c r="E1216" t="s">
        <v>38</v>
      </c>
      <c r="F1216" t="s">
        <v>3954</v>
      </c>
      <c r="G1216" t="s">
        <v>23</v>
      </c>
      <c r="H1216" t="s">
        <v>1738</v>
      </c>
      <c r="I1216" t="s">
        <v>1739</v>
      </c>
      <c r="J1216" t="s">
        <v>1740</v>
      </c>
      <c r="K1216" t="s">
        <v>962</v>
      </c>
      <c r="L1216" t="s">
        <v>3418</v>
      </c>
      <c r="M1216" t="s">
        <v>2760</v>
      </c>
      <c r="N1216" t="s">
        <v>9705</v>
      </c>
      <c r="O1216" t="s">
        <v>2728</v>
      </c>
      <c r="P1216" t="s">
        <v>20</v>
      </c>
      <c r="Q1216" t="s">
        <v>20</v>
      </c>
      <c r="R1216" t="s">
        <v>14641</v>
      </c>
      <c r="S1216" t="s">
        <v>14281</v>
      </c>
    </row>
    <row r="1217" spans="1:19" x14ac:dyDescent="0.45">
      <c r="A1217" t="s">
        <v>2861</v>
      </c>
      <c r="B1217" t="s">
        <v>9428</v>
      </c>
      <c r="C1217" t="s">
        <v>9429</v>
      </c>
      <c r="D1217" t="s">
        <v>5996</v>
      </c>
      <c r="E1217" t="s">
        <v>21</v>
      </c>
      <c r="F1217" t="s">
        <v>2722</v>
      </c>
      <c r="G1217" t="s">
        <v>23</v>
      </c>
      <c r="H1217" t="s">
        <v>9430</v>
      </c>
      <c r="I1217" t="s">
        <v>9180</v>
      </c>
      <c r="J1217" t="s">
        <v>9431</v>
      </c>
      <c r="K1217" t="s">
        <v>9432</v>
      </c>
      <c r="L1217" t="s">
        <v>6513</v>
      </c>
      <c r="M1217" t="s">
        <v>2760</v>
      </c>
      <c r="N1217" t="s">
        <v>137</v>
      </c>
      <c r="O1217" t="s">
        <v>3767</v>
      </c>
      <c r="P1217" t="s">
        <v>6513</v>
      </c>
      <c r="Q1217" t="s">
        <v>20</v>
      </c>
      <c r="R1217" t="s">
        <v>20</v>
      </c>
      <c r="S1217" t="s">
        <v>20</v>
      </c>
    </row>
    <row r="1218" spans="1:19" x14ac:dyDescent="0.45">
      <c r="A1218" t="s">
        <v>8742</v>
      </c>
      <c r="B1218" t="s">
        <v>14171</v>
      </c>
      <c r="C1218" t="s">
        <v>8744</v>
      </c>
      <c r="D1218" t="s">
        <v>5550</v>
      </c>
      <c r="E1218" t="s">
        <v>21</v>
      </c>
      <c r="F1218" t="s">
        <v>2722</v>
      </c>
      <c r="G1218" t="s">
        <v>23</v>
      </c>
      <c r="H1218" t="s">
        <v>14172</v>
      </c>
      <c r="I1218" t="s">
        <v>14173</v>
      </c>
      <c r="J1218" t="s">
        <v>14174</v>
      </c>
      <c r="K1218" t="s">
        <v>14175</v>
      </c>
      <c r="L1218" t="s">
        <v>11782</v>
      </c>
      <c r="M1218" t="s">
        <v>1223</v>
      </c>
      <c r="N1218" t="s">
        <v>25</v>
      </c>
      <c r="O1218" t="s">
        <v>3767</v>
      </c>
      <c r="P1218" t="s">
        <v>11782</v>
      </c>
      <c r="Q1218" t="s">
        <v>20</v>
      </c>
      <c r="R1218" t="s">
        <v>20</v>
      </c>
      <c r="S1218" t="s">
        <v>20</v>
      </c>
    </row>
    <row r="1219" spans="1:19" x14ac:dyDescent="0.45">
      <c r="A1219" t="s">
        <v>5243</v>
      </c>
      <c r="B1219" t="s">
        <v>14642</v>
      </c>
      <c r="C1219" t="s">
        <v>5245</v>
      </c>
      <c r="D1219" t="s">
        <v>5246</v>
      </c>
      <c r="E1219" t="s">
        <v>21</v>
      </c>
      <c r="F1219" t="s">
        <v>2787</v>
      </c>
      <c r="G1219" t="s">
        <v>23</v>
      </c>
      <c r="H1219" t="s">
        <v>14643</v>
      </c>
      <c r="I1219" t="s">
        <v>14399</v>
      </c>
      <c r="J1219" t="s">
        <v>14644</v>
      </c>
      <c r="K1219" t="s">
        <v>14645</v>
      </c>
      <c r="L1219" t="s">
        <v>6525</v>
      </c>
      <c r="M1219" t="s">
        <v>2760</v>
      </c>
      <c r="N1219" t="s">
        <v>1224</v>
      </c>
      <c r="O1219" t="s">
        <v>3767</v>
      </c>
      <c r="P1219" t="s">
        <v>6525</v>
      </c>
      <c r="Q1219" t="s">
        <v>20</v>
      </c>
      <c r="R1219" t="s">
        <v>20</v>
      </c>
      <c r="S1219" t="s">
        <v>20</v>
      </c>
    </row>
    <row r="1220" spans="1:19" x14ac:dyDescent="0.45">
      <c r="A1220" t="s">
        <v>12382</v>
      </c>
      <c r="B1220" t="s">
        <v>8475</v>
      </c>
      <c r="C1220" t="s">
        <v>494</v>
      </c>
      <c r="D1220" t="s">
        <v>495</v>
      </c>
      <c r="E1220" t="s">
        <v>74</v>
      </c>
      <c r="F1220" t="s">
        <v>2722</v>
      </c>
      <c r="G1220" t="s">
        <v>23</v>
      </c>
      <c r="H1220" t="s">
        <v>8476</v>
      </c>
      <c r="I1220" t="s">
        <v>8477</v>
      </c>
      <c r="J1220" t="s">
        <v>8478</v>
      </c>
      <c r="K1220" t="s">
        <v>8479</v>
      </c>
      <c r="L1220" t="s">
        <v>902</v>
      </c>
      <c r="M1220" t="s">
        <v>2760</v>
      </c>
      <c r="N1220" t="s">
        <v>678</v>
      </c>
      <c r="O1220" t="s">
        <v>3767</v>
      </c>
      <c r="P1220" t="s">
        <v>902</v>
      </c>
      <c r="Q1220" t="s">
        <v>20</v>
      </c>
      <c r="R1220" t="s">
        <v>20</v>
      </c>
      <c r="S1220" t="s">
        <v>20</v>
      </c>
    </row>
    <row r="1221" spans="1:19" x14ac:dyDescent="0.45">
      <c r="A1221" t="s">
        <v>592</v>
      </c>
      <c r="B1221" t="s">
        <v>9912</v>
      </c>
      <c r="C1221" t="s">
        <v>2665</v>
      </c>
      <c r="D1221" t="s">
        <v>2666</v>
      </c>
      <c r="E1221" t="s">
        <v>117</v>
      </c>
      <c r="F1221" t="s">
        <v>2722</v>
      </c>
      <c r="G1221" t="s">
        <v>23</v>
      </c>
      <c r="H1221" t="s">
        <v>9534</v>
      </c>
      <c r="I1221" t="s">
        <v>9655</v>
      </c>
      <c r="J1221" t="s">
        <v>9656</v>
      </c>
      <c r="K1221" t="s">
        <v>9657</v>
      </c>
      <c r="L1221" t="s">
        <v>6522</v>
      </c>
      <c r="M1221" t="s">
        <v>2760</v>
      </c>
      <c r="N1221" t="s">
        <v>45</v>
      </c>
      <c r="O1221" t="s">
        <v>3767</v>
      </c>
      <c r="P1221" t="s">
        <v>6522</v>
      </c>
      <c r="Q1221" t="s">
        <v>20</v>
      </c>
      <c r="R1221" t="s">
        <v>20</v>
      </c>
      <c r="S1221" t="s">
        <v>20</v>
      </c>
    </row>
    <row r="1222" spans="1:19" x14ac:dyDescent="0.45">
      <c r="A1222" t="s">
        <v>607</v>
      </c>
      <c r="B1222" t="s">
        <v>8880</v>
      </c>
      <c r="C1222" t="s">
        <v>2720</v>
      </c>
      <c r="D1222" t="s">
        <v>2721</v>
      </c>
      <c r="E1222" t="s">
        <v>38</v>
      </c>
      <c r="F1222" t="s">
        <v>2722</v>
      </c>
      <c r="G1222" t="s">
        <v>23</v>
      </c>
      <c r="H1222" t="s">
        <v>8881</v>
      </c>
      <c r="I1222" t="s">
        <v>8882</v>
      </c>
      <c r="J1222" t="s">
        <v>8883</v>
      </c>
      <c r="K1222" t="s">
        <v>8884</v>
      </c>
      <c r="L1222" t="s">
        <v>3998</v>
      </c>
      <c r="M1222" t="s">
        <v>3145</v>
      </c>
      <c r="N1222" t="s">
        <v>2727</v>
      </c>
      <c r="O1222" t="s">
        <v>3767</v>
      </c>
      <c r="P1222" t="s">
        <v>902</v>
      </c>
      <c r="Q1222" t="s">
        <v>20</v>
      </c>
      <c r="R1222" t="s">
        <v>20</v>
      </c>
      <c r="S1222" t="s">
        <v>20</v>
      </c>
    </row>
    <row r="1223" spans="1:19" x14ac:dyDescent="0.45">
      <c r="A1223" t="s">
        <v>6764</v>
      </c>
      <c r="B1223" t="s">
        <v>14646</v>
      </c>
      <c r="C1223" t="s">
        <v>9660</v>
      </c>
      <c r="D1223" t="s">
        <v>6020</v>
      </c>
      <c r="E1223" t="s">
        <v>38</v>
      </c>
      <c r="F1223" t="s">
        <v>2787</v>
      </c>
      <c r="G1223" t="s">
        <v>23</v>
      </c>
      <c r="H1223" t="s">
        <v>9032</v>
      </c>
      <c r="I1223" t="s">
        <v>9661</v>
      </c>
      <c r="J1223" t="s">
        <v>9662</v>
      </c>
      <c r="K1223" t="s">
        <v>9663</v>
      </c>
      <c r="L1223" t="s">
        <v>6523</v>
      </c>
      <c r="M1223" t="s">
        <v>2100</v>
      </c>
      <c r="N1223" t="s">
        <v>678</v>
      </c>
      <c r="O1223" t="s">
        <v>3767</v>
      </c>
      <c r="P1223" t="s">
        <v>6522</v>
      </c>
      <c r="Q1223" t="s">
        <v>20</v>
      </c>
      <c r="R1223" t="s">
        <v>20</v>
      </c>
      <c r="S1223" t="s">
        <v>20</v>
      </c>
    </row>
    <row r="1224" spans="1:19" x14ac:dyDescent="0.45">
      <c r="A1224" t="s">
        <v>6989</v>
      </c>
      <c r="B1224" t="s">
        <v>10668</v>
      </c>
      <c r="C1224" t="s">
        <v>2064</v>
      </c>
      <c r="D1224" t="s">
        <v>2065</v>
      </c>
      <c r="E1224" t="s">
        <v>38</v>
      </c>
      <c r="F1224" t="s">
        <v>8147</v>
      </c>
      <c r="G1224" t="s">
        <v>23</v>
      </c>
      <c r="H1224" t="s">
        <v>10669</v>
      </c>
      <c r="I1224" t="s">
        <v>10670</v>
      </c>
      <c r="J1224" t="s">
        <v>10671</v>
      </c>
      <c r="K1224" t="s">
        <v>10672</v>
      </c>
      <c r="L1224" t="s">
        <v>2769</v>
      </c>
      <c r="M1224" t="s">
        <v>2760</v>
      </c>
      <c r="N1224" t="s">
        <v>4008</v>
      </c>
      <c r="O1224" t="s">
        <v>3767</v>
      </c>
      <c r="P1224" t="s">
        <v>2769</v>
      </c>
      <c r="Q1224" t="s">
        <v>20</v>
      </c>
      <c r="R1224" t="s">
        <v>20</v>
      </c>
      <c r="S1224" t="s">
        <v>20</v>
      </c>
    </row>
    <row r="1225" spans="1:19" x14ac:dyDescent="0.45">
      <c r="A1225" t="s">
        <v>12382</v>
      </c>
      <c r="B1225" t="s">
        <v>8589</v>
      </c>
      <c r="C1225" t="s">
        <v>3621</v>
      </c>
      <c r="D1225" t="s">
        <v>3622</v>
      </c>
      <c r="E1225" t="s">
        <v>21</v>
      </c>
      <c r="F1225" t="s">
        <v>2722</v>
      </c>
      <c r="G1225" t="s">
        <v>23</v>
      </c>
      <c r="H1225" t="s">
        <v>8590</v>
      </c>
      <c r="I1225" t="s">
        <v>8482</v>
      </c>
      <c r="J1225" t="s">
        <v>8591</v>
      </c>
      <c r="K1225" t="s">
        <v>8592</v>
      </c>
      <c r="L1225" t="s">
        <v>902</v>
      </c>
      <c r="M1225" t="s">
        <v>2760</v>
      </c>
      <c r="N1225" t="s">
        <v>1224</v>
      </c>
      <c r="O1225" t="s">
        <v>3767</v>
      </c>
      <c r="P1225" t="s">
        <v>902</v>
      </c>
      <c r="Q1225" t="s">
        <v>20</v>
      </c>
      <c r="R1225" t="s">
        <v>20</v>
      </c>
      <c r="S1225" t="s">
        <v>20</v>
      </c>
    </row>
    <row r="1226" spans="1:19" x14ac:dyDescent="0.45">
      <c r="A1226" t="s">
        <v>12382</v>
      </c>
      <c r="B1226" t="s">
        <v>3620</v>
      </c>
      <c r="C1226" t="s">
        <v>3621</v>
      </c>
      <c r="D1226" t="s">
        <v>3622</v>
      </c>
      <c r="E1226" t="s">
        <v>29</v>
      </c>
      <c r="F1226" t="s">
        <v>14214</v>
      </c>
      <c r="G1226" t="s">
        <v>23</v>
      </c>
      <c r="H1226" t="s">
        <v>3623</v>
      </c>
      <c r="I1226" t="s">
        <v>3624</v>
      </c>
      <c r="J1226" t="s">
        <v>3625</v>
      </c>
      <c r="K1226" t="s">
        <v>3626</v>
      </c>
      <c r="L1226" t="s">
        <v>209</v>
      </c>
      <c r="M1226" t="s">
        <v>136</v>
      </c>
      <c r="N1226" t="s">
        <v>210</v>
      </c>
      <c r="O1226" t="s">
        <v>3767</v>
      </c>
      <c r="P1226" t="s">
        <v>118</v>
      </c>
      <c r="Q1226" t="s">
        <v>20</v>
      </c>
      <c r="R1226" t="s">
        <v>20</v>
      </c>
      <c r="S1226" t="s">
        <v>20</v>
      </c>
    </row>
    <row r="1227" spans="1:19" x14ac:dyDescent="0.45">
      <c r="A1227" t="s">
        <v>358</v>
      </c>
      <c r="B1227" t="s">
        <v>3871</v>
      </c>
      <c r="C1227" t="s">
        <v>3587</v>
      </c>
      <c r="D1227" t="s">
        <v>3588</v>
      </c>
      <c r="E1227" t="s">
        <v>29</v>
      </c>
      <c r="F1227" t="s">
        <v>3872</v>
      </c>
      <c r="G1227" t="s">
        <v>23</v>
      </c>
      <c r="H1227" t="s">
        <v>3873</v>
      </c>
      <c r="I1227" t="s">
        <v>3874</v>
      </c>
      <c r="J1227" t="s">
        <v>3875</v>
      </c>
      <c r="K1227" t="s">
        <v>3876</v>
      </c>
      <c r="L1227" t="s">
        <v>1605</v>
      </c>
      <c r="M1227" t="s">
        <v>2760</v>
      </c>
      <c r="N1227" t="s">
        <v>119</v>
      </c>
      <c r="O1227" t="s">
        <v>3767</v>
      </c>
      <c r="P1227" t="s">
        <v>635</v>
      </c>
      <c r="Q1227" t="s">
        <v>20</v>
      </c>
      <c r="R1227" t="s">
        <v>20</v>
      </c>
      <c r="S1227" t="s">
        <v>20</v>
      </c>
    </row>
    <row r="1228" spans="1:19" x14ac:dyDescent="0.45">
      <c r="A1228" t="s">
        <v>1219</v>
      </c>
      <c r="B1228" t="s">
        <v>4563</v>
      </c>
      <c r="C1228" t="s">
        <v>4564</v>
      </c>
      <c r="D1228" t="s">
        <v>4565</v>
      </c>
      <c r="E1228" t="s">
        <v>38</v>
      </c>
      <c r="F1228" t="s">
        <v>2722</v>
      </c>
      <c r="G1228" t="s">
        <v>23</v>
      </c>
      <c r="H1228" t="s">
        <v>4566</v>
      </c>
      <c r="I1228" t="s">
        <v>4567</v>
      </c>
      <c r="J1228" t="s">
        <v>4568</v>
      </c>
      <c r="K1228" t="s">
        <v>4569</v>
      </c>
      <c r="L1228" t="s">
        <v>131</v>
      </c>
      <c r="M1228" t="s">
        <v>2760</v>
      </c>
      <c r="N1228" t="s">
        <v>62</v>
      </c>
      <c r="O1228" t="s">
        <v>3767</v>
      </c>
      <c r="P1228" t="s">
        <v>118</v>
      </c>
      <c r="Q1228" t="s">
        <v>20</v>
      </c>
      <c r="R1228" t="s">
        <v>20</v>
      </c>
      <c r="S1228" t="s">
        <v>20</v>
      </c>
    </row>
    <row r="1229" spans="1:19" x14ac:dyDescent="0.45">
      <c r="A1229" t="s">
        <v>2278</v>
      </c>
      <c r="B1229" t="s">
        <v>8798</v>
      </c>
      <c r="C1229" t="s">
        <v>2961</v>
      </c>
      <c r="D1229" t="s">
        <v>2962</v>
      </c>
      <c r="E1229" t="s">
        <v>21</v>
      </c>
      <c r="F1229" t="s">
        <v>2722</v>
      </c>
      <c r="G1229" t="s">
        <v>23</v>
      </c>
      <c r="H1229" t="s">
        <v>8799</v>
      </c>
      <c r="I1229" t="s">
        <v>8800</v>
      </c>
      <c r="J1229" t="s">
        <v>8801</v>
      </c>
      <c r="K1229" t="s">
        <v>8802</v>
      </c>
      <c r="L1229" t="s">
        <v>290</v>
      </c>
      <c r="M1229" t="s">
        <v>4889</v>
      </c>
      <c r="N1229" t="s">
        <v>137</v>
      </c>
      <c r="O1229" t="s">
        <v>3767</v>
      </c>
      <c r="P1229" t="s">
        <v>290</v>
      </c>
      <c r="Q1229" t="s">
        <v>20</v>
      </c>
      <c r="R1229" t="s">
        <v>20</v>
      </c>
      <c r="S1229" t="s">
        <v>138</v>
      </c>
    </row>
    <row r="1230" spans="1:19" x14ac:dyDescent="0.45">
      <c r="A1230" t="s">
        <v>314</v>
      </c>
      <c r="B1230" t="s">
        <v>4980</v>
      </c>
      <c r="C1230" t="s">
        <v>3186</v>
      </c>
      <c r="D1230" t="s">
        <v>3187</v>
      </c>
      <c r="E1230" t="s">
        <v>38</v>
      </c>
      <c r="F1230" t="s">
        <v>4981</v>
      </c>
      <c r="G1230" t="s">
        <v>23</v>
      </c>
      <c r="H1230" t="s">
        <v>4982</v>
      </c>
      <c r="I1230" t="s">
        <v>4983</v>
      </c>
      <c r="J1230" t="s">
        <v>4984</v>
      </c>
      <c r="K1230" t="s">
        <v>4985</v>
      </c>
      <c r="L1230" t="s">
        <v>2413</v>
      </c>
      <c r="M1230" t="s">
        <v>2981</v>
      </c>
      <c r="N1230" t="s">
        <v>137</v>
      </c>
      <c r="O1230" t="s">
        <v>3767</v>
      </c>
      <c r="P1230" t="s">
        <v>2413</v>
      </c>
      <c r="Q1230" t="s">
        <v>20</v>
      </c>
      <c r="R1230" t="s">
        <v>20</v>
      </c>
      <c r="S1230" t="s">
        <v>138</v>
      </c>
    </row>
    <row r="1231" spans="1:19" x14ac:dyDescent="0.45">
      <c r="A1231" t="s">
        <v>133</v>
      </c>
      <c r="B1231" t="s">
        <v>12012</v>
      </c>
      <c r="C1231" t="s">
        <v>12013</v>
      </c>
      <c r="D1231" t="s">
        <v>6179</v>
      </c>
      <c r="E1231" t="s">
        <v>21</v>
      </c>
      <c r="F1231" t="s">
        <v>2722</v>
      </c>
      <c r="G1231" t="s">
        <v>23</v>
      </c>
      <c r="H1231" t="s">
        <v>12014</v>
      </c>
      <c r="I1231" t="s">
        <v>12015</v>
      </c>
      <c r="J1231" t="s">
        <v>12016</v>
      </c>
      <c r="K1231" t="s">
        <v>12017</v>
      </c>
      <c r="L1231" t="s">
        <v>8109</v>
      </c>
      <c r="M1231" t="s">
        <v>2760</v>
      </c>
      <c r="N1231" t="s">
        <v>1224</v>
      </c>
      <c r="O1231" t="s">
        <v>3767</v>
      </c>
      <c r="P1231" t="s">
        <v>8109</v>
      </c>
      <c r="Q1231" t="s">
        <v>20</v>
      </c>
      <c r="R1231" t="s">
        <v>20</v>
      </c>
      <c r="S1231" t="s">
        <v>20</v>
      </c>
    </row>
    <row r="1232" spans="1:19" x14ac:dyDescent="0.45">
      <c r="A1232" t="s">
        <v>2861</v>
      </c>
      <c r="B1232" t="s">
        <v>4470</v>
      </c>
      <c r="C1232" t="s">
        <v>121</v>
      </c>
      <c r="D1232" t="s">
        <v>122</v>
      </c>
      <c r="E1232" t="s">
        <v>38</v>
      </c>
      <c r="F1232" t="s">
        <v>2785</v>
      </c>
      <c r="G1232" t="s">
        <v>23</v>
      </c>
      <c r="H1232" t="s">
        <v>4471</v>
      </c>
      <c r="I1232" t="s">
        <v>4472</v>
      </c>
      <c r="J1232" t="s">
        <v>4473</v>
      </c>
      <c r="K1232" t="s">
        <v>4474</v>
      </c>
      <c r="L1232" t="s">
        <v>168</v>
      </c>
      <c r="M1232" t="s">
        <v>2760</v>
      </c>
      <c r="N1232" t="s">
        <v>113</v>
      </c>
      <c r="O1232" t="s">
        <v>3767</v>
      </c>
      <c r="P1232" t="s">
        <v>168</v>
      </c>
      <c r="Q1232" t="s">
        <v>20</v>
      </c>
      <c r="R1232" t="s">
        <v>20</v>
      </c>
      <c r="S1232" t="s">
        <v>20</v>
      </c>
    </row>
    <row r="1233" spans="1:19" x14ac:dyDescent="0.45">
      <c r="A1233" t="s">
        <v>12382</v>
      </c>
      <c r="B1233" t="s">
        <v>4960</v>
      </c>
      <c r="C1233" t="s">
        <v>4791</v>
      </c>
      <c r="D1233" t="s">
        <v>4792</v>
      </c>
      <c r="E1233" t="s">
        <v>38</v>
      </c>
      <c r="F1233" t="s">
        <v>2722</v>
      </c>
      <c r="G1233" t="s">
        <v>23</v>
      </c>
      <c r="H1233" t="s">
        <v>4961</v>
      </c>
      <c r="I1233" t="s">
        <v>4962</v>
      </c>
      <c r="J1233" t="s">
        <v>4963</v>
      </c>
      <c r="K1233" t="s">
        <v>4964</v>
      </c>
      <c r="L1233" t="s">
        <v>118</v>
      </c>
      <c r="M1233" t="s">
        <v>1223</v>
      </c>
      <c r="N1233" t="s">
        <v>1224</v>
      </c>
      <c r="O1233" t="s">
        <v>3767</v>
      </c>
      <c r="P1233" t="s">
        <v>131</v>
      </c>
      <c r="Q1233" t="s">
        <v>20</v>
      </c>
      <c r="R1233" t="s">
        <v>20</v>
      </c>
      <c r="S1233" t="s">
        <v>20</v>
      </c>
    </row>
    <row r="1234" spans="1:19" x14ac:dyDescent="0.45">
      <c r="A1234" t="s">
        <v>2700</v>
      </c>
      <c r="B1234" t="s">
        <v>12320</v>
      </c>
      <c r="C1234" t="s">
        <v>10248</v>
      </c>
      <c r="D1234" t="s">
        <v>5929</v>
      </c>
      <c r="E1234" t="s">
        <v>21</v>
      </c>
      <c r="F1234" t="s">
        <v>2722</v>
      </c>
      <c r="G1234" t="s">
        <v>23</v>
      </c>
      <c r="H1234" t="s">
        <v>12321</v>
      </c>
      <c r="I1234" t="s">
        <v>12322</v>
      </c>
      <c r="J1234" t="s">
        <v>12323</v>
      </c>
      <c r="K1234" t="s">
        <v>12324</v>
      </c>
      <c r="L1234" t="s">
        <v>8377</v>
      </c>
      <c r="M1234" t="s">
        <v>2760</v>
      </c>
      <c r="N1234" t="s">
        <v>2809</v>
      </c>
      <c r="O1234" t="s">
        <v>3767</v>
      </c>
      <c r="P1234" t="s">
        <v>8377</v>
      </c>
      <c r="Q1234" t="s">
        <v>20</v>
      </c>
      <c r="R1234" t="s">
        <v>20</v>
      </c>
      <c r="S1234" t="s">
        <v>20</v>
      </c>
    </row>
    <row r="1235" spans="1:19" x14ac:dyDescent="0.45">
      <c r="A1235" t="s">
        <v>2553</v>
      </c>
      <c r="B1235" t="s">
        <v>8529</v>
      </c>
      <c r="C1235" t="s">
        <v>8530</v>
      </c>
      <c r="D1235" t="s">
        <v>6373</v>
      </c>
      <c r="E1235" t="s">
        <v>21</v>
      </c>
      <c r="F1235" t="s">
        <v>2722</v>
      </c>
      <c r="G1235" t="s">
        <v>23</v>
      </c>
      <c r="H1235" t="s">
        <v>8531</v>
      </c>
      <c r="I1235" t="s">
        <v>8532</v>
      </c>
      <c r="J1235" t="s">
        <v>8533</v>
      </c>
      <c r="K1235" t="s">
        <v>8534</v>
      </c>
      <c r="L1235" t="s">
        <v>290</v>
      </c>
      <c r="M1235" t="s">
        <v>2760</v>
      </c>
      <c r="N1235" t="s">
        <v>137</v>
      </c>
      <c r="O1235" t="s">
        <v>3767</v>
      </c>
      <c r="P1235" t="s">
        <v>290</v>
      </c>
      <c r="Q1235" t="s">
        <v>20</v>
      </c>
      <c r="R1235" t="s">
        <v>20</v>
      </c>
      <c r="S1235" t="s">
        <v>138</v>
      </c>
    </row>
    <row r="1236" spans="1:19" x14ac:dyDescent="0.45">
      <c r="A1236" t="s">
        <v>261</v>
      </c>
      <c r="B1236" t="s">
        <v>14003</v>
      </c>
      <c r="C1236" t="s">
        <v>2676</v>
      </c>
      <c r="D1236" t="s">
        <v>2677</v>
      </c>
      <c r="E1236" t="s">
        <v>21</v>
      </c>
      <c r="F1236" t="s">
        <v>2904</v>
      </c>
      <c r="G1236" t="s">
        <v>23</v>
      </c>
      <c r="H1236" t="s">
        <v>14004</v>
      </c>
      <c r="I1236" t="s">
        <v>14005</v>
      </c>
      <c r="J1236" t="s">
        <v>14006</v>
      </c>
      <c r="K1236" t="s">
        <v>14007</v>
      </c>
      <c r="L1236" t="s">
        <v>3998</v>
      </c>
      <c r="M1236" t="s">
        <v>2760</v>
      </c>
      <c r="N1236" t="s">
        <v>137</v>
      </c>
      <c r="O1236" t="s">
        <v>3767</v>
      </c>
      <c r="P1236" t="s">
        <v>3998</v>
      </c>
      <c r="Q1236" t="s">
        <v>20</v>
      </c>
      <c r="R1236" t="s">
        <v>20</v>
      </c>
      <c r="S1236" t="s">
        <v>20</v>
      </c>
    </row>
    <row r="1237" spans="1:19" x14ac:dyDescent="0.45">
      <c r="A1237" t="s">
        <v>1975</v>
      </c>
      <c r="B1237" t="s">
        <v>9719</v>
      </c>
      <c r="C1237" t="s">
        <v>9083</v>
      </c>
      <c r="D1237" t="s">
        <v>5715</v>
      </c>
      <c r="E1237" t="s">
        <v>21</v>
      </c>
      <c r="F1237" t="s">
        <v>3062</v>
      </c>
      <c r="G1237" t="s">
        <v>23</v>
      </c>
      <c r="H1237" t="s">
        <v>9720</v>
      </c>
      <c r="I1237" t="s">
        <v>9721</v>
      </c>
      <c r="J1237" t="s">
        <v>9722</v>
      </c>
      <c r="K1237" t="s">
        <v>9723</v>
      </c>
      <c r="L1237" t="s">
        <v>6523</v>
      </c>
      <c r="M1237" t="s">
        <v>2760</v>
      </c>
      <c r="N1237" t="s">
        <v>137</v>
      </c>
      <c r="O1237" t="s">
        <v>3767</v>
      </c>
      <c r="P1237" t="s">
        <v>6523</v>
      </c>
      <c r="Q1237" t="s">
        <v>20</v>
      </c>
      <c r="R1237" t="s">
        <v>20</v>
      </c>
      <c r="S1237" t="s">
        <v>20</v>
      </c>
    </row>
    <row r="1238" spans="1:19" x14ac:dyDescent="0.45">
      <c r="A1238" t="s">
        <v>12382</v>
      </c>
      <c r="B1238" t="s">
        <v>3384</v>
      </c>
      <c r="C1238" t="s">
        <v>215</v>
      </c>
      <c r="D1238" t="s">
        <v>216</v>
      </c>
      <c r="E1238" t="s">
        <v>38</v>
      </c>
      <c r="F1238" t="s">
        <v>14647</v>
      </c>
      <c r="G1238" t="s">
        <v>23</v>
      </c>
      <c r="H1238" t="s">
        <v>3385</v>
      </c>
      <c r="I1238" t="s">
        <v>3386</v>
      </c>
      <c r="J1238" t="s">
        <v>3387</v>
      </c>
      <c r="K1238" t="s">
        <v>3388</v>
      </c>
      <c r="L1238" t="s">
        <v>161</v>
      </c>
      <c r="M1238" t="s">
        <v>136</v>
      </c>
      <c r="N1238" t="s">
        <v>3389</v>
      </c>
      <c r="O1238" t="s">
        <v>3767</v>
      </c>
      <c r="P1238" t="s">
        <v>118</v>
      </c>
      <c r="Q1238" t="s">
        <v>20</v>
      </c>
      <c r="R1238" t="s">
        <v>20</v>
      </c>
      <c r="S1238" t="s">
        <v>20</v>
      </c>
    </row>
    <row r="1239" spans="1:19" x14ac:dyDescent="0.45">
      <c r="A1239" t="s">
        <v>446</v>
      </c>
      <c r="B1239" t="s">
        <v>8875</v>
      </c>
      <c r="C1239" t="s">
        <v>447</v>
      </c>
      <c r="D1239" t="s">
        <v>448</v>
      </c>
      <c r="E1239" t="s">
        <v>29</v>
      </c>
      <c r="F1239" t="s">
        <v>2904</v>
      </c>
      <c r="G1239" t="s">
        <v>23</v>
      </c>
      <c r="H1239" t="s">
        <v>8876</v>
      </c>
      <c r="I1239" t="s">
        <v>8877</v>
      </c>
      <c r="J1239" t="s">
        <v>8878</v>
      </c>
      <c r="K1239" t="s">
        <v>8879</v>
      </c>
      <c r="L1239" t="s">
        <v>2769</v>
      </c>
      <c r="M1239" t="s">
        <v>2760</v>
      </c>
      <c r="N1239" t="s">
        <v>45</v>
      </c>
      <c r="O1239" t="s">
        <v>3767</v>
      </c>
      <c r="P1239" t="s">
        <v>5398</v>
      </c>
      <c r="Q1239" t="s">
        <v>20</v>
      </c>
      <c r="R1239" t="s">
        <v>20</v>
      </c>
      <c r="S1239" t="s">
        <v>20</v>
      </c>
    </row>
    <row r="1240" spans="1:19" x14ac:dyDescent="0.45">
      <c r="A1240" t="s">
        <v>446</v>
      </c>
      <c r="B1240" t="s">
        <v>4009</v>
      </c>
      <c r="C1240" t="s">
        <v>447</v>
      </c>
      <c r="D1240" t="s">
        <v>448</v>
      </c>
      <c r="E1240" t="s">
        <v>29</v>
      </c>
      <c r="F1240" t="s">
        <v>3182</v>
      </c>
      <c r="G1240" t="s">
        <v>23</v>
      </c>
      <c r="H1240" t="s">
        <v>4010</v>
      </c>
      <c r="I1240" t="s">
        <v>4011</v>
      </c>
      <c r="J1240" t="s">
        <v>4012</v>
      </c>
      <c r="K1240" t="s">
        <v>4013</v>
      </c>
      <c r="L1240" t="s">
        <v>474</v>
      </c>
      <c r="M1240" t="s">
        <v>297</v>
      </c>
      <c r="N1240" t="s">
        <v>33</v>
      </c>
      <c r="O1240" t="s">
        <v>3767</v>
      </c>
      <c r="P1240" t="s">
        <v>296</v>
      </c>
      <c r="Q1240" t="s">
        <v>20</v>
      </c>
      <c r="R1240" t="s">
        <v>20</v>
      </c>
      <c r="S1240" t="s">
        <v>20</v>
      </c>
    </row>
    <row r="1241" spans="1:19" x14ac:dyDescent="0.45">
      <c r="A1241" t="s">
        <v>4056</v>
      </c>
      <c r="B1241" t="s">
        <v>4657</v>
      </c>
      <c r="C1241" t="s">
        <v>4658</v>
      </c>
      <c r="D1241" t="s">
        <v>4659</v>
      </c>
      <c r="E1241" t="s">
        <v>21</v>
      </c>
      <c r="F1241" t="s">
        <v>2722</v>
      </c>
      <c r="G1241" t="s">
        <v>23</v>
      </c>
      <c r="H1241" t="s">
        <v>4660</v>
      </c>
      <c r="I1241" t="s">
        <v>4661</v>
      </c>
      <c r="J1241" t="s">
        <v>4662</v>
      </c>
      <c r="K1241" t="s">
        <v>4663</v>
      </c>
      <c r="L1241" t="s">
        <v>111</v>
      </c>
      <c r="M1241" t="s">
        <v>2760</v>
      </c>
      <c r="N1241" t="s">
        <v>678</v>
      </c>
      <c r="O1241" t="s">
        <v>3767</v>
      </c>
      <c r="P1241" t="s">
        <v>111</v>
      </c>
      <c r="Q1241" t="s">
        <v>20</v>
      </c>
      <c r="R1241" t="s">
        <v>20</v>
      </c>
      <c r="S1241" t="s">
        <v>20</v>
      </c>
    </row>
    <row r="1242" spans="1:19" x14ac:dyDescent="0.45">
      <c r="A1242" t="s">
        <v>515</v>
      </c>
      <c r="B1242" t="s">
        <v>8376</v>
      </c>
      <c r="C1242" t="s">
        <v>2474</v>
      </c>
      <c r="D1242" t="s">
        <v>2475</v>
      </c>
      <c r="E1242" t="s">
        <v>38</v>
      </c>
      <c r="F1242" t="s">
        <v>3062</v>
      </c>
      <c r="G1242" t="s">
        <v>23</v>
      </c>
      <c r="H1242" t="s">
        <v>2476</v>
      </c>
      <c r="I1242" t="s">
        <v>2477</v>
      </c>
      <c r="J1242" t="s">
        <v>2478</v>
      </c>
      <c r="K1242" t="s">
        <v>2479</v>
      </c>
      <c r="L1242" t="s">
        <v>2769</v>
      </c>
      <c r="M1242" t="s">
        <v>132</v>
      </c>
      <c r="N1242" t="s">
        <v>146</v>
      </c>
      <c r="O1242" t="s">
        <v>3767</v>
      </c>
      <c r="P1242" t="s">
        <v>6522</v>
      </c>
      <c r="Q1242" t="s">
        <v>20</v>
      </c>
      <c r="R1242" t="s">
        <v>20</v>
      </c>
      <c r="S1242" t="s">
        <v>20</v>
      </c>
    </row>
    <row r="1243" spans="1:19" x14ac:dyDescent="0.45">
      <c r="A1243" t="s">
        <v>4056</v>
      </c>
      <c r="B1243" t="s">
        <v>4057</v>
      </c>
      <c r="C1243" t="s">
        <v>4058</v>
      </c>
      <c r="D1243" t="s">
        <v>4059</v>
      </c>
      <c r="E1243" t="s">
        <v>38</v>
      </c>
      <c r="F1243" t="s">
        <v>2722</v>
      </c>
      <c r="G1243" t="s">
        <v>23</v>
      </c>
      <c r="H1243" t="s">
        <v>4060</v>
      </c>
      <c r="I1243" t="s">
        <v>4061</v>
      </c>
      <c r="J1243" t="s">
        <v>4062</v>
      </c>
      <c r="K1243" t="s">
        <v>4063</v>
      </c>
      <c r="L1243" t="s">
        <v>635</v>
      </c>
      <c r="M1243" t="s">
        <v>2760</v>
      </c>
      <c r="N1243" t="s">
        <v>113</v>
      </c>
      <c r="O1243" t="s">
        <v>3767</v>
      </c>
      <c r="P1243" t="s">
        <v>635</v>
      </c>
      <c r="Q1243" t="s">
        <v>20</v>
      </c>
      <c r="R1243" t="s">
        <v>20</v>
      </c>
      <c r="S1243" t="s">
        <v>20</v>
      </c>
    </row>
    <row r="1244" spans="1:19" x14ac:dyDescent="0.45">
      <c r="A1244" t="s">
        <v>173</v>
      </c>
      <c r="B1244" t="s">
        <v>9406</v>
      </c>
      <c r="C1244" t="s">
        <v>9407</v>
      </c>
      <c r="D1244" t="s">
        <v>5736</v>
      </c>
      <c r="E1244" t="s">
        <v>38</v>
      </c>
      <c r="F1244" t="s">
        <v>3062</v>
      </c>
      <c r="G1244" t="s">
        <v>23</v>
      </c>
      <c r="H1244" t="s">
        <v>9408</v>
      </c>
      <c r="I1244" t="s">
        <v>9409</v>
      </c>
      <c r="J1244" t="s">
        <v>9410</v>
      </c>
      <c r="K1244" t="s">
        <v>9411</v>
      </c>
      <c r="L1244" t="s">
        <v>6513</v>
      </c>
      <c r="M1244" t="s">
        <v>2760</v>
      </c>
      <c r="N1244" t="s">
        <v>146</v>
      </c>
      <c r="O1244" t="s">
        <v>3767</v>
      </c>
      <c r="P1244" t="s">
        <v>6513</v>
      </c>
      <c r="Q1244" t="s">
        <v>20</v>
      </c>
      <c r="R1244" t="s">
        <v>20</v>
      </c>
      <c r="S1244" t="s">
        <v>20</v>
      </c>
    </row>
    <row r="1245" spans="1:19" x14ac:dyDescent="0.45">
      <c r="A1245" t="s">
        <v>358</v>
      </c>
      <c r="B1245" t="s">
        <v>4596</v>
      </c>
      <c r="C1245" t="s">
        <v>887</v>
      </c>
      <c r="D1245" t="s">
        <v>888</v>
      </c>
      <c r="E1245" t="s">
        <v>38</v>
      </c>
      <c r="F1245" t="s">
        <v>14648</v>
      </c>
      <c r="G1245" t="s">
        <v>23</v>
      </c>
      <c r="H1245" t="s">
        <v>4597</v>
      </c>
      <c r="I1245" t="s">
        <v>3977</v>
      </c>
      <c r="J1245" t="s">
        <v>4598</v>
      </c>
      <c r="K1245" t="s">
        <v>4599</v>
      </c>
      <c r="L1245" t="s">
        <v>53</v>
      </c>
      <c r="M1245" t="s">
        <v>2760</v>
      </c>
      <c r="N1245" t="s">
        <v>33</v>
      </c>
      <c r="O1245" t="s">
        <v>3767</v>
      </c>
      <c r="P1245" t="s">
        <v>635</v>
      </c>
      <c r="Q1245" t="s">
        <v>20</v>
      </c>
      <c r="R1245" t="s">
        <v>20</v>
      </c>
      <c r="S1245" t="s">
        <v>20</v>
      </c>
    </row>
    <row r="1246" spans="1:19" x14ac:dyDescent="0.45">
      <c r="A1246" t="s">
        <v>10219</v>
      </c>
      <c r="B1246" t="s">
        <v>10220</v>
      </c>
      <c r="C1246" t="s">
        <v>10221</v>
      </c>
      <c r="D1246" t="s">
        <v>6401</v>
      </c>
      <c r="E1246" t="s">
        <v>21</v>
      </c>
      <c r="F1246" t="s">
        <v>2722</v>
      </c>
      <c r="G1246" t="s">
        <v>23</v>
      </c>
      <c r="H1246" t="s">
        <v>10222</v>
      </c>
      <c r="I1246" t="s">
        <v>10223</v>
      </c>
      <c r="J1246" t="s">
        <v>10224</v>
      </c>
      <c r="K1246" t="s">
        <v>10225</v>
      </c>
      <c r="L1246" t="s">
        <v>6522</v>
      </c>
      <c r="M1246" t="s">
        <v>3145</v>
      </c>
      <c r="N1246" t="s">
        <v>1224</v>
      </c>
      <c r="O1246" t="s">
        <v>3767</v>
      </c>
      <c r="P1246" t="s">
        <v>6522</v>
      </c>
      <c r="Q1246" t="s">
        <v>20</v>
      </c>
      <c r="R1246" t="s">
        <v>20</v>
      </c>
      <c r="S1246" t="s">
        <v>20</v>
      </c>
    </row>
    <row r="1247" spans="1:19" x14ac:dyDescent="0.45">
      <c r="A1247" t="s">
        <v>2700</v>
      </c>
      <c r="B1247" t="s">
        <v>8582</v>
      </c>
      <c r="C1247" t="s">
        <v>8583</v>
      </c>
      <c r="D1247" t="s">
        <v>6296</v>
      </c>
      <c r="E1247" t="s">
        <v>21</v>
      </c>
      <c r="F1247" t="s">
        <v>2722</v>
      </c>
      <c r="G1247" t="s">
        <v>23</v>
      </c>
      <c r="H1247" t="s">
        <v>8584</v>
      </c>
      <c r="I1247" t="s">
        <v>8585</v>
      </c>
      <c r="J1247" t="s">
        <v>8586</v>
      </c>
      <c r="K1247" t="s">
        <v>8587</v>
      </c>
      <c r="L1247" t="s">
        <v>290</v>
      </c>
      <c r="M1247" t="s">
        <v>2760</v>
      </c>
      <c r="N1247" t="s">
        <v>678</v>
      </c>
      <c r="O1247" t="s">
        <v>3767</v>
      </c>
      <c r="P1247" t="s">
        <v>902</v>
      </c>
      <c r="Q1247" t="s">
        <v>20</v>
      </c>
      <c r="R1247" t="s">
        <v>20</v>
      </c>
      <c r="S1247" t="s">
        <v>8588</v>
      </c>
    </row>
    <row r="1248" spans="1:19" x14ac:dyDescent="0.45">
      <c r="A1248" t="s">
        <v>563</v>
      </c>
      <c r="B1248" t="s">
        <v>4291</v>
      </c>
      <c r="C1248" t="s">
        <v>564</v>
      </c>
      <c r="D1248" t="s">
        <v>565</v>
      </c>
      <c r="E1248" t="s">
        <v>38</v>
      </c>
      <c r="F1248" t="s">
        <v>2940</v>
      </c>
      <c r="G1248" t="s">
        <v>23</v>
      </c>
      <c r="H1248" t="s">
        <v>4292</v>
      </c>
      <c r="I1248" t="s">
        <v>4293</v>
      </c>
      <c r="J1248" t="s">
        <v>4294</v>
      </c>
      <c r="K1248" t="s">
        <v>4295</v>
      </c>
      <c r="L1248" t="s">
        <v>53</v>
      </c>
      <c r="M1248" t="s">
        <v>132</v>
      </c>
      <c r="N1248" t="s">
        <v>62</v>
      </c>
      <c r="O1248" t="s">
        <v>3767</v>
      </c>
      <c r="P1248" t="s">
        <v>53</v>
      </c>
      <c r="Q1248" t="s">
        <v>20</v>
      </c>
      <c r="R1248" t="s">
        <v>20</v>
      </c>
      <c r="S1248" t="s">
        <v>20</v>
      </c>
    </row>
    <row r="1249" spans="1:19" x14ac:dyDescent="0.45">
      <c r="A1249" t="s">
        <v>563</v>
      </c>
      <c r="B1249" t="s">
        <v>10190</v>
      </c>
      <c r="C1249" t="s">
        <v>564</v>
      </c>
      <c r="D1249" t="s">
        <v>565</v>
      </c>
      <c r="E1249" t="s">
        <v>21</v>
      </c>
      <c r="F1249" t="s">
        <v>4105</v>
      </c>
      <c r="G1249" t="s">
        <v>23</v>
      </c>
      <c r="H1249" t="s">
        <v>10191</v>
      </c>
      <c r="I1249" t="s">
        <v>10192</v>
      </c>
      <c r="J1249" t="s">
        <v>10193</v>
      </c>
      <c r="K1249" t="s">
        <v>10194</v>
      </c>
      <c r="L1249" t="s">
        <v>6522</v>
      </c>
      <c r="M1249" t="s">
        <v>2760</v>
      </c>
      <c r="N1249" t="s">
        <v>1224</v>
      </c>
      <c r="O1249" t="s">
        <v>3767</v>
      </c>
      <c r="P1249" t="s">
        <v>6522</v>
      </c>
      <c r="Q1249" t="s">
        <v>20</v>
      </c>
      <c r="R1249" t="s">
        <v>20</v>
      </c>
      <c r="S1249" t="s">
        <v>20</v>
      </c>
    </row>
    <row r="1250" spans="1:19" x14ac:dyDescent="0.45">
      <c r="A1250" t="s">
        <v>943</v>
      </c>
      <c r="B1250" t="s">
        <v>14649</v>
      </c>
      <c r="C1250" t="s">
        <v>3434</v>
      </c>
      <c r="D1250" t="s">
        <v>3435</v>
      </c>
      <c r="E1250" t="s">
        <v>38</v>
      </c>
      <c r="F1250" t="s">
        <v>2831</v>
      </c>
      <c r="G1250" t="s">
        <v>23</v>
      </c>
      <c r="H1250" t="s">
        <v>3436</v>
      </c>
      <c r="I1250" t="s">
        <v>3437</v>
      </c>
      <c r="J1250" t="s">
        <v>3438</v>
      </c>
      <c r="K1250" t="s">
        <v>3439</v>
      </c>
      <c r="L1250" t="s">
        <v>296</v>
      </c>
      <c r="M1250" t="s">
        <v>538</v>
      </c>
      <c r="N1250" t="s">
        <v>119</v>
      </c>
      <c r="O1250" t="s">
        <v>3767</v>
      </c>
      <c r="P1250" t="s">
        <v>6522</v>
      </c>
      <c r="Q1250" t="s">
        <v>20</v>
      </c>
      <c r="R1250" t="s">
        <v>20</v>
      </c>
      <c r="S1250" t="s">
        <v>4901</v>
      </c>
    </row>
    <row r="1251" spans="1:19" x14ac:dyDescent="0.45">
      <c r="A1251" t="s">
        <v>173</v>
      </c>
      <c r="B1251" t="s">
        <v>14008</v>
      </c>
      <c r="C1251" t="s">
        <v>207</v>
      </c>
      <c r="D1251" t="s">
        <v>208</v>
      </c>
      <c r="E1251" t="s">
        <v>38</v>
      </c>
      <c r="F1251" t="s">
        <v>2948</v>
      </c>
      <c r="G1251" t="s">
        <v>23</v>
      </c>
      <c r="H1251" t="s">
        <v>14009</v>
      </c>
      <c r="I1251" t="s">
        <v>14010</v>
      </c>
      <c r="J1251" t="s">
        <v>14011</v>
      </c>
      <c r="K1251" t="s">
        <v>14012</v>
      </c>
      <c r="L1251" t="s">
        <v>8094</v>
      </c>
      <c r="M1251" t="s">
        <v>2760</v>
      </c>
      <c r="N1251" t="s">
        <v>146</v>
      </c>
      <c r="O1251" t="s">
        <v>3767</v>
      </c>
      <c r="P1251" t="s">
        <v>8094</v>
      </c>
      <c r="Q1251" t="s">
        <v>20</v>
      </c>
      <c r="R1251" t="s">
        <v>20</v>
      </c>
      <c r="S1251" t="s">
        <v>20</v>
      </c>
    </row>
    <row r="1252" spans="1:19" x14ac:dyDescent="0.45">
      <c r="A1252" t="s">
        <v>26</v>
      </c>
      <c r="B1252" t="s">
        <v>11233</v>
      </c>
      <c r="C1252" t="s">
        <v>371</v>
      </c>
      <c r="D1252" t="s">
        <v>372</v>
      </c>
      <c r="E1252" t="s">
        <v>38</v>
      </c>
      <c r="F1252" t="s">
        <v>2948</v>
      </c>
      <c r="G1252" t="s">
        <v>23</v>
      </c>
      <c r="H1252" t="s">
        <v>6951</v>
      </c>
      <c r="I1252" t="s">
        <v>6952</v>
      </c>
      <c r="J1252" t="s">
        <v>6953</v>
      </c>
      <c r="K1252" t="s">
        <v>6954</v>
      </c>
      <c r="L1252" t="s">
        <v>6875</v>
      </c>
      <c r="M1252" t="s">
        <v>2760</v>
      </c>
      <c r="N1252" t="s">
        <v>119</v>
      </c>
      <c r="O1252" t="s">
        <v>3767</v>
      </c>
      <c r="P1252" t="s">
        <v>6513</v>
      </c>
      <c r="Q1252" t="s">
        <v>20</v>
      </c>
      <c r="R1252" t="s">
        <v>20</v>
      </c>
      <c r="S1252" t="s">
        <v>20</v>
      </c>
    </row>
    <row r="1253" spans="1:19" x14ac:dyDescent="0.45">
      <c r="A1253" t="s">
        <v>592</v>
      </c>
      <c r="B1253" t="s">
        <v>8552</v>
      </c>
      <c r="C1253" t="s">
        <v>3711</v>
      </c>
      <c r="D1253" t="s">
        <v>3712</v>
      </c>
      <c r="E1253" t="s">
        <v>29</v>
      </c>
      <c r="F1253" t="s">
        <v>2929</v>
      </c>
      <c r="G1253" t="s">
        <v>23</v>
      </c>
      <c r="H1253" t="s">
        <v>8553</v>
      </c>
      <c r="I1253" t="s">
        <v>8554</v>
      </c>
      <c r="J1253" t="s">
        <v>8555</v>
      </c>
      <c r="K1253" t="s">
        <v>8556</v>
      </c>
      <c r="L1253" t="s">
        <v>722</v>
      </c>
      <c r="M1253" t="s">
        <v>1498</v>
      </c>
      <c r="N1253" t="s">
        <v>45</v>
      </c>
      <c r="O1253" t="s">
        <v>3767</v>
      </c>
      <c r="P1253" t="s">
        <v>5398</v>
      </c>
      <c r="Q1253" t="s">
        <v>20</v>
      </c>
      <c r="R1253" t="s">
        <v>20</v>
      </c>
      <c r="S1253" t="s">
        <v>20</v>
      </c>
    </row>
    <row r="1254" spans="1:19" x14ac:dyDescent="0.45">
      <c r="A1254" t="s">
        <v>6989</v>
      </c>
      <c r="B1254" t="s">
        <v>8655</v>
      </c>
      <c r="C1254" t="s">
        <v>2640</v>
      </c>
      <c r="D1254" t="s">
        <v>2641</v>
      </c>
      <c r="E1254" t="s">
        <v>38</v>
      </c>
      <c r="F1254" t="s">
        <v>2722</v>
      </c>
      <c r="G1254" t="s">
        <v>23</v>
      </c>
      <c r="H1254" t="s">
        <v>8656</v>
      </c>
      <c r="I1254" t="s">
        <v>8657</v>
      </c>
      <c r="J1254" t="s">
        <v>8658</v>
      </c>
      <c r="K1254" t="s">
        <v>8659</v>
      </c>
      <c r="L1254" t="s">
        <v>3998</v>
      </c>
      <c r="M1254" t="s">
        <v>3145</v>
      </c>
      <c r="N1254" t="s">
        <v>2727</v>
      </c>
      <c r="O1254" t="s">
        <v>3767</v>
      </c>
      <c r="P1254" t="s">
        <v>902</v>
      </c>
      <c r="Q1254" t="s">
        <v>20</v>
      </c>
      <c r="R1254" t="s">
        <v>20</v>
      </c>
      <c r="S1254" t="s">
        <v>20</v>
      </c>
    </row>
    <row r="1255" spans="1:19" x14ac:dyDescent="0.45">
      <c r="A1255" t="s">
        <v>6989</v>
      </c>
      <c r="B1255" t="s">
        <v>8598</v>
      </c>
      <c r="C1255" t="s">
        <v>2640</v>
      </c>
      <c r="D1255" t="s">
        <v>2641</v>
      </c>
      <c r="E1255" t="s">
        <v>38</v>
      </c>
      <c r="F1255" t="s">
        <v>2863</v>
      </c>
      <c r="G1255" t="s">
        <v>23</v>
      </c>
      <c r="H1255" t="s">
        <v>8599</v>
      </c>
      <c r="I1255" t="s">
        <v>8600</v>
      </c>
      <c r="J1255" t="s">
        <v>8601</v>
      </c>
      <c r="K1255" t="s">
        <v>8602</v>
      </c>
      <c r="L1255" t="s">
        <v>902</v>
      </c>
      <c r="M1255" t="s">
        <v>2760</v>
      </c>
      <c r="N1255" t="s">
        <v>33</v>
      </c>
      <c r="O1255" t="s">
        <v>3767</v>
      </c>
      <c r="P1255" t="s">
        <v>902</v>
      </c>
      <c r="Q1255" t="s">
        <v>20</v>
      </c>
      <c r="R1255" t="s">
        <v>20</v>
      </c>
      <c r="S1255" t="s">
        <v>6518</v>
      </c>
    </row>
    <row r="1256" spans="1:19" x14ac:dyDescent="0.45">
      <c r="A1256" t="s">
        <v>592</v>
      </c>
      <c r="B1256" t="s">
        <v>8557</v>
      </c>
      <c r="C1256" t="s">
        <v>4201</v>
      </c>
      <c r="D1256" t="s">
        <v>4202</v>
      </c>
      <c r="E1256" t="s">
        <v>38</v>
      </c>
      <c r="F1256" t="s">
        <v>3062</v>
      </c>
      <c r="G1256" t="s">
        <v>23</v>
      </c>
      <c r="H1256" t="s">
        <v>8558</v>
      </c>
      <c r="I1256" t="s">
        <v>8559</v>
      </c>
      <c r="J1256" t="s">
        <v>8560</v>
      </c>
      <c r="K1256" t="s">
        <v>8561</v>
      </c>
      <c r="L1256" t="s">
        <v>722</v>
      </c>
      <c r="M1256" t="s">
        <v>1498</v>
      </c>
      <c r="N1256" t="s">
        <v>45</v>
      </c>
      <c r="O1256" t="s">
        <v>3767</v>
      </c>
      <c r="P1256" t="s">
        <v>5398</v>
      </c>
      <c r="Q1256" t="s">
        <v>20</v>
      </c>
      <c r="R1256" t="s">
        <v>20</v>
      </c>
      <c r="S1256" t="s">
        <v>20</v>
      </c>
    </row>
    <row r="1257" spans="1:19" x14ac:dyDescent="0.45">
      <c r="A1257" t="s">
        <v>592</v>
      </c>
      <c r="B1257" t="s">
        <v>4200</v>
      </c>
      <c r="C1257" t="s">
        <v>4201</v>
      </c>
      <c r="D1257" t="s">
        <v>4202</v>
      </c>
      <c r="E1257" t="s">
        <v>38</v>
      </c>
      <c r="F1257" t="s">
        <v>3062</v>
      </c>
      <c r="G1257" t="s">
        <v>23</v>
      </c>
      <c r="H1257" t="s">
        <v>4203</v>
      </c>
      <c r="I1257" t="s">
        <v>4204</v>
      </c>
      <c r="J1257" t="s">
        <v>4205</v>
      </c>
      <c r="K1257" t="s">
        <v>4206</v>
      </c>
      <c r="L1257" t="s">
        <v>111</v>
      </c>
      <c r="M1257" t="s">
        <v>2760</v>
      </c>
      <c r="N1257" t="s">
        <v>195</v>
      </c>
      <c r="O1257" t="s">
        <v>3767</v>
      </c>
      <c r="P1257" t="s">
        <v>635</v>
      </c>
      <c r="Q1257" t="s">
        <v>20</v>
      </c>
      <c r="R1257" t="s">
        <v>20</v>
      </c>
      <c r="S1257" t="s">
        <v>20</v>
      </c>
    </row>
    <row r="1258" spans="1:19" x14ac:dyDescent="0.45">
      <c r="A1258" t="s">
        <v>35</v>
      </c>
      <c r="B1258" t="s">
        <v>12898</v>
      </c>
      <c r="C1258" t="s">
        <v>155</v>
      </c>
      <c r="D1258" t="s">
        <v>156</v>
      </c>
      <c r="E1258" t="s">
        <v>21</v>
      </c>
      <c r="F1258" t="s">
        <v>2748</v>
      </c>
      <c r="G1258" t="s">
        <v>23</v>
      </c>
      <c r="H1258" t="s">
        <v>12899</v>
      </c>
      <c r="I1258" t="s">
        <v>12763</v>
      </c>
      <c r="J1258" t="s">
        <v>12900</v>
      </c>
      <c r="K1258" t="s">
        <v>12901</v>
      </c>
      <c r="L1258" t="s">
        <v>6527</v>
      </c>
      <c r="M1258" t="s">
        <v>2760</v>
      </c>
      <c r="N1258" t="s">
        <v>1224</v>
      </c>
      <c r="O1258" t="s">
        <v>3767</v>
      </c>
      <c r="P1258" t="s">
        <v>6527</v>
      </c>
      <c r="Q1258" t="s">
        <v>20</v>
      </c>
      <c r="R1258" t="s">
        <v>20</v>
      </c>
      <c r="S1258" t="s">
        <v>20</v>
      </c>
    </row>
    <row r="1259" spans="1:19" x14ac:dyDescent="0.45">
      <c r="A1259" t="s">
        <v>35</v>
      </c>
      <c r="B1259" t="s">
        <v>8437</v>
      </c>
      <c r="C1259" t="s">
        <v>155</v>
      </c>
      <c r="D1259" t="s">
        <v>156</v>
      </c>
      <c r="E1259" t="s">
        <v>38</v>
      </c>
      <c r="F1259" t="s">
        <v>3062</v>
      </c>
      <c r="G1259" t="s">
        <v>23</v>
      </c>
      <c r="H1259" t="s">
        <v>157</v>
      </c>
      <c r="I1259" t="s">
        <v>158</v>
      </c>
      <c r="J1259" t="s">
        <v>159</v>
      </c>
      <c r="K1259" t="s">
        <v>160</v>
      </c>
      <c r="L1259" t="s">
        <v>6523</v>
      </c>
      <c r="M1259" t="s">
        <v>2760</v>
      </c>
      <c r="N1259" t="s">
        <v>119</v>
      </c>
      <c r="O1259" t="s">
        <v>3767</v>
      </c>
      <c r="P1259" t="s">
        <v>5398</v>
      </c>
      <c r="Q1259" t="s">
        <v>20</v>
      </c>
      <c r="R1259" t="s">
        <v>20</v>
      </c>
      <c r="S1259" t="s">
        <v>20</v>
      </c>
    </row>
    <row r="1260" spans="1:19" x14ac:dyDescent="0.45">
      <c r="A1260" t="s">
        <v>35</v>
      </c>
      <c r="B1260" t="s">
        <v>14650</v>
      </c>
      <c r="C1260" t="s">
        <v>155</v>
      </c>
      <c r="D1260" t="s">
        <v>156</v>
      </c>
      <c r="E1260" t="s">
        <v>21</v>
      </c>
      <c r="F1260" t="s">
        <v>3076</v>
      </c>
      <c r="G1260" t="s">
        <v>23</v>
      </c>
      <c r="H1260" t="s">
        <v>14651</v>
      </c>
      <c r="I1260" t="s">
        <v>14590</v>
      </c>
      <c r="J1260" t="s">
        <v>14652</v>
      </c>
      <c r="K1260" t="s">
        <v>14653</v>
      </c>
      <c r="L1260" t="s">
        <v>6525</v>
      </c>
      <c r="M1260" t="s">
        <v>2760</v>
      </c>
      <c r="N1260" t="s">
        <v>1224</v>
      </c>
      <c r="O1260" t="s">
        <v>3767</v>
      </c>
      <c r="P1260" t="s">
        <v>6525</v>
      </c>
      <c r="Q1260" t="s">
        <v>20</v>
      </c>
      <c r="R1260" t="s">
        <v>20</v>
      </c>
      <c r="S1260" t="s">
        <v>20</v>
      </c>
    </row>
    <row r="1261" spans="1:19" x14ac:dyDescent="0.45">
      <c r="A1261" t="s">
        <v>6989</v>
      </c>
      <c r="B1261" t="s">
        <v>3665</v>
      </c>
      <c r="C1261" t="s">
        <v>2414</v>
      </c>
      <c r="D1261" t="s">
        <v>2415</v>
      </c>
      <c r="E1261" t="s">
        <v>21</v>
      </c>
      <c r="F1261" t="s">
        <v>2722</v>
      </c>
      <c r="G1261" t="s">
        <v>23</v>
      </c>
      <c r="H1261" t="s">
        <v>3666</v>
      </c>
      <c r="I1261" t="s">
        <v>3667</v>
      </c>
      <c r="J1261" t="s">
        <v>3668</v>
      </c>
      <c r="K1261" t="s">
        <v>3669</v>
      </c>
      <c r="L1261" t="s">
        <v>1605</v>
      </c>
      <c r="M1261" t="s">
        <v>1223</v>
      </c>
      <c r="N1261" t="s">
        <v>678</v>
      </c>
      <c r="O1261" t="s">
        <v>3767</v>
      </c>
      <c r="P1261" t="s">
        <v>147</v>
      </c>
      <c r="Q1261" t="s">
        <v>20</v>
      </c>
      <c r="R1261" t="s">
        <v>20</v>
      </c>
      <c r="S1261" t="s">
        <v>20</v>
      </c>
    </row>
    <row r="1262" spans="1:19" x14ac:dyDescent="0.45">
      <c r="A1262" t="s">
        <v>535</v>
      </c>
      <c r="B1262" t="s">
        <v>10661</v>
      </c>
      <c r="C1262" t="s">
        <v>3966</v>
      </c>
      <c r="D1262" t="s">
        <v>3967</v>
      </c>
      <c r="E1262" t="s">
        <v>38</v>
      </c>
      <c r="F1262" t="s">
        <v>3062</v>
      </c>
      <c r="G1262" t="s">
        <v>23</v>
      </c>
      <c r="H1262" t="s">
        <v>8938</v>
      </c>
      <c r="I1262" t="s">
        <v>9088</v>
      </c>
      <c r="J1262" t="s">
        <v>9089</v>
      </c>
      <c r="K1262" t="s">
        <v>9090</v>
      </c>
      <c r="L1262" t="s">
        <v>7506</v>
      </c>
      <c r="M1262" t="s">
        <v>5379</v>
      </c>
      <c r="N1262" t="s">
        <v>195</v>
      </c>
      <c r="O1262" t="s">
        <v>3767</v>
      </c>
      <c r="P1262" t="s">
        <v>7506</v>
      </c>
      <c r="Q1262" t="s">
        <v>20</v>
      </c>
      <c r="R1262" t="s">
        <v>20</v>
      </c>
      <c r="S1262" t="s">
        <v>20</v>
      </c>
    </row>
    <row r="1263" spans="1:19" x14ac:dyDescent="0.45">
      <c r="A1263" t="s">
        <v>211</v>
      </c>
      <c r="B1263" t="s">
        <v>14181</v>
      </c>
      <c r="C1263" t="s">
        <v>2176</v>
      </c>
      <c r="D1263" t="s">
        <v>2177</v>
      </c>
      <c r="E1263" t="s">
        <v>38</v>
      </c>
      <c r="F1263" t="s">
        <v>2795</v>
      </c>
      <c r="G1263" t="s">
        <v>23</v>
      </c>
      <c r="H1263" t="s">
        <v>2660</v>
      </c>
      <c r="I1263" t="s">
        <v>2661</v>
      </c>
      <c r="J1263" t="s">
        <v>2662</v>
      </c>
      <c r="K1263" t="s">
        <v>2663</v>
      </c>
      <c r="L1263" t="s">
        <v>11782</v>
      </c>
      <c r="M1263" t="s">
        <v>102</v>
      </c>
      <c r="N1263" t="s">
        <v>62</v>
      </c>
      <c r="O1263" t="s">
        <v>3767</v>
      </c>
      <c r="P1263" t="s">
        <v>11782</v>
      </c>
      <c r="Q1263" t="s">
        <v>20</v>
      </c>
      <c r="R1263" t="s">
        <v>20</v>
      </c>
      <c r="S1263" t="s">
        <v>20</v>
      </c>
    </row>
    <row r="1264" spans="1:19" x14ac:dyDescent="0.45">
      <c r="A1264" t="s">
        <v>211</v>
      </c>
      <c r="B1264" t="s">
        <v>11981</v>
      </c>
      <c r="C1264" t="s">
        <v>212</v>
      </c>
      <c r="D1264" t="s">
        <v>213</v>
      </c>
      <c r="E1264" t="s">
        <v>38</v>
      </c>
      <c r="F1264" t="s">
        <v>2785</v>
      </c>
      <c r="G1264" t="s">
        <v>23</v>
      </c>
      <c r="H1264" t="s">
        <v>11982</v>
      </c>
      <c r="I1264" t="s">
        <v>11983</v>
      </c>
      <c r="J1264" t="s">
        <v>11984</v>
      </c>
      <c r="K1264" t="s">
        <v>11985</v>
      </c>
      <c r="L1264" t="s">
        <v>6524</v>
      </c>
      <c r="M1264" t="s">
        <v>2760</v>
      </c>
      <c r="N1264" t="s">
        <v>146</v>
      </c>
      <c r="O1264" t="s">
        <v>3767</v>
      </c>
      <c r="P1264" t="s">
        <v>8377</v>
      </c>
      <c r="Q1264" t="s">
        <v>20</v>
      </c>
      <c r="R1264" t="s">
        <v>20</v>
      </c>
      <c r="S1264" t="s">
        <v>20</v>
      </c>
    </row>
    <row r="1265" spans="1:19" x14ac:dyDescent="0.45">
      <c r="A1265" t="s">
        <v>211</v>
      </c>
      <c r="B1265" t="s">
        <v>14182</v>
      </c>
      <c r="C1265" t="s">
        <v>212</v>
      </c>
      <c r="D1265" t="s">
        <v>213</v>
      </c>
      <c r="E1265" t="s">
        <v>57</v>
      </c>
      <c r="F1265" t="s">
        <v>2795</v>
      </c>
      <c r="G1265" t="s">
        <v>23</v>
      </c>
      <c r="H1265" t="s">
        <v>1185</v>
      </c>
      <c r="I1265" t="s">
        <v>1186</v>
      </c>
      <c r="J1265" t="s">
        <v>1187</v>
      </c>
      <c r="K1265" t="s">
        <v>1188</v>
      </c>
      <c r="L1265" t="s">
        <v>6525</v>
      </c>
      <c r="M1265" t="s">
        <v>102</v>
      </c>
      <c r="N1265" t="s">
        <v>62</v>
      </c>
      <c r="O1265" t="s">
        <v>3767</v>
      </c>
      <c r="P1265" t="s">
        <v>6525</v>
      </c>
      <c r="Q1265" t="s">
        <v>20</v>
      </c>
      <c r="R1265" t="s">
        <v>20</v>
      </c>
      <c r="S1265" t="s">
        <v>20</v>
      </c>
    </row>
    <row r="1266" spans="1:19" x14ac:dyDescent="0.45">
      <c r="A1266" t="s">
        <v>71</v>
      </c>
      <c r="B1266" t="s">
        <v>20</v>
      </c>
      <c r="C1266" t="s">
        <v>2004</v>
      </c>
      <c r="D1266" t="s">
        <v>2005</v>
      </c>
      <c r="E1266" t="s">
        <v>57</v>
      </c>
      <c r="F1266" t="s">
        <v>3891</v>
      </c>
      <c r="G1266" t="s">
        <v>23</v>
      </c>
      <c r="H1266" t="s">
        <v>2006</v>
      </c>
      <c r="I1266" t="s">
        <v>2007</v>
      </c>
      <c r="J1266" t="s">
        <v>2008</v>
      </c>
      <c r="K1266" t="s">
        <v>2009</v>
      </c>
      <c r="L1266" t="s">
        <v>31</v>
      </c>
      <c r="M1266" t="s">
        <v>32</v>
      </c>
      <c r="N1266" t="s">
        <v>62</v>
      </c>
      <c r="O1266" t="s">
        <v>3767</v>
      </c>
      <c r="P1266" t="s">
        <v>635</v>
      </c>
      <c r="Q1266" t="s">
        <v>20</v>
      </c>
      <c r="R1266" t="s">
        <v>20</v>
      </c>
      <c r="S1266" t="s">
        <v>20</v>
      </c>
    </row>
    <row r="1267" spans="1:19" x14ac:dyDescent="0.45">
      <c r="A1267" t="s">
        <v>26</v>
      </c>
      <c r="B1267" t="s">
        <v>9440</v>
      </c>
      <c r="C1267" t="s">
        <v>2537</v>
      </c>
      <c r="D1267" t="s">
        <v>2538</v>
      </c>
      <c r="E1267" t="s">
        <v>21</v>
      </c>
      <c r="F1267" t="s">
        <v>2722</v>
      </c>
      <c r="G1267" t="s">
        <v>23</v>
      </c>
      <c r="H1267" t="s">
        <v>9441</v>
      </c>
      <c r="I1267" t="s">
        <v>9442</v>
      </c>
      <c r="J1267" t="s">
        <v>9443</v>
      </c>
      <c r="K1267" t="s">
        <v>9444</v>
      </c>
      <c r="L1267" t="s">
        <v>6513</v>
      </c>
      <c r="M1267" t="s">
        <v>2760</v>
      </c>
      <c r="N1267" t="s">
        <v>2809</v>
      </c>
      <c r="O1267" t="s">
        <v>3767</v>
      </c>
      <c r="P1267" t="s">
        <v>6513</v>
      </c>
      <c r="Q1267" t="s">
        <v>20</v>
      </c>
      <c r="R1267" t="s">
        <v>20</v>
      </c>
      <c r="S1267" t="s">
        <v>20</v>
      </c>
    </row>
    <row r="1268" spans="1:19" x14ac:dyDescent="0.45">
      <c r="A1268" t="s">
        <v>35</v>
      </c>
      <c r="B1268" t="s">
        <v>4537</v>
      </c>
      <c r="C1268" t="s">
        <v>36</v>
      </c>
      <c r="D1268" t="s">
        <v>37</v>
      </c>
      <c r="E1268" t="s">
        <v>38</v>
      </c>
      <c r="F1268" t="s">
        <v>2722</v>
      </c>
      <c r="G1268" t="s">
        <v>23</v>
      </c>
      <c r="H1268" t="s">
        <v>4538</v>
      </c>
      <c r="I1268" t="s">
        <v>339</v>
      </c>
      <c r="J1268" t="s">
        <v>4539</v>
      </c>
      <c r="K1268" t="s">
        <v>4540</v>
      </c>
      <c r="L1268" t="s">
        <v>168</v>
      </c>
      <c r="M1268" t="s">
        <v>2760</v>
      </c>
      <c r="N1268" t="s">
        <v>678</v>
      </c>
      <c r="O1268" t="s">
        <v>3767</v>
      </c>
      <c r="P1268" t="s">
        <v>53</v>
      </c>
      <c r="Q1268" t="s">
        <v>20</v>
      </c>
      <c r="R1268" t="s">
        <v>20</v>
      </c>
      <c r="S1268" t="s">
        <v>20</v>
      </c>
    </row>
    <row r="1269" spans="1:19" x14ac:dyDescent="0.45">
      <c r="A1269" t="s">
        <v>35</v>
      </c>
      <c r="B1269" t="s">
        <v>4195</v>
      </c>
      <c r="C1269" t="s">
        <v>36</v>
      </c>
      <c r="D1269" t="s">
        <v>37</v>
      </c>
      <c r="E1269" t="s">
        <v>38</v>
      </c>
      <c r="F1269" t="s">
        <v>2863</v>
      </c>
      <c r="G1269" t="s">
        <v>23</v>
      </c>
      <c r="H1269" t="s">
        <v>4196</v>
      </c>
      <c r="I1269" t="s">
        <v>4197</v>
      </c>
      <c r="J1269" t="s">
        <v>4198</v>
      </c>
      <c r="K1269" t="s">
        <v>4199</v>
      </c>
      <c r="L1269" t="s">
        <v>101</v>
      </c>
      <c r="M1269" t="s">
        <v>2760</v>
      </c>
      <c r="N1269" t="s">
        <v>62</v>
      </c>
      <c r="O1269" t="s">
        <v>3767</v>
      </c>
      <c r="P1269" t="s">
        <v>296</v>
      </c>
      <c r="Q1269" t="s">
        <v>20</v>
      </c>
      <c r="R1269" t="s">
        <v>20</v>
      </c>
      <c r="S1269" t="s">
        <v>20</v>
      </c>
    </row>
    <row r="1270" spans="1:19" x14ac:dyDescent="0.45">
      <c r="A1270" t="s">
        <v>379</v>
      </c>
      <c r="B1270" t="s">
        <v>3980</v>
      </c>
      <c r="C1270" t="s">
        <v>1468</v>
      </c>
      <c r="D1270" t="s">
        <v>1469</v>
      </c>
      <c r="E1270" t="s">
        <v>57</v>
      </c>
      <c r="F1270" t="s">
        <v>2795</v>
      </c>
      <c r="G1270" t="s">
        <v>23</v>
      </c>
      <c r="H1270" t="s">
        <v>3981</v>
      </c>
      <c r="I1270" t="s">
        <v>3982</v>
      </c>
      <c r="J1270" t="s">
        <v>3983</v>
      </c>
      <c r="K1270" t="s">
        <v>3984</v>
      </c>
      <c r="L1270" t="s">
        <v>131</v>
      </c>
      <c r="M1270" t="s">
        <v>102</v>
      </c>
      <c r="N1270" t="s">
        <v>146</v>
      </c>
      <c r="O1270" t="s">
        <v>3767</v>
      </c>
      <c r="P1270" t="s">
        <v>296</v>
      </c>
      <c r="Q1270" t="s">
        <v>20</v>
      </c>
      <c r="R1270" t="s">
        <v>20</v>
      </c>
      <c r="S1270" t="s">
        <v>20</v>
      </c>
    </row>
    <row r="1271" spans="1:19" x14ac:dyDescent="0.45">
      <c r="A1271" t="s">
        <v>379</v>
      </c>
      <c r="B1271" t="s">
        <v>4241</v>
      </c>
      <c r="C1271" t="s">
        <v>1468</v>
      </c>
      <c r="D1271" t="s">
        <v>1469</v>
      </c>
      <c r="E1271" t="s">
        <v>38</v>
      </c>
      <c r="F1271" t="s">
        <v>2992</v>
      </c>
      <c r="G1271" t="s">
        <v>23</v>
      </c>
      <c r="H1271" t="s">
        <v>4242</v>
      </c>
      <c r="I1271" t="s">
        <v>4243</v>
      </c>
      <c r="J1271" t="s">
        <v>4244</v>
      </c>
      <c r="K1271" t="s">
        <v>4245</v>
      </c>
      <c r="L1271" t="s">
        <v>118</v>
      </c>
      <c r="M1271" t="s">
        <v>102</v>
      </c>
      <c r="N1271" t="s">
        <v>146</v>
      </c>
      <c r="O1271" t="s">
        <v>3767</v>
      </c>
      <c r="P1271" t="s">
        <v>296</v>
      </c>
      <c r="Q1271" t="s">
        <v>20</v>
      </c>
      <c r="R1271" t="s">
        <v>20</v>
      </c>
      <c r="S1271" t="s">
        <v>20</v>
      </c>
    </row>
    <row r="1272" spans="1:19" x14ac:dyDescent="0.45">
      <c r="A1272" t="s">
        <v>379</v>
      </c>
      <c r="B1272" t="s">
        <v>14183</v>
      </c>
      <c r="C1272" t="s">
        <v>1468</v>
      </c>
      <c r="D1272" t="s">
        <v>1469</v>
      </c>
      <c r="E1272" t="s">
        <v>57</v>
      </c>
      <c r="F1272" t="s">
        <v>2837</v>
      </c>
      <c r="G1272" t="s">
        <v>23</v>
      </c>
      <c r="H1272" t="s">
        <v>8970</v>
      </c>
      <c r="I1272" t="s">
        <v>9095</v>
      </c>
      <c r="J1272" t="s">
        <v>9096</v>
      </c>
      <c r="K1272" t="s">
        <v>9097</v>
      </c>
      <c r="L1272" t="s">
        <v>2769</v>
      </c>
      <c r="M1272" t="s">
        <v>2760</v>
      </c>
      <c r="N1272" t="s">
        <v>62</v>
      </c>
      <c r="O1272" t="s">
        <v>3767</v>
      </c>
      <c r="P1272" t="s">
        <v>6525</v>
      </c>
      <c r="Q1272" t="s">
        <v>20</v>
      </c>
      <c r="R1272" t="s">
        <v>20</v>
      </c>
      <c r="S1272" t="s">
        <v>20</v>
      </c>
    </row>
    <row r="1273" spans="1:19" x14ac:dyDescent="0.45">
      <c r="A1273" t="s">
        <v>81</v>
      </c>
      <c r="B1273" t="s">
        <v>8364</v>
      </c>
      <c r="C1273" t="s">
        <v>1499</v>
      </c>
      <c r="D1273" t="s">
        <v>1500</v>
      </c>
      <c r="E1273" t="s">
        <v>21</v>
      </c>
      <c r="F1273" t="s">
        <v>2722</v>
      </c>
      <c r="G1273" t="s">
        <v>23</v>
      </c>
      <c r="H1273" t="s">
        <v>8365</v>
      </c>
      <c r="I1273" t="s">
        <v>8366</v>
      </c>
      <c r="J1273" t="s">
        <v>8367</v>
      </c>
      <c r="K1273" t="s">
        <v>8368</v>
      </c>
      <c r="L1273" t="s">
        <v>902</v>
      </c>
      <c r="M1273" t="s">
        <v>3145</v>
      </c>
      <c r="N1273" t="s">
        <v>1224</v>
      </c>
      <c r="O1273" t="s">
        <v>3767</v>
      </c>
      <c r="P1273" t="s">
        <v>5398</v>
      </c>
      <c r="Q1273" t="s">
        <v>20</v>
      </c>
      <c r="R1273" t="s">
        <v>20</v>
      </c>
      <c r="S1273" t="s">
        <v>20</v>
      </c>
    </row>
    <row r="1274" spans="1:19" x14ac:dyDescent="0.45">
      <c r="A1274" t="s">
        <v>64</v>
      </c>
      <c r="B1274" t="s">
        <v>12339</v>
      </c>
      <c r="C1274" t="s">
        <v>148</v>
      </c>
      <c r="D1274" t="s">
        <v>149</v>
      </c>
      <c r="E1274" t="s">
        <v>38</v>
      </c>
      <c r="F1274" t="s">
        <v>22</v>
      </c>
      <c r="G1274" t="s">
        <v>23</v>
      </c>
      <c r="H1274" t="s">
        <v>11951</v>
      </c>
      <c r="I1274" t="s">
        <v>11952</v>
      </c>
      <c r="J1274" t="s">
        <v>11953</v>
      </c>
      <c r="K1274" t="s">
        <v>11954</v>
      </c>
      <c r="L1274" t="s">
        <v>6524</v>
      </c>
      <c r="M1274" t="s">
        <v>2760</v>
      </c>
      <c r="N1274" t="s">
        <v>146</v>
      </c>
      <c r="O1274" t="s">
        <v>3767</v>
      </c>
      <c r="P1274" t="s">
        <v>8377</v>
      </c>
      <c r="Q1274" t="s">
        <v>20</v>
      </c>
      <c r="R1274" t="s">
        <v>20</v>
      </c>
      <c r="S1274" t="s">
        <v>11892</v>
      </c>
    </row>
    <row r="1275" spans="1:19" x14ac:dyDescent="0.45">
      <c r="A1275" t="s">
        <v>173</v>
      </c>
      <c r="B1275" t="s">
        <v>14184</v>
      </c>
      <c r="C1275" t="s">
        <v>1103</v>
      </c>
      <c r="D1275" t="s">
        <v>1104</v>
      </c>
      <c r="E1275" t="s">
        <v>38</v>
      </c>
      <c r="F1275" t="s">
        <v>2795</v>
      </c>
      <c r="G1275" t="s">
        <v>23</v>
      </c>
      <c r="H1275" t="s">
        <v>1105</v>
      </c>
      <c r="I1275" t="s">
        <v>1106</v>
      </c>
      <c r="J1275" t="s">
        <v>1107</v>
      </c>
      <c r="K1275" t="s">
        <v>1108</v>
      </c>
      <c r="L1275" t="s">
        <v>3418</v>
      </c>
      <c r="M1275" t="s">
        <v>2760</v>
      </c>
      <c r="N1275" t="s">
        <v>62</v>
      </c>
      <c r="O1275" t="s">
        <v>3767</v>
      </c>
      <c r="P1275" t="s">
        <v>6525</v>
      </c>
      <c r="Q1275" t="s">
        <v>20</v>
      </c>
      <c r="R1275" t="s">
        <v>20</v>
      </c>
      <c r="S1275" t="s">
        <v>20</v>
      </c>
    </row>
    <row r="1276" spans="1:19" x14ac:dyDescent="0.45">
      <c r="A1276" t="s">
        <v>173</v>
      </c>
      <c r="B1276" t="s">
        <v>4453</v>
      </c>
      <c r="C1276" t="s">
        <v>1103</v>
      </c>
      <c r="D1276" t="s">
        <v>1104</v>
      </c>
      <c r="E1276" t="s">
        <v>2487</v>
      </c>
      <c r="F1276" t="s">
        <v>3062</v>
      </c>
      <c r="G1276" t="s">
        <v>23</v>
      </c>
      <c r="H1276" t="s">
        <v>4454</v>
      </c>
      <c r="I1276" t="s">
        <v>4455</v>
      </c>
      <c r="J1276" t="s">
        <v>4456</v>
      </c>
      <c r="K1276" t="s">
        <v>4457</v>
      </c>
      <c r="L1276" t="s">
        <v>161</v>
      </c>
      <c r="M1276" t="s">
        <v>102</v>
      </c>
      <c r="N1276" t="s">
        <v>146</v>
      </c>
      <c r="O1276" t="s">
        <v>3767</v>
      </c>
      <c r="P1276" t="s">
        <v>1125</v>
      </c>
      <c r="Q1276" t="s">
        <v>20</v>
      </c>
      <c r="R1276" t="s">
        <v>20</v>
      </c>
      <c r="S1276" t="s">
        <v>20</v>
      </c>
    </row>
    <row r="1277" spans="1:19" x14ac:dyDescent="0.45">
      <c r="A1277" t="s">
        <v>362</v>
      </c>
      <c r="B1277" t="s">
        <v>4740</v>
      </c>
      <c r="C1277" t="s">
        <v>4324</v>
      </c>
      <c r="D1277" t="s">
        <v>4325</v>
      </c>
      <c r="E1277" t="s">
        <v>38</v>
      </c>
      <c r="F1277" t="s">
        <v>2940</v>
      </c>
      <c r="G1277" t="s">
        <v>23</v>
      </c>
      <c r="H1277" t="s">
        <v>4741</v>
      </c>
      <c r="I1277" t="s">
        <v>4742</v>
      </c>
      <c r="J1277" t="s">
        <v>4743</v>
      </c>
      <c r="K1277" t="s">
        <v>4744</v>
      </c>
      <c r="L1277" t="s">
        <v>53</v>
      </c>
      <c r="M1277" t="s">
        <v>132</v>
      </c>
      <c r="N1277" t="s">
        <v>62</v>
      </c>
      <c r="O1277" t="s">
        <v>3767</v>
      </c>
      <c r="P1277" t="s">
        <v>53</v>
      </c>
      <c r="Q1277" t="s">
        <v>20</v>
      </c>
      <c r="R1277" t="s">
        <v>20</v>
      </c>
      <c r="S1277" t="s">
        <v>20</v>
      </c>
    </row>
    <row r="1278" spans="1:19" x14ac:dyDescent="0.45">
      <c r="A1278" t="s">
        <v>563</v>
      </c>
      <c r="B1278" t="s">
        <v>4213</v>
      </c>
      <c r="C1278" t="s">
        <v>3683</v>
      </c>
      <c r="D1278" t="s">
        <v>3684</v>
      </c>
      <c r="E1278" t="s">
        <v>38</v>
      </c>
      <c r="F1278" t="s">
        <v>2863</v>
      </c>
      <c r="G1278" t="s">
        <v>23</v>
      </c>
      <c r="H1278" t="s">
        <v>4214</v>
      </c>
      <c r="I1278" t="s">
        <v>4215</v>
      </c>
      <c r="J1278" t="s">
        <v>4216</v>
      </c>
      <c r="K1278" t="s">
        <v>4217</v>
      </c>
      <c r="L1278" t="s">
        <v>53</v>
      </c>
      <c r="M1278" t="s">
        <v>132</v>
      </c>
      <c r="N1278" t="s">
        <v>62</v>
      </c>
      <c r="O1278" t="s">
        <v>3767</v>
      </c>
      <c r="P1278" t="s">
        <v>53</v>
      </c>
      <c r="Q1278" t="s">
        <v>20</v>
      </c>
      <c r="R1278" t="s">
        <v>20</v>
      </c>
      <c r="S1278" t="s">
        <v>20</v>
      </c>
    </row>
    <row r="1279" spans="1:19" x14ac:dyDescent="0.45">
      <c r="A1279" t="s">
        <v>802</v>
      </c>
      <c r="B1279" t="s">
        <v>11971</v>
      </c>
      <c r="C1279" t="s">
        <v>803</v>
      </c>
      <c r="D1279" t="s">
        <v>804</v>
      </c>
      <c r="E1279" t="s">
        <v>38</v>
      </c>
      <c r="F1279" t="s">
        <v>2785</v>
      </c>
      <c r="G1279" t="s">
        <v>23</v>
      </c>
      <c r="H1279" t="s">
        <v>11972</v>
      </c>
      <c r="I1279" t="s">
        <v>11973</v>
      </c>
      <c r="J1279" t="s">
        <v>11974</v>
      </c>
      <c r="K1279" t="s">
        <v>11975</v>
      </c>
      <c r="L1279" t="s">
        <v>8377</v>
      </c>
      <c r="M1279" t="s">
        <v>2760</v>
      </c>
      <c r="N1279" t="s">
        <v>146</v>
      </c>
      <c r="O1279" t="s">
        <v>3767</v>
      </c>
      <c r="P1279" t="s">
        <v>8377</v>
      </c>
      <c r="Q1279" t="s">
        <v>20</v>
      </c>
      <c r="R1279" t="s">
        <v>20</v>
      </c>
      <c r="S1279" t="s">
        <v>20</v>
      </c>
    </row>
    <row r="1280" spans="1:19" x14ac:dyDescent="0.45">
      <c r="A1280" t="s">
        <v>379</v>
      </c>
      <c r="B1280" t="s">
        <v>3292</v>
      </c>
      <c r="C1280" t="s">
        <v>3293</v>
      </c>
      <c r="D1280" t="s">
        <v>3294</v>
      </c>
      <c r="E1280" t="s">
        <v>38</v>
      </c>
      <c r="F1280" t="s">
        <v>14654</v>
      </c>
      <c r="G1280" t="s">
        <v>23</v>
      </c>
      <c r="H1280" t="s">
        <v>3295</v>
      </c>
      <c r="I1280" t="s">
        <v>3296</v>
      </c>
      <c r="J1280" t="s">
        <v>3297</v>
      </c>
      <c r="K1280" t="s">
        <v>3298</v>
      </c>
      <c r="L1280" t="s">
        <v>209</v>
      </c>
      <c r="M1280" t="s">
        <v>102</v>
      </c>
      <c r="N1280" t="s">
        <v>1224</v>
      </c>
      <c r="O1280" t="s">
        <v>3767</v>
      </c>
      <c r="P1280" t="s">
        <v>161</v>
      </c>
      <c r="Q1280" t="s">
        <v>20</v>
      </c>
      <c r="R1280" t="s">
        <v>20</v>
      </c>
      <c r="S1280" t="s">
        <v>20</v>
      </c>
    </row>
    <row r="1281" spans="1:19" x14ac:dyDescent="0.45">
      <c r="A1281" t="s">
        <v>335</v>
      </c>
      <c r="B1281" t="s">
        <v>3538</v>
      </c>
      <c r="C1281" t="s">
        <v>1008</v>
      </c>
      <c r="D1281" t="s">
        <v>1009</v>
      </c>
      <c r="E1281" t="s">
        <v>38</v>
      </c>
      <c r="F1281" t="s">
        <v>14655</v>
      </c>
      <c r="G1281" t="s">
        <v>23</v>
      </c>
      <c r="H1281" t="s">
        <v>3539</v>
      </c>
      <c r="I1281" t="s">
        <v>3540</v>
      </c>
      <c r="J1281" t="s">
        <v>3541</v>
      </c>
      <c r="K1281" t="s">
        <v>3542</v>
      </c>
      <c r="L1281" t="s">
        <v>635</v>
      </c>
      <c r="M1281" t="s">
        <v>2760</v>
      </c>
      <c r="N1281" t="s">
        <v>3831</v>
      </c>
      <c r="O1281" t="s">
        <v>3767</v>
      </c>
      <c r="P1281" t="s">
        <v>2769</v>
      </c>
      <c r="Q1281" t="s">
        <v>20</v>
      </c>
      <c r="R1281" t="s">
        <v>20</v>
      </c>
      <c r="S1281" t="s">
        <v>9333</v>
      </c>
    </row>
    <row r="1282" spans="1:19" x14ac:dyDescent="0.45">
      <c r="A1282" t="s">
        <v>335</v>
      </c>
      <c r="B1282" t="s">
        <v>3805</v>
      </c>
      <c r="C1282" t="s">
        <v>1008</v>
      </c>
      <c r="D1282" t="s">
        <v>1009</v>
      </c>
      <c r="E1282" t="s">
        <v>57</v>
      </c>
      <c r="F1282" t="s">
        <v>2795</v>
      </c>
      <c r="G1282" t="s">
        <v>23</v>
      </c>
      <c r="H1282" t="s">
        <v>3806</v>
      </c>
      <c r="I1282" t="s">
        <v>3807</v>
      </c>
      <c r="J1282" t="s">
        <v>3808</v>
      </c>
      <c r="K1282" t="s">
        <v>3809</v>
      </c>
      <c r="L1282" t="s">
        <v>194</v>
      </c>
      <c r="M1282" t="s">
        <v>102</v>
      </c>
      <c r="N1282" t="s">
        <v>62</v>
      </c>
      <c r="O1282" t="s">
        <v>3767</v>
      </c>
      <c r="P1282" t="s">
        <v>111</v>
      </c>
      <c r="Q1282" t="s">
        <v>20</v>
      </c>
      <c r="R1282" t="s">
        <v>20</v>
      </c>
      <c r="S1282" t="s">
        <v>20</v>
      </c>
    </row>
    <row r="1283" spans="1:19" x14ac:dyDescent="0.45">
      <c r="A1283" t="s">
        <v>335</v>
      </c>
      <c r="B1283" t="s">
        <v>4448</v>
      </c>
      <c r="C1283" t="s">
        <v>1008</v>
      </c>
      <c r="D1283" t="s">
        <v>1009</v>
      </c>
      <c r="E1283" t="s">
        <v>2487</v>
      </c>
      <c r="F1283" t="s">
        <v>2831</v>
      </c>
      <c r="G1283" t="s">
        <v>23</v>
      </c>
      <c r="H1283" t="s">
        <v>4449</v>
      </c>
      <c r="I1283" t="s">
        <v>4450</v>
      </c>
      <c r="J1283" t="s">
        <v>4451</v>
      </c>
      <c r="K1283" t="s">
        <v>4452</v>
      </c>
      <c r="L1283" t="s">
        <v>111</v>
      </c>
      <c r="M1283" t="s">
        <v>102</v>
      </c>
      <c r="N1283" t="s">
        <v>210</v>
      </c>
      <c r="O1283" t="s">
        <v>3767</v>
      </c>
      <c r="P1283" t="s">
        <v>111</v>
      </c>
      <c r="Q1283" t="s">
        <v>20</v>
      </c>
      <c r="R1283" t="s">
        <v>20</v>
      </c>
      <c r="S1283" t="s">
        <v>20</v>
      </c>
    </row>
    <row r="1284" spans="1:19" x14ac:dyDescent="0.45">
      <c r="A1284" t="s">
        <v>173</v>
      </c>
      <c r="B1284" t="s">
        <v>11986</v>
      </c>
      <c r="C1284" t="s">
        <v>885</v>
      </c>
      <c r="D1284" t="s">
        <v>886</v>
      </c>
      <c r="E1284" t="s">
        <v>38</v>
      </c>
      <c r="F1284" t="s">
        <v>2863</v>
      </c>
      <c r="G1284" t="s">
        <v>23</v>
      </c>
      <c r="H1284" t="s">
        <v>7635</v>
      </c>
      <c r="I1284" t="s">
        <v>7636</v>
      </c>
      <c r="J1284" t="s">
        <v>7637</v>
      </c>
      <c r="K1284" t="s">
        <v>7638</v>
      </c>
      <c r="L1284" t="s">
        <v>3998</v>
      </c>
      <c r="M1284" t="s">
        <v>2760</v>
      </c>
      <c r="N1284" t="s">
        <v>113</v>
      </c>
      <c r="O1284" t="s">
        <v>3767</v>
      </c>
      <c r="P1284" t="s">
        <v>8377</v>
      </c>
      <c r="Q1284" t="s">
        <v>20</v>
      </c>
      <c r="R1284" t="s">
        <v>20</v>
      </c>
      <c r="S1284" t="s">
        <v>20</v>
      </c>
    </row>
    <row r="1285" spans="1:19" x14ac:dyDescent="0.45">
      <c r="A1285" t="s">
        <v>173</v>
      </c>
      <c r="B1285" t="s">
        <v>3941</v>
      </c>
      <c r="C1285" t="s">
        <v>885</v>
      </c>
      <c r="D1285" t="s">
        <v>886</v>
      </c>
      <c r="E1285" t="s">
        <v>2487</v>
      </c>
      <c r="F1285" t="s">
        <v>3062</v>
      </c>
      <c r="G1285" t="s">
        <v>23</v>
      </c>
      <c r="H1285" t="s">
        <v>3942</v>
      </c>
      <c r="I1285" t="s">
        <v>3943</v>
      </c>
      <c r="J1285" t="s">
        <v>3944</v>
      </c>
      <c r="K1285" t="s">
        <v>3945</v>
      </c>
      <c r="L1285" t="s">
        <v>214</v>
      </c>
      <c r="M1285" t="s">
        <v>102</v>
      </c>
      <c r="N1285" t="s">
        <v>146</v>
      </c>
      <c r="O1285" t="s">
        <v>3767</v>
      </c>
      <c r="P1285" t="s">
        <v>1125</v>
      </c>
      <c r="Q1285" t="s">
        <v>20</v>
      </c>
      <c r="R1285" t="s">
        <v>20</v>
      </c>
      <c r="S1285" t="s">
        <v>20</v>
      </c>
    </row>
    <row r="1286" spans="1:19" x14ac:dyDescent="0.45">
      <c r="A1286" t="s">
        <v>173</v>
      </c>
      <c r="B1286" t="s">
        <v>12966</v>
      </c>
      <c r="C1286" t="s">
        <v>885</v>
      </c>
      <c r="D1286" t="s">
        <v>886</v>
      </c>
      <c r="E1286" t="s">
        <v>38</v>
      </c>
      <c r="F1286" t="s">
        <v>2722</v>
      </c>
      <c r="G1286" t="s">
        <v>23</v>
      </c>
      <c r="H1286" t="s">
        <v>12967</v>
      </c>
      <c r="I1286" t="s">
        <v>12968</v>
      </c>
      <c r="J1286" t="s">
        <v>12969</v>
      </c>
      <c r="K1286" t="s">
        <v>12970</v>
      </c>
      <c r="L1286" t="s">
        <v>6527</v>
      </c>
      <c r="M1286" t="s">
        <v>2760</v>
      </c>
      <c r="N1286" t="s">
        <v>146</v>
      </c>
      <c r="O1286" t="s">
        <v>3767</v>
      </c>
      <c r="P1286" t="s">
        <v>6527</v>
      </c>
      <c r="Q1286" t="s">
        <v>20</v>
      </c>
      <c r="R1286" t="s">
        <v>20</v>
      </c>
      <c r="S1286" t="s">
        <v>20</v>
      </c>
    </row>
    <row r="1287" spans="1:19" x14ac:dyDescent="0.45">
      <c r="A1287" t="s">
        <v>71</v>
      </c>
      <c r="B1287" t="s">
        <v>8604</v>
      </c>
      <c r="C1287" t="s">
        <v>2642</v>
      </c>
      <c r="D1287" t="s">
        <v>2643</v>
      </c>
      <c r="E1287" t="s">
        <v>57</v>
      </c>
      <c r="F1287" t="s">
        <v>2795</v>
      </c>
      <c r="G1287" t="s">
        <v>23</v>
      </c>
      <c r="H1287" t="s">
        <v>2644</v>
      </c>
      <c r="I1287" t="s">
        <v>2645</v>
      </c>
      <c r="J1287" t="s">
        <v>2646</v>
      </c>
      <c r="K1287" t="s">
        <v>2079</v>
      </c>
      <c r="L1287" t="s">
        <v>31</v>
      </c>
      <c r="M1287" t="s">
        <v>102</v>
      </c>
      <c r="N1287" t="s">
        <v>62</v>
      </c>
      <c r="O1287" t="s">
        <v>3767</v>
      </c>
      <c r="P1287" t="s">
        <v>722</v>
      </c>
      <c r="Q1287" t="s">
        <v>20</v>
      </c>
      <c r="R1287" t="s">
        <v>20</v>
      </c>
      <c r="S1287" t="s">
        <v>20</v>
      </c>
    </row>
    <row r="1288" spans="1:19" x14ac:dyDescent="0.45">
      <c r="A1288" t="s">
        <v>71</v>
      </c>
      <c r="B1288" t="s">
        <v>4382</v>
      </c>
      <c r="C1288" t="s">
        <v>2642</v>
      </c>
      <c r="D1288" t="s">
        <v>2643</v>
      </c>
      <c r="E1288" t="s">
        <v>2487</v>
      </c>
      <c r="F1288" t="s">
        <v>3062</v>
      </c>
      <c r="G1288" t="s">
        <v>23</v>
      </c>
      <c r="H1288" t="s">
        <v>4383</v>
      </c>
      <c r="I1288" t="s">
        <v>4384</v>
      </c>
      <c r="J1288" t="s">
        <v>4385</v>
      </c>
      <c r="K1288" t="s">
        <v>4386</v>
      </c>
      <c r="L1288" t="s">
        <v>504</v>
      </c>
      <c r="M1288" t="s">
        <v>102</v>
      </c>
      <c r="N1288" t="s">
        <v>146</v>
      </c>
      <c r="O1288" t="s">
        <v>3767</v>
      </c>
      <c r="P1288" t="s">
        <v>1125</v>
      </c>
      <c r="Q1288" t="s">
        <v>20</v>
      </c>
      <c r="R1288" t="s">
        <v>20</v>
      </c>
      <c r="S1288" t="s">
        <v>20</v>
      </c>
    </row>
    <row r="1289" spans="1:19" x14ac:dyDescent="0.45">
      <c r="A1289" t="s">
        <v>379</v>
      </c>
      <c r="B1289" t="s">
        <v>11221</v>
      </c>
      <c r="C1289" t="s">
        <v>2147</v>
      </c>
      <c r="D1289" t="s">
        <v>2148</v>
      </c>
      <c r="E1289" t="s">
        <v>38</v>
      </c>
      <c r="F1289" t="s">
        <v>3062</v>
      </c>
      <c r="G1289" t="s">
        <v>23</v>
      </c>
      <c r="H1289" t="s">
        <v>2149</v>
      </c>
      <c r="I1289" t="s">
        <v>2150</v>
      </c>
      <c r="J1289" t="s">
        <v>2151</v>
      </c>
      <c r="K1289" t="s">
        <v>2152</v>
      </c>
      <c r="L1289" t="s">
        <v>6521</v>
      </c>
      <c r="M1289" t="s">
        <v>2760</v>
      </c>
      <c r="N1289" t="s">
        <v>146</v>
      </c>
      <c r="O1289" t="s">
        <v>3767</v>
      </c>
      <c r="P1289" t="s">
        <v>194</v>
      </c>
      <c r="Q1289" t="s">
        <v>20</v>
      </c>
      <c r="R1289" t="s">
        <v>20</v>
      </c>
      <c r="S1289" t="s">
        <v>20</v>
      </c>
    </row>
    <row r="1290" spans="1:19" x14ac:dyDescent="0.45">
      <c r="A1290" t="s">
        <v>94</v>
      </c>
      <c r="B1290" t="s">
        <v>8567</v>
      </c>
      <c r="C1290" t="s">
        <v>1035</v>
      </c>
      <c r="D1290" t="s">
        <v>1036</v>
      </c>
      <c r="E1290" t="s">
        <v>38</v>
      </c>
      <c r="F1290" t="s">
        <v>5397</v>
      </c>
      <c r="G1290" t="s">
        <v>23</v>
      </c>
      <c r="H1290" t="s">
        <v>8568</v>
      </c>
      <c r="I1290" t="s">
        <v>8569</v>
      </c>
      <c r="J1290" t="s">
        <v>8570</v>
      </c>
      <c r="K1290" t="s">
        <v>8571</v>
      </c>
      <c r="L1290" t="s">
        <v>902</v>
      </c>
      <c r="M1290" t="s">
        <v>2760</v>
      </c>
      <c r="N1290" t="s">
        <v>146</v>
      </c>
      <c r="O1290" t="s">
        <v>3767</v>
      </c>
      <c r="P1290" t="s">
        <v>902</v>
      </c>
      <c r="Q1290" t="s">
        <v>20</v>
      </c>
      <c r="R1290" t="s">
        <v>20</v>
      </c>
      <c r="S1290" t="s">
        <v>20</v>
      </c>
    </row>
    <row r="1291" spans="1:19" x14ac:dyDescent="0.45">
      <c r="A1291" t="s">
        <v>729</v>
      </c>
      <c r="B1291" t="s">
        <v>4332</v>
      </c>
      <c r="C1291" t="s">
        <v>2522</v>
      </c>
      <c r="D1291" t="s">
        <v>2523</v>
      </c>
      <c r="E1291" t="s">
        <v>21</v>
      </c>
      <c r="F1291" t="s">
        <v>2785</v>
      </c>
      <c r="G1291" t="s">
        <v>23</v>
      </c>
      <c r="H1291" t="s">
        <v>4333</v>
      </c>
      <c r="I1291" t="s">
        <v>3716</v>
      </c>
      <c r="J1291" t="s">
        <v>4334</v>
      </c>
      <c r="K1291" t="s">
        <v>4335</v>
      </c>
      <c r="L1291" t="s">
        <v>722</v>
      </c>
      <c r="M1291" t="s">
        <v>2760</v>
      </c>
      <c r="N1291" t="s">
        <v>2727</v>
      </c>
      <c r="O1291" t="s">
        <v>3767</v>
      </c>
      <c r="P1291" t="s">
        <v>131</v>
      </c>
      <c r="Q1291" t="s">
        <v>20</v>
      </c>
      <c r="R1291" t="s">
        <v>20</v>
      </c>
      <c r="S1291" t="s">
        <v>20</v>
      </c>
    </row>
    <row r="1292" spans="1:19" x14ac:dyDescent="0.45">
      <c r="A1292" t="s">
        <v>2761</v>
      </c>
      <c r="B1292" t="s">
        <v>8313</v>
      </c>
      <c r="C1292" t="s">
        <v>2763</v>
      </c>
      <c r="D1292" t="s">
        <v>2764</v>
      </c>
      <c r="E1292" t="s">
        <v>38</v>
      </c>
      <c r="F1292" t="s">
        <v>2722</v>
      </c>
      <c r="G1292" t="s">
        <v>23</v>
      </c>
      <c r="H1292" t="s">
        <v>8314</v>
      </c>
      <c r="I1292" t="s">
        <v>8315</v>
      </c>
      <c r="J1292" t="s">
        <v>8316</v>
      </c>
      <c r="K1292" t="s">
        <v>8317</v>
      </c>
      <c r="L1292" t="s">
        <v>3998</v>
      </c>
      <c r="M1292" t="s">
        <v>3145</v>
      </c>
      <c r="N1292" t="s">
        <v>2727</v>
      </c>
      <c r="O1292" t="s">
        <v>3767</v>
      </c>
      <c r="P1292" t="s">
        <v>6524</v>
      </c>
      <c r="Q1292" t="s">
        <v>20</v>
      </c>
      <c r="R1292" t="s">
        <v>20</v>
      </c>
      <c r="S1292" t="s">
        <v>20</v>
      </c>
    </row>
    <row r="1293" spans="1:19" x14ac:dyDescent="0.45">
      <c r="A1293" t="s">
        <v>1598</v>
      </c>
      <c r="B1293" t="s">
        <v>9467</v>
      </c>
      <c r="C1293" t="s">
        <v>2145</v>
      </c>
      <c r="D1293" t="s">
        <v>2146</v>
      </c>
      <c r="E1293" t="s">
        <v>38</v>
      </c>
      <c r="F1293" t="s">
        <v>2722</v>
      </c>
      <c r="G1293" t="s">
        <v>23</v>
      </c>
      <c r="H1293" t="s">
        <v>8340</v>
      </c>
      <c r="I1293" t="s">
        <v>8341</v>
      </c>
      <c r="J1293" t="s">
        <v>8342</v>
      </c>
      <c r="K1293" t="s">
        <v>8343</v>
      </c>
      <c r="L1293" t="s">
        <v>6513</v>
      </c>
      <c r="M1293" t="s">
        <v>2760</v>
      </c>
      <c r="N1293" t="s">
        <v>119</v>
      </c>
      <c r="O1293" t="s">
        <v>3767</v>
      </c>
      <c r="P1293" t="s">
        <v>6513</v>
      </c>
      <c r="Q1293" t="s">
        <v>20</v>
      </c>
      <c r="R1293" t="s">
        <v>20</v>
      </c>
      <c r="S1293" t="s">
        <v>8344</v>
      </c>
    </row>
    <row r="1294" spans="1:19" x14ac:dyDescent="0.45">
      <c r="A1294" t="s">
        <v>19</v>
      </c>
      <c r="B1294" t="s">
        <v>3922</v>
      </c>
      <c r="C1294" t="s">
        <v>1889</v>
      </c>
      <c r="D1294" t="s">
        <v>1890</v>
      </c>
      <c r="E1294" t="s">
        <v>57</v>
      </c>
      <c r="F1294" t="s">
        <v>2795</v>
      </c>
      <c r="G1294" t="s">
        <v>23</v>
      </c>
      <c r="H1294" t="s">
        <v>3923</v>
      </c>
      <c r="I1294" t="s">
        <v>3924</v>
      </c>
      <c r="J1294" t="s">
        <v>3925</v>
      </c>
      <c r="K1294" t="s">
        <v>3926</v>
      </c>
      <c r="L1294" t="s">
        <v>101</v>
      </c>
      <c r="M1294" t="s">
        <v>297</v>
      </c>
      <c r="N1294" t="s">
        <v>119</v>
      </c>
      <c r="O1294" t="s">
        <v>3767</v>
      </c>
      <c r="P1294" t="s">
        <v>101</v>
      </c>
      <c r="Q1294" t="s">
        <v>20</v>
      </c>
      <c r="R1294" t="s">
        <v>20</v>
      </c>
      <c r="S1294" t="s">
        <v>20</v>
      </c>
    </row>
    <row r="1295" spans="1:19" x14ac:dyDescent="0.45">
      <c r="A1295" t="s">
        <v>173</v>
      </c>
      <c r="B1295" t="s">
        <v>4781</v>
      </c>
      <c r="C1295" t="s">
        <v>841</v>
      </c>
      <c r="D1295" t="s">
        <v>842</v>
      </c>
      <c r="E1295" t="s">
        <v>38</v>
      </c>
      <c r="F1295" t="s">
        <v>2795</v>
      </c>
      <c r="G1295" t="s">
        <v>23</v>
      </c>
      <c r="H1295" t="s">
        <v>4782</v>
      </c>
      <c r="I1295" t="s">
        <v>4783</v>
      </c>
      <c r="J1295" t="s">
        <v>4784</v>
      </c>
      <c r="K1295" t="s">
        <v>4785</v>
      </c>
      <c r="L1295" t="s">
        <v>101</v>
      </c>
      <c r="M1295" t="s">
        <v>102</v>
      </c>
      <c r="N1295" t="s">
        <v>62</v>
      </c>
      <c r="O1295" t="s">
        <v>3767</v>
      </c>
      <c r="P1295" t="s">
        <v>111</v>
      </c>
      <c r="Q1295" t="s">
        <v>20</v>
      </c>
      <c r="R1295" t="s">
        <v>20</v>
      </c>
      <c r="S1295" t="s">
        <v>20</v>
      </c>
    </row>
    <row r="1296" spans="1:19" x14ac:dyDescent="0.45">
      <c r="A1296" t="s">
        <v>173</v>
      </c>
      <c r="B1296" t="s">
        <v>12346</v>
      </c>
      <c r="C1296" t="s">
        <v>841</v>
      </c>
      <c r="D1296" t="s">
        <v>842</v>
      </c>
      <c r="E1296" t="s">
        <v>38</v>
      </c>
      <c r="F1296" t="s">
        <v>2785</v>
      </c>
      <c r="G1296" t="s">
        <v>23</v>
      </c>
      <c r="H1296" t="s">
        <v>7805</v>
      </c>
      <c r="I1296" t="s">
        <v>7806</v>
      </c>
      <c r="J1296" t="s">
        <v>7807</v>
      </c>
      <c r="K1296" t="s">
        <v>7808</v>
      </c>
      <c r="L1296" t="s">
        <v>3998</v>
      </c>
      <c r="M1296" t="s">
        <v>2760</v>
      </c>
      <c r="N1296" t="s">
        <v>146</v>
      </c>
      <c r="O1296" t="s">
        <v>3767</v>
      </c>
      <c r="P1296" t="s">
        <v>8377</v>
      </c>
      <c r="Q1296" t="s">
        <v>20</v>
      </c>
      <c r="R1296" t="s">
        <v>20</v>
      </c>
      <c r="S1296" t="s">
        <v>20</v>
      </c>
    </row>
    <row r="1297" spans="1:19" x14ac:dyDescent="0.45">
      <c r="A1297" t="s">
        <v>173</v>
      </c>
      <c r="B1297" t="s">
        <v>4232</v>
      </c>
      <c r="C1297" t="s">
        <v>841</v>
      </c>
      <c r="D1297" t="s">
        <v>842</v>
      </c>
      <c r="E1297" t="s">
        <v>2487</v>
      </c>
      <c r="F1297" t="s">
        <v>3062</v>
      </c>
      <c r="G1297" t="s">
        <v>23</v>
      </c>
      <c r="H1297" t="s">
        <v>4233</v>
      </c>
      <c r="I1297" t="s">
        <v>4234</v>
      </c>
      <c r="J1297" t="s">
        <v>4070</v>
      </c>
      <c r="K1297" t="s">
        <v>4235</v>
      </c>
      <c r="L1297" t="s">
        <v>214</v>
      </c>
      <c r="M1297" t="s">
        <v>102</v>
      </c>
      <c r="N1297" t="s">
        <v>146</v>
      </c>
      <c r="O1297" t="s">
        <v>3767</v>
      </c>
      <c r="P1297" t="s">
        <v>1125</v>
      </c>
      <c r="Q1297" t="s">
        <v>20</v>
      </c>
      <c r="R1297" t="s">
        <v>20</v>
      </c>
      <c r="S1297" t="s">
        <v>20</v>
      </c>
    </row>
    <row r="1298" spans="1:19" x14ac:dyDescent="0.45">
      <c r="A1298" t="s">
        <v>173</v>
      </c>
      <c r="B1298" t="s">
        <v>14226</v>
      </c>
      <c r="C1298" t="s">
        <v>841</v>
      </c>
      <c r="D1298" t="s">
        <v>842</v>
      </c>
      <c r="E1298" t="s">
        <v>38</v>
      </c>
      <c r="F1298" t="s">
        <v>2785</v>
      </c>
      <c r="G1298" t="s">
        <v>23</v>
      </c>
      <c r="H1298" t="s">
        <v>14227</v>
      </c>
      <c r="I1298" t="s">
        <v>14228</v>
      </c>
      <c r="J1298" t="s">
        <v>14229</v>
      </c>
      <c r="K1298" t="s">
        <v>14230</v>
      </c>
      <c r="L1298" t="s">
        <v>6525</v>
      </c>
      <c r="M1298" t="s">
        <v>2760</v>
      </c>
      <c r="N1298" t="s">
        <v>146</v>
      </c>
      <c r="O1298" t="s">
        <v>3767</v>
      </c>
      <c r="P1298" t="s">
        <v>6525</v>
      </c>
      <c r="Q1298" t="s">
        <v>20</v>
      </c>
      <c r="R1298" t="s">
        <v>20</v>
      </c>
      <c r="S1298" t="s">
        <v>20</v>
      </c>
    </row>
    <row r="1299" spans="1:19" x14ac:dyDescent="0.45">
      <c r="A1299" t="s">
        <v>508</v>
      </c>
      <c r="B1299" t="s">
        <v>4001</v>
      </c>
      <c r="C1299" t="s">
        <v>586</v>
      </c>
      <c r="D1299" t="s">
        <v>587</v>
      </c>
      <c r="E1299" t="s">
        <v>38</v>
      </c>
      <c r="F1299" t="s">
        <v>2787</v>
      </c>
      <c r="G1299" t="s">
        <v>23</v>
      </c>
      <c r="H1299" t="s">
        <v>4002</v>
      </c>
      <c r="I1299" t="s">
        <v>4003</v>
      </c>
      <c r="J1299" t="s">
        <v>4004</v>
      </c>
      <c r="K1299" t="s">
        <v>4005</v>
      </c>
      <c r="L1299" t="s">
        <v>3998</v>
      </c>
      <c r="M1299" t="s">
        <v>2760</v>
      </c>
      <c r="N1299" t="s">
        <v>2727</v>
      </c>
      <c r="O1299" t="s">
        <v>3767</v>
      </c>
      <c r="P1299" t="s">
        <v>635</v>
      </c>
      <c r="Q1299" t="s">
        <v>20</v>
      </c>
      <c r="R1299" t="s">
        <v>20</v>
      </c>
      <c r="S1299" t="s">
        <v>20</v>
      </c>
    </row>
    <row r="1300" spans="1:19" x14ac:dyDescent="0.45">
      <c r="A1300" t="s">
        <v>246</v>
      </c>
      <c r="B1300" t="s">
        <v>5347</v>
      </c>
      <c r="C1300" t="s">
        <v>1312</v>
      </c>
      <c r="D1300" t="s">
        <v>1313</v>
      </c>
      <c r="E1300" t="s">
        <v>38</v>
      </c>
      <c r="F1300" t="s">
        <v>3062</v>
      </c>
      <c r="G1300" t="s">
        <v>23</v>
      </c>
      <c r="H1300" t="s">
        <v>5348</v>
      </c>
      <c r="I1300" t="s">
        <v>5349</v>
      </c>
      <c r="J1300" t="s">
        <v>5350</v>
      </c>
      <c r="K1300" t="s">
        <v>5351</v>
      </c>
      <c r="L1300" t="s">
        <v>194</v>
      </c>
      <c r="M1300" t="s">
        <v>5352</v>
      </c>
      <c r="N1300" t="s">
        <v>33</v>
      </c>
      <c r="O1300" t="s">
        <v>3767</v>
      </c>
      <c r="P1300" t="s">
        <v>168</v>
      </c>
      <c r="Q1300" t="s">
        <v>20</v>
      </c>
      <c r="R1300" t="s">
        <v>20</v>
      </c>
      <c r="S1300" t="s">
        <v>20</v>
      </c>
    </row>
    <row r="1301" spans="1:19" x14ac:dyDescent="0.45">
      <c r="A1301" t="s">
        <v>54</v>
      </c>
      <c r="B1301" t="s">
        <v>13977</v>
      </c>
      <c r="C1301" t="s">
        <v>55</v>
      </c>
      <c r="D1301" t="s">
        <v>56</v>
      </c>
      <c r="E1301" t="s">
        <v>21</v>
      </c>
      <c r="F1301" t="s">
        <v>2904</v>
      </c>
      <c r="G1301" t="s">
        <v>23</v>
      </c>
      <c r="H1301" t="s">
        <v>3754</v>
      </c>
      <c r="I1301" t="s">
        <v>3755</v>
      </c>
      <c r="J1301" t="s">
        <v>3756</v>
      </c>
      <c r="K1301" t="s">
        <v>3757</v>
      </c>
      <c r="L1301" t="s">
        <v>111</v>
      </c>
      <c r="M1301" t="s">
        <v>1223</v>
      </c>
      <c r="N1301" t="s">
        <v>678</v>
      </c>
      <c r="O1301" t="s">
        <v>3767</v>
      </c>
      <c r="P1301" t="s">
        <v>168</v>
      </c>
      <c r="Q1301" t="s">
        <v>20</v>
      </c>
      <c r="R1301" t="s">
        <v>20</v>
      </c>
      <c r="S1301" t="s">
        <v>20</v>
      </c>
    </row>
    <row r="1302" spans="1:19" x14ac:dyDescent="0.45">
      <c r="A1302" t="s">
        <v>511</v>
      </c>
      <c r="B1302" t="s">
        <v>4435</v>
      </c>
      <c r="C1302" t="s">
        <v>512</v>
      </c>
      <c r="D1302" t="s">
        <v>513</v>
      </c>
      <c r="E1302" t="s">
        <v>38</v>
      </c>
      <c r="F1302" t="s">
        <v>14656</v>
      </c>
      <c r="G1302" t="s">
        <v>23</v>
      </c>
      <c r="H1302" t="s">
        <v>4436</v>
      </c>
      <c r="I1302" t="s">
        <v>4437</v>
      </c>
      <c r="J1302" t="s">
        <v>4438</v>
      </c>
      <c r="K1302" t="s">
        <v>4439</v>
      </c>
      <c r="L1302" t="s">
        <v>296</v>
      </c>
      <c r="M1302" t="s">
        <v>3105</v>
      </c>
      <c r="N1302" t="s">
        <v>3831</v>
      </c>
      <c r="O1302" t="s">
        <v>3767</v>
      </c>
      <c r="P1302" t="s">
        <v>296</v>
      </c>
      <c r="Q1302" t="s">
        <v>20</v>
      </c>
      <c r="R1302" t="s">
        <v>20</v>
      </c>
      <c r="S1302" t="s">
        <v>4440</v>
      </c>
    </row>
    <row r="1303" spans="1:19" x14ac:dyDescent="0.45">
      <c r="A1303" t="s">
        <v>211</v>
      </c>
      <c r="B1303" t="s">
        <v>4104</v>
      </c>
      <c r="C1303" t="s">
        <v>723</v>
      </c>
      <c r="D1303" t="s">
        <v>724</v>
      </c>
      <c r="E1303" t="s">
        <v>21</v>
      </c>
      <c r="F1303" t="s">
        <v>4105</v>
      </c>
      <c r="G1303" t="s">
        <v>23</v>
      </c>
      <c r="H1303" t="s">
        <v>4106</v>
      </c>
      <c r="I1303" t="s">
        <v>4107</v>
      </c>
      <c r="J1303" t="s">
        <v>4108</v>
      </c>
      <c r="K1303" t="s">
        <v>4109</v>
      </c>
      <c r="L1303" t="s">
        <v>214</v>
      </c>
      <c r="M1303" t="s">
        <v>102</v>
      </c>
      <c r="N1303" t="s">
        <v>137</v>
      </c>
      <c r="O1303" t="s">
        <v>3767</v>
      </c>
      <c r="P1303" t="s">
        <v>214</v>
      </c>
      <c r="Q1303" t="s">
        <v>20</v>
      </c>
      <c r="R1303" t="s">
        <v>20</v>
      </c>
      <c r="S1303" t="s">
        <v>138</v>
      </c>
    </row>
    <row r="1304" spans="1:19" x14ac:dyDescent="0.45">
      <c r="A1304" t="s">
        <v>211</v>
      </c>
      <c r="B1304" t="s">
        <v>14185</v>
      </c>
      <c r="C1304" t="s">
        <v>723</v>
      </c>
      <c r="D1304" t="s">
        <v>724</v>
      </c>
      <c r="E1304" t="s">
        <v>57</v>
      </c>
      <c r="F1304" t="s">
        <v>2795</v>
      </c>
      <c r="G1304" t="s">
        <v>23</v>
      </c>
      <c r="H1304" t="s">
        <v>725</v>
      </c>
      <c r="I1304" t="s">
        <v>726</v>
      </c>
      <c r="J1304" t="s">
        <v>727</v>
      </c>
      <c r="K1304" t="s">
        <v>728</v>
      </c>
      <c r="L1304" t="s">
        <v>6525</v>
      </c>
      <c r="M1304" t="s">
        <v>102</v>
      </c>
      <c r="N1304" t="s">
        <v>62</v>
      </c>
      <c r="O1304" t="s">
        <v>3767</v>
      </c>
      <c r="P1304" t="s">
        <v>6525</v>
      </c>
      <c r="Q1304" t="s">
        <v>20</v>
      </c>
      <c r="R1304" t="s">
        <v>20</v>
      </c>
      <c r="S1304" t="s">
        <v>20</v>
      </c>
    </row>
    <row r="1305" spans="1:19" x14ac:dyDescent="0.45">
      <c r="A1305" t="s">
        <v>535</v>
      </c>
      <c r="B1305" t="s">
        <v>5049</v>
      </c>
      <c r="C1305" t="s">
        <v>536</v>
      </c>
      <c r="D1305" t="s">
        <v>537</v>
      </c>
      <c r="E1305" t="s">
        <v>21</v>
      </c>
      <c r="F1305" t="s">
        <v>2863</v>
      </c>
      <c r="G1305" t="s">
        <v>23</v>
      </c>
      <c r="H1305" t="s">
        <v>5050</v>
      </c>
      <c r="I1305" t="s">
        <v>5051</v>
      </c>
      <c r="J1305" t="s">
        <v>5052</v>
      </c>
      <c r="K1305" t="s">
        <v>5053</v>
      </c>
      <c r="L1305" t="s">
        <v>895</v>
      </c>
      <c r="M1305" t="s">
        <v>2953</v>
      </c>
      <c r="N1305" t="s">
        <v>3389</v>
      </c>
      <c r="O1305" t="s">
        <v>3767</v>
      </c>
      <c r="P1305" t="s">
        <v>895</v>
      </c>
      <c r="Q1305" t="s">
        <v>20</v>
      </c>
      <c r="R1305" t="s">
        <v>20</v>
      </c>
      <c r="S1305" t="s">
        <v>20</v>
      </c>
    </row>
    <row r="1306" spans="1:19" x14ac:dyDescent="0.45">
      <c r="A1306" t="s">
        <v>211</v>
      </c>
      <c r="B1306" t="s">
        <v>14186</v>
      </c>
      <c r="C1306" t="s">
        <v>1402</v>
      </c>
      <c r="D1306" t="s">
        <v>1403</v>
      </c>
      <c r="E1306" t="s">
        <v>57</v>
      </c>
      <c r="F1306" t="s">
        <v>2795</v>
      </c>
      <c r="G1306" t="s">
        <v>23</v>
      </c>
      <c r="H1306" t="s">
        <v>1404</v>
      </c>
      <c r="I1306" t="s">
        <v>1405</v>
      </c>
      <c r="J1306" t="s">
        <v>1406</v>
      </c>
      <c r="K1306" t="s">
        <v>1407</v>
      </c>
      <c r="L1306" t="s">
        <v>6525</v>
      </c>
      <c r="M1306" t="s">
        <v>102</v>
      </c>
      <c r="N1306" t="s">
        <v>62</v>
      </c>
      <c r="O1306" t="s">
        <v>3767</v>
      </c>
      <c r="P1306" t="s">
        <v>11782</v>
      </c>
      <c r="Q1306" t="s">
        <v>20</v>
      </c>
      <c r="R1306" t="s">
        <v>20</v>
      </c>
      <c r="S1306" t="s">
        <v>20</v>
      </c>
    </row>
    <row r="1307" spans="1:19" x14ac:dyDescent="0.45">
      <c r="A1307" t="s">
        <v>276</v>
      </c>
      <c r="B1307" t="s">
        <v>4532</v>
      </c>
      <c r="C1307" t="s">
        <v>4084</v>
      </c>
      <c r="D1307" t="s">
        <v>4085</v>
      </c>
      <c r="E1307" t="s">
        <v>29</v>
      </c>
      <c r="F1307" t="s">
        <v>2755</v>
      </c>
      <c r="G1307" t="s">
        <v>23</v>
      </c>
      <c r="H1307" t="s">
        <v>4533</v>
      </c>
      <c r="I1307" t="s">
        <v>4534</v>
      </c>
      <c r="J1307" t="s">
        <v>4535</v>
      </c>
      <c r="K1307" t="s">
        <v>4536</v>
      </c>
      <c r="L1307" t="s">
        <v>31</v>
      </c>
      <c r="M1307" t="s">
        <v>2760</v>
      </c>
      <c r="N1307" t="s">
        <v>195</v>
      </c>
      <c r="O1307" t="s">
        <v>3767</v>
      </c>
      <c r="P1307" t="s">
        <v>194</v>
      </c>
      <c r="Q1307" t="s">
        <v>20</v>
      </c>
      <c r="R1307" t="s">
        <v>20</v>
      </c>
      <c r="S1307" t="s">
        <v>20</v>
      </c>
    </row>
    <row r="1308" spans="1:19" x14ac:dyDescent="0.45">
      <c r="A1308" t="s">
        <v>276</v>
      </c>
      <c r="B1308" t="s">
        <v>4083</v>
      </c>
      <c r="C1308" t="s">
        <v>4084</v>
      </c>
      <c r="D1308" t="s">
        <v>4085</v>
      </c>
      <c r="E1308" t="s">
        <v>29</v>
      </c>
      <c r="F1308" t="s">
        <v>4086</v>
      </c>
      <c r="G1308" t="s">
        <v>23</v>
      </c>
      <c r="H1308" t="s">
        <v>4087</v>
      </c>
      <c r="I1308" t="s">
        <v>4088</v>
      </c>
      <c r="J1308" t="s">
        <v>4089</v>
      </c>
      <c r="K1308" t="s">
        <v>4090</v>
      </c>
      <c r="L1308" t="s">
        <v>504</v>
      </c>
      <c r="M1308" t="s">
        <v>2760</v>
      </c>
      <c r="N1308" t="s">
        <v>45</v>
      </c>
      <c r="O1308" t="s">
        <v>3767</v>
      </c>
      <c r="P1308" t="s">
        <v>194</v>
      </c>
      <c r="Q1308" t="s">
        <v>20</v>
      </c>
      <c r="R1308" t="s">
        <v>20</v>
      </c>
      <c r="S1308" t="s">
        <v>20</v>
      </c>
    </row>
    <row r="1309" spans="1:19" hidden="1" x14ac:dyDescent="0.45">
      <c r="A1309" t="s">
        <v>1980</v>
      </c>
      <c r="B1309" t="s">
        <v>14657</v>
      </c>
      <c r="C1309" t="s">
        <v>7229</v>
      </c>
      <c r="D1309" t="s">
        <v>6294</v>
      </c>
      <c r="E1309" t="s">
        <v>2487</v>
      </c>
      <c r="F1309" t="s">
        <v>12245</v>
      </c>
      <c r="G1309" t="s">
        <v>23</v>
      </c>
      <c r="H1309" t="s">
        <v>7230</v>
      </c>
      <c r="I1309" t="s">
        <v>7231</v>
      </c>
      <c r="J1309" t="s">
        <v>7232</v>
      </c>
      <c r="K1309" t="s">
        <v>7233</v>
      </c>
      <c r="L1309" t="s">
        <v>3418</v>
      </c>
      <c r="M1309" t="s">
        <v>12246</v>
      </c>
      <c r="N1309" t="s">
        <v>62</v>
      </c>
      <c r="O1309" t="s">
        <v>3767</v>
      </c>
      <c r="P1309" t="s">
        <v>6524</v>
      </c>
      <c r="Q1309" t="s">
        <v>20</v>
      </c>
      <c r="R1309" t="s">
        <v>20</v>
      </c>
      <c r="S1309" t="s">
        <v>12271</v>
      </c>
    </row>
    <row r="1310" spans="1:19" hidden="1" x14ac:dyDescent="0.45">
      <c r="A1310" t="s">
        <v>19</v>
      </c>
      <c r="B1310" t="s">
        <v>4652</v>
      </c>
      <c r="C1310" t="s">
        <v>294</v>
      </c>
      <c r="D1310" t="s">
        <v>295</v>
      </c>
      <c r="E1310" t="s">
        <v>38</v>
      </c>
      <c r="F1310" t="s">
        <v>14308</v>
      </c>
      <c r="G1310" t="s">
        <v>23</v>
      </c>
      <c r="H1310" t="s">
        <v>4653</v>
      </c>
      <c r="I1310" t="s">
        <v>4654</v>
      </c>
      <c r="J1310" t="s">
        <v>4655</v>
      </c>
      <c r="K1310" t="s">
        <v>4656</v>
      </c>
      <c r="L1310" t="s">
        <v>131</v>
      </c>
      <c r="M1310" t="s">
        <v>2760</v>
      </c>
      <c r="N1310" t="s">
        <v>62</v>
      </c>
      <c r="O1310" t="s">
        <v>3767</v>
      </c>
      <c r="P1310" t="s">
        <v>296</v>
      </c>
      <c r="Q1310" t="s">
        <v>20</v>
      </c>
      <c r="R1310" t="s">
        <v>20</v>
      </c>
      <c r="S1310" t="s">
        <v>20</v>
      </c>
    </row>
    <row r="1311" spans="1:19" hidden="1" x14ac:dyDescent="0.45">
      <c r="A1311" t="s">
        <v>19</v>
      </c>
      <c r="B1311" t="s">
        <v>3865</v>
      </c>
      <c r="C1311" t="s">
        <v>294</v>
      </c>
      <c r="D1311" t="s">
        <v>295</v>
      </c>
      <c r="E1311" t="s">
        <v>57</v>
      </c>
      <c r="F1311" t="s">
        <v>2795</v>
      </c>
      <c r="G1311" t="s">
        <v>23</v>
      </c>
      <c r="H1311" t="s">
        <v>3866</v>
      </c>
      <c r="I1311" t="s">
        <v>3867</v>
      </c>
      <c r="J1311" t="s">
        <v>3868</v>
      </c>
      <c r="K1311" t="s">
        <v>3869</v>
      </c>
      <c r="L1311" t="s">
        <v>53</v>
      </c>
      <c r="M1311" t="s">
        <v>2760</v>
      </c>
      <c r="N1311" t="s">
        <v>62</v>
      </c>
      <c r="O1311" t="s">
        <v>3767</v>
      </c>
      <c r="P1311" t="s">
        <v>168</v>
      </c>
      <c r="Q1311" t="s">
        <v>20</v>
      </c>
      <c r="R1311" t="s">
        <v>20</v>
      </c>
      <c r="S1311" t="s">
        <v>20</v>
      </c>
    </row>
    <row r="1312" spans="1:19" hidden="1" x14ac:dyDescent="0.45">
      <c r="A1312" t="s">
        <v>114</v>
      </c>
      <c r="B1312" t="s">
        <v>11664</v>
      </c>
      <c r="C1312" t="s">
        <v>3394</v>
      </c>
      <c r="D1312" t="s">
        <v>3395</v>
      </c>
      <c r="E1312" t="s">
        <v>38</v>
      </c>
      <c r="F1312" t="s">
        <v>3062</v>
      </c>
      <c r="G1312" t="s">
        <v>23</v>
      </c>
      <c r="H1312" t="s">
        <v>7313</v>
      </c>
      <c r="I1312" t="s">
        <v>7314</v>
      </c>
      <c r="J1312" t="s">
        <v>7315</v>
      </c>
      <c r="K1312" t="s">
        <v>7316</v>
      </c>
      <c r="L1312" t="s">
        <v>8109</v>
      </c>
      <c r="M1312" t="s">
        <v>2760</v>
      </c>
      <c r="N1312" t="s">
        <v>45</v>
      </c>
      <c r="O1312" t="s">
        <v>3767</v>
      </c>
      <c r="P1312" t="s">
        <v>8109</v>
      </c>
      <c r="Q1312" t="s">
        <v>20</v>
      </c>
      <c r="R1312" t="s">
        <v>20</v>
      </c>
      <c r="S1312" t="s">
        <v>20</v>
      </c>
    </row>
    <row r="1313" spans="1:19" hidden="1" x14ac:dyDescent="0.45">
      <c r="A1313" t="s">
        <v>104</v>
      </c>
      <c r="B1313" t="s">
        <v>4097</v>
      </c>
      <c r="C1313" t="s">
        <v>4098</v>
      </c>
      <c r="D1313" t="s">
        <v>4099</v>
      </c>
      <c r="E1313" t="s">
        <v>38</v>
      </c>
      <c r="F1313" t="s">
        <v>3800</v>
      </c>
      <c r="G1313" t="s">
        <v>23</v>
      </c>
      <c r="H1313" t="s">
        <v>4100</v>
      </c>
      <c r="I1313" t="s">
        <v>4101</v>
      </c>
      <c r="J1313" t="s">
        <v>4102</v>
      </c>
      <c r="K1313" t="s">
        <v>4103</v>
      </c>
      <c r="L1313" t="s">
        <v>118</v>
      </c>
      <c r="M1313" t="s">
        <v>132</v>
      </c>
      <c r="N1313" t="s">
        <v>62</v>
      </c>
      <c r="O1313" t="s">
        <v>3767</v>
      </c>
      <c r="P1313" t="s">
        <v>118</v>
      </c>
      <c r="Q1313" t="s">
        <v>20</v>
      </c>
      <c r="R1313" t="s">
        <v>20</v>
      </c>
      <c r="S1313" t="s">
        <v>20</v>
      </c>
    </row>
    <row r="1314" spans="1:19" hidden="1" x14ac:dyDescent="0.45">
      <c r="A1314" t="s">
        <v>662</v>
      </c>
      <c r="B1314" t="s">
        <v>4188</v>
      </c>
      <c r="C1314" t="s">
        <v>4189</v>
      </c>
      <c r="D1314" t="s">
        <v>4190</v>
      </c>
      <c r="E1314" t="s">
        <v>38</v>
      </c>
      <c r="F1314" t="s">
        <v>2904</v>
      </c>
      <c r="G1314" t="s">
        <v>23</v>
      </c>
      <c r="H1314" t="s">
        <v>4191</v>
      </c>
      <c r="I1314" t="s">
        <v>4192</v>
      </c>
      <c r="J1314" t="s">
        <v>4193</v>
      </c>
      <c r="K1314" t="s">
        <v>4194</v>
      </c>
      <c r="L1314" t="s">
        <v>296</v>
      </c>
      <c r="M1314" t="s">
        <v>2760</v>
      </c>
      <c r="N1314" t="s">
        <v>62</v>
      </c>
      <c r="O1314" t="s">
        <v>3767</v>
      </c>
      <c r="P1314" t="s">
        <v>296</v>
      </c>
      <c r="Q1314" t="s">
        <v>20</v>
      </c>
      <c r="R1314" t="s">
        <v>20</v>
      </c>
      <c r="S1314" t="s">
        <v>20</v>
      </c>
    </row>
    <row r="1315" spans="1:19" hidden="1" x14ac:dyDescent="0.45">
      <c r="A1315" t="s">
        <v>662</v>
      </c>
      <c r="B1315" t="s">
        <v>4576</v>
      </c>
      <c r="C1315" t="s">
        <v>4189</v>
      </c>
      <c r="D1315" t="s">
        <v>4190</v>
      </c>
      <c r="E1315" t="s">
        <v>38</v>
      </c>
      <c r="F1315" t="s">
        <v>2904</v>
      </c>
      <c r="G1315" t="s">
        <v>23</v>
      </c>
      <c r="H1315" t="s">
        <v>4577</v>
      </c>
      <c r="I1315" t="s">
        <v>4578</v>
      </c>
      <c r="J1315" t="s">
        <v>4579</v>
      </c>
      <c r="K1315" t="s">
        <v>4580</v>
      </c>
      <c r="L1315" t="s">
        <v>296</v>
      </c>
      <c r="M1315" t="s">
        <v>2760</v>
      </c>
      <c r="N1315" t="s">
        <v>62</v>
      </c>
      <c r="O1315" t="s">
        <v>3767</v>
      </c>
      <c r="P1315" t="s">
        <v>635</v>
      </c>
      <c r="Q1315" t="s">
        <v>20</v>
      </c>
      <c r="R1315" t="s">
        <v>20</v>
      </c>
      <c r="S1315" t="s">
        <v>20</v>
      </c>
    </row>
    <row r="1316" spans="1:19" hidden="1" x14ac:dyDescent="0.45">
      <c r="A1316" t="s">
        <v>239</v>
      </c>
      <c r="B1316" t="s">
        <v>4175</v>
      </c>
      <c r="C1316" t="s">
        <v>4176</v>
      </c>
      <c r="D1316" t="s">
        <v>4177</v>
      </c>
      <c r="E1316" t="s">
        <v>38</v>
      </c>
      <c r="F1316" t="s">
        <v>2787</v>
      </c>
      <c r="G1316" t="s">
        <v>23</v>
      </c>
      <c r="H1316" t="s">
        <v>4178</v>
      </c>
      <c r="I1316" t="s">
        <v>4179</v>
      </c>
      <c r="J1316" t="s">
        <v>4180</v>
      </c>
      <c r="K1316" t="s">
        <v>4181</v>
      </c>
      <c r="L1316" t="s">
        <v>214</v>
      </c>
      <c r="M1316" t="s">
        <v>2760</v>
      </c>
      <c r="N1316" t="s">
        <v>113</v>
      </c>
      <c r="O1316" t="s">
        <v>3767</v>
      </c>
      <c r="P1316" t="s">
        <v>1125</v>
      </c>
      <c r="Q1316" t="s">
        <v>20</v>
      </c>
      <c r="R1316" t="s">
        <v>20</v>
      </c>
      <c r="S1316" t="s">
        <v>20</v>
      </c>
    </row>
    <row r="1317" spans="1:19" hidden="1" x14ac:dyDescent="0.45">
      <c r="A1317" t="s">
        <v>239</v>
      </c>
      <c r="B1317" t="s">
        <v>14231</v>
      </c>
      <c r="C1317" t="s">
        <v>4176</v>
      </c>
      <c r="D1317" t="s">
        <v>4177</v>
      </c>
      <c r="E1317" t="s">
        <v>21</v>
      </c>
      <c r="F1317" t="s">
        <v>2785</v>
      </c>
      <c r="G1317" t="s">
        <v>23</v>
      </c>
      <c r="H1317" t="s">
        <v>4863</v>
      </c>
      <c r="I1317" t="s">
        <v>4864</v>
      </c>
      <c r="J1317" t="s">
        <v>4865</v>
      </c>
      <c r="K1317" t="s">
        <v>4866</v>
      </c>
      <c r="L1317" t="s">
        <v>677</v>
      </c>
      <c r="M1317" t="s">
        <v>1223</v>
      </c>
      <c r="N1317" t="s">
        <v>678</v>
      </c>
      <c r="O1317" t="s">
        <v>3767</v>
      </c>
      <c r="P1317" t="s">
        <v>161</v>
      </c>
      <c r="Q1317" t="s">
        <v>20</v>
      </c>
      <c r="R1317" t="s">
        <v>20</v>
      </c>
      <c r="S1317" t="s">
        <v>20</v>
      </c>
    </row>
    <row r="1318" spans="1:19" hidden="1" x14ac:dyDescent="0.45">
      <c r="A1318" t="s">
        <v>379</v>
      </c>
      <c r="B1318" t="s">
        <v>9913</v>
      </c>
      <c r="C1318" t="s">
        <v>4316</v>
      </c>
      <c r="D1318" t="s">
        <v>4317</v>
      </c>
      <c r="E1318" t="s">
        <v>38</v>
      </c>
      <c r="F1318" t="s">
        <v>2863</v>
      </c>
      <c r="G1318" t="s">
        <v>23</v>
      </c>
      <c r="H1318" t="s">
        <v>7793</v>
      </c>
      <c r="I1318" t="s">
        <v>7794</v>
      </c>
      <c r="J1318" t="s">
        <v>7795</v>
      </c>
      <c r="K1318" t="s">
        <v>7796</v>
      </c>
      <c r="L1318" t="s">
        <v>722</v>
      </c>
      <c r="M1318" t="s">
        <v>2760</v>
      </c>
      <c r="N1318" t="s">
        <v>113</v>
      </c>
      <c r="O1318" t="s">
        <v>3767</v>
      </c>
      <c r="P1318" t="s">
        <v>6522</v>
      </c>
      <c r="Q1318" t="s">
        <v>20</v>
      </c>
      <c r="R1318" t="s">
        <v>20</v>
      </c>
      <c r="S1318" t="s">
        <v>20</v>
      </c>
    </row>
    <row r="1319" spans="1:19" hidden="1" x14ac:dyDescent="0.45">
      <c r="A1319" t="s">
        <v>379</v>
      </c>
      <c r="B1319" t="s">
        <v>4605</v>
      </c>
      <c r="C1319" t="s">
        <v>4316</v>
      </c>
      <c r="D1319" t="s">
        <v>4317</v>
      </c>
      <c r="E1319" t="s">
        <v>57</v>
      </c>
      <c r="F1319" t="s">
        <v>2837</v>
      </c>
      <c r="G1319" t="s">
        <v>23</v>
      </c>
      <c r="H1319" t="s">
        <v>4606</v>
      </c>
      <c r="I1319" t="s">
        <v>4607</v>
      </c>
      <c r="J1319" t="s">
        <v>4608</v>
      </c>
      <c r="K1319" t="s">
        <v>4609</v>
      </c>
      <c r="L1319" t="s">
        <v>111</v>
      </c>
      <c r="M1319" t="s">
        <v>102</v>
      </c>
      <c r="N1319" t="s">
        <v>1224</v>
      </c>
      <c r="O1319" t="s">
        <v>3767</v>
      </c>
      <c r="P1319" t="s">
        <v>111</v>
      </c>
      <c r="Q1319" t="s">
        <v>20</v>
      </c>
      <c r="R1319" t="s">
        <v>20</v>
      </c>
      <c r="S1319" t="s">
        <v>20</v>
      </c>
    </row>
    <row r="1320" spans="1:19" hidden="1" x14ac:dyDescent="0.45">
      <c r="A1320" t="s">
        <v>525</v>
      </c>
      <c r="B1320" t="s">
        <v>4318</v>
      </c>
      <c r="C1320" t="s">
        <v>595</v>
      </c>
      <c r="D1320" t="s">
        <v>596</v>
      </c>
      <c r="E1320" t="s">
        <v>57</v>
      </c>
      <c r="F1320" t="s">
        <v>2795</v>
      </c>
      <c r="G1320" t="s">
        <v>23</v>
      </c>
      <c r="H1320" t="s">
        <v>4319</v>
      </c>
      <c r="I1320" t="s">
        <v>4320</v>
      </c>
      <c r="J1320" t="s">
        <v>4321</v>
      </c>
      <c r="K1320" t="s">
        <v>4322</v>
      </c>
      <c r="L1320" t="s">
        <v>161</v>
      </c>
      <c r="M1320" t="s">
        <v>2760</v>
      </c>
      <c r="N1320" t="s">
        <v>146</v>
      </c>
      <c r="O1320" t="s">
        <v>3767</v>
      </c>
      <c r="P1320" t="s">
        <v>296</v>
      </c>
      <c r="Q1320" t="s">
        <v>20</v>
      </c>
      <c r="R1320" t="s">
        <v>20</v>
      </c>
      <c r="S1320" t="s">
        <v>20</v>
      </c>
    </row>
    <row r="1321" spans="1:19" hidden="1" x14ac:dyDescent="0.45">
      <c r="A1321" t="s">
        <v>310</v>
      </c>
      <c r="B1321" t="s">
        <v>8576</v>
      </c>
      <c r="C1321" t="s">
        <v>1717</v>
      </c>
      <c r="D1321" t="s">
        <v>1718</v>
      </c>
      <c r="E1321" t="s">
        <v>29</v>
      </c>
      <c r="F1321" t="s">
        <v>3182</v>
      </c>
      <c r="G1321" t="s">
        <v>23</v>
      </c>
      <c r="H1321" t="s">
        <v>1719</v>
      </c>
      <c r="I1321" t="s">
        <v>594</v>
      </c>
      <c r="J1321" t="s">
        <v>1720</v>
      </c>
      <c r="K1321" t="s">
        <v>1721</v>
      </c>
      <c r="L1321" t="s">
        <v>31</v>
      </c>
      <c r="M1321" t="s">
        <v>2953</v>
      </c>
      <c r="N1321" t="s">
        <v>33</v>
      </c>
      <c r="O1321" t="s">
        <v>3767</v>
      </c>
      <c r="P1321" t="s">
        <v>5398</v>
      </c>
      <c r="Q1321" t="s">
        <v>20</v>
      </c>
      <c r="R1321" t="s">
        <v>20</v>
      </c>
      <c r="S1321" t="s">
        <v>20</v>
      </c>
    </row>
    <row r="1322" spans="1:19" hidden="1" x14ac:dyDescent="0.45">
      <c r="A1322" t="s">
        <v>19</v>
      </c>
      <c r="B1322" t="s">
        <v>4475</v>
      </c>
      <c r="C1322" t="s">
        <v>4476</v>
      </c>
      <c r="D1322" t="s">
        <v>4477</v>
      </c>
      <c r="E1322" t="s">
        <v>57</v>
      </c>
      <c r="F1322" t="s">
        <v>13978</v>
      </c>
      <c r="G1322" t="s">
        <v>23</v>
      </c>
      <c r="H1322" t="s">
        <v>4478</v>
      </c>
      <c r="I1322" t="s">
        <v>4479</v>
      </c>
      <c r="J1322" t="s">
        <v>4480</v>
      </c>
      <c r="K1322" t="s">
        <v>4481</v>
      </c>
      <c r="L1322" t="s">
        <v>118</v>
      </c>
      <c r="M1322" t="s">
        <v>297</v>
      </c>
      <c r="N1322" t="s">
        <v>195</v>
      </c>
      <c r="O1322" t="s">
        <v>3767</v>
      </c>
      <c r="P1322" t="s">
        <v>296</v>
      </c>
      <c r="Q1322" t="s">
        <v>20</v>
      </c>
      <c r="R1322" t="s">
        <v>20</v>
      </c>
      <c r="S1322" t="s">
        <v>20</v>
      </c>
    </row>
    <row r="1323" spans="1:19" hidden="1" x14ac:dyDescent="0.45">
      <c r="A1323" t="s">
        <v>572</v>
      </c>
      <c r="B1323" t="s">
        <v>14187</v>
      </c>
      <c r="C1323" t="s">
        <v>1398</v>
      </c>
      <c r="D1323" t="s">
        <v>1399</v>
      </c>
      <c r="E1323" t="s">
        <v>57</v>
      </c>
      <c r="F1323" t="s">
        <v>3891</v>
      </c>
      <c r="G1323" t="s">
        <v>23</v>
      </c>
      <c r="H1323" t="s">
        <v>7253</v>
      </c>
      <c r="I1323" t="s">
        <v>7254</v>
      </c>
      <c r="J1323" t="s">
        <v>7255</v>
      </c>
      <c r="K1323" t="s">
        <v>7256</v>
      </c>
      <c r="L1323" t="s">
        <v>8094</v>
      </c>
      <c r="M1323" t="s">
        <v>102</v>
      </c>
      <c r="N1323" t="s">
        <v>62</v>
      </c>
      <c r="O1323" t="s">
        <v>3767</v>
      </c>
      <c r="P1323" t="s">
        <v>8094</v>
      </c>
      <c r="Q1323" t="s">
        <v>20</v>
      </c>
      <c r="R1323" t="s">
        <v>20</v>
      </c>
      <c r="S1323" t="s">
        <v>20</v>
      </c>
    </row>
    <row r="1324" spans="1:19" hidden="1" x14ac:dyDescent="0.45">
      <c r="A1324" t="s">
        <v>809</v>
      </c>
      <c r="B1324" t="s">
        <v>13980</v>
      </c>
      <c r="C1324" t="s">
        <v>1259</v>
      </c>
      <c r="D1324" t="s">
        <v>1260</v>
      </c>
      <c r="E1324" t="s">
        <v>38</v>
      </c>
      <c r="F1324" t="s">
        <v>3062</v>
      </c>
      <c r="G1324" t="s">
        <v>23</v>
      </c>
      <c r="H1324" t="s">
        <v>13981</v>
      </c>
      <c r="I1324" t="s">
        <v>13982</v>
      </c>
      <c r="J1324" t="s">
        <v>13983</v>
      </c>
      <c r="K1324" t="s">
        <v>13984</v>
      </c>
      <c r="L1324" t="s">
        <v>3998</v>
      </c>
      <c r="M1324" t="s">
        <v>3840</v>
      </c>
      <c r="N1324" t="s">
        <v>1224</v>
      </c>
      <c r="O1324" t="s">
        <v>3767</v>
      </c>
      <c r="P1324" t="s">
        <v>3998</v>
      </c>
      <c r="Q1324" t="s">
        <v>20</v>
      </c>
      <c r="R1324" t="s">
        <v>20</v>
      </c>
      <c r="S1324" t="s">
        <v>20</v>
      </c>
    </row>
    <row r="1325" spans="1:19" hidden="1" x14ac:dyDescent="0.45">
      <c r="A1325" t="s">
        <v>64</v>
      </c>
      <c r="B1325" t="s">
        <v>11956</v>
      </c>
      <c r="C1325" t="s">
        <v>1833</v>
      </c>
      <c r="D1325" t="s">
        <v>1834</v>
      </c>
      <c r="E1325" t="s">
        <v>38</v>
      </c>
      <c r="F1325" t="s">
        <v>2785</v>
      </c>
      <c r="G1325" t="s">
        <v>23</v>
      </c>
      <c r="H1325" t="s">
        <v>11957</v>
      </c>
      <c r="I1325" t="s">
        <v>11958</v>
      </c>
      <c r="J1325" t="s">
        <v>11959</v>
      </c>
      <c r="K1325" t="s">
        <v>11960</v>
      </c>
      <c r="L1325" t="s">
        <v>3998</v>
      </c>
      <c r="M1325" t="s">
        <v>2760</v>
      </c>
      <c r="N1325" t="s">
        <v>146</v>
      </c>
      <c r="O1325" t="s">
        <v>3767</v>
      </c>
      <c r="P1325" t="s">
        <v>8377</v>
      </c>
      <c r="Q1325" t="s">
        <v>20</v>
      </c>
      <c r="R1325" t="s">
        <v>20</v>
      </c>
      <c r="S1325" t="s">
        <v>20</v>
      </c>
    </row>
    <row r="1326" spans="1:19" hidden="1" x14ac:dyDescent="0.45">
      <c r="A1326" t="s">
        <v>64</v>
      </c>
      <c r="B1326" t="s">
        <v>4581</v>
      </c>
      <c r="C1326" t="s">
        <v>1833</v>
      </c>
      <c r="D1326" t="s">
        <v>1834</v>
      </c>
      <c r="E1326" t="s">
        <v>38</v>
      </c>
      <c r="F1326" t="s">
        <v>2904</v>
      </c>
      <c r="G1326" t="s">
        <v>23</v>
      </c>
      <c r="H1326" t="s">
        <v>4582</v>
      </c>
      <c r="I1326" t="s">
        <v>4583</v>
      </c>
      <c r="J1326" t="s">
        <v>4584</v>
      </c>
      <c r="K1326" t="s">
        <v>4585</v>
      </c>
      <c r="L1326" t="s">
        <v>131</v>
      </c>
      <c r="M1326" t="s">
        <v>2760</v>
      </c>
      <c r="N1326" t="s">
        <v>195</v>
      </c>
      <c r="O1326" t="s">
        <v>3767</v>
      </c>
      <c r="P1326" t="s">
        <v>118</v>
      </c>
      <c r="Q1326" t="s">
        <v>20</v>
      </c>
      <c r="R1326" t="s">
        <v>20</v>
      </c>
      <c r="S1326" t="s">
        <v>20</v>
      </c>
    </row>
    <row r="1327" spans="1:19" hidden="1" x14ac:dyDescent="0.45">
      <c r="A1327" t="s">
        <v>64</v>
      </c>
      <c r="B1327" t="s">
        <v>4558</v>
      </c>
      <c r="C1327" t="s">
        <v>1833</v>
      </c>
      <c r="D1327" t="s">
        <v>1834</v>
      </c>
      <c r="E1327" t="s">
        <v>38</v>
      </c>
      <c r="F1327" t="s">
        <v>3182</v>
      </c>
      <c r="G1327" t="s">
        <v>23</v>
      </c>
      <c r="H1327" t="s">
        <v>4559</v>
      </c>
      <c r="I1327" t="s">
        <v>4560</v>
      </c>
      <c r="J1327" t="s">
        <v>4561</v>
      </c>
      <c r="K1327" t="s">
        <v>4562</v>
      </c>
      <c r="L1327" t="s">
        <v>635</v>
      </c>
      <c r="M1327" t="s">
        <v>2760</v>
      </c>
      <c r="N1327" t="s">
        <v>33</v>
      </c>
      <c r="O1327" t="s">
        <v>3767</v>
      </c>
      <c r="P1327" t="s">
        <v>296</v>
      </c>
      <c r="Q1327" t="s">
        <v>20</v>
      </c>
      <c r="R1327" t="s">
        <v>20</v>
      </c>
      <c r="S1327" t="s">
        <v>20</v>
      </c>
    </row>
    <row r="1328" spans="1:19" hidden="1" x14ac:dyDescent="0.45">
      <c r="A1328" t="s">
        <v>511</v>
      </c>
      <c r="B1328" t="s">
        <v>3521</v>
      </c>
      <c r="C1328" t="s">
        <v>3522</v>
      </c>
      <c r="D1328" t="s">
        <v>3523</v>
      </c>
      <c r="E1328" t="s">
        <v>21</v>
      </c>
      <c r="F1328" t="s">
        <v>2722</v>
      </c>
      <c r="G1328" t="s">
        <v>23</v>
      </c>
      <c r="H1328" t="s">
        <v>3524</v>
      </c>
      <c r="I1328" t="s">
        <v>3525</v>
      </c>
      <c r="J1328" t="s">
        <v>3526</v>
      </c>
      <c r="K1328" t="s">
        <v>3527</v>
      </c>
      <c r="L1328" t="s">
        <v>722</v>
      </c>
      <c r="M1328" t="s">
        <v>1223</v>
      </c>
      <c r="N1328" t="s">
        <v>2727</v>
      </c>
      <c r="O1328" t="s">
        <v>3767</v>
      </c>
      <c r="P1328" t="s">
        <v>168</v>
      </c>
      <c r="Q1328" t="s">
        <v>20</v>
      </c>
      <c r="R1328" t="s">
        <v>20</v>
      </c>
      <c r="S1328" t="s">
        <v>20</v>
      </c>
    </row>
    <row r="1329" spans="1:19" hidden="1" x14ac:dyDescent="0.45">
      <c r="A1329" t="s">
        <v>1189</v>
      </c>
      <c r="B1329" t="s">
        <v>14320</v>
      </c>
      <c r="C1329" t="s">
        <v>13901</v>
      </c>
      <c r="D1329" t="s">
        <v>517</v>
      </c>
      <c r="E1329" t="s">
        <v>38</v>
      </c>
      <c r="F1329" t="s">
        <v>2948</v>
      </c>
      <c r="G1329" t="s">
        <v>23</v>
      </c>
      <c r="H1329" t="s">
        <v>13902</v>
      </c>
      <c r="I1329" t="s">
        <v>13903</v>
      </c>
      <c r="J1329" t="s">
        <v>13904</v>
      </c>
      <c r="K1329" t="s">
        <v>13905</v>
      </c>
      <c r="L1329" t="s">
        <v>3418</v>
      </c>
      <c r="M1329" t="s">
        <v>2760</v>
      </c>
      <c r="N1329" t="s">
        <v>62</v>
      </c>
      <c r="O1329" t="s">
        <v>3767</v>
      </c>
      <c r="P1329" t="s">
        <v>6525</v>
      </c>
      <c r="Q1329" t="s">
        <v>20</v>
      </c>
      <c r="R1329" t="s">
        <v>20</v>
      </c>
      <c r="S1329" t="s">
        <v>20</v>
      </c>
    </row>
    <row r="1330" spans="1:19" hidden="1" x14ac:dyDescent="0.45">
      <c r="A1330" t="s">
        <v>1980</v>
      </c>
      <c r="B1330" t="s">
        <v>13047</v>
      </c>
      <c r="C1330" t="s">
        <v>1981</v>
      </c>
      <c r="D1330" t="s">
        <v>1982</v>
      </c>
      <c r="E1330" t="s">
        <v>38</v>
      </c>
      <c r="F1330" t="s">
        <v>3568</v>
      </c>
      <c r="G1330" t="s">
        <v>23</v>
      </c>
      <c r="H1330" t="s">
        <v>1983</v>
      </c>
      <c r="I1330" t="s">
        <v>1984</v>
      </c>
      <c r="J1330" t="s">
        <v>1985</v>
      </c>
      <c r="K1330" t="s">
        <v>52</v>
      </c>
      <c r="L1330" t="s">
        <v>9155</v>
      </c>
      <c r="M1330" t="s">
        <v>12246</v>
      </c>
      <c r="N1330" t="s">
        <v>1224</v>
      </c>
      <c r="O1330" t="s">
        <v>3767</v>
      </c>
      <c r="P1330" t="s">
        <v>3998</v>
      </c>
      <c r="Q1330" t="s">
        <v>20</v>
      </c>
      <c r="R1330" t="s">
        <v>20</v>
      </c>
      <c r="S1330" t="s">
        <v>12903</v>
      </c>
    </row>
    <row r="1331" spans="1:19" hidden="1" x14ac:dyDescent="0.45">
      <c r="A1331" t="s">
        <v>211</v>
      </c>
      <c r="B1331" t="s">
        <v>10676</v>
      </c>
      <c r="C1331" t="s">
        <v>2466</v>
      </c>
      <c r="D1331" t="s">
        <v>2467</v>
      </c>
      <c r="E1331" t="s">
        <v>38</v>
      </c>
      <c r="F1331" t="s">
        <v>3062</v>
      </c>
      <c r="G1331" t="s">
        <v>23</v>
      </c>
      <c r="H1331" t="s">
        <v>9026</v>
      </c>
      <c r="I1331" t="s">
        <v>9224</v>
      </c>
      <c r="J1331" t="s">
        <v>9225</v>
      </c>
      <c r="K1331" t="s">
        <v>9226</v>
      </c>
      <c r="L1331" t="s">
        <v>2769</v>
      </c>
      <c r="M1331" t="s">
        <v>102</v>
      </c>
      <c r="N1331" t="s">
        <v>146</v>
      </c>
      <c r="O1331" t="s">
        <v>3767</v>
      </c>
      <c r="P1331" t="s">
        <v>6522</v>
      </c>
      <c r="Q1331" t="s">
        <v>20</v>
      </c>
      <c r="R1331" t="s">
        <v>20</v>
      </c>
      <c r="S1331" t="s">
        <v>20</v>
      </c>
    </row>
    <row r="1332" spans="1:19" hidden="1" x14ac:dyDescent="0.45">
      <c r="A1332" t="s">
        <v>71</v>
      </c>
      <c r="B1332" t="s">
        <v>10637</v>
      </c>
      <c r="C1332" t="s">
        <v>877</v>
      </c>
      <c r="D1332" t="s">
        <v>878</v>
      </c>
      <c r="E1332" t="s">
        <v>57</v>
      </c>
      <c r="F1332" t="s">
        <v>3891</v>
      </c>
      <c r="G1332" t="s">
        <v>23</v>
      </c>
      <c r="H1332" t="s">
        <v>6973</v>
      </c>
      <c r="I1332" t="s">
        <v>6974</v>
      </c>
      <c r="J1332" t="s">
        <v>6975</v>
      </c>
      <c r="K1332" t="s">
        <v>6976</v>
      </c>
      <c r="L1332" t="s">
        <v>2769</v>
      </c>
      <c r="M1332" t="s">
        <v>102</v>
      </c>
      <c r="N1332" t="s">
        <v>62</v>
      </c>
      <c r="O1332" t="s">
        <v>3767</v>
      </c>
      <c r="P1332" t="s">
        <v>6522</v>
      </c>
      <c r="Q1332" t="s">
        <v>20</v>
      </c>
      <c r="R1332" t="s">
        <v>20</v>
      </c>
      <c r="S1332" t="s">
        <v>20</v>
      </c>
    </row>
    <row r="1333" spans="1:19" hidden="1" x14ac:dyDescent="0.45">
      <c r="A1333" t="s">
        <v>35</v>
      </c>
      <c r="B1333" t="s">
        <v>4676</v>
      </c>
      <c r="C1333" t="s">
        <v>1868</v>
      </c>
      <c r="D1333" t="s">
        <v>1869</v>
      </c>
      <c r="E1333" t="s">
        <v>38</v>
      </c>
      <c r="F1333" t="s">
        <v>2948</v>
      </c>
      <c r="G1333" t="s">
        <v>23</v>
      </c>
      <c r="H1333" t="s">
        <v>4677</v>
      </c>
      <c r="I1333" t="s">
        <v>4678</v>
      </c>
      <c r="J1333" t="s">
        <v>4679</v>
      </c>
      <c r="K1333" t="s">
        <v>4680</v>
      </c>
      <c r="L1333" t="s">
        <v>168</v>
      </c>
      <c r="M1333" t="s">
        <v>2760</v>
      </c>
      <c r="N1333" t="s">
        <v>62</v>
      </c>
      <c r="O1333" t="s">
        <v>3767</v>
      </c>
      <c r="P1333" t="s">
        <v>168</v>
      </c>
      <c r="Q1333" t="s">
        <v>20</v>
      </c>
      <c r="R1333" t="s">
        <v>20</v>
      </c>
      <c r="S1333" t="s">
        <v>20</v>
      </c>
    </row>
    <row r="1334" spans="1:19" hidden="1" x14ac:dyDescent="0.45">
      <c r="A1334" t="s">
        <v>572</v>
      </c>
      <c r="B1334" t="s">
        <v>12954</v>
      </c>
      <c r="C1334" t="s">
        <v>2407</v>
      </c>
      <c r="D1334" t="s">
        <v>2408</v>
      </c>
      <c r="E1334" t="s">
        <v>57</v>
      </c>
      <c r="F1334" t="s">
        <v>4263</v>
      </c>
      <c r="G1334" t="s">
        <v>23</v>
      </c>
      <c r="H1334" t="s">
        <v>7760</v>
      </c>
      <c r="I1334" t="s">
        <v>7761</v>
      </c>
      <c r="J1334" t="s">
        <v>7762</v>
      </c>
      <c r="K1334" t="s">
        <v>7763</v>
      </c>
      <c r="L1334" t="s">
        <v>2769</v>
      </c>
      <c r="M1334" t="s">
        <v>2760</v>
      </c>
      <c r="N1334" t="s">
        <v>62</v>
      </c>
      <c r="O1334" t="s">
        <v>3767</v>
      </c>
      <c r="P1334" t="s">
        <v>6524</v>
      </c>
      <c r="Q1334" t="s">
        <v>20</v>
      </c>
      <c r="R1334" t="s">
        <v>20</v>
      </c>
      <c r="S1334" t="s">
        <v>20</v>
      </c>
    </row>
    <row r="1335" spans="1:19" hidden="1" x14ac:dyDescent="0.45">
      <c r="A1335" t="s">
        <v>572</v>
      </c>
      <c r="B1335" t="s">
        <v>4165</v>
      </c>
      <c r="C1335" t="s">
        <v>2407</v>
      </c>
      <c r="D1335" t="s">
        <v>2408</v>
      </c>
      <c r="E1335" t="s">
        <v>38</v>
      </c>
      <c r="F1335" t="s">
        <v>2785</v>
      </c>
      <c r="G1335" t="s">
        <v>23</v>
      </c>
      <c r="H1335" t="s">
        <v>4166</v>
      </c>
      <c r="I1335" t="s">
        <v>4167</v>
      </c>
      <c r="J1335" t="s">
        <v>4168</v>
      </c>
      <c r="K1335" t="s">
        <v>4169</v>
      </c>
      <c r="L1335" t="s">
        <v>118</v>
      </c>
      <c r="M1335" t="s">
        <v>297</v>
      </c>
      <c r="N1335" t="s">
        <v>146</v>
      </c>
      <c r="O1335" t="s">
        <v>3767</v>
      </c>
      <c r="P1335" t="s">
        <v>101</v>
      </c>
      <c r="Q1335" t="s">
        <v>20</v>
      </c>
      <c r="R1335" t="s">
        <v>20</v>
      </c>
      <c r="S1335" t="s">
        <v>20</v>
      </c>
    </row>
    <row r="1336" spans="1:19" hidden="1" x14ac:dyDescent="0.45">
      <c r="A1336" t="s">
        <v>943</v>
      </c>
      <c r="B1336" t="s">
        <v>4635</v>
      </c>
      <c r="C1336" t="s">
        <v>2562</v>
      </c>
      <c r="D1336" t="s">
        <v>2563</v>
      </c>
      <c r="E1336" t="s">
        <v>21</v>
      </c>
      <c r="F1336" t="s">
        <v>2722</v>
      </c>
      <c r="G1336" t="s">
        <v>23</v>
      </c>
      <c r="H1336" t="s">
        <v>4636</v>
      </c>
      <c r="I1336" t="s">
        <v>4637</v>
      </c>
      <c r="J1336" t="s">
        <v>4638</v>
      </c>
      <c r="K1336" t="s">
        <v>4639</v>
      </c>
      <c r="L1336" t="s">
        <v>296</v>
      </c>
      <c r="M1336" t="s">
        <v>2760</v>
      </c>
      <c r="N1336" t="s">
        <v>146</v>
      </c>
      <c r="O1336" t="s">
        <v>3767</v>
      </c>
      <c r="P1336" t="s">
        <v>296</v>
      </c>
      <c r="Q1336" t="s">
        <v>20</v>
      </c>
      <c r="R1336" t="s">
        <v>20</v>
      </c>
      <c r="S1336" t="s">
        <v>20</v>
      </c>
    </row>
    <row r="1337" spans="1:19" hidden="1" x14ac:dyDescent="0.45">
      <c r="A1337" t="s">
        <v>1016</v>
      </c>
      <c r="B1337" t="s">
        <v>8886</v>
      </c>
      <c r="C1337" t="s">
        <v>3114</v>
      </c>
      <c r="D1337" t="s">
        <v>3115</v>
      </c>
      <c r="E1337" t="s">
        <v>74</v>
      </c>
      <c r="F1337" t="s">
        <v>2795</v>
      </c>
      <c r="G1337" t="s">
        <v>23</v>
      </c>
      <c r="H1337" t="s">
        <v>8887</v>
      </c>
      <c r="I1337" t="s">
        <v>8888</v>
      </c>
      <c r="J1337" t="s">
        <v>8889</v>
      </c>
      <c r="K1337" t="s">
        <v>8890</v>
      </c>
      <c r="L1337" t="s">
        <v>6513</v>
      </c>
      <c r="M1337" t="s">
        <v>132</v>
      </c>
      <c r="N1337" t="s">
        <v>195</v>
      </c>
      <c r="O1337" t="s">
        <v>3767</v>
      </c>
      <c r="P1337" t="s">
        <v>2330</v>
      </c>
      <c r="Q1337" t="s">
        <v>20</v>
      </c>
      <c r="R1337" t="s">
        <v>20</v>
      </c>
      <c r="S1337" t="s">
        <v>20</v>
      </c>
    </row>
    <row r="1338" spans="1:19" hidden="1" x14ac:dyDescent="0.45">
      <c r="A1338" t="s">
        <v>508</v>
      </c>
      <c r="B1338" t="s">
        <v>6708</v>
      </c>
      <c r="C1338" t="s">
        <v>2094</v>
      </c>
      <c r="D1338" t="s">
        <v>2095</v>
      </c>
      <c r="E1338" t="s">
        <v>29</v>
      </c>
      <c r="F1338" t="s">
        <v>3182</v>
      </c>
      <c r="G1338" t="s">
        <v>23</v>
      </c>
      <c r="H1338" t="s">
        <v>2589</v>
      </c>
      <c r="I1338" t="s">
        <v>2590</v>
      </c>
      <c r="J1338" t="s">
        <v>2591</v>
      </c>
      <c r="K1338" t="s">
        <v>1959</v>
      </c>
      <c r="L1338" t="s">
        <v>31</v>
      </c>
      <c r="M1338" t="s">
        <v>2760</v>
      </c>
      <c r="N1338" t="s">
        <v>33</v>
      </c>
      <c r="O1338" t="s">
        <v>3767</v>
      </c>
      <c r="P1338" t="s">
        <v>290</v>
      </c>
      <c r="Q1338" t="s">
        <v>20</v>
      </c>
      <c r="R1338" t="s">
        <v>20</v>
      </c>
      <c r="S1338" t="s">
        <v>20</v>
      </c>
    </row>
    <row r="1339" spans="1:19" hidden="1" x14ac:dyDescent="0.45">
      <c r="A1339" t="s">
        <v>446</v>
      </c>
      <c r="B1339" t="s">
        <v>8593</v>
      </c>
      <c r="C1339" t="s">
        <v>575</v>
      </c>
      <c r="D1339" t="s">
        <v>576</v>
      </c>
      <c r="E1339" t="s">
        <v>29</v>
      </c>
      <c r="F1339" t="s">
        <v>2722</v>
      </c>
      <c r="G1339" t="s">
        <v>23</v>
      </c>
      <c r="H1339" t="s">
        <v>8594</v>
      </c>
      <c r="I1339" t="s">
        <v>8595</v>
      </c>
      <c r="J1339" t="s">
        <v>8596</v>
      </c>
      <c r="K1339" t="s">
        <v>8597</v>
      </c>
      <c r="L1339" t="s">
        <v>290</v>
      </c>
      <c r="M1339" t="s">
        <v>2760</v>
      </c>
      <c r="N1339" t="s">
        <v>45</v>
      </c>
      <c r="O1339" t="s">
        <v>3767</v>
      </c>
      <c r="P1339" t="s">
        <v>290</v>
      </c>
      <c r="Q1339" t="s">
        <v>20</v>
      </c>
      <c r="R1339" t="s">
        <v>20</v>
      </c>
      <c r="S1339" t="s">
        <v>20</v>
      </c>
    </row>
    <row r="1340" spans="1:19" hidden="1" x14ac:dyDescent="0.45">
      <c r="A1340" t="s">
        <v>446</v>
      </c>
      <c r="B1340" t="s">
        <v>4306</v>
      </c>
      <c r="C1340" t="s">
        <v>575</v>
      </c>
      <c r="D1340" t="s">
        <v>576</v>
      </c>
      <c r="E1340" t="s">
        <v>29</v>
      </c>
      <c r="F1340" t="s">
        <v>2722</v>
      </c>
      <c r="G1340" t="s">
        <v>23</v>
      </c>
      <c r="H1340" t="s">
        <v>4307</v>
      </c>
      <c r="I1340" t="s">
        <v>4308</v>
      </c>
      <c r="J1340" t="s">
        <v>4309</v>
      </c>
      <c r="K1340" t="s">
        <v>4310</v>
      </c>
      <c r="L1340" t="s">
        <v>168</v>
      </c>
      <c r="M1340" t="s">
        <v>3145</v>
      </c>
      <c r="N1340" t="s">
        <v>2727</v>
      </c>
      <c r="O1340" t="s">
        <v>3767</v>
      </c>
      <c r="P1340" t="s">
        <v>296</v>
      </c>
      <c r="Q1340" t="s">
        <v>20</v>
      </c>
      <c r="R1340" t="s">
        <v>20</v>
      </c>
      <c r="S1340" t="s">
        <v>20</v>
      </c>
    </row>
    <row r="1341" spans="1:19" hidden="1" x14ac:dyDescent="0.45">
      <c r="A1341" t="s">
        <v>446</v>
      </c>
      <c r="B1341" t="s">
        <v>4121</v>
      </c>
      <c r="C1341" t="s">
        <v>575</v>
      </c>
      <c r="D1341" t="s">
        <v>576</v>
      </c>
      <c r="E1341" t="s">
        <v>38</v>
      </c>
      <c r="F1341" t="s">
        <v>2863</v>
      </c>
      <c r="G1341" t="s">
        <v>23</v>
      </c>
      <c r="H1341" t="s">
        <v>4122</v>
      </c>
      <c r="I1341" t="s">
        <v>4123</v>
      </c>
      <c r="J1341" t="s">
        <v>4124</v>
      </c>
      <c r="K1341" t="s">
        <v>4125</v>
      </c>
      <c r="L1341" t="s">
        <v>214</v>
      </c>
      <c r="M1341" t="s">
        <v>2760</v>
      </c>
      <c r="N1341" t="s">
        <v>62</v>
      </c>
      <c r="O1341" t="s">
        <v>3767</v>
      </c>
      <c r="P1341" t="s">
        <v>161</v>
      </c>
      <c r="Q1341" t="s">
        <v>20</v>
      </c>
      <c r="R1341" t="s">
        <v>20</v>
      </c>
      <c r="S1341" t="s">
        <v>20</v>
      </c>
    </row>
    <row r="1342" spans="1:19" hidden="1" x14ac:dyDescent="0.45">
      <c r="A1342" t="s">
        <v>379</v>
      </c>
      <c r="B1342" t="s">
        <v>6709</v>
      </c>
      <c r="C1342" t="s">
        <v>2153</v>
      </c>
      <c r="D1342" t="s">
        <v>2154</v>
      </c>
      <c r="E1342" t="s">
        <v>38</v>
      </c>
      <c r="F1342" t="s">
        <v>2948</v>
      </c>
      <c r="G1342" t="s">
        <v>23</v>
      </c>
      <c r="H1342" t="s">
        <v>2155</v>
      </c>
      <c r="I1342" t="s">
        <v>2156</v>
      </c>
      <c r="J1342" t="s">
        <v>2157</v>
      </c>
      <c r="K1342" t="s">
        <v>2158</v>
      </c>
      <c r="L1342" t="s">
        <v>43</v>
      </c>
      <c r="M1342" t="s">
        <v>2760</v>
      </c>
      <c r="N1342" t="s">
        <v>146</v>
      </c>
      <c r="O1342" t="s">
        <v>3767</v>
      </c>
      <c r="P1342" t="s">
        <v>290</v>
      </c>
      <c r="Q1342" t="s">
        <v>20</v>
      </c>
      <c r="R1342" t="s">
        <v>20</v>
      </c>
      <c r="S1342" t="s">
        <v>20</v>
      </c>
    </row>
    <row r="1343" spans="1:19" hidden="1" x14ac:dyDescent="0.45">
      <c r="A1343" t="s">
        <v>379</v>
      </c>
      <c r="B1343" t="s">
        <v>4610</v>
      </c>
      <c r="C1343" t="s">
        <v>2153</v>
      </c>
      <c r="D1343" t="s">
        <v>2154</v>
      </c>
      <c r="E1343" t="s">
        <v>38</v>
      </c>
      <c r="F1343" t="s">
        <v>2948</v>
      </c>
      <c r="G1343" t="s">
        <v>23</v>
      </c>
      <c r="H1343" t="s">
        <v>4611</v>
      </c>
      <c r="I1343" t="s">
        <v>4612</v>
      </c>
      <c r="J1343" t="s">
        <v>4613</v>
      </c>
      <c r="K1343" t="s">
        <v>4614</v>
      </c>
      <c r="L1343" t="s">
        <v>111</v>
      </c>
      <c r="M1343" t="s">
        <v>102</v>
      </c>
      <c r="N1343" t="s">
        <v>210</v>
      </c>
      <c r="O1343" t="s">
        <v>3767</v>
      </c>
      <c r="P1343" t="s">
        <v>111</v>
      </c>
      <c r="Q1343" t="s">
        <v>20</v>
      </c>
      <c r="R1343" t="s">
        <v>20</v>
      </c>
      <c r="S1343" t="s">
        <v>20</v>
      </c>
    </row>
    <row r="1344" spans="1:19" hidden="1" x14ac:dyDescent="0.45">
      <c r="A1344" t="s">
        <v>379</v>
      </c>
      <c r="B1344" t="s">
        <v>11955</v>
      </c>
      <c r="C1344" t="s">
        <v>2153</v>
      </c>
      <c r="D1344" t="s">
        <v>2154</v>
      </c>
      <c r="E1344" t="s">
        <v>38</v>
      </c>
      <c r="F1344" t="s">
        <v>2785</v>
      </c>
      <c r="G1344" t="s">
        <v>23</v>
      </c>
      <c r="H1344" t="s">
        <v>8933</v>
      </c>
      <c r="I1344" t="s">
        <v>9111</v>
      </c>
      <c r="J1344" t="s">
        <v>9112</v>
      </c>
      <c r="K1344" t="s">
        <v>9113</v>
      </c>
      <c r="L1344" t="s">
        <v>2769</v>
      </c>
      <c r="M1344" t="s">
        <v>2760</v>
      </c>
      <c r="N1344" t="s">
        <v>146</v>
      </c>
      <c r="O1344" t="s">
        <v>3767</v>
      </c>
      <c r="P1344" t="s">
        <v>6521</v>
      </c>
      <c r="Q1344" t="s">
        <v>20</v>
      </c>
      <c r="R1344" t="s">
        <v>20</v>
      </c>
      <c r="S1344" t="s">
        <v>10294</v>
      </c>
    </row>
    <row r="1345" spans="1:19" hidden="1" x14ac:dyDescent="0.45">
      <c r="A1345" t="s">
        <v>379</v>
      </c>
      <c r="B1345" t="s">
        <v>4786</v>
      </c>
      <c r="C1345" t="s">
        <v>2153</v>
      </c>
      <c r="D1345" t="s">
        <v>2154</v>
      </c>
      <c r="E1345" t="s">
        <v>38</v>
      </c>
      <c r="F1345" t="s">
        <v>2785</v>
      </c>
      <c r="G1345" t="s">
        <v>23</v>
      </c>
      <c r="H1345" t="s">
        <v>4787</v>
      </c>
      <c r="I1345" t="s">
        <v>4788</v>
      </c>
      <c r="J1345" t="s">
        <v>4789</v>
      </c>
      <c r="K1345" t="s">
        <v>4790</v>
      </c>
      <c r="L1345" t="s">
        <v>194</v>
      </c>
      <c r="M1345" t="s">
        <v>2760</v>
      </c>
      <c r="N1345" t="s">
        <v>146</v>
      </c>
      <c r="O1345" t="s">
        <v>3767</v>
      </c>
      <c r="P1345" t="s">
        <v>111</v>
      </c>
      <c r="Q1345" t="s">
        <v>20</v>
      </c>
      <c r="R1345" t="s">
        <v>20</v>
      </c>
      <c r="S1345" t="s">
        <v>20</v>
      </c>
    </row>
    <row r="1346" spans="1:19" hidden="1" x14ac:dyDescent="0.45">
      <c r="A1346" t="s">
        <v>81</v>
      </c>
      <c r="B1346" t="s">
        <v>14232</v>
      </c>
      <c r="C1346" t="s">
        <v>770</v>
      </c>
      <c r="D1346" t="s">
        <v>771</v>
      </c>
      <c r="E1346" t="s">
        <v>38</v>
      </c>
      <c r="F1346" t="s">
        <v>3062</v>
      </c>
      <c r="G1346" t="s">
        <v>23</v>
      </c>
      <c r="H1346" t="s">
        <v>14233</v>
      </c>
      <c r="I1346" t="s">
        <v>14234</v>
      </c>
      <c r="J1346" t="s">
        <v>14235</v>
      </c>
      <c r="K1346" t="s">
        <v>14236</v>
      </c>
      <c r="L1346" t="s">
        <v>6533</v>
      </c>
      <c r="M1346" t="s">
        <v>2760</v>
      </c>
      <c r="N1346" t="s">
        <v>146</v>
      </c>
      <c r="O1346" t="s">
        <v>3767</v>
      </c>
      <c r="P1346" t="s">
        <v>6525</v>
      </c>
      <c r="Q1346" t="s">
        <v>20</v>
      </c>
      <c r="R1346" t="s">
        <v>20</v>
      </c>
      <c r="S1346" t="s">
        <v>20</v>
      </c>
    </row>
    <row r="1347" spans="1:19" hidden="1" x14ac:dyDescent="0.45">
      <c r="A1347" t="s">
        <v>81</v>
      </c>
      <c r="B1347" t="s">
        <v>4091</v>
      </c>
      <c r="C1347" t="s">
        <v>770</v>
      </c>
      <c r="D1347" t="s">
        <v>771</v>
      </c>
      <c r="E1347" t="s">
        <v>38</v>
      </c>
      <c r="F1347" t="s">
        <v>4092</v>
      </c>
      <c r="G1347" t="s">
        <v>23</v>
      </c>
      <c r="H1347" t="s">
        <v>4093</v>
      </c>
      <c r="I1347" t="s">
        <v>4094</v>
      </c>
      <c r="J1347" t="s">
        <v>4095</v>
      </c>
      <c r="K1347" t="s">
        <v>4096</v>
      </c>
      <c r="L1347" t="s">
        <v>209</v>
      </c>
      <c r="M1347" t="s">
        <v>2760</v>
      </c>
      <c r="N1347" t="s">
        <v>146</v>
      </c>
      <c r="O1347" t="s">
        <v>3767</v>
      </c>
      <c r="P1347" t="s">
        <v>209</v>
      </c>
      <c r="Q1347" t="s">
        <v>20</v>
      </c>
      <c r="R1347" t="s">
        <v>20</v>
      </c>
      <c r="S1347" t="s">
        <v>20</v>
      </c>
    </row>
    <row r="1348" spans="1:19" hidden="1" x14ac:dyDescent="0.45">
      <c r="A1348" t="s">
        <v>81</v>
      </c>
      <c r="B1348" t="s">
        <v>8500</v>
      </c>
      <c r="C1348" t="s">
        <v>770</v>
      </c>
      <c r="D1348" t="s">
        <v>771</v>
      </c>
      <c r="E1348" t="s">
        <v>38</v>
      </c>
      <c r="F1348" t="s">
        <v>2785</v>
      </c>
      <c r="G1348" t="s">
        <v>23</v>
      </c>
      <c r="H1348" t="s">
        <v>8501</v>
      </c>
      <c r="I1348" t="s">
        <v>8502</v>
      </c>
      <c r="J1348" t="s">
        <v>8503</v>
      </c>
      <c r="K1348" t="s">
        <v>8504</v>
      </c>
      <c r="L1348" t="s">
        <v>722</v>
      </c>
      <c r="M1348" t="s">
        <v>2760</v>
      </c>
      <c r="N1348" t="s">
        <v>113</v>
      </c>
      <c r="O1348" t="s">
        <v>3767</v>
      </c>
      <c r="P1348" t="s">
        <v>722</v>
      </c>
      <c r="Q1348" t="s">
        <v>20</v>
      </c>
      <c r="R1348" t="s">
        <v>20</v>
      </c>
      <c r="S1348" t="s">
        <v>20</v>
      </c>
    </row>
    <row r="1349" spans="1:19" hidden="1" x14ac:dyDescent="0.45">
      <c r="A1349" t="s">
        <v>276</v>
      </c>
      <c r="B1349" t="s">
        <v>4252</v>
      </c>
      <c r="C1349" t="s">
        <v>1447</v>
      </c>
      <c r="D1349" t="s">
        <v>1448</v>
      </c>
      <c r="E1349" t="s">
        <v>21</v>
      </c>
      <c r="F1349" t="s">
        <v>3062</v>
      </c>
      <c r="G1349" t="s">
        <v>23</v>
      </c>
      <c r="H1349" t="s">
        <v>4253</v>
      </c>
      <c r="I1349" t="s">
        <v>4254</v>
      </c>
      <c r="J1349" t="s">
        <v>4255</v>
      </c>
      <c r="K1349" t="s">
        <v>4256</v>
      </c>
      <c r="L1349" t="s">
        <v>161</v>
      </c>
      <c r="M1349" t="s">
        <v>2760</v>
      </c>
      <c r="N1349" t="s">
        <v>678</v>
      </c>
      <c r="O1349" t="s">
        <v>3767</v>
      </c>
      <c r="P1349" t="s">
        <v>118</v>
      </c>
      <c r="Q1349" t="s">
        <v>20</v>
      </c>
      <c r="R1349" t="s">
        <v>20</v>
      </c>
      <c r="S1349" t="s">
        <v>20</v>
      </c>
    </row>
    <row r="1350" spans="1:19" hidden="1" x14ac:dyDescent="0.45">
      <c r="A1350" t="s">
        <v>809</v>
      </c>
      <c r="B1350" t="s">
        <v>13985</v>
      </c>
      <c r="C1350" t="s">
        <v>2402</v>
      </c>
      <c r="D1350" t="s">
        <v>2403</v>
      </c>
      <c r="E1350" t="s">
        <v>38</v>
      </c>
      <c r="F1350" t="s">
        <v>2795</v>
      </c>
      <c r="G1350" t="s">
        <v>23</v>
      </c>
      <c r="H1350" t="s">
        <v>2404</v>
      </c>
      <c r="I1350" t="s">
        <v>2405</v>
      </c>
      <c r="J1350" t="s">
        <v>2406</v>
      </c>
      <c r="K1350" t="s">
        <v>2125</v>
      </c>
      <c r="L1350" t="s">
        <v>8094</v>
      </c>
      <c r="M1350" t="s">
        <v>3840</v>
      </c>
      <c r="N1350" t="s">
        <v>62</v>
      </c>
      <c r="O1350" t="s">
        <v>3767</v>
      </c>
      <c r="P1350" t="s">
        <v>8094</v>
      </c>
      <c r="Q1350" t="s">
        <v>20</v>
      </c>
      <c r="R1350" t="s">
        <v>20</v>
      </c>
      <c r="S1350" t="s">
        <v>20</v>
      </c>
    </row>
    <row r="1351" spans="1:19" hidden="1" x14ac:dyDescent="0.45">
      <c r="A1351" t="s">
        <v>809</v>
      </c>
      <c r="B1351" t="s">
        <v>12330</v>
      </c>
      <c r="C1351" t="s">
        <v>2402</v>
      </c>
      <c r="D1351" t="s">
        <v>2403</v>
      </c>
      <c r="E1351" t="s">
        <v>2487</v>
      </c>
      <c r="F1351" t="s">
        <v>12245</v>
      </c>
      <c r="G1351" t="s">
        <v>23</v>
      </c>
      <c r="H1351" t="s">
        <v>7249</v>
      </c>
      <c r="I1351" t="s">
        <v>7250</v>
      </c>
      <c r="J1351" t="s">
        <v>7251</v>
      </c>
      <c r="K1351" t="s">
        <v>7252</v>
      </c>
      <c r="L1351" t="s">
        <v>3418</v>
      </c>
      <c r="M1351" t="s">
        <v>3840</v>
      </c>
      <c r="N1351" t="s">
        <v>62</v>
      </c>
      <c r="O1351" t="s">
        <v>3767</v>
      </c>
      <c r="P1351" t="s">
        <v>8109</v>
      </c>
      <c r="Q1351" t="s">
        <v>20</v>
      </c>
      <c r="R1351" t="s">
        <v>20</v>
      </c>
      <c r="S1351" t="s">
        <v>20</v>
      </c>
    </row>
    <row r="1352" spans="1:19" hidden="1" x14ac:dyDescent="0.45">
      <c r="A1352" t="s">
        <v>81</v>
      </c>
      <c r="B1352" t="s">
        <v>14188</v>
      </c>
      <c r="C1352" t="s">
        <v>1845</v>
      </c>
      <c r="D1352" t="s">
        <v>1846</v>
      </c>
      <c r="E1352" t="s">
        <v>38</v>
      </c>
      <c r="F1352" t="s">
        <v>3062</v>
      </c>
      <c r="G1352" t="s">
        <v>23</v>
      </c>
      <c r="H1352" t="s">
        <v>14189</v>
      </c>
      <c r="I1352" t="s">
        <v>14190</v>
      </c>
      <c r="J1352" t="s">
        <v>14191</v>
      </c>
      <c r="K1352" t="s">
        <v>14192</v>
      </c>
      <c r="L1352" t="s">
        <v>6525</v>
      </c>
      <c r="M1352" t="s">
        <v>2760</v>
      </c>
      <c r="N1352" t="s">
        <v>146</v>
      </c>
      <c r="O1352" t="s">
        <v>3767</v>
      </c>
      <c r="P1352" t="s">
        <v>6525</v>
      </c>
      <c r="Q1352" t="s">
        <v>20</v>
      </c>
      <c r="R1352" t="s">
        <v>20</v>
      </c>
      <c r="S1352" t="s">
        <v>20</v>
      </c>
    </row>
    <row r="1353" spans="1:19" hidden="1" x14ac:dyDescent="0.45">
      <c r="A1353" t="s">
        <v>81</v>
      </c>
      <c r="B1353" t="s">
        <v>10171</v>
      </c>
      <c r="C1353" t="s">
        <v>1845</v>
      </c>
      <c r="D1353" t="s">
        <v>1846</v>
      </c>
      <c r="E1353" t="s">
        <v>38</v>
      </c>
      <c r="F1353" t="s">
        <v>2904</v>
      </c>
      <c r="G1353" t="s">
        <v>23</v>
      </c>
      <c r="H1353" t="s">
        <v>10172</v>
      </c>
      <c r="I1353" t="s">
        <v>10173</v>
      </c>
      <c r="J1353" t="s">
        <v>10174</v>
      </c>
      <c r="K1353" t="s">
        <v>10175</v>
      </c>
      <c r="L1353" t="s">
        <v>7506</v>
      </c>
      <c r="M1353" t="s">
        <v>2760</v>
      </c>
      <c r="N1353" t="s">
        <v>146</v>
      </c>
      <c r="O1353" t="s">
        <v>3767</v>
      </c>
      <c r="P1353" t="s">
        <v>2769</v>
      </c>
      <c r="Q1353" t="s">
        <v>20</v>
      </c>
      <c r="R1353" t="s">
        <v>20</v>
      </c>
      <c r="S1353" t="s">
        <v>20</v>
      </c>
    </row>
    <row r="1354" spans="1:19" hidden="1" x14ac:dyDescent="0.45">
      <c r="A1354" t="s">
        <v>81</v>
      </c>
      <c r="B1354" t="s">
        <v>14193</v>
      </c>
      <c r="C1354" t="s">
        <v>1845</v>
      </c>
      <c r="D1354" t="s">
        <v>1846</v>
      </c>
      <c r="E1354" t="s">
        <v>38</v>
      </c>
      <c r="F1354" t="s">
        <v>2785</v>
      </c>
      <c r="G1354" t="s">
        <v>23</v>
      </c>
      <c r="H1354" t="s">
        <v>14194</v>
      </c>
      <c r="I1354" t="s">
        <v>14195</v>
      </c>
      <c r="J1354" t="s">
        <v>14196</v>
      </c>
      <c r="K1354" t="s">
        <v>14197</v>
      </c>
      <c r="L1354" t="s">
        <v>3418</v>
      </c>
      <c r="M1354" t="s">
        <v>2760</v>
      </c>
      <c r="N1354" t="s">
        <v>146</v>
      </c>
      <c r="O1354" t="s">
        <v>3767</v>
      </c>
      <c r="P1354" t="s">
        <v>6525</v>
      </c>
      <c r="Q1354" t="s">
        <v>20</v>
      </c>
      <c r="R1354" t="s">
        <v>20</v>
      </c>
      <c r="S1354" t="s">
        <v>20</v>
      </c>
    </row>
    <row r="1355" spans="1:19" hidden="1" x14ac:dyDescent="0.45">
      <c r="A1355" t="s">
        <v>81</v>
      </c>
      <c r="B1355" t="s">
        <v>8540</v>
      </c>
      <c r="C1355" t="s">
        <v>1845</v>
      </c>
      <c r="D1355" t="s">
        <v>1846</v>
      </c>
      <c r="E1355" t="s">
        <v>38</v>
      </c>
      <c r="F1355" t="s">
        <v>4041</v>
      </c>
      <c r="G1355" t="s">
        <v>23</v>
      </c>
      <c r="H1355" t="s">
        <v>6454</v>
      </c>
      <c r="I1355" t="s">
        <v>6561</v>
      </c>
      <c r="J1355" t="s">
        <v>6562</v>
      </c>
      <c r="K1355" t="s">
        <v>6563</v>
      </c>
      <c r="L1355" t="s">
        <v>722</v>
      </c>
      <c r="M1355" t="s">
        <v>2760</v>
      </c>
      <c r="N1355" t="s">
        <v>45</v>
      </c>
      <c r="O1355" t="s">
        <v>3767</v>
      </c>
      <c r="P1355" t="s">
        <v>722</v>
      </c>
      <c r="Q1355" t="s">
        <v>20</v>
      </c>
      <c r="R1355" t="s">
        <v>20</v>
      </c>
      <c r="S1355" t="s">
        <v>20</v>
      </c>
    </row>
    <row r="1356" spans="1:19" hidden="1" x14ac:dyDescent="0.45">
      <c r="A1356" t="s">
        <v>81</v>
      </c>
      <c r="B1356" t="s">
        <v>10207</v>
      </c>
      <c r="C1356" t="s">
        <v>1845</v>
      </c>
      <c r="D1356" t="s">
        <v>1846</v>
      </c>
      <c r="E1356" t="s">
        <v>38</v>
      </c>
      <c r="F1356" t="s">
        <v>2904</v>
      </c>
      <c r="G1356" t="s">
        <v>23</v>
      </c>
      <c r="H1356" t="s">
        <v>10208</v>
      </c>
      <c r="I1356" t="s">
        <v>10209</v>
      </c>
      <c r="J1356" t="s">
        <v>10210</v>
      </c>
      <c r="K1356" t="s">
        <v>10211</v>
      </c>
      <c r="L1356" t="s">
        <v>7506</v>
      </c>
      <c r="M1356" t="s">
        <v>2760</v>
      </c>
      <c r="N1356" t="s">
        <v>146</v>
      </c>
      <c r="O1356" t="s">
        <v>3767</v>
      </c>
      <c r="P1356" t="s">
        <v>2769</v>
      </c>
      <c r="Q1356" t="s">
        <v>20</v>
      </c>
      <c r="R1356" t="s">
        <v>20</v>
      </c>
      <c r="S1356" t="s">
        <v>20</v>
      </c>
    </row>
    <row r="1357" spans="1:19" hidden="1" x14ac:dyDescent="0.45">
      <c r="A1357" t="s">
        <v>809</v>
      </c>
      <c r="B1357" t="s">
        <v>12331</v>
      </c>
      <c r="C1357" t="s">
        <v>3834</v>
      </c>
      <c r="D1357" t="s">
        <v>3835</v>
      </c>
      <c r="E1357" t="s">
        <v>2487</v>
      </c>
      <c r="F1357" t="s">
        <v>12245</v>
      </c>
      <c r="G1357" t="s">
        <v>23</v>
      </c>
      <c r="H1357" t="s">
        <v>7801</v>
      </c>
      <c r="I1357" t="s">
        <v>7802</v>
      </c>
      <c r="J1357" t="s">
        <v>7803</v>
      </c>
      <c r="K1357" t="s">
        <v>7804</v>
      </c>
      <c r="L1357" t="s">
        <v>3418</v>
      </c>
      <c r="M1357" t="s">
        <v>3840</v>
      </c>
      <c r="N1357" t="s">
        <v>62</v>
      </c>
      <c r="O1357" t="s">
        <v>3767</v>
      </c>
      <c r="P1357" t="s">
        <v>8109</v>
      </c>
      <c r="Q1357" t="s">
        <v>20</v>
      </c>
      <c r="R1357" t="s">
        <v>20</v>
      </c>
      <c r="S1357" t="s">
        <v>20</v>
      </c>
    </row>
    <row r="1358" spans="1:19" hidden="1" x14ac:dyDescent="0.45">
      <c r="A1358" t="s">
        <v>1975</v>
      </c>
      <c r="B1358" t="s">
        <v>4236</v>
      </c>
      <c r="C1358" t="s">
        <v>2331</v>
      </c>
      <c r="D1358" t="s">
        <v>2332</v>
      </c>
      <c r="E1358" t="s">
        <v>38</v>
      </c>
      <c r="F1358" t="s">
        <v>2787</v>
      </c>
      <c r="G1358" t="s">
        <v>23</v>
      </c>
      <c r="H1358" t="s">
        <v>4237</v>
      </c>
      <c r="I1358" t="s">
        <v>4238</v>
      </c>
      <c r="J1358" t="s">
        <v>4239</v>
      </c>
      <c r="K1358" t="s">
        <v>4240</v>
      </c>
      <c r="L1358" t="s">
        <v>194</v>
      </c>
      <c r="M1358" t="s">
        <v>2760</v>
      </c>
      <c r="N1358" t="s">
        <v>113</v>
      </c>
      <c r="O1358" t="s">
        <v>3767</v>
      </c>
      <c r="P1358" t="s">
        <v>194</v>
      </c>
      <c r="Q1358" t="s">
        <v>20</v>
      </c>
      <c r="R1358" t="s">
        <v>20</v>
      </c>
      <c r="S1358" t="s">
        <v>20</v>
      </c>
    </row>
    <row r="1359" spans="1:19" hidden="1" x14ac:dyDescent="0.45">
      <c r="A1359" t="s">
        <v>1975</v>
      </c>
      <c r="B1359" t="s">
        <v>10656</v>
      </c>
      <c r="C1359" t="s">
        <v>2331</v>
      </c>
      <c r="D1359" t="s">
        <v>2332</v>
      </c>
      <c r="E1359" t="s">
        <v>38</v>
      </c>
      <c r="F1359" t="s">
        <v>2755</v>
      </c>
      <c r="G1359" t="s">
        <v>23</v>
      </c>
      <c r="H1359" t="s">
        <v>10657</v>
      </c>
      <c r="I1359" t="s">
        <v>10658</v>
      </c>
      <c r="J1359" t="s">
        <v>10659</v>
      </c>
      <c r="K1359" t="s">
        <v>10660</v>
      </c>
      <c r="L1359" t="s">
        <v>7506</v>
      </c>
      <c r="M1359" t="s">
        <v>2760</v>
      </c>
      <c r="N1359" t="s">
        <v>45</v>
      </c>
      <c r="O1359" t="s">
        <v>3767</v>
      </c>
      <c r="P1359" t="s">
        <v>7506</v>
      </c>
      <c r="Q1359" t="s">
        <v>20</v>
      </c>
      <c r="R1359" t="s">
        <v>20</v>
      </c>
      <c r="S1359" t="s">
        <v>20</v>
      </c>
    </row>
    <row r="1360" spans="1:19" hidden="1" x14ac:dyDescent="0.45">
      <c r="A1360" t="s">
        <v>715</v>
      </c>
      <c r="B1360" t="s">
        <v>4126</v>
      </c>
      <c r="C1360" t="s">
        <v>3787</v>
      </c>
      <c r="D1360" t="s">
        <v>3788</v>
      </c>
      <c r="E1360" t="s">
        <v>57</v>
      </c>
      <c r="F1360" t="s">
        <v>2795</v>
      </c>
      <c r="G1360" t="s">
        <v>23</v>
      </c>
      <c r="H1360" t="s">
        <v>4127</v>
      </c>
      <c r="I1360" t="s">
        <v>4128</v>
      </c>
      <c r="J1360" t="s">
        <v>4129</v>
      </c>
      <c r="K1360" t="s">
        <v>4130</v>
      </c>
      <c r="L1360" t="s">
        <v>101</v>
      </c>
      <c r="M1360" t="s">
        <v>102</v>
      </c>
      <c r="N1360" t="s">
        <v>62</v>
      </c>
      <c r="O1360" t="s">
        <v>3767</v>
      </c>
      <c r="P1360" t="s">
        <v>296</v>
      </c>
      <c r="Q1360" t="s">
        <v>20</v>
      </c>
      <c r="R1360" t="s">
        <v>20</v>
      </c>
      <c r="S1360" t="s">
        <v>20</v>
      </c>
    </row>
    <row r="1361" spans="1:19" hidden="1" x14ac:dyDescent="0.45">
      <c r="A1361" t="s">
        <v>104</v>
      </c>
      <c r="B1361" t="s">
        <v>5272</v>
      </c>
      <c r="C1361" t="s">
        <v>180</v>
      </c>
      <c r="D1361" t="s">
        <v>181</v>
      </c>
      <c r="E1361" t="s">
        <v>21</v>
      </c>
      <c r="F1361" t="s">
        <v>2755</v>
      </c>
      <c r="G1361" t="s">
        <v>23</v>
      </c>
      <c r="H1361" t="s">
        <v>5273</v>
      </c>
      <c r="I1361" t="s">
        <v>5274</v>
      </c>
      <c r="J1361" t="s">
        <v>5275</v>
      </c>
      <c r="K1361" t="s">
        <v>5276</v>
      </c>
      <c r="L1361" t="s">
        <v>214</v>
      </c>
      <c r="M1361" t="s">
        <v>1223</v>
      </c>
      <c r="N1361" t="s">
        <v>3696</v>
      </c>
      <c r="O1361" t="s">
        <v>3767</v>
      </c>
      <c r="P1361" t="s">
        <v>118</v>
      </c>
      <c r="Q1361" t="s">
        <v>20</v>
      </c>
      <c r="R1361" t="s">
        <v>20</v>
      </c>
      <c r="S1361" t="s">
        <v>20</v>
      </c>
    </row>
    <row r="1362" spans="1:19" hidden="1" x14ac:dyDescent="0.45">
      <c r="A1362" t="s">
        <v>104</v>
      </c>
      <c r="B1362" t="s">
        <v>14658</v>
      </c>
      <c r="C1362" t="s">
        <v>180</v>
      </c>
      <c r="D1362" t="s">
        <v>181</v>
      </c>
      <c r="E1362" t="s">
        <v>38</v>
      </c>
      <c r="F1362" t="s">
        <v>2722</v>
      </c>
      <c r="G1362" t="s">
        <v>23</v>
      </c>
      <c r="H1362" t="s">
        <v>14659</v>
      </c>
      <c r="I1362" t="s">
        <v>14660</v>
      </c>
      <c r="J1362" t="s">
        <v>14661</v>
      </c>
      <c r="K1362" t="s">
        <v>14662</v>
      </c>
      <c r="L1362" t="s">
        <v>6525</v>
      </c>
      <c r="M1362" t="s">
        <v>2760</v>
      </c>
      <c r="N1362" t="s">
        <v>678</v>
      </c>
      <c r="O1362" t="s">
        <v>3767</v>
      </c>
      <c r="P1362" t="s">
        <v>6525</v>
      </c>
      <c r="Q1362" t="s">
        <v>20</v>
      </c>
      <c r="R1362" t="s">
        <v>20</v>
      </c>
      <c r="S1362" t="s">
        <v>20</v>
      </c>
    </row>
    <row r="1363" spans="1:19" hidden="1" x14ac:dyDescent="0.45">
      <c r="A1363" t="s">
        <v>104</v>
      </c>
      <c r="B1363" t="s">
        <v>8196</v>
      </c>
      <c r="C1363" t="s">
        <v>180</v>
      </c>
      <c r="D1363" t="s">
        <v>181</v>
      </c>
      <c r="E1363" t="s">
        <v>29</v>
      </c>
      <c r="F1363" t="s">
        <v>2785</v>
      </c>
      <c r="G1363" t="s">
        <v>23</v>
      </c>
      <c r="H1363" t="s">
        <v>8197</v>
      </c>
      <c r="I1363" t="s">
        <v>8198</v>
      </c>
      <c r="J1363" t="s">
        <v>8199</v>
      </c>
      <c r="K1363" t="s">
        <v>8200</v>
      </c>
      <c r="L1363" t="s">
        <v>7506</v>
      </c>
      <c r="M1363" t="s">
        <v>44</v>
      </c>
      <c r="N1363" t="s">
        <v>45</v>
      </c>
      <c r="O1363" t="s">
        <v>3767</v>
      </c>
      <c r="P1363" t="s">
        <v>7506</v>
      </c>
      <c r="Q1363" t="s">
        <v>20</v>
      </c>
      <c r="R1363" t="s">
        <v>20</v>
      </c>
      <c r="S1363" t="s">
        <v>9333</v>
      </c>
    </row>
    <row r="1364" spans="1:19" hidden="1" x14ac:dyDescent="0.45">
      <c r="A1364" t="s">
        <v>104</v>
      </c>
      <c r="B1364" t="s">
        <v>12007</v>
      </c>
      <c r="C1364" t="s">
        <v>180</v>
      </c>
      <c r="D1364" t="s">
        <v>181</v>
      </c>
      <c r="E1364" t="s">
        <v>117</v>
      </c>
      <c r="F1364" t="s">
        <v>2722</v>
      </c>
      <c r="G1364" t="s">
        <v>23</v>
      </c>
      <c r="H1364" t="s">
        <v>12008</v>
      </c>
      <c r="I1364" t="s">
        <v>12009</v>
      </c>
      <c r="J1364" t="s">
        <v>12010</v>
      </c>
      <c r="K1364" t="s">
        <v>12011</v>
      </c>
      <c r="L1364" t="s">
        <v>8109</v>
      </c>
      <c r="M1364" t="s">
        <v>2760</v>
      </c>
      <c r="N1364" t="s">
        <v>45</v>
      </c>
      <c r="O1364" t="s">
        <v>3767</v>
      </c>
      <c r="P1364" t="s">
        <v>8109</v>
      </c>
      <c r="Q1364" t="s">
        <v>20</v>
      </c>
      <c r="R1364" t="s">
        <v>20</v>
      </c>
      <c r="S1364" t="s">
        <v>20</v>
      </c>
    </row>
    <row r="1365" spans="1:19" hidden="1" x14ac:dyDescent="0.45">
      <c r="A1365" t="s">
        <v>508</v>
      </c>
      <c r="B1365" t="s">
        <v>6710</v>
      </c>
      <c r="C1365" t="s">
        <v>509</v>
      </c>
      <c r="D1365" t="s">
        <v>510</v>
      </c>
      <c r="E1365" t="s">
        <v>38</v>
      </c>
      <c r="F1365" t="s">
        <v>14663</v>
      </c>
      <c r="G1365" t="s">
        <v>23</v>
      </c>
      <c r="H1365" t="s">
        <v>1534</v>
      </c>
      <c r="I1365" t="s">
        <v>1535</v>
      </c>
      <c r="J1365" t="s">
        <v>1536</v>
      </c>
      <c r="K1365" t="s">
        <v>1537</v>
      </c>
      <c r="L1365" t="s">
        <v>168</v>
      </c>
      <c r="M1365" t="s">
        <v>2760</v>
      </c>
      <c r="N1365" t="s">
        <v>3831</v>
      </c>
      <c r="O1365" t="s">
        <v>3767</v>
      </c>
      <c r="P1365" t="s">
        <v>290</v>
      </c>
      <c r="Q1365" t="s">
        <v>20</v>
      </c>
      <c r="R1365" t="s">
        <v>20</v>
      </c>
      <c r="S1365" t="s">
        <v>1538</v>
      </c>
    </row>
    <row r="1366" spans="1:19" hidden="1" x14ac:dyDescent="0.45">
      <c r="A1366" t="s">
        <v>508</v>
      </c>
      <c r="B1366" t="s">
        <v>10708</v>
      </c>
      <c r="C1366" t="s">
        <v>509</v>
      </c>
      <c r="D1366" t="s">
        <v>510</v>
      </c>
      <c r="E1366" t="s">
        <v>57</v>
      </c>
      <c r="F1366" t="s">
        <v>3891</v>
      </c>
      <c r="G1366" t="s">
        <v>23</v>
      </c>
      <c r="H1366" t="s">
        <v>2688</v>
      </c>
      <c r="I1366" t="s">
        <v>2689</v>
      </c>
      <c r="J1366" t="s">
        <v>2690</v>
      </c>
      <c r="K1366" t="s">
        <v>2691</v>
      </c>
      <c r="L1366" t="s">
        <v>7506</v>
      </c>
      <c r="M1366" t="s">
        <v>6932</v>
      </c>
      <c r="N1366" t="s">
        <v>62</v>
      </c>
      <c r="O1366" t="s">
        <v>3767</v>
      </c>
      <c r="P1366" t="s">
        <v>7506</v>
      </c>
      <c r="Q1366" t="s">
        <v>20</v>
      </c>
      <c r="R1366" t="s">
        <v>20</v>
      </c>
      <c r="S1366" t="s">
        <v>20</v>
      </c>
    </row>
    <row r="1367" spans="1:19" hidden="1" x14ac:dyDescent="0.45">
      <c r="A1367" t="s">
        <v>362</v>
      </c>
      <c r="B1367" t="s">
        <v>3928</v>
      </c>
      <c r="C1367" t="s">
        <v>3929</v>
      </c>
      <c r="D1367" t="s">
        <v>3930</v>
      </c>
      <c r="E1367" t="s">
        <v>57</v>
      </c>
      <c r="F1367" t="s">
        <v>2795</v>
      </c>
      <c r="G1367" t="s">
        <v>23</v>
      </c>
      <c r="H1367" t="s">
        <v>3931</v>
      </c>
      <c r="I1367" t="s">
        <v>3932</v>
      </c>
      <c r="J1367" t="s">
        <v>3933</v>
      </c>
      <c r="K1367" t="s">
        <v>3934</v>
      </c>
      <c r="L1367" t="s">
        <v>209</v>
      </c>
      <c r="M1367" t="s">
        <v>132</v>
      </c>
      <c r="N1367" t="s">
        <v>146</v>
      </c>
      <c r="O1367" t="s">
        <v>3767</v>
      </c>
      <c r="P1367" t="s">
        <v>296</v>
      </c>
      <c r="Q1367" t="s">
        <v>20</v>
      </c>
      <c r="R1367" t="s">
        <v>20</v>
      </c>
      <c r="S1367" t="s">
        <v>20</v>
      </c>
    </row>
    <row r="1368" spans="1:19" hidden="1" x14ac:dyDescent="0.45">
      <c r="A1368" t="s">
        <v>246</v>
      </c>
      <c r="B1368" t="s">
        <v>12002</v>
      </c>
      <c r="C1368" t="s">
        <v>529</v>
      </c>
      <c r="D1368" t="s">
        <v>530</v>
      </c>
      <c r="E1368" t="s">
        <v>21</v>
      </c>
      <c r="F1368" t="s">
        <v>2722</v>
      </c>
      <c r="G1368" t="s">
        <v>23</v>
      </c>
      <c r="H1368" t="s">
        <v>12003</v>
      </c>
      <c r="I1368" t="s">
        <v>12004</v>
      </c>
      <c r="J1368" t="s">
        <v>12005</v>
      </c>
      <c r="K1368" t="s">
        <v>12006</v>
      </c>
      <c r="L1368" t="s">
        <v>9126</v>
      </c>
      <c r="M1368" t="s">
        <v>2760</v>
      </c>
      <c r="N1368" t="s">
        <v>678</v>
      </c>
      <c r="O1368" t="s">
        <v>3767</v>
      </c>
      <c r="P1368" t="s">
        <v>8109</v>
      </c>
      <c r="Q1368" t="s">
        <v>20</v>
      </c>
      <c r="R1368" t="s">
        <v>20</v>
      </c>
      <c r="S1368" t="s">
        <v>20</v>
      </c>
    </row>
    <row r="1369" spans="1:19" hidden="1" x14ac:dyDescent="0.45">
      <c r="A1369" t="s">
        <v>81</v>
      </c>
      <c r="B1369" t="s">
        <v>4414</v>
      </c>
      <c r="C1369" t="s">
        <v>82</v>
      </c>
      <c r="D1369" t="s">
        <v>83</v>
      </c>
      <c r="E1369" t="s">
        <v>38</v>
      </c>
      <c r="F1369" t="s">
        <v>2795</v>
      </c>
      <c r="G1369" t="s">
        <v>23</v>
      </c>
      <c r="H1369" t="s">
        <v>4415</v>
      </c>
      <c r="I1369" t="s">
        <v>611</v>
      </c>
      <c r="J1369" t="s">
        <v>4416</v>
      </c>
      <c r="K1369" t="s">
        <v>4417</v>
      </c>
      <c r="L1369" t="s">
        <v>296</v>
      </c>
      <c r="M1369" t="s">
        <v>2760</v>
      </c>
      <c r="N1369" t="s">
        <v>113</v>
      </c>
      <c r="O1369" t="s">
        <v>3767</v>
      </c>
      <c r="P1369" t="s">
        <v>296</v>
      </c>
      <c r="Q1369" t="s">
        <v>20</v>
      </c>
      <c r="R1369" t="s">
        <v>20</v>
      </c>
      <c r="S1369" t="s">
        <v>20</v>
      </c>
    </row>
    <row r="1370" spans="1:19" hidden="1" x14ac:dyDescent="0.45">
      <c r="A1370" t="s">
        <v>81</v>
      </c>
      <c r="B1370" t="s">
        <v>3916</v>
      </c>
      <c r="C1370" t="s">
        <v>82</v>
      </c>
      <c r="D1370" t="s">
        <v>83</v>
      </c>
      <c r="E1370" t="s">
        <v>57</v>
      </c>
      <c r="F1370" t="s">
        <v>2795</v>
      </c>
      <c r="G1370" t="s">
        <v>23</v>
      </c>
      <c r="H1370" t="s">
        <v>3917</v>
      </c>
      <c r="I1370" t="s">
        <v>3918</v>
      </c>
      <c r="J1370" t="s">
        <v>3919</v>
      </c>
      <c r="K1370" t="s">
        <v>3920</v>
      </c>
      <c r="L1370" t="s">
        <v>296</v>
      </c>
      <c r="M1370" t="s">
        <v>2760</v>
      </c>
      <c r="N1370" t="s">
        <v>146</v>
      </c>
      <c r="O1370" t="s">
        <v>3767</v>
      </c>
      <c r="P1370" t="s">
        <v>296</v>
      </c>
      <c r="Q1370" t="s">
        <v>20</v>
      </c>
      <c r="R1370" t="s">
        <v>20</v>
      </c>
      <c r="S1370" t="s">
        <v>20</v>
      </c>
    </row>
    <row r="1371" spans="1:19" hidden="1" x14ac:dyDescent="0.45">
      <c r="A1371" t="s">
        <v>71</v>
      </c>
      <c r="B1371" t="s">
        <v>4064</v>
      </c>
      <c r="C1371" t="s">
        <v>4065</v>
      </c>
      <c r="D1371" t="s">
        <v>4066</v>
      </c>
      <c r="E1371" t="s">
        <v>2487</v>
      </c>
      <c r="F1371" t="s">
        <v>3062</v>
      </c>
      <c r="G1371" t="s">
        <v>23</v>
      </c>
      <c r="H1371" t="s">
        <v>4067</v>
      </c>
      <c r="I1371" t="s">
        <v>4068</v>
      </c>
      <c r="J1371" t="s">
        <v>4069</v>
      </c>
      <c r="K1371" t="s">
        <v>4070</v>
      </c>
      <c r="L1371" t="s">
        <v>504</v>
      </c>
      <c r="M1371" t="s">
        <v>102</v>
      </c>
      <c r="N1371" t="s">
        <v>146</v>
      </c>
      <c r="O1371" t="s">
        <v>3767</v>
      </c>
      <c r="P1371" t="s">
        <v>1125</v>
      </c>
      <c r="Q1371" t="s">
        <v>20</v>
      </c>
      <c r="R1371" t="s">
        <v>20</v>
      </c>
      <c r="S1371" t="s">
        <v>20</v>
      </c>
    </row>
    <row r="1372" spans="1:19" hidden="1" x14ac:dyDescent="0.45">
      <c r="A1372" t="s">
        <v>71</v>
      </c>
      <c r="B1372" t="s">
        <v>4341</v>
      </c>
      <c r="C1372" t="s">
        <v>4065</v>
      </c>
      <c r="D1372" t="s">
        <v>4066</v>
      </c>
      <c r="E1372" t="s">
        <v>57</v>
      </c>
      <c r="F1372" t="s">
        <v>2795</v>
      </c>
      <c r="G1372" t="s">
        <v>23</v>
      </c>
      <c r="H1372" t="s">
        <v>4342</v>
      </c>
      <c r="I1372" t="s">
        <v>4343</v>
      </c>
      <c r="J1372" t="s">
        <v>4344</v>
      </c>
      <c r="K1372" t="s">
        <v>4345</v>
      </c>
      <c r="L1372" t="s">
        <v>161</v>
      </c>
      <c r="M1372" t="s">
        <v>102</v>
      </c>
      <c r="N1372" t="s">
        <v>146</v>
      </c>
      <c r="O1372" t="s">
        <v>3767</v>
      </c>
      <c r="P1372" t="s">
        <v>1125</v>
      </c>
      <c r="Q1372" t="s">
        <v>20</v>
      </c>
      <c r="R1372" t="s">
        <v>20</v>
      </c>
      <c r="S1372" t="s">
        <v>20</v>
      </c>
    </row>
    <row r="1373" spans="1:19" hidden="1" x14ac:dyDescent="0.45">
      <c r="A1373" t="s">
        <v>71</v>
      </c>
      <c r="B1373" t="s">
        <v>14198</v>
      </c>
      <c r="C1373" t="s">
        <v>1109</v>
      </c>
      <c r="D1373" t="s">
        <v>1110</v>
      </c>
      <c r="E1373" t="s">
        <v>38</v>
      </c>
      <c r="F1373" t="s">
        <v>2948</v>
      </c>
      <c r="G1373" t="s">
        <v>23</v>
      </c>
      <c r="H1373" t="s">
        <v>12757</v>
      </c>
      <c r="I1373" t="s">
        <v>12758</v>
      </c>
      <c r="J1373" t="s">
        <v>12759</v>
      </c>
      <c r="K1373" t="s">
        <v>12760</v>
      </c>
      <c r="L1373" t="s">
        <v>9623</v>
      </c>
      <c r="M1373" t="s">
        <v>102</v>
      </c>
      <c r="N1373" t="s">
        <v>33</v>
      </c>
      <c r="O1373" t="s">
        <v>3767</v>
      </c>
      <c r="P1373" t="s">
        <v>11782</v>
      </c>
      <c r="Q1373" t="s">
        <v>20</v>
      </c>
      <c r="R1373" t="s">
        <v>20</v>
      </c>
      <c r="S1373" t="s">
        <v>20</v>
      </c>
    </row>
    <row r="1374" spans="1:19" hidden="1" x14ac:dyDescent="0.45">
      <c r="A1374" t="s">
        <v>71</v>
      </c>
      <c r="B1374" t="s">
        <v>10698</v>
      </c>
      <c r="C1374" t="s">
        <v>1109</v>
      </c>
      <c r="D1374" t="s">
        <v>1110</v>
      </c>
      <c r="E1374" t="s">
        <v>57</v>
      </c>
      <c r="F1374" t="s">
        <v>3891</v>
      </c>
      <c r="G1374" t="s">
        <v>23</v>
      </c>
      <c r="H1374" t="s">
        <v>7865</v>
      </c>
      <c r="I1374" t="s">
        <v>7866</v>
      </c>
      <c r="J1374" t="s">
        <v>7867</v>
      </c>
      <c r="K1374" t="s">
        <v>7868</v>
      </c>
      <c r="L1374" t="s">
        <v>2769</v>
      </c>
      <c r="M1374" t="s">
        <v>102</v>
      </c>
      <c r="N1374" t="s">
        <v>62</v>
      </c>
      <c r="O1374" t="s">
        <v>3767</v>
      </c>
      <c r="P1374" t="s">
        <v>6522</v>
      </c>
      <c r="Q1374" t="s">
        <v>20</v>
      </c>
      <c r="R1374" t="s">
        <v>20</v>
      </c>
      <c r="S1374" t="s">
        <v>20</v>
      </c>
    </row>
    <row r="1375" spans="1:19" hidden="1" x14ac:dyDescent="0.45">
      <c r="A1375" t="s">
        <v>71</v>
      </c>
      <c r="B1375" t="s">
        <v>3810</v>
      </c>
      <c r="C1375" t="s">
        <v>1109</v>
      </c>
      <c r="D1375" t="s">
        <v>1110</v>
      </c>
      <c r="E1375" t="s">
        <v>2487</v>
      </c>
      <c r="F1375" t="s">
        <v>3062</v>
      </c>
      <c r="G1375" t="s">
        <v>23</v>
      </c>
      <c r="H1375" t="s">
        <v>3811</v>
      </c>
      <c r="I1375" t="s">
        <v>3812</v>
      </c>
      <c r="J1375" t="s">
        <v>3813</v>
      </c>
      <c r="K1375" t="s">
        <v>3814</v>
      </c>
      <c r="L1375" t="s">
        <v>504</v>
      </c>
      <c r="M1375" t="s">
        <v>102</v>
      </c>
      <c r="N1375" t="s">
        <v>146</v>
      </c>
      <c r="O1375" t="s">
        <v>3767</v>
      </c>
      <c r="P1375" t="s">
        <v>1125</v>
      </c>
      <c r="Q1375" t="s">
        <v>20</v>
      </c>
      <c r="R1375" t="s">
        <v>20</v>
      </c>
      <c r="S1375" t="s">
        <v>20</v>
      </c>
    </row>
    <row r="1376" spans="1:19" hidden="1" x14ac:dyDescent="0.45">
      <c r="A1376" t="s">
        <v>6989</v>
      </c>
      <c r="B1376" t="s">
        <v>8706</v>
      </c>
      <c r="C1376" t="s">
        <v>850</v>
      </c>
      <c r="D1376" t="s">
        <v>851</v>
      </c>
      <c r="E1376" t="s">
        <v>21</v>
      </c>
      <c r="F1376" t="s">
        <v>6528</v>
      </c>
      <c r="G1376" t="s">
        <v>23</v>
      </c>
      <c r="H1376" t="s">
        <v>8707</v>
      </c>
      <c r="I1376" t="s">
        <v>8708</v>
      </c>
      <c r="J1376" t="s">
        <v>8709</v>
      </c>
      <c r="K1376" t="s">
        <v>8710</v>
      </c>
      <c r="L1376" t="s">
        <v>3998</v>
      </c>
      <c r="M1376" t="s">
        <v>3145</v>
      </c>
      <c r="N1376" t="s">
        <v>2727</v>
      </c>
      <c r="O1376" t="s">
        <v>3767</v>
      </c>
      <c r="P1376" t="s">
        <v>902</v>
      </c>
      <c r="Q1376" t="s">
        <v>20</v>
      </c>
      <c r="R1376" t="s">
        <v>20</v>
      </c>
      <c r="S1376" t="s">
        <v>20</v>
      </c>
    </row>
    <row r="1377" spans="1:19" hidden="1" x14ac:dyDescent="0.45">
      <c r="A1377" t="s">
        <v>715</v>
      </c>
      <c r="B1377" t="s">
        <v>4227</v>
      </c>
      <c r="C1377" t="s">
        <v>970</v>
      </c>
      <c r="D1377" t="s">
        <v>971</v>
      </c>
      <c r="E1377" t="s">
        <v>2487</v>
      </c>
      <c r="F1377" t="s">
        <v>3062</v>
      </c>
      <c r="G1377" t="s">
        <v>23</v>
      </c>
      <c r="H1377" t="s">
        <v>4228</v>
      </c>
      <c r="I1377" t="s">
        <v>4229</v>
      </c>
      <c r="J1377" t="s">
        <v>4230</v>
      </c>
      <c r="K1377" t="s">
        <v>4231</v>
      </c>
      <c r="L1377" t="s">
        <v>118</v>
      </c>
      <c r="M1377" t="s">
        <v>102</v>
      </c>
      <c r="N1377" t="s">
        <v>146</v>
      </c>
      <c r="O1377" t="s">
        <v>3767</v>
      </c>
      <c r="P1377" t="s">
        <v>296</v>
      </c>
      <c r="Q1377" t="s">
        <v>20</v>
      </c>
      <c r="R1377" t="s">
        <v>20</v>
      </c>
      <c r="S1377" t="s">
        <v>20</v>
      </c>
    </row>
    <row r="1378" spans="1:19" hidden="1" x14ac:dyDescent="0.45">
      <c r="A1378" t="s">
        <v>715</v>
      </c>
      <c r="B1378" t="s">
        <v>8230</v>
      </c>
      <c r="C1378" t="s">
        <v>970</v>
      </c>
      <c r="D1378" t="s">
        <v>971</v>
      </c>
      <c r="E1378" t="s">
        <v>38</v>
      </c>
      <c r="F1378" t="s">
        <v>2787</v>
      </c>
      <c r="G1378" t="s">
        <v>23</v>
      </c>
      <c r="H1378" t="s">
        <v>8231</v>
      </c>
      <c r="I1378" t="s">
        <v>8232</v>
      </c>
      <c r="J1378" t="s">
        <v>8233</v>
      </c>
      <c r="K1378" t="s">
        <v>8234</v>
      </c>
      <c r="L1378" t="s">
        <v>722</v>
      </c>
      <c r="M1378" t="s">
        <v>2100</v>
      </c>
      <c r="N1378" t="s">
        <v>113</v>
      </c>
      <c r="O1378" t="s">
        <v>3767</v>
      </c>
      <c r="P1378" t="s">
        <v>6875</v>
      </c>
      <c r="Q1378" t="s">
        <v>20</v>
      </c>
      <c r="R1378" t="s">
        <v>20</v>
      </c>
      <c r="S1378" t="s">
        <v>20</v>
      </c>
    </row>
    <row r="1379" spans="1:19" hidden="1" x14ac:dyDescent="0.45">
      <c r="A1379" t="s">
        <v>535</v>
      </c>
      <c r="B1379" t="s">
        <v>9815</v>
      </c>
      <c r="C1379" t="s">
        <v>2998</v>
      </c>
      <c r="D1379" t="s">
        <v>2999</v>
      </c>
      <c r="E1379" t="s">
        <v>38</v>
      </c>
      <c r="F1379" t="s">
        <v>3062</v>
      </c>
      <c r="G1379" t="s">
        <v>23</v>
      </c>
      <c r="H1379" t="s">
        <v>8973</v>
      </c>
      <c r="I1379" t="s">
        <v>9128</v>
      </c>
      <c r="J1379" t="s">
        <v>9129</v>
      </c>
      <c r="K1379" t="s">
        <v>9130</v>
      </c>
      <c r="L1379" t="s">
        <v>2769</v>
      </c>
      <c r="M1379" t="s">
        <v>5379</v>
      </c>
      <c r="N1379" t="s">
        <v>45</v>
      </c>
      <c r="O1379" t="s">
        <v>3767</v>
      </c>
      <c r="P1379" t="s">
        <v>6513</v>
      </c>
      <c r="Q1379" t="s">
        <v>20</v>
      </c>
      <c r="R1379" t="s">
        <v>20</v>
      </c>
      <c r="S1379" t="s">
        <v>20</v>
      </c>
    </row>
    <row r="1380" spans="1:19" hidden="1" x14ac:dyDescent="0.45">
      <c r="A1380" t="s">
        <v>535</v>
      </c>
      <c r="B1380" t="s">
        <v>14199</v>
      </c>
      <c r="C1380" t="s">
        <v>2998</v>
      </c>
      <c r="D1380" t="s">
        <v>2999</v>
      </c>
      <c r="E1380" t="s">
        <v>38</v>
      </c>
      <c r="F1380" t="s">
        <v>3800</v>
      </c>
      <c r="G1380" t="s">
        <v>23</v>
      </c>
      <c r="H1380" t="s">
        <v>14200</v>
      </c>
      <c r="I1380" t="s">
        <v>14201</v>
      </c>
      <c r="J1380" t="s">
        <v>14202</v>
      </c>
      <c r="K1380" t="s">
        <v>14203</v>
      </c>
      <c r="L1380" t="s">
        <v>6525</v>
      </c>
      <c r="M1380" t="s">
        <v>5379</v>
      </c>
      <c r="N1380" t="s">
        <v>62</v>
      </c>
      <c r="O1380" t="s">
        <v>3767</v>
      </c>
      <c r="P1380" t="s">
        <v>11782</v>
      </c>
      <c r="Q1380" t="s">
        <v>20</v>
      </c>
      <c r="R1380" t="s">
        <v>20</v>
      </c>
      <c r="S1380" t="s">
        <v>20</v>
      </c>
    </row>
    <row r="1381" spans="1:19" hidden="1" x14ac:dyDescent="0.45">
      <c r="A1381" t="s">
        <v>173</v>
      </c>
      <c r="B1381" t="s">
        <v>3953</v>
      </c>
      <c r="C1381" t="s">
        <v>2647</v>
      </c>
      <c r="D1381" t="s">
        <v>2648</v>
      </c>
      <c r="E1381" t="s">
        <v>38</v>
      </c>
      <c r="F1381" t="s">
        <v>3954</v>
      </c>
      <c r="G1381" t="s">
        <v>23</v>
      </c>
      <c r="H1381" t="s">
        <v>3955</v>
      </c>
      <c r="I1381" t="s">
        <v>3956</v>
      </c>
      <c r="J1381" t="s">
        <v>3957</v>
      </c>
      <c r="K1381" t="s">
        <v>3958</v>
      </c>
      <c r="L1381" t="s">
        <v>1125</v>
      </c>
      <c r="M1381" t="s">
        <v>102</v>
      </c>
      <c r="N1381" t="s">
        <v>3831</v>
      </c>
      <c r="O1381" t="s">
        <v>3767</v>
      </c>
      <c r="P1381" t="s">
        <v>1125</v>
      </c>
      <c r="Q1381" t="s">
        <v>20</v>
      </c>
      <c r="R1381" t="s">
        <v>20</v>
      </c>
      <c r="S1381" t="s">
        <v>3959</v>
      </c>
    </row>
    <row r="1382" spans="1:19" hidden="1" x14ac:dyDescent="0.45">
      <c r="A1382" t="s">
        <v>572</v>
      </c>
      <c r="B1382" t="s">
        <v>14291</v>
      </c>
      <c r="C1382" t="s">
        <v>4376</v>
      </c>
      <c r="D1382" t="s">
        <v>4377</v>
      </c>
      <c r="E1382" t="s">
        <v>38</v>
      </c>
      <c r="F1382" t="s">
        <v>2755</v>
      </c>
      <c r="G1382" t="s">
        <v>23</v>
      </c>
      <c r="H1382" t="s">
        <v>12527</v>
      </c>
      <c r="I1382" t="s">
        <v>12528</v>
      </c>
      <c r="J1382" t="s">
        <v>12529</v>
      </c>
      <c r="K1382" t="s">
        <v>12530</v>
      </c>
      <c r="L1382" t="s">
        <v>6524</v>
      </c>
      <c r="M1382" t="s">
        <v>2760</v>
      </c>
      <c r="N1382" t="s">
        <v>9484</v>
      </c>
      <c r="O1382" t="s">
        <v>3767</v>
      </c>
      <c r="P1382" t="s">
        <v>6524</v>
      </c>
      <c r="Q1382" t="s">
        <v>20</v>
      </c>
      <c r="R1382" t="s">
        <v>20</v>
      </c>
      <c r="S1382" t="s">
        <v>20</v>
      </c>
    </row>
    <row r="1383" spans="1:19" hidden="1" x14ac:dyDescent="0.45">
      <c r="A1383" t="s">
        <v>572</v>
      </c>
      <c r="B1383" t="s">
        <v>4375</v>
      </c>
      <c r="C1383" t="s">
        <v>4376</v>
      </c>
      <c r="D1383" t="s">
        <v>4377</v>
      </c>
      <c r="E1383" t="s">
        <v>2487</v>
      </c>
      <c r="F1383" t="s">
        <v>3062</v>
      </c>
      <c r="G1383" t="s">
        <v>23</v>
      </c>
      <c r="H1383" t="s">
        <v>4378</v>
      </c>
      <c r="I1383" t="s">
        <v>4379</v>
      </c>
      <c r="J1383" t="s">
        <v>4380</v>
      </c>
      <c r="K1383" t="s">
        <v>4381</v>
      </c>
      <c r="L1383" t="s">
        <v>118</v>
      </c>
      <c r="M1383" t="s">
        <v>297</v>
      </c>
      <c r="N1383" t="s">
        <v>146</v>
      </c>
      <c r="O1383" t="s">
        <v>3767</v>
      </c>
      <c r="P1383" t="s">
        <v>296</v>
      </c>
      <c r="Q1383" t="s">
        <v>20</v>
      </c>
      <c r="R1383" t="s">
        <v>20</v>
      </c>
      <c r="S1383" t="s">
        <v>20</v>
      </c>
    </row>
    <row r="1384" spans="1:19" hidden="1" x14ac:dyDescent="0.45">
      <c r="A1384" t="s">
        <v>379</v>
      </c>
      <c r="B1384" t="s">
        <v>10677</v>
      </c>
      <c r="C1384" t="s">
        <v>1930</v>
      </c>
      <c r="D1384" t="s">
        <v>1931</v>
      </c>
      <c r="E1384" t="s">
        <v>38</v>
      </c>
      <c r="F1384" t="s">
        <v>3062</v>
      </c>
      <c r="G1384" t="s">
        <v>23</v>
      </c>
      <c r="H1384" t="s">
        <v>9030</v>
      </c>
      <c r="I1384" t="s">
        <v>9131</v>
      </c>
      <c r="J1384" t="s">
        <v>9132</v>
      </c>
      <c r="K1384" t="s">
        <v>9133</v>
      </c>
      <c r="L1384" t="s">
        <v>2769</v>
      </c>
      <c r="M1384" t="s">
        <v>102</v>
      </c>
      <c r="N1384" t="s">
        <v>146</v>
      </c>
      <c r="O1384" t="s">
        <v>3767</v>
      </c>
      <c r="P1384" t="s">
        <v>6523</v>
      </c>
      <c r="Q1384" t="s">
        <v>20</v>
      </c>
      <c r="R1384" t="s">
        <v>20</v>
      </c>
      <c r="S1384" t="s">
        <v>20</v>
      </c>
    </row>
    <row r="1385" spans="1:19" hidden="1" x14ac:dyDescent="0.45">
      <c r="A1385" t="s">
        <v>809</v>
      </c>
      <c r="B1385" t="s">
        <v>8603</v>
      </c>
      <c r="C1385" t="s">
        <v>1177</v>
      </c>
      <c r="D1385" t="s">
        <v>1178</v>
      </c>
      <c r="E1385" t="s">
        <v>38</v>
      </c>
      <c r="F1385" t="s">
        <v>3891</v>
      </c>
      <c r="G1385" t="s">
        <v>23</v>
      </c>
      <c r="H1385" t="s">
        <v>2634</v>
      </c>
      <c r="I1385" t="s">
        <v>2635</v>
      </c>
      <c r="J1385" t="s">
        <v>2636</v>
      </c>
      <c r="K1385" t="s">
        <v>2604</v>
      </c>
      <c r="L1385" t="s">
        <v>5398</v>
      </c>
      <c r="M1385" t="s">
        <v>3840</v>
      </c>
      <c r="N1385" t="s">
        <v>3831</v>
      </c>
      <c r="O1385" t="s">
        <v>3767</v>
      </c>
      <c r="P1385" t="s">
        <v>902</v>
      </c>
      <c r="Q1385" t="s">
        <v>20</v>
      </c>
      <c r="R1385" t="s">
        <v>20</v>
      </c>
      <c r="S1385" t="s">
        <v>2637</v>
      </c>
    </row>
    <row r="1386" spans="1:19" hidden="1" x14ac:dyDescent="0.45">
      <c r="A1386" t="s">
        <v>715</v>
      </c>
      <c r="B1386" t="s">
        <v>13986</v>
      </c>
      <c r="C1386" t="s">
        <v>4459</v>
      </c>
      <c r="D1386" t="s">
        <v>4460</v>
      </c>
      <c r="E1386" t="s">
        <v>38</v>
      </c>
      <c r="F1386" t="s">
        <v>2831</v>
      </c>
      <c r="G1386" t="s">
        <v>23</v>
      </c>
      <c r="H1386" t="s">
        <v>13987</v>
      </c>
      <c r="I1386" t="s">
        <v>13988</v>
      </c>
      <c r="J1386" t="s">
        <v>13989</v>
      </c>
      <c r="K1386" t="s">
        <v>13990</v>
      </c>
      <c r="L1386" t="s">
        <v>3998</v>
      </c>
      <c r="M1386" t="s">
        <v>3198</v>
      </c>
      <c r="N1386" t="s">
        <v>3815</v>
      </c>
      <c r="O1386" t="s">
        <v>3767</v>
      </c>
      <c r="P1386" t="s">
        <v>3998</v>
      </c>
      <c r="Q1386" t="s">
        <v>20</v>
      </c>
      <c r="R1386" t="s">
        <v>20</v>
      </c>
      <c r="S1386" t="s">
        <v>20</v>
      </c>
    </row>
    <row r="1387" spans="1:19" hidden="1" x14ac:dyDescent="0.45">
      <c r="A1387" t="s">
        <v>715</v>
      </c>
      <c r="B1387" t="s">
        <v>4458</v>
      </c>
      <c r="C1387" t="s">
        <v>4459</v>
      </c>
      <c r="D1387" t="s">
        <v>4460</v>
      </c>
      <c r="E1387" t="s">
        <v>2487</v>
      </c>
      <c r="F1387" t="s">
        <v>3062</v>
      </c>
      <c r="G1387" t="s">
        <v>23</v>
      </c>
      <c r="H1387" t="s">
        <v>4461</v>
      </c>
      <c r="I1387" t="s">
        <v>4462</v>
      </c>
      <c r="J1387" t="s">
        <v>4463</v>
      </c>
      <c r="K1387" t="s">
        <v>4464</v>
      </c>
      <c r="L1387" t="s">
        <v>118</v>
      </c>
      <c r="M1387" t="s">
        <v>102</v>
      </c>
      <c r="N1387" t="s">
        <v>146</v>
      </c>
      <c r="O1387" t="s">
        <v>3767</v>
      </c>
      <c r="P1387" t="s">
        <v>296</v>
      </c>
      <c r="Q1387" t="s">
        <v>20</v>
      </c>
      <c r="R1387" t="s">
        <v>20</v>
      </c>
      <c r="S1387" t="s">
        <v>20</v>
      </c>
    </row>
    <row r="1388" spans="1:19" hidden="1" x14ac:dyDescent="0.45">
      <c r="A1388" t="s">
        <v>516</v>
      </c>
      <c r="B1388" t="s">
        <v>5358</v>
      </c>
      <c r="C1388" t="s">
        <v>539</v>
      </c>
      <c r="D1388" t="s">
        <v>540</v>
      </c>
      <c r="E1388" t="s">
        <v>21</v>
      </c>
      <c r="F1388" t="s">
        <v>2722</v>
      </c>
      <c r="G1388" t="s">
        <v>23</v>
      </c>
      <c r="H1388" t="s">
        <v>5359</v>
      </c>
      <c r="I1388" t="s">
        <v>5360</v>
      </c>
      <c r="J1388" t="s">
        <v>5361</v>
      </c>
      <c r="K1388" t="s">
        <v>5362</v>
      </c>
      <c r="L1388" t="s">
        <v>118</v>
      </c>
      <c r="M1388" t="s">
        <v>1223</v>
      </c>
      <c r="N1388" t="s">
        <v>137</v>
      </c>
      <c r="O1388" t="s">
        <v>3767</v>
      </c>
      <c r="P1388" t="s">
        <v>118</v>
      </c>
      <c r="Q1388" t="s">
        <v>20</v>
      </c>
      <c r="R1388" t="s">
        <v>20</v>
      </c>
      <c r="S1388" t="s">
        <v>138</v>
      </c>
    </row>
    <row r="1389" spans="1:19" hidden="1" x14ac:dyDescent="0.45">
      <c r="A1389" t="s">
        <v>71</v>
      </c>
      <c r="B1389" t="s">
        <v>3789</v>
      </c>
      <c r="C1389" t="s">
        <v>3453</v>
      </c>
      <c r="D1389" t="s">
        <v>3454</v>
      </c>
      <c r="E1389" t="s">
        <v>38</v>
      </c>
      <c r="F1389" t="s">
        <v>22</v>
      </c>
      <c r="G1389" t="s">
        <v>23</v>
      </c>
      <c r="H1389" t="s">
        <v>3790</v>
      </c>
      <c r="I1389" t="s">
        <v>3791</v>
      </c>
      <c r="J1389" t="s">
        <v>3792</v>
      </c>
      <c r="K1389" t="s">
        <v>3793</v>
      </c>
      <c r="L1389" t="s">
        <v>895</v>
      </c>
      <c r="M1389" t="s">
        <v>2760</v>
      </c>
      <c r="N1389" t="s">
        <v>678</v>
      </c>
      <c r="O1389" t="s">
        <v>3767</v>
      </c>
      <c r="P1389" t="s">
        <v>296</v>
      </c>
      <c r="Q1389" t="s">
        <v>20</v>
      </c>
      <c r="R1389" t="s">
        <v>20</v>
      </c>
      <c r="S1389" t="s">
        <v>20</v>
      </c>
    </row>
    <row r="1390" spans="1:19" hidden="1" x14ac:dyDescent="0.45">
      <c r="A1390" t="s">
        <v>71</v>
      </c>
      <c r="B1390" t="s">
        <v>3452</v>
      </c>
      <c r="C1390" t="s">
        <v>3453</v>
      </c>
      <c r="D1390" t="s">
        <v>3454</v>
      </c>
      <c r="E1390" t="s">
        <v>38</v>
      </c>
      <c r="F1390" t="s">
        <v>14310</v>
      </c>
      <c r="G1390" t="s">
        <v>23</v>
      </c>
      <c r="H1390" t="s">
        <v>3455</v>
      </c>
      <c r="I1390" t="s">
        <v>3456</v>
      </c>
      <c r="J1390" t="s">
        <v>3457</v>
      </c>
      <c r="K1390" t="s">
        <v>3458</v>
      </c>
      <c r="L1390" t="s">
        <v>2413</v>
      </c>
      <c r="M1390" t="s">
        <v>2760</v>
      </c>
      <c r="N1390" t="s">
        <v>1224</v>
      </c>
      <c r="O1390" t="s">
        <v>3767</v>
      </c>
      <c r="P1390" t="s">
        <v>2769</v>
      </c>
      <c r="Q1390" t="s">
        <v>20</v>
      </c>
      <c r="R1390" t="s">
        <v>20</v>
      </c>
      <c r="S1390" t="s">
        <v>20</v>
      </c>
    </row>
    <row r="1391" spans="1:19" hidden="1" x14ac:dyDescent="0.45">
      <c r="A1391" t="s">
        <v>71</v>
      </c>
      <c r="B1391" t="s">
        <v>10673</v>
      </c>
      <c r="C1391" t="s">
        <v>3453</v>
      </c>
      <c r="D1391" t="s">
        <v>3454</v>
      </c>
      <c r="E1391" t="s">
        <v>57</v>
      </c>
      <c r="F1391" t="s">
        <v>3891</v>
      </c>
      <c r="G1391" t="s">
        <v>23</v>
      </c>
      <c r="H1391" t="s">
        <v>7561</v>
      </c>
      <c r="I1391" t="s">
        <v>7562</v>
      </c>
      <c r="J1391" t="s">
        <v>7563</v>
      </c>
      <c r="K1391" t="s">
        <v>7564</v>
      </c>
      <c r="L1391" t="s">
        <v>2769</v>
      </c>
      <c r="M1391" t="s">
        <v>102</v>
      </c>
      <c r="N1391" t="s">
        <v>62</v>
      </c>
      <c r="O1391" t="s">
        <v>3767</v>
      </c>
      <c r="P1391" t="s">
        <v>6522</v>
      </c>
      <c r="Q1391" t="s">
        <v>20</v>
      </c>
      <c r="R1391" t="s">
        <v>20</v>
      </c>
      <c r="S1391" t="s">
        <v>20</v>
      </c>
    </row>
    <row r="1392" spans="1:19" hidden="1" x14ac:dyDescent="0.45">
      <c r="A1392" t="s">
        <v>71</v>
      </c>
      <c r="B1392" t="s">
        <v>4296</v>
      </c>
      <c r="C1392" t="s">
        <v>3453</v>
      </c>
      <c r="D1392" t="s">
        <v>3454</v>
      </c>
      <c r="E1392" t="s">
        <v>2487</v>
      </c>
      <c r="F1392" t="s">
        <v>3062</v>
      </c>
      <c r="G1392" t="s">
        <v>23</v>
      </c>
      <c r="H1392" t="s">
        <v>4297</v>
      </c>
      <c r="I1392" t="s">
        <v>4298</v>
      </c>
      <c r="J1392" t="s">
        <v>4299</v>
      </c>
      <c r="K1392" t="s">
        <v>4300</v>
      </c>
      <c r="L1392" t="s">
        <v>504</v>
      </c>
      <c r="M1392" t="s">
        <v>102</v>
      </c>
      <c r="N1392" t="s">
        <v>146</v>
      </c>
      <c r="O1392" t="s">
        <v>3767</v>
      </c>
      <c r="P1392" t="s">
        <v>635</v>
      </c>
      <c r="Q1392" t="s">
        <v>20</v>
      </c>
      <c r="R1392" t="s">
        <v>20</v>
      </c>
      <c r="S1392" t="s">
        <v>20</v>
      </c>
    </row>
    <row r="1393" spans="1:19" hidden="1" x14ac:dyDescent="0.45">
      <c r="A1393" t="s">
        <v>3096</v>
      </c>
      <c r="B1393" t="s">
        <v>4745</v>
      </c>
      <c r="C1393" t="s">
        <v>3098</v>
      </c>
      <c r="D1393" t="s">
        <v>3099</v>
      </c>
      <c r="E1393" t="s">
        <v>21</v>
      </c>
      <c r="F1393" t="s">
        <v>2773</v>
      </c>
      <c r="G1393" t="s">
        <v>23</v>
      </c>
      <c r="H1393" t="s">
        <v>4746</v>
      </c>
      <c r="I1393" t="s">
        <v>4747</v>
      </c>
      <c r="J1393" t="s">
        <v>4748</v>
      </c>
      <c r="K1393" t="s">
        <v>4749</v>
      </c>
      <c r="L1393" t="s">
        <v>296</v>
      </c>
      <c r="M1393" t="s">
        <v>3105</v>
      </c>
      <c r="N1393" t="s">
        <v>1224</v>
      </c>
      <c r="O1393" t="s">
        <v>3767</v>
      </c>
      <c r="P1393" t="s">
        <v>296</v>
      </c>
      <c r="Q1393" t="s">
        <v>20</v>
      </c>
      <c r="R1393" t="s">
        <v>20</v>
      </c>
      <c r="S1393" t="s">
        <v>20</v>
      </c>
    </row>
    <row r="1394" spans="1:19" hidden="1" x14ac:dyDescent="0.45">
      <c r="A1394" t="s">
        <v>3902</v>
      </c>
      <c r="B1394" t="s">
        <v>10265</v>
      </c>
      <c r="C1394" t="s">
        <v>4352</v>
      </c>
      <c r="D1394" t="s">
        <v>4353</v>
      </c>
      <c r="E1394" t="s">
        <v>21</v>
      </c>
      <c r="F1394" t="s">
        <v>2722</v>
      </c>
      <c r="G1394" t="s">
        <v>23</v>
      </c>
      <c r="H1394" t="s">
        <v>9531</v>
      </c>
      <c r="I1394" t="s">
        <v>9582</v>
      </c>
      <c r="J1394" t="s">
        <v>9583</v>
      </c>
      <c r="K1394" t="s">
        <v>9584</v>
      </c>
      <c r="L1394" t="s">
        <v>2769</v>
      </c>
      <c r="M1394" t="s">
        <v>2760</v>
      </c>
      <c r="N1394" t="s">
        <v>45</v>
      </c>
      <c r="O1394" t="s">
        <v>3767</v>
      </c>
      <c r="P1394" t="s">
        <v>2769</v>
      </c>
      <c r="Q1394" t="s">
        <v>20</v>
      </c>
      <c r="R1394" t="s">
        <v>20</v>
      </c>
      <c r="S1394" t="s">
        <v>4901</v>
      </c>
    </row>
    <row r="1395" spans="1:19" hidden="1" x14ac:dyDescent="0.45">
      <c r="A1395" t="s">
        <v>269</v>
      </c>
      <c r="B1395" t="s">
        <v>3985</v>
      </c>
      <c r="C1395" t="s">
        <v>1526</v>
      </c>
      <c r="D1395" t="s">
        <v>1527</v>
      </c>
      <c r="E1395" t="s">
        <v>21</v>
      </c>
      <c r="F1395" t="s">
        <v>14664</v>
      </c>
      <c r="G1395" t="s">
        <v>23</v>
      </c>
      <c r="H1395" t="s">
        <v>3986</v>
      </c>
      <c r="I1395" t="s">
        <v>3987</v>
      </c>
      <c r="J1395" t="s">
        <v>3988</v>
      </c>
      <c r="K1395" t="s">
        <v>3989</v>
      </c>
      <c r="L1395" t="s">
        <v>194</v>
      </c>
      <c r="M1395" t="s">
        <v>2760</v>
      </c>
      <c r="N1395" t="s">
        <v>146</v>
      </c>
      <c r="O1395" t="s">
        <v>3767</v>
      </c>
      <c r="P1395" t="s">
        <v>194</v>
      </c>
      <c r="Q1395" t="s">
        <v>20</v>
      </c>
      <c r="R1395" t="s">
        <v>20</v>
      </c>
      <c r="S1395" t="s">
        <v>20</v>
      </c>
    </row>
    <row r="1396" spans="1:19" hidden="1" x14ac:dyDescent="0.45">
      <c r="A1396" t="s">
        <v>358</v>
      </c>
      <c r="B1396" t="s">
        <v>4497</v>
      </c>
      <c r="C1396" t="s">
        <v>1264</v>
      </c>
      <c r="D1396" t="s">
        <v>1265</v>
      </c>
      <c r="E1396" t="s">
        <v>21</v>
      </c>
      <c r="F1396" t="s">
        <v>2904</v>
      </c>
      <c r="G1396" t="s">
        <v>23</v>
      </c>
      <c r="H1396" t="s">
        <v>4498</v>
      </c>
      <c r="I1396" t="s">
        <v>4499</v>
      </c>
      <c r="J1396" t="s">
        <v>4500</v>
      </c>
      <c r="K1396" t="s">
        <v>4501</v>
      </c>
      <c r="L1396" t="s">
        <v>111</v>
      </c>
      <c r="M1396" t="s">
        <v>2760</v>
      </c>
      <c r="N1396" t="s">
        <v>146</v>
      </c>
      <c r="O1396" t="s">
        <v>3767</v>
      </c>
      <c r="P1396" t="s">
        <v>111</v>
      </c>
      <c r="Q1396" t="s">
        <v>20</v>
      </c>
      <c r="R1396" t="s">
        <v>20</v>
      </c>
      <c r="S1396" t="s">
        <v>20</v>
      </c>
    </row>
    <row r="1397" spans="1:19" hidden="1" x14ac:dyDescent="0.45">
      <c r="A1397" t="s">
        <v>358</v>
      </c>
      <c r="B1397" t="s">
        <v>13991</v>
      </c>
      <c r="C1397" t="s">
        <v>1264</v>
      </c>
      <c r="D1397" t="s">
        <v>1265</v>
      </c>
      <c r="E1397" t="s">
        <v>21</v>
      </c>
      <c r="F1397" t="s">
        <v>2904</v>
      </c>
      <c r="G1397" t="s">
        <v>23</v>
      </c>
      <c r="H1397" t="s">
        <v>13992</v>
      </c>
      <c r="I1397" t="s">
        <v>13993</v>
      </c>
      <c r="J1397" t="s">
        <v>13994</v>
      </c>
      <c r="K1397" t="s">
        <v>13995</v>
      </c>
      <c r="L1397" t="s">
        <v>11782</v>
      </c>
      <c r="M1397" t="s">
        <v>1223</v>
      </c>
      <c r="N1397" t="s">
        <v>25</v>
      </c>
      <c r="O1397" t="s">
        <v>3767</v>
      </c>
      <c r="P1397" t="s">
        <v>8094</v>
      </c>
      <c r="Q1397" t="s">
        <v>20</v>
      </c>
      <c r="R1397" t="s">
        <v>20</v>
      </c>
      <c r="S1397" t="s">
        <v>3268</v>
      </c>
    </row>
    <row r="1398" spans="1:19" hidden="1" x14ac:dyDescent="0.45">
      <c r="A1398" t="s">
        <v>211</v>
      </c>
      <c r="B1398" t="s">
        <v>8547</v>
      </c>
      <c r="C1398" t="s">
        <v>2113</v>
      </c>
      <c r="D1398" t="s">
        <v>2114</v>
      </c>
      <c r="E1398" t="s">
        <v>38</v>
      </c>
      <c r="F1398" t="s">
        <v>2948</v>
      </c>
      <c r="G1398" t="s">
        <v>23</v>
      </c>
      <c r="H1398" t="s">
        <v>8548</v>
      </c>
      <c r="I1398" t="s">
        <v>8549</v>
      </c>
      <c r="J1398" t="s">
        <v>8550</v>
      </c>
      <c r="K1398" t="s">
        <v>8551</v>
      </c>
      <c r="L1398" t="s">
        <v>6513</v>
      </c>
      <c r="M1398" t="s">
        <v>2760</v>
      </c>
      <c r="N1398" t="s">
        <v>146</v>
      </c>
      <c r="O1398" t="s">
        <v>3767</v>
      </c>
      <c r="P1398" t="s">
        <v>6521</v>
      </c>
      <c r="Q1398" t="s">
        <v>20</v>
      </c>
      <c r="R1398" t="s">
        <v>20</v>
      </c>
      <c r="S1398" t="s">
        <v>20</v>
      </c>
    </row>
    <row r="1399" spans="1:19" hidden="1" x14ac:dyDescent="0.45">
      <c r="A1399" t="s">
        <v>211</v>
      </c>
      <c r="B1399" t="s">
        <v>10645</v>
      </c>
      <c r="C1399" t="s">
        <v>2113</v>
      </c>
      <c r="D1399" t="s">
        <v>2114</v>
      </c>
      <c r="E1399" t="s">
        <v>38</v>
      </c>
      <c r="F1399" t="s">
        <v>3062</v>
      </c>
      <c r="G1399" t="s">
        <v>23</v>
      </c>
      <c r="H1399" t="s">
        <v>9001</v>
      </c>
      <c r="I1399" t="s">
        <v>9146</v>
      </c>
      <c r="J1399" t="s">
        <v>9147</v>
      </c>
      <c r="K1399" t="s">
        <v>9148</v>
      </c>
      <c r="L1399" t="s">
        <v>6513</v>
      </c>
      <c r="M1399" t="s">
        <v>102</v>
      </c>
      <c r="N1399" t="s">
        <v>146</v>
      </c>
      <c r="O1399" t="s">
        <v>3767</v>
      </c>
      <c r="P1399" t="s">
        <v>6522</v>
      </c>
      <c r="Q1399" t="s">
        <v>20</v>
      </c>
      <c r="R1399" t="s">
        <v>20</v>
      </c>
      <c r="S1399" t="s">
        <v>20</v>
      </c>
    </row>
    <row r="1400" spans="1:19" hidden="1" x14ac:dyDescent="0.45">
      <c r="A1400" t="s">
        <v>379</v>
      </c>
      <c r="B1400" t="s">
        <v>6741</v>
      </c>
      <c r="C1400" t="s">
        <v>1063</v>
      </c>
      <c r="D1400" t="s">
        <v>1064</v>
      </c>
      <c r="E1400" t="s">
        <v>21</v>
      </c>
      <c r="F1400" t="s">
        <v>2722</v>
      </c>
      <c r="G1400" t="s">
        <v>23</v>
      </c>
      <c r="H1400" t="s">
        <v>6476</v>
      </c>
      <c r="I1400" t="s">
        <v>6742</v>
      </c>
      <c r="J1400" t="s">
        <v>6743</v>
      </c>
      <c r="K1400" t="s">
        <v>6744</v>
      </c>
      <c r="L1400" t="s">
        <v>290</v>
      </c>
      <c r="M1400" t="s">
        <v>2760</v>
      </c>
      <c r="N1400" t="s">
        <v>2858</v>
      </c>
      <c r="O1400" t="s">
        <v>3767</v>
      </c>
      <c r="P1400" t="s">
        <v>290</v>
      </c>
      <c r="Q1400" t="s">
        <v>20</v>
      </c>
      <c r="R1400" t="s">
        <v>20</v>
      </c>
      <c r="S1400" t="s">
        <v>20</v>
      </c>
    </row>
    <row r="1401" spans="1:19" hidden="1" x14ac:dyDescent="0.45">
      <c r="A1401" t="s">
        <v>379</v>
      </c>
      <c r="B1401" t="s">
        <v>10591</v>
      </c>
      <c r="C1401" t="s">
        <v>1063</v>
      </c>
      <c r="D1401" t="s">
        <v>1064</v>
      </c>
      <c r="E1401" t="s">
        <v>21</v>
      </c>
      <c r="F1401" t="s">
        <v>2722</v>
      </c>
      <c r="G1401" t="s">
        <v>23</v>
      </c>
      <c r="H1401" t="s">
        <v>10592</v>
      </c>
      <c r="I1401" t="s">
        <v>10593</v>
      </c>
      <c r="J1401" t="s">
        <v>10594</v>
      </c>
      <c r="K1401" t="s">
        <v>10595</v>
      </c>
      <c r="L1401" t="s">
        <v>9126</v>
      </c>
      <c r="M1401" t="s">
        <v>3145</v>
      </c>
      <c r="N1401" t="s">
        <v>2727</v>
      </c>
      <c r="O1401" t="s">
        <v>3767</v>
      </c>
      <c r="P1401" t="s">
        <v>7506</v>
      </c>
      <c r="Q1401" t="s">
        <v>20</v>
      </c>
      <c r="R1401" t="s">
        <v>20</v>
      </c>
      <c r="S1401" t="s">
        <v>20</v>
      </c>
    </row>
    <row r="1402" spans="1:19" hidden="1" x14ac:dyDescent="0.45">
      <c r="A1402" t="s">
        <v>379</v>
      </c>
      <c r="B1402" t="s">
        <v>6718</v>
      </c>
      <c r="C1402" t="s">
        <v>1063</v>
      </c>
      <c r="D1402" t="s">
        <v>1064</v>
      </c>
      <c r="E1402" t="s">
        <v>38</v>
      </c>
      <c r="F1402" t="s">
        <v>2898</v>
      </c>
      <c r="G1402" t="s">
        <v>23</v>
      </c>
      <c r="H1402" t="s">
        <v>1099</v>
      </c>
      <c r="I1402" t="s">
        <v>1100</v>
      </c>
      <c r="J1402" t="s">
        <v>1101</v>
      </c>
      <c r="K1402" t="s">
        <v>404</v>
      </c>
      <c r="L1402" t="s">
        <v>168</v>
      </c>
      <c r="M1402" t="s">
        <v>2760</v>
      </c>
      <c r="N1402" t="s">
        <v>3831</v>
      </c>
      <c r="O1402" t="s">
        <v>3767</v>
      </c>
      <c r="P1402" t="s">
        <v>290</v>
      </c>
      <c r="Q1402" t="s">
        <v>20</v>
      </c>
      <c r="R1402" t="s">
        <v>20</v>
      </c>
      <c r="S1402" t="s">
        <v>1102</v>
      </c>
    </row>
    <row r="1403" spans="1:19" hidden="1" x14ac:dyDescent="0.45">
      <c r="A1403" t="s">
        <v>379</v>
      </c>
      <c r="B1403" t="s">
        <v>11214</v>
      </c>
      <c r="C1403" t="s">
        <v>1063</v>
      </c>
      <c r="D1403" t="s">
        <v>1064</v>
      </c>
      <c r="E1403" t="s">
        <v>38</v>
      </c>
      <c r="F1403" t="s">
        <v>2785</v>
      </c>
      <c r="G1403" t="s">
        <v>23</v>
      </c>
      <c r="H1403" t="s">
        <v>6851</v>
      </c>
      <c r="I1403" t="s">
        <v>6852</v>
      </c>
      <c r="J1403" t="s">
        <v>9585</v>
      </c>
      <c r="K1403" t="s">
        <v>9586</v>
      </c>
      <c r="L1403" t="s">
        <v>8109</v>
      </c>
      <c r="M1403" t="s">
        <v>2760</v>
      </c>
      <c r="N1403" t="s">
        <v>146</v>
      </c>
      <c r="O1403" t="s">
        <v>3767</v>
      </c>
      <c r="P1403" t="s">
        <v>290</v>
      </c>
      <c r="Q1403" t="s">
        <v>20</v>
      </c>
      <c r="R1403" t="s">
        <v>20</v>
      </c>
      <c r="S1403" t="s">
        <v>20</v>
      </c>
    </row>
    <row r="1404" spans="1:19" hidden="1" x14ac:dyDescent="0.45">
      <c r="A1404" t="s">
        <v>246</v>
      </c>
      <c r="B1404" t="s">
        <v>14292</v>
      </c>
      <c r="C1404" t="s">
        <v>879</v>
      </c>
      <c r="D1404" t="s">
        <v>880</v>
      </c>
      <c r="E1404" t="s">
        <v>57</v>
      </c>
      <c r="F1404" t="s">
        <v>4263</v>
      </c>
      <c r="G1404" t="s">
        <v>23</v>
      </c>
      <c r="H1404" t="s">
        <v>881</v>
      </c>
      <c r="I1404" t="s">
        <v>882</v>
      </c>
      <c r="J1404" t="s">
        <v>883</v>
      </c>
      <c r="K1404" t="s">
        <v>884</v>
      </c>
      <c r="L1404" t="s">
        <v>43</v>
      </c>
      <c r="M1404" t="s">
        <v>5352</v>
      </c>
      <c r="N1404" t="s">
        <v>62</v>
      </c>
      <c r="O1404" t="s">
        <v>3767</v>
      </c>
      <c r="P1404" t="s">
        <v>6527</v>
      </c>
      <c r="Q1404" t="s">
        <v>20</v>
      </c>
      <c r="R1404" t="s">
        <v>20</v>
      </c>
      <c r="S1404" t="s">
        <v>20</v>
      </c>
    </row>
    <row r="1405" spans="1:19" hidden="1" x14ac:dyDescent="0.45">
      <c r="A1405" t="s">
        <v>246</v>
      </c>
      <c r="B1405" t="s">
        <v>4503</v>
      </c>
      <c r="C1405" t="s">
        <v>879</v>
      </c>
      <c r="D1405" t="s">
        <v>880</v>
      </c>
      <c r="E1405" t="s">
        <v>38</v>
      </c>
      <c r="F1405" t="s">
        <v>2785</v>
      </c>
      <c r="G1405" t="s">
        <v>23</v>
      </c>
      <c r="H1405" t="s">
        <v>4504</v>
      </c>
      <c r="I1405" t="s">
        <v>4505</v>
      </c>
      <c r="J1405" t="s">
        <v>4506</v>
      </c>
      <c r="K1405" t="s">
        <v>4507</v>
      </c>
      <c r="L1405" t="s">
        <v>131</v>
      </c>
      <c r="M1405" t="s">
        <v>2760</v>
      </c>
      <c r="N1405" t="s">
        <v>678</v>
      </c>
      <c r="O1405" t="s">
        <v>3767</v>
      </c>
      <c r="P1405" t="s">
        <v>118</v>
      </c>
      <c r="Q1405" t="s">
        <v>20</v>
      </c>
      <c r="R1405" t="s">
        <v>20</v>
      </c>
      <c r="S1405" t="s">
        <v>20</v>
      </c>
    </row>
    <row r="1406" spans="1:19" hidden="1" x14ac:dyDescent="0.45">
      <c r="A1406" t="s">
        <v>246</v>
      </c>
      <c r="B1406" t="s">
        <v>4155</v>
      </c>
      <c r="C1406" t="s">
        <v>879</v>
      </c>
      <c r="D1406" t="s">
        <v>880</v>
      </c>
      <c r="E1406" t="s">
        <v>38</v>
      </c>
      <c r="F1406" t="s">
        <v>2722</v>
      </c>
      <c r="G1406" t="s">
        <v>23</v>
      </c>
      <c r="H1406" t="s">
        <v>4156</v>
      </c>
      <c r="I1406" t="s">
        <v>4157</v>
      </c>
      <c r="J1406" t="s">
        <v>4158</v>
      </c>
      <c r="K1406" t="s">
        <v>4159</v>
      </c>
      <c r="L1406" t="s">
        <v>118</v>
      </c>
      <c r="M1406" t="s">
        <v>2760</v>
      </c>
      <c r="N1406" t="s">
        <v>2809</v>
      </c>
      <c r="O1406" t="s">
        <v>3767</v>
      </c>
      <c r="P1406" t="s">
        <v>635</v>
      </c>
      <c r="Q1406" t="s">
        <v>20</v>
      </c>
      <c r="R1406" t="s">
        <v>20</v>
      </c>
      <c r="S1406" t="s">
        <v>20</v>
      </c>
    </row>
    <row r="1407" spans="1:19" hidden="1" x14ac:dyDescent="0.45">
      <c r="A1407" t="s">
        <v>395</v>
      </c>
      <c r="B1407" t="s">
        <v>8611</v>
      </c>
      <c r="C1407" t="s">
        <v>3543</v>
      </c>
      <c r="D1407" t="s">
        <v>3544</v>
      </c>
      <c r="E1407" t="s">
        <v>38</v>
      </c>
      <c r="F1407" t="s">
        <v>2755</v>
      </c>
      <c r="G1407" t="s">
        <v>23</v>
      </c>
      <c r="H1407" t="s">
        <v>8612</v>
      </c>
      <c r="I1407" t="s">
        <v>8613</v>
      </c>
      <c r="J1407" t="s">
        <v>8614</v>
      </c>
      <c r="K1407" t="s">
        <v>8615</v>
      </c>
      <c r="L1407" t="s">
        <v>6521</v>
      </c>
      <c r="M1407" t="s">
        <v>132</v>
      </c>
      <c r="N1407" t="s">
        <v>195</v>
      </c>
      <c r="O1407" t="s">
        <v>3767</v>
      </c>
      <c r="P1407" t="s">
        <v>2330</v>
      </c>
      <c r="Q1407" t="s">
        <v>20</v>
      </c>
      <c r="R1407" t="s">
        <v>20</v>
      </c>
      <c r="S1407" t="s">
        <v>20</v>
      </c>
    </row>
    <row r="1408" spans="1:19" hidden="1" x14ac:dyDescent="0.45">
      <c r="A1408" t="s">
        <v>358</v>
      </c>
      <c r="B1408" t="s">
        <v>8456</v>
      </c>
      <c r="C1408" t="s">
        <v>1519</v>
      </c>
      <c r="D1408" t="s">
        <v>1520</v>
      </c>
      <c r="E1408" t="s">
        <v>21</v>
      </c>
      <c r="F1408" t="s">
        <v>2722</v>
      </c>
      <c r="G1408" t="s">
        <v>23</v>
      </c>
      <c r="H1408" t="s">
        <v>8457</v>
      </c>
      <c r="I1408" t="s">
        <v>8458</v>
      </c>
      <c r="J1408" t="s">
        <v>8459</v>
      </c>
      <c r="K1408" t="s">
        <v>8460</v>
      </c>
      <c r="L1408" t="s">
        <v>290</v>
      </c>
      <c r="M1408" t="s">
        <v>2760</v>
      </c>
      <c r="N1408" t="s">
        <v>137</v>
      </c>
      <c r="O1408" t="s">
        <v>3767</v>
      </c>
      <c r="P1408" t="s">
        <v>290</v>
      </c>
      <c r="Q1408" t="s">
        <v>20</v>
      </c>
      <c r="R1408" t="s">
        <v>20</v>
      </c>
      <c r="S1408" t="s">
        <v>20</v>
      </c>
    </row>
    <row r="1409" spans="1:19" hidden="1" x14ac:dyDescent="0.45">
      <c r="A1409" t="s">
        <v>592</v>
      </c>
      <c r="B1409" t="s">
        <v>9713</v>
      </c>
      <c r="C1409" t="s">
        <v>2057</v>
      </c>
      <c r="D1409" t="s">
        <v>2058</v>
      </c>
      <c r="E1409" t="s">
        <v>38</v>
      </c>
      <c r="F1409" t="s">
        <v>2936</v>
      </c>
      <c r="G1409" t="s">
        <v>23</v>
      </c>
      <c r="H1409" t="s">
        <v>9714</v>
      </c>
      <c r="I1409" t="s">
        <v>9715</v>
      </c>
      <c r="J1409" t="s">
        <v>9716</v>
      </c>
      <c r="K1409" t="s">
        <v>9717</v>
      </c>
      <c r="L1409" t="s">
        <v>5398</v>
      </c>
      <c r="M1409" t="s">
        <v>1498</v>
      </c>
      <c r="N1409" t="s">
        <v>3831</v>
      </c>
      <c r="O1409" t="s">
        <v>3767</v>
      </c>
      <c r="P1409" t="s">
        <v>5398</v>
      </c>
      <c r="Q1409" t="s">
        <v>20</v>
      </c>
      <c r="R1409" t="s">
        <v>20</v>
      </c>
      <c r="S1409" t="s">
        <v>9718</v>
      </c>
    </row>
    <row r="1410" spans="1:19" hidden="1" x14ac:dyDescent="0.45">
      <c r="A1410" t="s">
        <v>592</v>
      </c>
      <c r="B1410" t="s">
        <v>14019</v>
      </c>
      <c r="C1410" t="s">
        <v>2057</v>
      </c>
      <c r="D1410" t="s">
        <v>2058</v>
      </c>
      <c r="E1410" t="s">
        <v>38</v>
      </c>
      <c r="F1410" t="s">
        <v>14665</v>
      </c>
      <c r="G1410" t="s">
        <v>23</v>
      </c>
      <c r="H1410" t="s">
        <v>14020</v>
      </c>
      <c r="I1410" t="s">
        <v>14021</v>
      </c>
      <c r="J1410" t="s">
        <v>14022</v>
      </c>
      <c r="K1410" t="s">
        <v>14023</v>
      </c>
      <c r="L1410" t="s">
        <v>6525</v>
      </c>
      <c r="M1410" t="s">
        <v>2760</v>
      </c>
      <c r="N1410" t="s">
        <v>2727</v>
      </c>
      <c r="O1410" t="s">
        <v>3767</v>
      </c>
      <c r="P1410" t="s">
        <v>3998</v>
      </c>
      <c r="Q1410" t="s">
        <v>20</v>
      </c>
      <c r="R1410" t="s">
        <v>20</v>
      </c>
      <c r="S1410" t="s">
        <v>20</v>
      </c>
    </row>
    <row r="1411" spans="1:19" hidden="1" x14ac:dyDescent="0.45">
      <c r="A1411" t="s">
        <v>335</v>
      </c>
      <c r="B1411" t="s">
        <v>3825</v>
      </c>
      <c r="C1411" t="s">
        <v>656</v>
      </c>
      <c r="D1411" t="s">
        <v>657</v>
      </c>
      <c r="E1411" t="s">
        <v>2487</v>
      </c>
      <c r="F1411" t="s">
        <v>3826</v>
      </c>
      <c r="G1411" t="s">
        <v>23</v>
      </c>
      <c r="H1411" t="s">
        <v>3827</v>
      </c>
      <c r="I1411" t="s">
        <v>3828</v>
      </c>
      <c r="J1411" t="s">
        <v>3829</v>
      </c>
      <c r="K1411" t="s">
        <v>3830</v>
      </c>
      <c r="L1411" t="s">
        <v>1125</v>
      </c>
      <c r="M1411" t="s">
        <v>102</v>
      </c>
      <c r="N1411" t="s">
        <v>3831</v>
      </c>
      <c r="O1411" t="s">
        <v>3767</v>
      </c>
      <c r="P1411" t="s">
        <v>161</v>
      </c>
      <c r="Q1411" t="s">
        <v>20</v>
      </c>
      <c r="R1411" t="s">
        <v>20</v>
      </c>
      <c r="S1411" t="s">
        <v>3832</v>
      </c>
    </row>
    <row r="1412" spans="1:19" hidden="1" x14ac:dyDescent="0.45">
      <c r="A1412" t="s">
        <v>335</v>
      </c>
      <c r="B1412" t="s">
        <v>14238</v>
      </c>
      <c r="C1412" t="s">
        <v>656</v>
      </c>
      <c r="D1412" t="s">
        <v>657</v>
      </c>
      <c r="E1412" t="s">
        <v>57</v>
      </c>
      <c r="F1412" t="s">
        <v>14294</v>
      </c>
      <c r="G1412" t="s">
        <v>23</v>
      </c>
      <c r="H1412" t="s">
        <v>2070</v>
      </c>
      <c r="I1412" t="s">
        <v>2071</v>
      </c>
      <c r="J1412" t="s">
        <v>2072</v>
      </c>
      <c r="K1412" t="s">
        <v>2073</v>
      </c>
      <c r="L1412" t="s">
        <v>6522</v>
      </c>
      <c r="M1412" t="s">
        <v>102</v>
      </c>
      <c r="N1412" t="s">
        <v>62</v>
      </c>
      <c r="O1412" t="s">
        <v>3767</v>
      </c>
      <c r="P1412" t="s">
        <v>11782</v>
      </c>
      <c r="Q1412" t="s">
        <v>20</v>
      </c>
      <c r="R1412" t="s">
        <v>20</v>
      </c>
      <c r="S1412" t="s">
        <v>20</v>
      </c>
    </row>
    <row r="1413" spans="1:19" hidden="1" x14ac:dyDescent="0.45">
      <c r="A1413" t="s">
        <v>19</v>
      </c>
      <c r="B1413" t="s">
        <v>3240</v>
      </c>
      <c r="C1413" t="s">
        <v>1977</v>
      </c>
      <c r="D1413" t="s">
        <v>1978</v>
      </c>
      <c r="E1413" t="s">
        <v>29</v>
      </c>
      <c r="F1413" t="s">
        <v>3062</v>
      </c>
      <c r="G1413" t="s">
        <v>23</v>
      </c>
      <c r="H1413" t="s">
        <v>3241</v>
      </c>
      <c r="I1413" t="s">
        <v>3242</v>
      </c>
      <c r="J1413" t="s">
        <v>3243</v>
      </c>
      <c r="K1413" t="s">
        <v>3244</v>
      </c>
      <c r="L1413" t="s">
        <v>161</v>
      </c>
      <c r="M1413" t="s">
        <v>1223</v>
      </c>
      <c r="N1413" t="s">
        <v>2858</v>
      </c>
      <c r="O1413" t="s">
        <v>3767</v>
      </c>
      <c r="P1413" t="s">
        <v>101</v>
      </c>
      <c r="Q1413" t="s">
        <v>20</v>
      </c>
      <c r="R1413" t="s">
        <v>20</v>
      </c>
      <c r="S1413" t="s">
        <v>20</v>
      </c>
    </row>
    <row r="1414" spans="1:19" hidden="1" x14ac:dyDescent="0.45">
      <c r="A1414" t="s">
        <v>1278</v>
      </c>
      <c r="B1414" t="s">
        <v>13322</v>
      </c>
      <c r="C1414" t="s">
        <v>1279</v>
      </c>
      <c r="D1414" t="s">
        <v>1280</v>
      </c>
      <c r="E1414" t="s">
        <v>38</v>
      </c>
      <c r="F1414" t="s">
        <v>3062</v>
      </c>
      <c r="G1414" t="s">
        <v>23</v>
      </c>
      <c r="H1414" t="s">
        <v>2080</v>
      </c>
      <c r="I1414" t="s">
        <v>2081</v>
      </c>
      <c r="J1414" t="s">
        <v>2082</v>
      </c>
      <c r="K1414" t="s">
        <v>2083</v>
      </c>
      <c r="L1414" t="s">
        <v>101</v>
      </c>
      <c r="M1414" t="s">
        <v>297</v>
      </c>
      <c r="N1414" t="s">
        <v>146</v>
      </c>
      <c r="O1414" t="s">
        <v>3767</v>
      </c>
      <c r="P1414" t="s">
        <v>722</v>
      </c>
      <c r="Q1414" t="s">
        <v>20</v>
      </c>
      <c r="R1414" t="s">
        <v>20</v>
      </c>
      <c r="S1414" t="s">
        <v>20</v>
      </c>
    </row>
    <row r="1415" spans="1:19" hidden="1" x14ac:dyDescent="0.45">
      <c r="A1415" t="s">
        <v>1278</v>
      </c>
      <c r="B1415" t="s">
        <v>4030</v>
      </c>
      <c r="C1415" t="s">
        <v>1279</v>
      </c>
      <c r="D1415" t="s">
        <v>1280</v>
      </c>
      <c r="E1415" t="s">
        <v>38</v>
      </c>
      <c r="F1415" t="s">
        <v>3062</v>
      </c>
      <c r="G1415" t="s">
        <v>23</v>
      </c>
      <c r="H1415" t="s">
        <v>4031</v>
      </c>
      <c r="I1415" t="s">
        <v>4032</v>
      </c>
      <c r="J1415" t="s">
        <v>4033</v>
      </c>
      <c r="K1415" t="s">
        <v>4034</v>
      </c>
      <c r="L1415" t="s">
        <v>111</v>
      </c>
      <c r="M1415" t="s">
        <v>2760</v>
      </c>
      <c r="N1415" t="s">
        <v>113</v>
      </c>
      <c r="O1415" t="s">
        <v>3767</v>
      </c>
      <c r="P1415" t="s">
        <v>194</v>
      </c>
      <c r="Q1415" t="s">
        <v>20</v>
      </c>
      <c r="R1415" t="s">
        <v>20</v>
      </c>
      <c r="S1415" t="s">
        <v>20</v>
      </c>
    </row>
    <row r="1416" spans="1:19" hidden="1" x14ac:dyDescent="0.45">
      <c r="A1416" t="s">
        <v>1278</v>
      </c>
      <c r="B1416" t="s">
        <v>9413</v>
      </c>
      <c r="C1416" t="s">
        <v>1279</v>
      </c>
      <c r="D1416" t="s">
        <v>1280</v>
      </c>
      <c r="E1416" t="s">
        <v>38</v>
      </c>
      <c r="F1416" t="s">
        <v>2787</v>
      </c>
      <c r="G1416" t="s">
        <v>23</v>
      </c>
      <c r="H1416" t="s">
        <v>8939</v>
      </c>
      <c r="I1416" t="s">
        <v>9414</v>
      </c>
      <c r="J1416" t="s">
        <v>9415</v>
      </c>
      <c r="K1416" t="s">
        <v>9416</v>
      </c>
      <c r="L1416" t="s">
        <v>6523</v>
      </c>
      <c r="M1416" t="s">
        <v>2760</v>
      </c>
      <c r="N1416" t="s">
        <v>45</v>
      </c>
      <c r="O1416" t="s">
        <v>3767</v>
      </c>
      <c r="P1416" t="s">
        <v>6513</v>
      </c>
      <c r="Q1416" t="s">
        <v>20</v>
      </c>
      <c r="R1416" t="s">
        <v>20</v>
      </c>
      <c r="S1416" t="s">
        <v>8119</v>
      </c>
    </row>
    <row r="1417" spans="1:19" hidden="1" x14ac:dyDescent="0.45">
      <c r="A1417" t="s">
        <v>173</v>
      </c>
      <c r="B1417" t="s">
        <v>14204</v>
      </c>
      <c r="C1417" t="s">
        <v>3234</v>
      </c>
      <c r="D1417" t="s">
        <v>3235</v>
      </c>
      <c r="E1417" t="s">
        <v>38</v>
      </c>
      <c r="F1417" t="s">
        <v>2948</v>
      </c>
      <c r="G1417" t="s">
        <v>23</v>
      </c>
      <c r="H1417" t="s">
        <v>12772</v>
      </c>
      <c r="I1417" t="s">
        <v>12773</v>
      </c>
      <c r="J1417" t="s">
        <v>12774</v>
      </c>
      <c r="K1417" t="s">
        <v>12775</v>
      </c>
      <c r="L1417" t="s">
        <v>11782</v>
      </c>
      <c r="M1417" t="s">
        <v>102</v>
      </c>
      <c r="N1417" t="s">
        <v>33</v>
      </c>
      <c r="O1417" t="s">
        <v>3767</v>
      </c>
      <c r="P1417" t="s">
        <v>8094</v>
      </c>
      <c r="Q1417" t="s">
        <v>20</v>
      </c>
      <c r="R1417" t="s">
        <v>20</v>
      </c>
      <c r="S1417" t="s">
        <v>20</v>
      </c>
    </row>
    <row r="1418" spans="1:19" hidden="1" x14ac:dyDescent="0.45">
      <c r="A1418" t="s">
        <v>173</v>
      </c>
      <c r="B1418" t="s">
        <v>4418</v>
      </c>
      <c r="C1418" t="s">
        <v>3234</v>
      </c>
      <c r="D1418" t="s">
        <v>3235</v>
      </c>
      <c r="E1418" t="s">
        <v>2487</v>
      </c>
      <c r="F1418" t="s">
        <v>3062</v>
      </c>
      <c r="G1418" t="s">
        <v>23</v>
      </c>
      <c r="H1418" t="s">
        <v>4419</v>
      </c>
      <c r="I1418" t="s">
        <v>4420</v>
      </c>
      <c r="J1418" t="s">
        <v>4421</v>
      </c>
      <c r="K1418" t="s">
        <v>4422</v>
      </c>
      <c r="L1418" t="s">
        <v>161</v>
      </c>
      <c r="M1418" t="s">
        <v>102</v>
      </c>
      <c r="N1418" t="s">
        <v>146</v>
      </c>
      <c r="O1418" t="s">
        <v>3767</v>
      </c>
      <c r="P1418" t="s">
        <v>1125</v>
      </c>
      <c r="Q1418" t="s">
        <v>20</v>
      </c>
      <c r="R1418" t="s">
        <v>20</v>
      </c>
      <c r="S1418" t="s">
        <v>20</v>
      </c>
    </row>
    <row r="1419" spans="1:19" hidden="1" x14ac:dyDescent="0.45">
      <c r="A1419" t="s">
        <v>19</v>
      </c>
      <c r="B1419" t="s">
        <v>3857</v>
      </c>
      <c r="C1419" t="s">
        <v>3858</v>
      </c>
      <c r="D1419" t="s">
        <v>3859</v>
      </c>
      <c r="E1419" t="s">
        <v>38</v>
      </c>
      <c r="F1419" t="s">
        <v>3860</v>
      </c>
      <c r="G1419" t="s">
        <v>23</v>
      </c>
      <c r="H1419" t="s">
        <v>3861</v>
      </c>
      <c r="I1419" t="s">
        <v>3862</v>
      </c>
      <c r="J1419" t="s">
        <v>3863</v>
      </c>
      <c r="K1419" t="s">
        <v>3864</v>
      </c>
      <c r="L1419" t="s">
        <v>131</v>
      </c>
      <c r="M1419" t="s">
        <v>2760</v>
      </c>
      <c r="N1419" t="s">
        <v>62</v>
      </c>
      <c r="O1419" t="s">
        <v>3767</v>
      </c>
      <c r="P1419" t="s">
        <v>101</v>
      </c>
      <c r="Q1419" t="s">
        <v>20</v>
      </c>
      <c r="R1419" t="s">
        <v>20</v>
      </c>
      <c r="S1419" t="s">
        <v>20</v>
      </c>
    </row>
    <row r="1420" spans="1:19" hidden="1" x14ac:dyDescent="0.45">
      <c r="A1420" t="s">
        <v>19</v>
      </c>
      <c r="B1420" t="s">
        <v>14024</v>
      </c>
      <c r="C1420" t="s">
        <v>3858</v>
      </c>
      <c r="D1420" t="s">
        <v>3859</v>
      </c>
      <c r="E1420" t="s">
        <v>38</v>
      </c>
      <c r="F1420" t="s">
        <v>2948</v>
      </c>
      <c r="G1420" t="s">
        <v>23</v>
      </c>
      <c r="H1420" t="s">
        <v>7005</v>
      </c>
      <c r="I1420" t="s">
        <v>7006</v>
      </c>
      <c r="J1420" t="s">
        <v>7007</v>
      </c>
      <c r="K1420" t="s">
        <v>7008</v>
      </c>
      <c r="L1420" t="s">
        <v>3418</v>
      </c>
      <c r="M1420" t="s">
        <v>2760</v>
      </c>
      <c r="N1420" t="s">
        <v>146</v>
      </c>
      <c r="O1420" t="s">
        <v>3767</v>
      </c>
      <c r="P1420" t="s">
        <v>8094</v>
      </c>
      <c r="Q1420" t="s">
        <v>20</v>
      </c>
      <c r="R1420" t="s">
        <v>20</v>
      </c>
      <c r="S1420" t="s">
        <v>20</v>
      </c>
    </row>
    <row r="1421" spans="1:19" hidden="1" x14ac:dyDescent="0.45">
      <c r="A1421" t="s">
        <v>94</v>
      </c>
      <c r="B1421" t="s">
        <v>14206</v>
      </c>
      <c r="C1421" t="s">
        <v>548</v>
      </c>
      <c r="D1421" t="s">
        <v>549</v>
      </c>
      <c r="E1421" t="s">
        <v>57</v>
      </c>
      <c r="F1421" t="s">
        <v>2795</v>
      </c>
      <c r="G1421" t="s">
        <v>23</v>
      </c>
      <c r="H1421" t="s">
        <v>2346</v>
      </c>
      <c r="I1421" t="s">
        <v>2347</v>
      </c>
      <c r="J1421" t="s">
        <v>2348</v>
      </c>
      <c r="K1421" t="s">
        <v>2349</v>
      </c>
      <c r="L1421" t="s">
        <v>6525</v>
      </c>
      <c r="M1421" t="s">
        <v>102</v>
      </c>
      <c r="N1421" t="s">
        <v>62</v>
      </c>
      <c r="O1421" t="s">
        <v>3767</v>
      </c>
      <c r="P1421" t="s">
        <v>6525</v>
      </c>
      <c r="Q1421" t="s">
        <v>20</v>
      </c>
      <c r="R1421" t="s">
        <v>20</v>
      </c>
      <c r="S1421" t="s">
        <v>20</v>
      </c>
    </row>
    <row r="1422" spans="1:19" hidden="1" x14ac:dyDescent="0.45">
      <c r="A1422" t="s">
        <v>114</v>
      </c>
      <c r="B1422" t="s">
        <v>11665</v>
      </c>
      <c r="C1422" t="s">
        <v>9984</v>
      </c>
      <c r="D1422" t="s">
        <v>5837</v>
      </c>
      <c r="E1422" t="s">
        <v>38</v>
      </c>
      <c r="F1422" t="s">
        <v>3062</v>
      </c>
      <c r="G1422" t="s">
        <v>23</v>
      </c>
      <c r="H1422" t="s">
        <v>9985</v>
      </c>
      <c r="I1422" t="s">
        <v>9986</v>
      </c>
      <c r="J1422" t="s">
        <v>9987</v>
      </c>
      <c r="K1422" t="s">
        <v>9988</v>
      </c>
      <c r="L1422" t="s">
        <v>8377</v>
      </c>
      <c r="M1422" t="s">
        <v>2760</v>
      </c>
      <c r="N1422" t="s">
        <v>45</v>
      </c>
      <c r="O1422" t="s">
        <v>3767</v>
      </c>
      <c r="P1422" t="s">
        <v>8109</v>
      </c>
      <c r="Q1422" t="s">
        <v>20</v>
      </c>
      <c r="R1422" t="s">
        <v>20</v>
      </c>
      <c r="S1422" t="s">
        <v>11631</v>
      </c>
    </row>
    <row r="1423" spans="1:19" hidden="1" x14ac:dyDescent="0.45">
      <c r="A1423" t="s">
        <v>515</v>
      </c>
      <c r="B1423" t="s">
        <v>9675</v>
      </c>
      <c r="C1423" t="s">
        <v>4669</v>
      </c>
      <c r="D1423" t="s">
        <v>4670</v>
      </c>
      <c r="E1423" t="s">
        <v>38</v>
      </c>
      <c r="F1423" t="s">
        <v>2787</v>
      </c>
      <c r="G1423" t="s">
        <v>23</v>
      </c>
      <c r="H1423" t="s">
        <v>9038</v>
      </c>
      <c r="I1423" t="s">
        <v>9676</v>
      </c>
      <c r="J1423" t="s">
        <v>9677</v>
      </c>
      <c r="K1423" t="s">
        <v>9678</v>
      </c>
      <c r="L1423" t="s">
        <v>6523</v>
      </c>
      <c r="M1423" t="s">
        <v>2981</v>
      </c>
      <c r="N1423" t="s">
        <v>3407</v>
      </c>
      <c r="O1423" t="s">
        <v>3767</v>
      </c>
      <c r="P1423" t="s">
        <v>8094</v>
      </c>
      <c r="Q1423" t="s">
        <v>20</v>
      </c>
      <c r="R1423" t="s">
        <v>20</v>
      </c>
      <c r="S1423" t="s">
        <v>20</v>
      </c>
    </row>
    <row r="1424" spans="1:19" hidden="1" x14ac:dyDescent="0.45">
      <c r="A1424" t="s">
        <v>3096</v>
      </c>
      <c r="B1424" t="s">
        <v>4589</v>
      </c>
      <c r="C1424" t="s">
        <v>4590</v>
      </c>
      <c r="D1424" t="s">
        <v>4591</v>
      </c>
      <c r="E1424" t="s">
        <v>38</v>
      </c>
      <c r="F1424" t="s">
        <v>2748</v>
      </c>
      <c r="G1424" t="s">
        <v>23</v>
      </c>
      <c r="H1424" t="s">
        <v>4592</v>
      </c>
      <c r="I1424" t="s">
        <v>4593</v>
      </c>
      <c r="J1424" t="s">
        <v>4594</v>
      </c>
      <c r="K1424" t="s">
        <v>4595</v>
      </c>
      <c r="L1424" t="s">
        <v>194</v>
      </c>
      <c r="M1424" t="s">
        <v>3105</v>
      </c>
      <c r="N1424" t="s">
        <v>1224</v>
      </c>
      <c r="O1424" t="s">
        <v>3767</v>
      </c>
      <c r="P1424" t="s">
        <v>194</v>
      </c>
      <c r="Q1424" t="s">
        <v>20</v>
      </c>
      <c r="R1424" t="s">
        <v>20</v>
      </c>
      <c r="S1424" t="s">
        <v>20</v>
      </c>
    </row>
    <row r="1425" spans="1:19" hidden="1" x14ac:dyDescent="0.45">
      <c r="A1425" t="s">
        <v>1278</v>
      </c>
      <c r="B1425" t="s">
        <v>3847</v>
      </c>
      <c r="C1425" t="s">
        <v>2324</v>
      </c>
      <c r="D1425" t="s">
        <v>2325</v>
      </c>
      <c r="E1425" t="s">
        <v>38</v>
      </c>
      <c r="F1425" t="s">
        <v>2722</v>
      </c>
      <c r="G1425" t="s">
        <v>23</v>
      </c>
      <c r="H1425" t="s">
        <v>3848</v>
      </c>
      <c r="I1425" t="s">
        <v>3849</v>
      </c>
      <c r="J1425" t="s">
        <v>3850</v>
      </c>
      <c r="K1425" t="s">
        <v>3851</v>
      </c>
      <c r="L1425" t="s">
        <v>111</v>
      </c>
      <c r="M1425" t="s">
        <v>2760</v>
      </c>
      <c r="N1425" t="s">
        <v>45</v>
      </c>
      <c r="O1425" t="s">
        <v>3767</v>
      </c>
      <c r="P1425" t="s">
        <v>111</v>
      </c>
      <c r="Q1425" t="s">
        <v>20</v>
      </c>
      <c r="R1425" t="s">
        <v>20</v>
      </c>
      <c r="S1425" t="s">
        <v>20</v>
      </c>
    </row>
    <row r="1426" spans="1:19" hidden="1" x14ac:dyDescent="0.45">
      <c r="A1426" t="s">
        <v>1855</v>
      </c>
      <c r="B1426" t="s">
        <v>10185</v>
      </c>
      <c r="C1426" t="s">
        <v>2272</v>
      </c>
      <c r="D1426" t="s">
        <v>2273</v>
      </c>
      <c r="E1426" t="s">
        <v>38</v>
      </c>
      <c r="F1426" t="s">
        <v>2722</v>
      </c>
      <c r="G1426" t="s">
        <v>23</v>
      </c>
      <c r="H1426" t="s">
        <v>10186</v>
      </c>
      <c r="I1426" t="s">
        <v>10187</v>
      </c>
      <c r="J1426" t="s">
        <v>10188</v>
      </c>
      <c r="K1426" t="s">
        <v>10189</v>
      </c>
      <c r="L1426" t="s">
        <v>6522</v>
      </c>
      <c r="M1426" t="s">
        <v>2760</v>
      </c>
      <c r="N1426" t="s">
        <v>137</v>
      </c>
      <c r="O1426" t="s">
        <v>3767</v>
      </c>
      <c r="P1426" t="s">
        <v>6522</v>
      </c>
      <c r="Q1426" t="s">
        <v>20</v>
      </c>
      <c r="R1426" t="s">
        <v>20</v>
      </c>
      <c r="S1426" t="s">
        <v>20</v>
      </c>
    </row>
    <row r="1427" spans="1:19" hidden="1" x14ac:dyDescent="0.45">
      <c r="A1427" t="s">
        <v>187</v>
      </c>
      <c r="B1427" t="s">
        <v>4247</v>
      </c>
      <c r="C1427" t="s">
        <v>3378</v>
      </c>
      <c r="D1427" t="s">
        <v>3379</v>
      </c>
      <c r="E1427" t="s">
        <v>38</v>
      </c>
      <c r="F1427" t="s">
        <v>2785</v>
      </c>
      <c r="G1427" t="s">
        <v>23</v>
      </c>
      <c r="H1427" t="s">
        <v>4248</v>
      </c>
      <c r="I1427" t="s">
        <v>4249</v>
      </c>
      <c r="J1427" t="s">
        <v>4250</v>
      </c>
      <c r="K1427" t="s">
        <v>4251</v>
      </c>
      <c r="L1427" t="s">
        <v>131</v>
      </c>
      <c r="M1427" t="s">
        <v>2760</v>
      </c>
      <c r="N1427" t="s">
        <v>45</v>
      </c>
      <c r="O1427" t="s">
        <v>3767</v>
      </c>
      <c r="P1427" t="s">
        <v>194</v>
      </c>
      <c r="Q1427" t="s">
        <v>20</v>
      </c>
      <c r="R1427" t="s">
        <v>20</v>
      </c>
      <c r="S1427" t="s">
        <v>20</v>
      </c>
    </row>
    <row r="1428" spans="1:19" hidden="1" x14ac:dyDescent="0.45">
      <c r="A1428" t="s">
        <v>425</v>
      </c>
      <c r="B1428" t="s">
        <v>10691</v>
      </c>
      <c r="C1428" t="s">
        <v>1441</v>
      </c>
      <c r="D1428" t="s">
        <v>1442</v>
      </c>
      <c r="E1428" t="s">
        <v>57</v>
      </c>
      <c r="F1428" t="s">
        <v>2837</v>
      </c>
      <c r="G1428" t="s">
        <v>23</v>
      </c>
      <c r="H1428" t="s">
        <v>1443</v>
      </c>
      <c r="I1428" t="s">
        <v>1444</v>
      </c>
      <c r="J1428" t="s">
        <v>1445</v>
      </c>
      <c r="K1428" t="s">
        <v>1446</v>
      </c>
      <c r="L1428" t="s">
        <v>7506</v>
      </c>
      <c r="M1428" t="s">
        <v>6932</v>
      </c>
      <c r="N1428" t="s">
        <v>62</v>
      </c>
      <c r="O1428" t="s">
        <v>3767</v>
      </c>
      <c r="P1428" t="s">
        <v>7506</v>
      </c>
      <c r="Q1428" t="s">
        <v>20</v>
      </c>
      <c r="R1428" t="s">
        <v>20</v>
      </c>
      <c r="S1428" t="s">
        <v>20</v>
      </c>
    </row>
    <row r="1429" spans="1:19" hidden="1" x14ac:dyDescent="0.45">
      <c r="A1429" t="s">
        <v>425</v>
      </c>
      <c r="B1429" t="s">
        <v>8705</v>
      </c>
      <c r="C1429" t="s">
        <v>643</v>
      </c>
      <c r="D1429" t="s">
        <v>644</v>
      </c>
      <c r="E1429" t="s">
        <v>38</v>
      </c>
      <c r="F1429" t="s">
        <v>3891</v>
      </c>
      <c r="G1429" t="s">
        <v>23</v>
      </c>
      <c r="H1429" t="s">
        <v>645</v>
      </c>
      <c r="I1429" t="s">
        <v>646</v>
      </c>
      <c r="J1429" t="s">
        <v>647</v>
      </c>
      <c r="K1429" t="s">
        <v>648</v>
      </c>
      <c r="L1429" t="s">
        <v>43</v>
      </c>
      <c r="M1429" t="s">
        <v>132</v>
      </c>
      <c r="N1429" t="s">
        <v>62</v>
      </c>
      <c r="O1429" t="s">
        <v>3767</v>
      </c>
      <c r="P1429" t="s">
        <v>2330</v>
      </c>
      <c r="Q1429" t="s">
        <v>20</v>
      </c>
      <c r="R1429" t="s">
        <v>20</v>
      </c>
      <c r="S1429" t="s">
        <v>20</v>
      </c>
    </row>
    <row r="1430" spans="1:19" hidden="1" x14ac:dyDescent="0.45">
      <c r="A1430" t="s">
        <v>535</v>
      </c>
      <c r="B1430" t="s">
        <v>8577</v>
      </c>
      <c r="C1430" t="s">
        <v>859</v>
      </c>
      <c r="D1430" t="s">
        <v>860</v>
      </c>
      <c r="E1430" t="s">
        <v>21</v>
      </c>
      <c r="F1430" t="s">
        <v>2722</v>
      </c>
      <c r="G1430" t="s">
        <v>23</v>
      </c>
      <c r="H1430" t="s">
        <v>8578</v>
      </c>
      <c r="I1430" t="s">
        <v>8579</v>
      </c>
      <c r="J1430" t="s">
        <v>8580</v>
      </c>
      <c r="K1430" t="s">
        <v>8581</v>
      </c>
      <c r="L1430" t="s">
        <v>902</v>
      </c>
      <c r="M1430" t="s">
        <v>2760</v>
      </c>
      <c r="N1430" t="s">
        <v>678</v>
      </c>
      <c r="O1430" t="s">
        <v>3767</v>
      </c>
      <c r="P1430" t="s">
        <v>902</v>
      </c>
      <c r="Q1430" t="s">
        <v>20</v>
      </c>
      <c r="R1430" t="s">
        <v>20</v>
      </c>
      <c r="S1430" t="s">
        <v>20</v>
      </c>
    </row>
    <row r="1431" spans="1:19" hidden="1" x14ac:dyDescent="0.45">
      <c r="A1431" t="s">
        <v>535</v>
      </c>
      <c r="B1431" t="s">
        <v>6747</v>
      </c>
      <c r="C1431" t="s">
        <v>859</v>
      </c>
      <c r="D1431" t="s">
        <v>860</v>
      </c>
      <c r="E1431" t="s">
        <v>38</v>
      </c>
      <c r="F1431" t="s">
        <v>2785</v>
      </c>
      <c r="G1431" t="s">
        <v>23</v>
      </c>
      <c r="H1431" t="s">
        <v>6748</v>
      </c>
      <c r="I1431" t="s">
        <v>6732</v>
      </c>
      <c r="J1431" t="s">
        <v>6749</v>
      </c>
      <c r="K1431" t="s">
        <v>6750</v>
      </c>
      <c r="L1431" t="s">
        <v>290</v>
      </c>
      <c r="M1431" t="s">
        <v>5379</v>
      </c>
      <c r="N1431" t="s">
        <v>195</v>
      </c>
      <c r="O1431" t="s">
        <v>3767</v>
      </c>
      <c r="P1431" t="s">
        <v>290</v>
      </c>
      <c r="Q1431" t="s">
        <v>20</v>
      </c>
      <c r="R1431" t="s">
        <v>20</v>
      </c>
      <c r="S1431" t="s">
        <v>20</v>
      </c>
    </row>
    <row r="1432" spans="1:19" hidden="1" x14ac:dyDescent="0.45">
      <c r="A1432" t="s">
        <v>425</v>
      </c>
      <c r="B1432" t="s">
        <v>8731</v>
      </c>
      <c r="C1432" t="s">
        <v>426</v>
      </c>
      <c r="D1432" t="s">
        <v>427</v>
      </c>
      <c r="E1432" t="s">
        <v>38</v>
      </c>
      <c r="F1432" t="s">
        <v>2795</v>
      </c>
      <c r="G1432" t="s">
        <v>23</v>
      </c>
      <c r="H1432" t="s">
        <v>1680</v>
      </c>
      <c r="I1432" t="s">
        <v>1681</v>
      </c>
      <c r="J1432" t="s">
        <v>1682</v>
      </c>
      <c r="K1432" t="s">
        <v>1683</v>
      </c>
      <c r="L1432" t="s">
        <v>6521</v>
      </c>
      <c r="M1432" t="s">
        <v>132</v>
      </c>
      <c r="N1432" t="s">
        <v>146</v>
      </c>
      <c r="O1432" t="s">
        <v>3767</v>
      </c>
      <c r="P1432" t="s">
        <v>2330</v>
      </c>
      <c r="Q1432" t="s">
        <v>20</v>
      </c>
      <c r="R1432" t="s">
        <v>20</v>
      </c>
      <c r="S1432" t="s">
        <v>20</v>
      </c>
    </row>
    <row r="1433" spans="1:19" hidden="1" x14ac:dyDescent="0.45">
      <c r="A1433" t="s">
        <v>46</v>
      </c>
      <c r="B1433" t="s">
        <v>10083</v>
      </c>
      <c r="C1433" t="s">
        <v>1505</v>
      </c>
      <c r="D1433" t="s">
        <v>1506</v>
      </c>
      <c r="E1433" t="s">
        <v>21</v>
      </c>
      <c r="F1433" t="s">
        <v>2722</v>
      </c>
      <c r="G1433" t="s">
        <v>23</v>
      </c>
      <c r="H1433" t="s">
        <v>10084</v>
      </c>
      <c r="I1433" t="s">
        <v>10085</v>
      </c>
      <c r="J1433" t="s">
        <v>10086</v>
      </c>
      <c r="K1433" t="s">
        <v>10087</v>
      </c>
      <c r="L1433" t="s">
        <v>6522</v>
      </c>
      <c r="M1433" t="s">
        <v>3145</v>
      </c>
      <c r="N1433" t="s">
        <v>1224</v>
      </c>
      <c r="O1433" t="s">
        <v>3767</v>
      </c>
      <c r="P1433" t="s">
        <v>2769</v>
      </c>
      <c r="Q1433" t="s">
        <v>20</v>
      </c>
      <c r="R1433" t="s">
        <v>20</v>
      </c>
      <c r="S1433" t="s">
        <v>20</v>
      </c>
    </row>
    <row r="1434" spans="1:19" hidden="1" x14ac:dyDescent="0.45">
      <c r="A1434" t="s">
        <v>1855</v>
      </c>
      <c r="B1434" t="s">
        <v>3773</v>
      </c>
      <c r="C1434" t="s">
        <v>1856</v>
      </c>
      <c r="D1434" t="s">
        <v>1857</v>
      </c>
      <c r="E1434" t="s">
        <v>38</v>
      </c>
      <c r="F1434" t="s">
        <v>3062</v>
      </c>
      <c r="G1434" t="s">
        <v>23</v>
      </c>
      <c r="H1434" t="s">
        <v>3774</v>
      </c>
      <c r="I1434" t="s">
        <v>3775</v>
      </c>
      <c r="J1434" t="s">
        <v>3776</v>
      </c>
      <c r="K1434" t="s">
        <v>3777</v>
      </c>
      <c r="L1434" t="s">
        <v>635</v>
      </c>
      <c r="M1434" t="s">
        <v>2760</v>
      </c>
      <c r="N1434" t="s">
        <v>146</v>
      </c>
      <c r="O1434" t="s">
        <v>3767</v>
      </c>
      <c r="P1434" t="s">
        <v>635</v>
      </c>
      <c r="Q1434" t="s">
        <v>20</v>
      </c>
      <c r="R1434" t="s">
        <v>20</v>
      </c>
      <c r="S1434" t="s">
        <v>20</v>
      </c>
    </row>
    <row r="1435" spans="1:19" hidden="1" x14ac:dyDescent="0.45">
      <c r="A1435" t="s">
        <v>71</v>
      </c>
      <c r="B1435" t="s">
        <v>12955</v>
      </c>
      <c r="C1435" t="s">
        <v>72</v>
      </c>
      <c r="D1435" t="s">
        <v>73</v>
      </c>
      <c r="E1435" t="s">
        <v>38</v>
      </c>
      <c r="F1435" t="s">
        <v>2948</v>
      </c>
      <c r="G1435" t="s">
        <v>23</v>
      </c>
      <c r="H1435" t="s">
        <v>2338</v>
      </c>
      <c r="I1435" t="s">
        <v>2339</v>
      </c>
      <c r="J1435" t="s">
        <v>2340</v>
      </c>
      <c r="K1435" t="s">
        <v>2341</v>
      </c>
      <c r="L1435" t="s">
        <v>53</v>
      </c>
      <c r="M1435" t="s">
        <v>2760</v>
      </c>
      <c r="N1435" t="s">
        <v>62</v>
      </c>
      <c r="O1435" t="s">
        <v>3767</v>
      </c>
      <c r="P1435" t="s">
        <v>6524</v>
      </c>
      <c r="Q1435" t="s">
        <v>20</v>
      </c>
      <c r="R1435" t="s">
        <v>20</v>
      </c>
      <c r="S1435" t="s">
        <v>11853</v>
      </c>
    </row>
    <row r="1436" spans="1:19" hidden="1" x14ac:dyDescent="0.45">
      <c r="A1436" t="s">
        <v>71</v>
      </c>
      <c r="B1436" t="s">
        <v>3911</v>
      </c>
      <c r="C1436" t="s">
        <v>72</v>
      </c>
      <c r="D1436" t="s">
        <v>73</v>
      </c>
      <c r="E1436" t="s">
        <v>57</v>
      </c>
      <c r="F1436" t="s">
        <v>2795</v>
      </c>
      <c r="G1436" t="s">
        <v>23</v>
      </c>
      <c r="H1436" t="s">
        <v>3912</v>
      </c>
      <c r="I1436" t="s">
        <v>3913</v>
      </c>
      <c r="J1436" t="s">
        <v>3914</v>
      </c>
      <c r="K1436" t="s">
        <v>3915</v>
      </c>
      <c r="L1436" t="s">
        <v>1125</v>
      </c>
      <c r="M1436" t="s">
        <v>102</v>
      </c>
      <c r="N1436" t="s">
        <v>146</v>
      </c>
      <c r="O1436" t="s">
        <v>3767</v>
      </c>
      <c r="P1436" t="s">
        <v>296</v>
      </c>
      <c r="Q1436" t="s">
        <v>20</v>
      </c>
      <c r="R1436" t="s">
        <v>20</v>
      </c>
      <c r="S1436" t="s">
        <v>20</v>
      </c>
    </row>
    <row r="1437" spans="1:19" hidden="1" x14ac:dyDescent="0.45">
      <c r="A1437" t="s">
        <v>71</v>
      </c>
      <c r="B1437" t="s">
        <v>4336</v>
      </c>
      <c r="C1437" t="s">
        <v>72</v>
      </c>
      <c r="D1437" t="s">
        <v>73</v>
      </c>
      <c r="E1437" t="s">
        <v>2487</v>
      </c>
      <c r="F1437" t="s">
        <v>3062</v>
      </c>
      <c r="G1437" t="s">
        <v>23</v>
      </c>
      <c r="H1437" t="s">
        <v>4337</v>
      </c>
      <c r="I1437" t="s">
        <v>4338</v>
      </c>
      <c r="J1437" t="s">
        <v>4339</v>
      </c>
      <c r="K1437" t="s">
        <v>4340</v>
      </c>
      <c r="L1437" t="s">
        <v>504</v>
      </c>
      <c r="M1437" t="s">
        <v>102</v>
      </c>
      <c r="N1437" t="s">
        <v>146</v>
      </c>
      <c r="O1437" t="s">
        <v>3767</v>
      </c>
      <c r="P1437" t="s">
        <v>635</v>
      </c>
      <c r="Q1437" t="s">
        <v>20</v>
      </c>
      <c r="R1437" t="s">
        <v>20</v>
      </c>
      <c r="S1437" t="s">
        <v>20</v>
      </c>
    </row>
    <row r="1438" spans="1:19" hidden="1" x14ac:dyDescent="0.45">
      <c r="A1438" t="s">
        <v>94</v>
      </c>
      <c r="B1438" t="s">
        <v>14207</v>
      </c>
      <c r="C1438" t="s">
        <v>298</v>
      </c>
      <c r="D1438" t="s">
        <v>299</v>
      </c>
      <c r="E1438" t="s">
        <v>57</v>
      </c>
      <c r="F1438" t="s">
        <v>2795</v>
      </c>
      <c r="G1438" t="s">
        <v>23</v>
      </c>
      <c r="H1438" t="s">
        <v>300</v>
      </c>
      <c r="I1438" t="s">
        <v>301</v>
      </c>
      <c r="J1438" t="s">
        <v>302</v>
      </c>
      <c r="K1438" t="s">
        <v>303</v>
      </c>
      <c r="L1438" t="s">
        <v>6525</v>
      </c>
      <c r="M1438" t="s">
        <v>102</v>
      </c>
      <c r="N1438" t="s">
        <v>62</v>
      </c>
      <c r="O1438" t="s">
        <v>3767</v>
      </c>
      <c r="P1438" t="s">
        <v>6525</v>
      </c>
      <c r="Q1438" t="s">
        <v>20</v>
      </c>
      <c r="R1438" t="s">
        <v>20</v>
      </c>
      <c r="S1438" t="s">
        <v>20</v>
      </c>
    </row>
    <row r="1439" spans="1:19" hidden="1" x14ac:dyDescent="0.45">
      <c r="A1439" t="s">
        <v>395</v>
      </c>
      <c r="B1439" t="s">
        <v>8722</v>
      </c>
      <c r="C1439" t="s">
        <v>3580</v>
      </c>
      <c r="D1439" t="s">
        <v>3581</v>
      </c>
      <c r="E1439" t="s">
        <v>21</v>
      </c>
      <c r="F1439" t="s">
        <v>3062</v>
      </c>
      <c r="G1439" t="s">
        <v>23</v>
      </c>
      <c r="H1439" t="s">
        <v>8723</v>
      </c>
      <c r="I1439" t="s">
        <v>7781</v>
      </c>
      <c r="J1439" t="s">
        <v>8724</v>
      </c>
      <c r="K1439" t="s">
        <v>8725</v>
      </c>
      <c r="L1439" t="s">
        <v>722</v>
      </c>
      <c r="M1439" t="s">
        <v>3145</v>
      </c>
      <c r="N1439" t="s">
        <v>2809</v>
      </c>
      <c r="O1439" t="s">
        <v>3767</v>
      </c>
      <c r="P1439" t="s">
        <v>722</v>
      </c>
      <c r="Q1439" t="s">
        <v>20</v>
      </c>
      <c r="R1439" t="s">
        <v>20</v>
      </c>
      <c r="S1439" t="s">
        <v>20</v>
      </c>
    </row>
    <row r="1440" spans="1:19" hidden="1" x14ac:dyDescent="0.45">
      <c r="A1440" t="s">
        <v>71</v>
      </c>
      <c r="B1440" t="s">
        <v>5106</v>
      </c>
      <c r="C1440" t="s">
        <v>1873</v>
      </c>
      <c r="D1440" t="s">
        <v>1874</v>
      </c>
      <c r="E1440" t="s">
        <v>38</v>
      </c>
      <c r="F1440" t="s">
        <v>3062</v>
      </c>
      <c r="G1440" t="s">
        <v>23</v>
      </c>
      <c r="H1440" t="s">
        <v>5107</v>
      </c>
      <c r="I1440" t="s">
        <v>5108</v>
      </c>
      <c r="J1440" t="s">
        <v>5109</v>
      </c>
      <c r="K1440" t="s">
        <v>5110</v>
      </c>
      <c r="L1440" t="s">
        <v>504</v>
      </c>
      <c r="M1440" t="s">
        <v>102</v>
      </c>
      <c r="N1440" t="s">
        <v>146</v>
      </c>
      <c r="O1440" t="s">
        <v>3767</v>
      </c>
      <c r="P1440" t="s">
        <v>1125</v>
      </c>
      <c r="Q1440" t="s">
        <v>20</v>
      </c>
      <c r="R1440" t="s">
        <v>20</v>
      </c>
      <c r="S1440" t="s">
        <v>20</v>
      </c>
    </row>
    <row r="1441" spans="1:19" hidden="1" x14ac:dyDescent="0.45">
      <c r="A1441" t="s">
        <v>71</v>
      </c>
      <c r="B1441" t="s">
        <v>10638</v>
      </c>
      <c r="C1441" t="s">
        <v>1873</v>
      </c>
      <c r="D1441" t="s">
        <v>1874</v>
      </c>
      <c r="E1441" t="s">
        <v>57</v>
      </c>
      <c r="F1441" t="s">
        <v>3891</v>
      </c>
      <c r="G1441" t="s">
        <v>23</v>
      </c>
      <c r="H1441" t="s">
        <v>7021</v>
      </c>
      <c r="I1441" t="s">
        <v>7022</v>
      </c>
      <c r="J1441" t="s">
        <v>7023</v>
      </c>
      <c r="K1441" t="s">
        <v>7024</v>
      </c>
      <c r="L1441" t="s">
        <v>2769</v>
      </c>
      <c r="M1441" t="s">
        <v>102</v>
      </c>
      <c r="N1441" t="s">
        <v>62</v>
      </c>
      <c r="O1441" t="s">
        <v>3767</v>
      </c>
      <c r="P1441" t="s">
        <v>6522</v>
      </c>
      <c r="Q1441" t="s">
        <v>20</v>
      </c>
      <c r="R1441" t="s">
        <v>20</v>
      </c>
      <c r="S1441" t="s">
        <v>20</v>
      </c>
    </row>
    <row r="1442" spans="1:19" hidden="1" x14ac:dyDescent="0.45">
      <c r="A1442" t="s">
        <v>395</v>
      </c>
      <c r="B1442" t="s">
        <v>4115</v>
      </c>
      <c r="C1442" t="s">
        <v>3090</v>
      </c>
      <c r="D1442" t="s">
        <v>3091</v>
      </c>
      <c r="E1442" t="s">
        <v>38</v>
      </c>
      <c r="F1442" t="s">
        <v>2755</v>
      </c>
      <c r="G1442" t="s">
        <v>23</v>
      </c>
      <c r="H1442" t="s">
        <v>4116</v>
      </c>
      <c r="I1442" t="s">
        <v>4117</v>
      </c>
      <c r="J1442" t="s">
        <v>4118</v>
      </c>
      <c r="K1442" t="s">
        <v>4119</v>
      </c>
      <c r="L1442" t="s">
        <v>53</v>
      </c>
      <c r="M1442" t="s">
        <v>132</v>
      </c>
      <c r="N1442" t="s">
        <v>62</v>
      </c>
      <c r="O1442" t="s">
        <v>3767</v>
      </c>
      <c r="P1442" t="s">
        <v>53</v>
      </c>
      <c r="Q1442" t="s">
        <v>20</v>
      </c>
      <c r="R1442" t="s">
        <v>20</v>
      </c>
      <c r="S1442" t="s">
        <v>20</v>
      </c>
    </row>
    <row r="1443" spans="1:19" hidden="1" x14ac:dyDescent="0.45">
      <c r="A1443" t="s">
        <v>501</v>
      </c>
      <c r="B1443" t="s">
        <v>6711</v>
      </c>
      <c r="C1443" t="s">
        <v>502</v>
      </c>
      <c r="D1443" t="s">
        <v>503</v>
      </c>
      <c r="E1443" t="s">
        <v>38</v>
      </c>
      <c r="F1443" t="s">
        <v>2785</v>
      </c>
      <c r="G1443" t="s">
        <v>23</v>
      </c>
      <c r="H1443" t="s">
        <v>6712</v>
      </c>
      <c r="I1443" t="s">
        <v>6553</v>
      </c>
      <c r="J1443" t="s">
        <v>6713</v>
      </c>
      <c r="K1443" t="s">
        <v>6714</v>
      </c>
      <c r="L1443" t="s">
        <v>2330</v>
      </c>
      <c r="M1443" t="s">
        <v>132</v>
      </c>
      <c r="N1443" t="s">
        <v>45</v>
      </c>
      <c r="O1443" t="s">
        <v>3767</v>
      </c>
      <c r="P1443" t="s">
        <v>43</v>
      </c>
      <c r="Q1443" t="s">
        <v>20</v>
      </c>
      <c r="R1443" t="s">
        <v>20</v>
      </c>
      <c r="S1443" t="s">
        <v>20</v>
      </c>
    </row>
    <row r="1444" spans="1:19" hidden="1" x14ac:dyDescent="0.45">
      <c r="A1444" t="s">
        <v>869</v>
      </c>
      <c r="B1444" t="s">
        <v>6715</v>
      </c>
      <c r="C1444" t="s">
        <v>1164</v>
      </c>
      <c r="D1444" t="s">
        <v>1165</v>
      </c>
      <c r="E1444" t="s">
        <v>38</v>
      </c>
      <c r="F1444" t="s">
        <v>4071</v>
      </c>
      <c r="G1444" t="s">
        <v>23</v>
      </c>
      <c r="H1444" t="s">
        <v>1334</v>
      </c>
      <c r="I1444" t="s">
        <v>1335</v>
      </c>
      <c r="J1444" t="s">
        <v>1336</v>
      </c>
      <c r="K1444" t="s">
        <v>946</v>
      </c>
      <c r="L1444" t="s">
        <v>53</v>
      </c>
      <c r="M1444" t="s">
        <v>2760</v>
      </c>
      <c r="N1444" t="s">
        <v>3831</v>
      </c>
      <c r="O1444" t="s">
        <v>3767</v>
      </c>
      <c r="P1444" t="s">
        <v>43</v>
      </c>
      <c r="Q1444" t="s">
        <v>20</v>
      </c>
      <c r="R1444" t="s">
        <v>20</v>
      </c>
      <c r="S1444" t="s">
        <v>1337</v>
      </c>
    </row>
    <row r="1445" spans="1:19" hidden="1" x14ac:dyDescent="0.45">
      <c r="A1445" t="s">
        <v>239</v>
      </c>
      <c r="B1445" t="s">
        <v>10177</v>
      </c>
      <c r="C1445" t="s">
        <v>4810</v>
      </c>
      <c r="D1445" t="s">
        <v>4811</v>
      </c>
      <c r="E1445" t="s">
        <v>38</v>
      </c>
      <c r="F1445" t="s">
        <v>2948</v>
      </c>
      <c r="G1445" t="s">
        <v>23</v>
      </c>
      <c r="H1445" t="s">
        <v>7294</v>
      </c>
      <c r="I1445" t="s">
        <v>7295</v>
      </c>
      <c r="J1445" t="s">
        <v>7296</v>
      </c>
      <c r="K1445" t="s">
        <v>7297</v>
      </c>
      <c r="L1445" t="s">
        <v>2769</v>
      </c>
      <c r="M1445" t="s">
        <v>2760</v>
      </c>
      <c r="N1445" t="s">
        <v>62</v>
      </c>
      <c r="O1445" t="s">
        <v>3767</v>
      </c>
      <c r="P1445" t="s">
        <v>6875</v>
      </c>
      <c r="Q1445" t="s">
        <v>20</v>
      </c>
      <c r="R1445" t="s">
        <v>20</v>
      </c>
      <c r="S1445" t="s">
        <v>9909</v>
      </c>
    </row>
    <row r="1446" spans="1:19" hidden="1" x14ac:dyDescent="0.45">
      <c r="A1446" t="s">
        <v>729</v>
      </c>
      <c r="B1446" t="s">
        <v>10663</v>
      </c>
      <c r="C1446" t="s">
        <v>3036</v>
      </c>
      <c r="D1446" t="s">
        <v>3037</v>
      </c>
      <c r="E1446" t="s">
        <v>21</v>
      </c>
      <c r="F1446" t="s">
        <v>2722</v>
      </c>
      <c r="G1446" t="s">
        <v>23</v>
      </c>
      <c r="H1446" t="s">
        <v>10664</v>
      </c>
      <c r="I1446" t="s">
        <v>10665</v>
      </c>
      <c r="J1446" t="s">
        <v>10666</v>
      </c>
      <c r="K1446" t="s">
        <v>10667</v>
      </c>
      <c r="L1446" t="s">
        <v>2769</v>
      </c>
      <c r="M1446" t="s">
        <v>2760</v>
      </c>
      <c r="N1446" t="s">
        <v>1224</v>
      </c>
      <c r="O1446" t="s">
        <v>3767</v>
      </c>
      <c r="P1446" t="s">
        <v>2769</v>
      </c>
      <c r="Q1446" t="s">
        <v>20</v>
      </c>
      <c r="R1446" t="s">
        <v>20</v>
      </c>
      <c r="S1446" t="s">
        <v>20</v>
      </c>
    </row>
    <row r="1447" spans="1:19" hidden="1" x14ac:dyDescent="0.45">
      <c r="A1447" t="s">
        <v>79</v>
      </c>
      <c r="B1447" t="s">
        <v>10569</v>
      </c>
      <c r="C1447" t="s">
        <v>861</v>
      </c>
      <c r="D1447" t="s">
        <v>862</v>
      </c>
      <c r="E1447" t="s">
        <v>21</v>
      </c>
      <c r="F1447" t="s">
        <v>2787</v>
      </c>
      <c r="G1447" t="s">
        <v>23</v>
      </c>
      <c r="H1447" t="s">
        <v>10570</v>
      </c>
      <c r="I1447" t="s">
        <v>10571</v>
      </c>
      <c r="J1447" t="s">
        <v>10572</v>
      </c>
      <c r="K1447" t="s">
        <v>10573</v>
      </c>
      <c r="L1447" t="s">
        <v>9126</v>
      </c>
      <c r="M1447" t="s">
        <v>2760</v>
      </c>
      <c r="N1447" t="s">
        <v>2727</v>
      </c>
      <c r="O1447" t="s">
        <v>3767</v>
      </c>
      <c r="P1447" t="s">
        <v>8109</v>
      </c>
      <c r="Q1447" t="s">
        <v>20</v>
      </c>
      <c r="R1447" t="s">
        <v>20</v>
      </c>
      <c r="S1447" t="s">
        <v>20</v>
      </c>
    </row>
    <row r="1448" spans="1:19" hidden="1" x14ac:dyDescent="0.45">
      <c r="A1448" t="s">
        <v>79</v>
      </c>
      <c r="B1448" t="s">
        <v>13323</v>
      </c>
      <c r="C1448" t="s">
        <v>861</v>
      </c>
      <c r="D1448" t="s">
        <v>862</v>
      </c>
      <c r="E1448" t="s">
        <v>21</v>
      </c>
      <c r="F1448" t="s">
        <v>13324</v>
      </c>
      <c r="G1448" t="s">
        <v>23</v>
      </c>
      <c r="H1448" t="s">
        <v>13325</v>
      </c>
      <c r="I1448" t="s">
        <v>13326</v>
      </c>
      <c r="J1448" t="s">
        <v>13327</v>
      </c>
      <c r="K1448" t="s">
        <v>13328</v>
      </c>
      <c r="L1448" t="s">
        <v>6524</v>
      </c>
      <c r="M1448" t="s">
        <v>2760</v>
      </c>
      <c r="N1448" t="s">
        <v>1224</v>
      </c>
      <c r="O1448" t="s">
        <v>3767</v>
      </c>
      <c r="P1448" t="s">
        <v>6524</v>
      </c>
      <c r="Q1448" t="s">
        <v>20</v>
      </c>
      <c r="R1448" t="s">
        <v>20</v>
      </c>
      <c r="S1448" t="s">
        <v>20</v>
      </c>
    </row>
    <row r="1449" spans="1:19" hidden="1" x14ac:dyDescent="0.45">
      <c r="A1449" t="s">
        <v>729</v>
      </c>
      <c r="B1449" t="s">
        <v>4018</v>
      </c>
      <c r="C1449" t="s">
        <v>1079</v>
      </c>
      <c r="D1449" t="s">
        <v>1080</v>
      </c>
      <c r="E1449" t="s">
        <v>21</v>
      </c>
      <c r="F1449" t="s">
        <v>2722</v>
      </c>
      <c r="G1449" t="s">
        <v>23</v>
      </c>
      <c r="H1449" t="s">
        <v>4019</v>
      </c>
      <c r="I1449" t="s">
        <v>4020</v>
      </c>
      <c r="J1449" t="s">
        <v>4021</v>
      </c>
      <c r="K1449" t="s">
        <v>4022</v>
      </c>
      <c r="L1449" t="s">
        <v>118</v>
      </c>
      <c r="M1449" t="s">
        <v>2760</v>
      </c>
      <c r="N1449" t="s">
        <v>2858</v>
      </c>
      <c r="O1449" t="s">
        <v>3767</v>
      </c>
      <c r="P1449" t="s">
        <v>118</v>
      </c>
      <c r="Q1449" t="s">
        <v>20</v>
      </c>
      <c r="R1449" t="s">
        <v>20</v>
      </c>
      <c r="S1449" t="s">
        <v>20</v>
      </c>
    </row>
    <row r="1450" spans="1:19" hidden="1" x14ac:dyDescent="0.45">
      <c r="A1450" t="s">
        <v>729</v>
      </c>
      <c r="B1450" t="s">
        <v>8480</v>
      </c>
      <c r="C1450" t="s">
        <v>1079</v>
      </c>
      <c r="D1450" t="s">
        <v>1080</v>
      </c>
      <c r="E1450" t="s">
        <v>38</v>
      </c>
      <c r="F1450" t="s">
        <v>2722</v>
      </c>
      <c r="G1450" t="s">
        <v>23</v>
      </c>
      <c r="H1450" t="s">
        <v>8481</v>
      </c>
      <c r="I1450" t="s">
        <v>8482</v>
      </c>
      <c r="J1450" t="s">
        <v>8483</v>
      </c>
      <c r="K1450" t="s">
        <v>8484</v>
      </c>
      <c r="L1450" t="s">
        <v>902</v>
      </c>
      <c r="M1450" t="s">
        <v>2760</v>
      </c>
      <c r="N1450" t="s">
        <v>137</v>
      </c>
      <c r="O1450" t="s">
        <v>3767</v>
      </c>
      <c r="P1450" t="s">
        <v>902</v>
      </c>
      <c r="Q1450" t="s">
        <v>20</v>
      </c>
      <c r="R1450" t="s">
        <v>20</v>
      </c>
      <c r="S1450" t="s">
        <v>20</v>
      </c>
    </row>
    <row r="1451" spans="1:19" hidden="1" x14ac:dyDescent="0.45">
      <c r="A1451" t="s">
        <v>81</v>
      </c>
      <c r="B1451" t="s">
        <v>4139</v>
      </c>
      <c r="C1451" t="s">
        <v>1674</v>
      </c>
      <c r="D1451" t="s">
        <v>1675</v>
      </c>
      <c r="E1451" t="s">
        <v>38</v>
      </c>
      <c r="F1451" t="s">
        <v>2755</v>
      </c>
      <c r="G1451" t="s">
        <v>23</v>
      </c>
      <c r="H1451" t="s">
        <v>4140</v>
      </c>
      <c r="I1451" t="s">
        <v>4141</v>
      </c>
      <c r="J1451" t="s">
        <v>4142</v>
      </c>
      <c r="K1451" t="s">
        <v>4143</v>
      </c>
      <c r="L1451" t="s">
        <v>209</v>
      </c>
      <c r="M1451" t="s">
        <v>2760</v>
      </c>
      <c r="N1451" t="s">
        <v>146</v>
      </c>
      <c r="O1451" t="s">
        <v>3767</v>
      </c>
      <c r="P1451" t="s">
        <v>209</v>
      </c>
      <c r="Q1451" t="s">
        <v>20</v>
      </c>
      <c r="R1451" t="s">
        <v>20</v>
      </c>
      <c r="S1451" t="s">
        <v>20</v>
      </c>
    </row>
    <row r="1452" spans="1:19" hidden="1" x14ac:dyDescent="0.45">
      <c r="A1452" t="s">
        <v>592</v>
      </c>
      <c r="B1452" t="s">
        <v>12332</v>
      </c>
      <c r="C1452" t="s">
        <v>2859</v>
      </c>
      <c r="D1452" t="s">
        <v>2860</v>
      </c>
      <c r="E1452" t="s">
        <v>38</v>
      </c>
      <c r="F1452" t="s">
        <v>12333</v>
      </c>
      <c r="G1452" t="s">
        <v>23</v>
      </c>
      <c r="H1452" t="s">
        <v>12334</v>
      </c>
      <c r="I1452" t="s">
        <v>12335</v>
      </c>
      <c r="J1452" t="s">
        <v>12336</v>
      </c>
      <c r="K1452" t="s">
        <v>12337</v>
      </c>
      <c r="L1452" t="s">
        <v>8377</v>
      </c>
      <c r="M1452" t="s">
        <v>416</v>
      </c>
      <c r="N1452" t="s">
        <v>1224</v>
      </c>
      <c r="O1452" t="s">
        <v>3767</v>
      </c>
      <c r="P1452" t="s">
        <v>8377</v>
      </c>
      <c r="Q1452" t="s">
        <v>20</v>
      </c>
      <c r="R1452" t="s">
        <v>20</v>
      </c>
      <c r="S1452" t="s">
        <v>20</v>
      </c>
    </row>
    <row r="1453" spans="1:19" hidden="1" x14ac:dyDescent="0.45">
      <c r="A1453" t="s">
        <v>592</v>
      </c>
      <c r="B1453" t="s">
        <v>12395</v>
      </c>
      <c r="C1453" t="s">
        <v>2859</v>
      </c>
      <c r="D1453" t="s">
        <v>2860</v>
      </c>
      <c r="E1453" t="s">
        <v>38</v>
      </c>
      <c r="F1453" t="s">
        <v>2785</v>
      </c>
      <c r="G1453" t="s">
        <v>23</v>
      </c>
      <c r="H1453" t="s">
        <v>9975</v>
      </c>
      <c r="I1453" t="s">
        <v>9976</v>
      </c>
      <c r="J1453" t="s">
        <v>9977</v>
      </c>
      <c r="K1453" t="s">
        <v>9978</v>
      </c>
      <c r="L1453" t="s">
        <v>9570</v>
      </c>
      <c r="M1453" t="s">
        <v>416</v>
      </c>
      <c r="N1453" t="s">
        <v>119</v>
      </c>
      <c r="O1453" t="s">
        <v>3767</v>
      </c>
      <c r="P1453" t="s">
        <v>8109</v>
      </c>
      <c r="Q1453" t="s">
        <v>20</v>
      </c>
      <c r="R1453" t="s">
        <v>20</v>
      </c>
      <c r="S1453" t="s">
        <v>20</v>
      </c>
    </row>
    <row r="1454" spans="1:19" hidden="1" x14ac:dyDescent="0.45">
      <c r="A1454" t="s">
        <v>362</v>
      </c>
      <c r="B1454" t="s">
        <v>4622</v>
      </c>
      <c r="C1454" t="s">
        <v>3748</v>
      </c>
      <c r="D1454" t="s">
        <v>3749</v>
      </c>
      <c r="E1454" t="s">
        <v>38</v>
      </c>
      <c r="F1454" t="s">
        <v>14311</v>
      </c>
      <c r="G1454" t="s">
        <v>23</v>
      </c>
      <c r="H1454" t="s">
        <v>4623</v>
      </c>
      <c r="I1454" t="s">
        <v>4624</v>
      </c>
      <c r="J1454" t="s">
        <v>4625</v>
      </c>
      <c r="K1454" t="s">
        <v>4626</v>
      </c>
      <c r="L1454" t="s">
        <v>53</v>
      </c>
      <c r="M1454" t="s">
        <v>132</v>
      </c>
      <c r="N1454" t="s">
        <v>195</v>
      </c>
      <c r="O1454" t="s">
        <v>3767</v>
      </c>
      <c r="P1454" t="s">
        <v>53</v>
      </c>
      <c r="Q1454" t="s">
        <v>20</v>
      </c>
      <c r="R1454" t="s">
        <v>20</v>
      </c>
      <c r="S1454" t="s">
        <v>20</v>
      </c>
    </row>
    <row r="1455" spans="1:19" hidden="1" x14ac:dyDescent="0.45">
      <c r="A1455" t="s">
        <v>362</v>
      </c>
      <c r="B1455" t="s">
        <v>3960</v>
      </c>
      <c r="C1455" t="s">
        <v>3748</v>
      </c>
      <c r="D1455" t="s">
        <v>3749</v>
      </c>
      <c r="E1455" t="s">
        <v>38</v>
      </c>
      <c r="F1455" t="s">
        <v>2785</v>
      </c>
      <c r="G1455" t="s">
        <v>23</v>
      </c>
      <c r="H1455" t="s">
        <v>3961</v>
      </c>
      <c r="I1455" t="s">
        <v>3962</v>
      </c>
      <c r="J1455" t="s">
        <v>3963</v>
      </c>
      <c r="K1455" t="s">
        <v>3964</v>
      </c>
      <c r="L1455" t="s">
        <v>168</v>
      </c>
      <c r="M1455" t="s">
        <v>2760</v>
      </c>
      <c r="N1455" t="s">
        <v>146</v>
      </c>
      <c r="O1455" t="s">
        <v>3767</v>
      </c>
      <c r="P1455" t="s">
        <v>194</v>
      </c>
      <c r="Q1455" t="s">
        <v>20</v>
      </c>
      <c r="R1455" t="s">
        <v>20</v>
      </c>
      <c r="S1455" t="s">
        <v>20</v>
      </c>
    </row>
    <row r="1456" spans="1:19" hidden="1" x14ac:dyDescent="0.45">
      <c r="A1456" t="s">
        <v>310</v>
      </c>
      <c r="B1456" t="s">
        <v>8572</v>
      </c>
      <c r="C1456" t="s">
        <v>976</v>
      </c>
      <c r="D1456" t="s">
        <v>977</v>
      </c>
      <c r="E1456" t="s">
        <v>21</v>
      </c>
      <c r="F1456" t="s">
        <v>2722</v>
      </c>
      <c r="G1456" t="s">
        <v>23</v>
      </c>
      <c r="H1456" t="s">
        <v>8573</v>
      </c>
      <c r="I1456" t="s">
        <v>8477</v>
      </c>
      <c r="J1456" t="s">
        <v>8574</v>
      </c>
      <c r="K1456" t="s">
        <v>8575</v>
      </c>
      <c r="L1456" t="s">
        <v>902</v>
      </c>
      <c r="M1456" t="s">
        <v>2760</v>
      </c>
      <c r="N1456" t="s">
        <v>1224</v>
      </c>
      <c r="O1456" t="s">
        <v>3767</v>
      </c>
      <c r="P1456" t="s">
        <v>902</v>
      </c>
      <c r="Q1456" t="s">
        <v>20</v>
      </c>
      <c r="R1456" t="s">
        <v>20</v>
      </c>
      <c r="S1456" t="s">
        <v>20</v>
      </c>
    </row>
    <row r="1457" spans="1:19" hidden="1" x14ac:dyDescent="0.45">
      <c r="A1457" t="s">
        <v>501</v>
      </c>
      <c r="B1457" t="s">
        <v>9816</v>
      </c>
      <c r="C1457" t="s">
        <v>3823</v>
      </c>
      <c r="D1457" t="s">
        <v>3824</v>
      </c>
      <c r="E1457" t="s">
        <v>117</v>
      </c>
      <c r="F1457" t="s">
        <v>2785</v>
      </c>
      <c r="G1457" t="s">
        <v>23</v>
      </c>
      <c r="H1457" t="s">
        <v>7769</v>
      </c>
      <c r="I1457" t="s">
        <v>7770</v>
      </c>
      <c r="J1457" t="s">
        <v>7771</v>
      </c>
      <c r="K1457" t="s">
        <v>7772</v>
      </c>
      <c r="L1457" t="s">
        <v>6523</v>
      </c>
      <c r="M1457" t="s">
        <v>2760</v>
      </c>
      <c r="N1457" t="s">
        <v>45</v>
      </c>
      <c r="O1457" t="s">
        <v>3767</v>
      </c>
      <c r="P1457" t="s">
        <v>5398</v>
      </c>
      <c r="Q1457" t="s">
        <v>20</v>
      </c>
      <c r="R1457" t="s">
        <v>20</v>
      </c>
      <c r="S1457" t="s">
        <v>9794</v>
      </c>
    </row>
    <row r="1458" spans="1:19" hidden="1" x14ac:dyDescent="0.45">
      <c r="A1458" t="s">
        <v>104</v>
      </c>
      <c r="B1458" t="s">
        <v>4750</v>
      </c>
      <c r="C1458" t="s">
        <v>3999</v>
      </c>
      <c r="D1458" t="s">
        <v>4000</v>
      </c>
      <c r="E1458" t="s">
        <v>21</v>
      </c>
      <c r="F1458" t="s">
        <v>2722</v>
      </c>
      <c r="G1458" t="s">
        <v>23</v>
      </c>
      <c r="H1458" t="s">
        <v>4751</v>
      </c>
      <c r="I1458" t="s">
        <v>4752</v>
      </c>
      <c r="J1458" t="s">
        <v>4753</v>
      </c>
      <c r="K1458" t="s">
        <v>4754</v>
      </c>
      <c r="L1458" t="s">
        <v>296</v>
      </c>
      <c r="M1458" t="s">
        <v>2760</v>
      </c>
      <c r="N1458" t="s">
        <v>146</v>
      </c>
      <c r="O1458" t="s">
        <v>3767</v>
      </c>
      <c r="P1458" t="s">
        <v>296</v>
      </c>
      <c r="Q1458" t="s">
        <v>20</v>
      </c>
      <c r="R1458" t="s">
        <v>20</v>
      </c>
      <c r="S1458" t="s">
        <v>20</v>
      </c>
    </row>
    <row r="1459" spans="1:19" hidden="1" x14ac:dyDescent="0.45">
      <c r="A1459" t="s">
        <v>3096</v>
      </c>
      <c r="B1459" t="s">
        <v>9417</v>
      </c>
      <c r="C1459" t="s">
        <v>4133</v>
      </c>
      <c r="D1459" t="s">
        <v>4134</v>
      </c>
      <c r="E1459" t="s">
        <v>21</v>
      </c>
      <c r="F1459" t="s">
        <v>9418</v>
      </c>
      <c r="G1459" t="s">
        <v>23</v>
      </c>
      <c r="H1459" t="s">
        <v>9419</v>
      </c>
      <c r="I1459" t="s">
        <v>9420</v>
      </c>
      <c r="J1459" t="s">
        <v>9421</v>
      </c>
      <c r="K1459" t="s">
        <v>9422</v>
      </c>
      <c r="L1459" t="s">
        <v>6513</v>
      </c>
      <c r="M1459" t="s">
        <v>3105</v>
      </c>
      <c r="N1459" t="s">
        <v>1224</v>
      </c>
      <c r="O1459" t="s">
        <v>3767</v>
      </c>
      <c r="P1459" t="s">
        <v>6513</v>
      </c>
      <c r="Q1459" t="s">
        <v>20</v>
      </c>
      <c r="R1459" t="s">
        <v>20</v>
      </c>
      <c r="S1459" t="s">
        <v>20</v>
      </c>
    </row>
    <row r="1460" spans="1:19" hidden="1" x14ac:dyDescent="0.45">
      <c r="A1460" t="s">
        <v>3096</v>
      </c>
      <c r="B1460" t="s">
        <v>13446</v>
      </c>
      <c r="C1460" t="s">
        <v>4133</v>
      </c>
      <c r="D1460" t="s">
        <v>4134</v>
      </c>
      <c r="E1460" t="s">
        <v>21</v>
      </c>
      <c r="F1460" t="s">
        <v>14666</v>
      </c>
      <c r="G1460" t="s">
        <v>23</v>
      </c>
      <c r="H1460" t="s">
        <v>10073</v>
      </c>
      <c r="I1460" t="s">
        <v>10074</v>
      </c>
      <c r="J1460" t="s">
        <v>10075</v>
      </c>
      <c r="K1460" t="s">
        <v>10076</v>
      </c>
      <c r="L1460" t="s">
        <v>6522</v>
      </c>
      <c r="M1460" t="s">
        <v>3105</v>
      </c>
      <c r="N1460" t="s">
        <v>1224</v>
      </c>
      <c r="O1460" t="s">
        <v>3767</v>
      </c>
      <c r="P1460" t="s">
        <v>3998</v>
      </c>
      <c r="Q1460" t="s">
        <v>20</v>
      </c>
      <c r="R1460" t="s">
        <v>20</v>
      </c>
      <c r="S1460" t="s">
        <v>9797</v>
      </c>
    </row>
    <row r="1461" spans="1:19" hidden="1" x14ac:dyDescent="0.45">
      <c r="A1461" t="s">
        <v>3096</v>
      </c>
      <c r="B1461" t="s">
        <v>4281</v>
      </c>
      <c r="C1461" t="s">
        <v>4133</v>
      </c>
      <c r="D1461" t="s">
        <v>4134</v>
      </c>
      <c r="E1461" t="s">
        <v>38</v>
      </c>
      <c r="F1461" t="s">
        <v>2863</v>
      </c>
      <c r="G1461" t="s">
        <v>23</v>
      </c>
      <c r="H1461" t="s">
        <v>4282</v>
      </c>
      <c r="I1461" t="s">
        <v>4283</v>
      </c>
      <c r="J1461" t="s">
        <v>4284</v>
      </c>
      <c r="K1461" t="s">
        <v>4285</v>
      </c>
      <c r="L1461" t="s">
        <v>111</v>
      </c>
      <c r="M1461" t="s">
        <v>3105</v>
      </c>
      <c r="N1461" t="s">
        <v>1224</v>
      </c>
      <c r="O1461" t="s">
        <v>3767</v>
      </c>
      <c r="P1461" t="s">
        <v>111</v>
      </c>
      <c r="Q1461" t="s">
        <v>20</v>
      </c>
      <c r="R1461" t="s">
        <v>20</v>
      </c>
      <c r="S1461" t="s">
        <v>20</v>
      </c>
    </row>
    <row r="1462" spans="1:19" hidden="1" x14ac:dyDescent="0.45">
      <c r="A1462" t="s">
        <v>3096</v>
      </c>
      <c r="B1462" t="s">
        <v>4132</v>
      </c>
      <c r="C1462" t="s">
        <v>4133</v>
      </c>
      <c r="D1462" t="s">
        <v>4134</v>
      </c>
      <c r="E1462" t="s">
        <v>38</v>
      </c>
      <c r="F1462" t="s">
        <v>2748</v>
      </c>
      <c r="G1462" t="s">
        <v>23</v>
      </c>
      <c r="H1462" t="s">
        <v>4135</v>
      </c>
      <c r="I1462" t="s">
        <v>4136</v>
      </c>
      <c r="J1462" t="s">
        <v>4137</v>
      </c>
      <c r="K1462" t="s">
        <v>4138</v>
      </c>
      <c r="L1462" t="s">
        <v>194</v>
      </c>
      <c r="M1462" t="s">
        <v>3105</v>
      </c>
      <c r="N1462" t="s">
        <v>1224</v>
      </c>
      <c r="O1462" t="s">
        <v>3767</v>
      </c>
      <c r="P1462" t="s">
        <v>194</v>
      </c>
      <c r="Q1462" t="s">
        <v>20</v>
      </c>
      <c r="R1462" t="s">
        <v>20</v>
      </c>
      <c r="S1462" t="s">
        <v>20</v>
      </c>
    </row>
    <row r="1463" spans="1:19" hidden="1" x14ac:dyDescent="0.45">
      <c r="A1463" t="s">
        <v>3096</v>
      </c>
      <c r="B1463" t="s">
        <v>8562</v>
      </c>
      <c r="C1463" t="s">
        <v>4133</v>
      </c>
      <c r="D1463" t="s">
        <v>4134</v>
      </c>
      <c r="E1463" t="s">
        <v>21</v>
      </c>
      <c r="F1463" t="s">
        <v>3076</v>
      </c>
      <c r="G1463" t="s">
        <v>23</v>
      </c>
      <c r="H1463" t="s">
        <v>8563</v>
      </c>
      <c r="I1463" t="s">
        <v>8564</v>
      </c>
      <c r="J1463" t="s">
        <v>8565</v>
      </c>
      <c r="K1463" t="s">
        <v>8566</v>
      </c>
      <c r="L1463" t="s">
        <v>902</v>
      </c>
      <c r="M1463" t="s">
        <v>3105</v>
      </c>
      <c r="N1463" t="s">
        <v>1224</v>
      </c>
      <c r="O1463" t="s">
        <v>3767</v>
      </c>
      <c r="P1463" t="s">
        <v>902</v>
      </c>
      <c r="Q1463" t="s">
        <v>20</v>
      </c>
      <c r="R1463" t="s">
        <v>20</v>
      </c>
      <c r="S1463" t="s">
        <v>20</v>
      </c>
    </row>
    <row r="1464" spans="1:19" hidden="1" x14ac:dyDescent="0.45">
      <c r="A1464" t="s">
        <v>525</v>
      </c>
      <c r="B1464" t="s">
        <v>4144</v>
      </c>
      <c r="C1464" t="s">
        <v>2038</v>
      </c>
      <c r="D1464" t="s">
        <v>2039</v>
      </c>
      <c r="E1464" t="s">
        <v>57</v>
      </c>
      <c r="F1464" t="s">
        <v>2795</v>
      </c>
      <c r="G1464" t="s">
        <v>23</v>
      </c>
      <c r="H1464" t="s">
        <v>4145</v>
      </c>
      <c r="I1464" t="s">
        <v>4146</v>
      </c>
      <c r="J1464" t="s">
        <v>4147</v>
      </c>
      <c r="K1464" t="s">
        <v>4148</v>
      </c>
      <c r="L1464" t="s">
        <v>296</v>
      </c>
      <c r="M1464" t="s">
        <v>2760</v>
      </c>
      <c r="N1464" t="s">
        <v>146</v>
      </c>
      <c r="O1464" t="s">
        <v>3767</v>
      </c>
      <c r="P1464" t="s">
        <v>296</v>
      </c>
      <c r="Q1464" t="s">
        <v>20</v>
      </c>
      <c r="R1464" t="s">
        <v>20</v>
      </c>
      <c r="S1464" t="s">
        <v>20</v>
      </c>
    </row>
    <row r="1465" spans="1:19" hidden="1" x14ac:dyDescent="0.45">
      <c r="A1465" t="s">
        <v>525</v>
      </c>
      <c r="B1465" t="s">
        <v>10212</v>
      </c>
      <c r="C1465" t="s">
        <v>2038</v>
      </c>
      <c r="D1465" t="s">
        <v>2039</v>
      </c>
      <c r="E1465" t="s">
        <v>57</v>
      </c>
      <c r="F1465" t="s">
        <v>3891</v>
      </c>
      <c r="G1465" t="s">
        <v>23</v>
      </c>
      <c r="H1465" t="s">
        <v>2040</v>
      </c>
      <c r="I1465" t="s">
        <v>2041</v>
      </c>
      <c r="J1465" t="s">
        <v>2042</v>
      </c>
      <c r="K1465" t="s">
        <v>2043</v>
      </c>
      <c r="L1465" t="s">
        <v>5398</v>
      </c>
      <c r="M1465" t="s">
        <v>2760</v>
      </c>
      <c r="N1465" t="s">
        <v>62</v>
      </c>
      <c r="O1465" t="s">
        <v>3767</v>
      </c>
      <c r="P1465" t="s">
        <v>2769</v>
      </c>
      <c r="Q1465" t="s">
        <v>20</v>
      </c>
      <c r="R1465" t="s">
        <v>20</v>
      </c>
      <c r="S1465" t="s">
        <v>20</v>
      </c>
    </row>
    <row r="1466" spans="1:19" hidden="1" x14ac:dyDescent="0.45">
      <c r="A1466" t="s">
        <v>35</v>
      </c>
      <c r="B1466" t="s">
        <v>4645</v>
      </c>
      <c r="C1466" t="s">
        <v>449</v>
      </c>
      <c r="D1466" t="s">
        <v>450</v>
      </c>
      <c r="E1466" t="s">
        <v>38</v>
      </c>
      <c r="F1466" t="s">
        <v>2755</v>
      </c>
      <c r="G1466" t="s">
        <v>23</v>
      </c>
      <c r="H1466" t="s">
        <v>4646</v>
      </c>
      <c r="I1466" t="s">
        <v>4647</v>
      </c>
      <c r="J1466" t="s">
        <v>4648</v>
      </c>
      <c r="K1466" t="s">
        <v>4649</v>
      </c>
      <c r="L1466" t="s">
        <v>504</v>
      </c>
      <c r="M1466" t="s">
        <v>2760</v>
      </c>
      <c r="N1466" t="s">
        <v>45</v>
      </c>
      <c r="O1466" t="s">
        <v>3767</v>
      </c>
      <c r="P1466" t="s">
        <v>2413</v>
      </c>
      <c r="Q1466" t="s">
        <v>20</v>
      </c>
      <c r="R1466" t="s">
        <v>20</v>
      </c>
      <c r="S1466" t="s">
        <v>20</v>
      </c>
    </row>
    <row r="1467" spans="1:19" hidden="1" x14ac:dyDescent="0.45">
      <c r="A1467" t="s">
        <v>85</v>
      </c>
      <c r="B1467" t="s">
        <v>4766</v>
      </c>
      <c r="C1467" t="s">
        <v>1807</v>
      </c>
      <c r="D1467" t="s">
        <v>1808</v>
      </c>
      <c r="E1467" t="s">
        <v>38</v>
      </c>
      <c r="F1467" t="s">
        <v>2722</v>
      </c>
      <c r="G1467" t="s">
        <v>23</v>
      </c>
      <c r="H1467" t="s">
        <v>4767</v>
      </c>
      <c r="I1467" t="s">
        <v>4768</v>
      </c>
      <c r="J1467" t="s">
        <v>4769</v>
      </c>
      <c r="K1467" t="s">
        <v>4770</v>
      </c>
      <c r="L1467" t="s">
        <v>296</v>
      </c>
      <c r="M1467" t="s">
        <v>2760</v>
      </c>
      <c r="N1467" t="s">
        <v>119</v>
      </c>
      <c r="O1467" t="s">
        <v>3767</v>
      </c>
      <c r="P1467" t="s">
        <v>296</v>
      </c>
      <c r="Q1467" t="s">
        <v>20</v>
      </c>
      <c r="R1467" t="s">
        <v>20</v>
      </c>
      <c r="S1467" t="s">
        <v>20</v>
      </c>
    </row>
    <row r="1468" spans="1:19" hidden="1" x14ac:dyDescent="0.45">
      <c r="A1468" t="s">
        <v>715</v>
      </c>
      <c r="B1468" t="s">
        <v>11976</v>
      </c>
      <c r="C1468" t="s">
        <v>716</v>
      </c>
      <c r="D1468" t="s">
        <v>717</v>
      </c>
      <c r="E1468" t="s">
        <v>38</v>
      </c>
      <c r="F1468" t="s">
        <v>2948</v>
      </c>
      <c r="G1468" t="s">
        <v>23</v>
      </c>
      <c r="H1468" t="s">
        <v>11977</v>
      </c>
      <c r="I1468" t="s">
        <v>11978</v>
      </c>
      <c r="J1468" t="s">
        <v>11979</v>
      </c>
      <c r="K1468" t="s">
        <v>11980</v>
      </c>
      <c r="L1468" t="s">
        <v>6524</v>
      </c>
      <c r="M1468" t="s">
        <v>2760</v>
      </c>
      <c r="N1468" t="s">
        <v>146</v>
      </c>
      <c r="O1468" t="s">
        <v>3767</v>
      </c>
      <c r="P1468" t="s">
        <v>8377</v>
      </c>
      <c r="Q1468" t="s">
        <v>20</v>
      </c>
      <c r="R1468" t="s">
        <v>20</v>
      </c>
      <c r="S1468" t="s">
        <v>20</v>
      </c>
    </row>
    <row r="1469" spans="1:19" hidden="1" x14ac:dyDescent="0.45">
      <c r="A1469" t="s">
        <v>715</v>
      </c>
      <c r="B1469" t="s">
        <v>10179</v>
      </c>
      <c r="C1469" t="s">
        <v>716</v>
      </c>
      <c r="D1469" t="s">
        <v>717</v>
      </c>
      <c r="E1469" t="s">
        <v>38</v>
      </c>
      <c r="F1469" t="s">
        <v>2904</v>
      </c>
      <c r="G1469" t="s">
        <v>23</v>
      </c>
      <c r="H1469" t="s">
        <v>718</v>
      </c>
      <c r="I1469" t="s">
        <v>719</v>
      </c>
      <c r="J1469" t="s">
        <v>720</v>
      </c>
      <c r="K1469" t="s">
        <v>721</v>
      </c>
      <c r="L1469" t="s">
        <v>9619</v>
      </c>
      <c r="M1469" t="s">
        <v>2760</v>
      </c>
      <c r="N1469" t="s">
        <v>146</v>
      </c>
      <c r="O1469" t="s">
        <v>3767</v>
      </c>
      <c r="P1469" t="s">
        <v>2769</v>
      </c>
      <c r="Q1469" t="s">
        <v>20</v>
      </c>
      <c r="R1469" t="s">
        <v>20</v>
      </c>
      <c r="S1469" t="s">
        <v>20</v>
      </c>
    </row>
    <row r="1470" spans="1:19" hidden="1" x14ac:dyDescent="0.45">
      <c r="A1470" t="s">
        <v>715</v>
      </c>
      <c r="B1470" t="s">
        <v>14208</v>
      </c>
      <c r="C1470" t="s">
        <v>716</v>
      </c>
      <c r="D1470" t="s">
        <v>717</v>
      </c>
      <c r="E1470" t="s">
        <v>57</v>
      </c>
      <c r="F1470" t="s">
        <v>2795</v>
      </c>
      <c r="G1470" t="s">
        <v>23</v>
      </c>
      <c r="H1470" t="s">
        <v>2194</v>
      </c>
      <c r="I1470" t="s">
        <v>2195</v>
      </c>
      <c r="J1470" t="s">
        <v>2196</v>
      </c>
      <c r="K1470" t="s">
        <v>2197</v>
      </c>
      <c r="L1470" t="s">
        <v>6525</v>
      </c>
      <c r="M1470" t="s">
        <v>102</v>
      </c>
      <c r="N1470" t="s">
        <v>62</v>
      </c>
      <c r="O1470" t="s">
        <v>3767</v>
      </c>
      <c r="P1470" t="s">
        <v>6525</v>
      </c>
      <c r="Q1470" t="s">
        <v>20</v>
      </c>
      <c r="R1470" t="s">
        <v>20</v>
      </c>
      <c r="S1470" t="s">
        <v>20</v>
      </c>
    </row>
    <row r="1471" spans="1:19" hidden="1" x14ac:dyDescent="0.45">
      <c r="A1471" t="s">
        <v>211</v>
      </c>
      <c r="B1471" t="s">
        <v>14209</v>
      </c>
      <c r="C1471" t="s">
        <v>304</v>
      </c>
      <c r="D1471" t="s">
        <v>305</v>
      </c>
      <c r="E1471" t="s">
        <v>38</v>
      </c>
      <c r="F1471" t="s">
        <v>14210</v>
      </c>
      <c r="G1471" t="s">
        <v>23</v>
      </c>
      <c r="H1471" t="s">
        <v>306</v>
      </c>
      <c r="I1471" t="s">
        <v>307</v>
      </c>
      <c r="J1471" t="s">
        <v>308</v>
      </c>
      <c r="K1471" t="s">
        <v>309</v>
      </c>
      <c r="L1471" t="s">
        <v>6525</v>
      </c>
      <c r="M1471" t="s">
        <v>102</v>
      </c>
      <c r="N1471" t="s">
        <v>62</v>
      </c>
      <c r="O1471" t="s">
        <v>3767</v>
      </c>
      <c r="P1471" t="s">
        <v>6525</v>
      </c>
      <c r="Q1471" t="s">
        <v>20</v>
      </c>
      <c r="R1471" t="s">
        <v>20</v>
      </c>
      <c r="S1471" t="s">
        <v>20</v>
      </c>
    </row>
    <row r="1472" spans="1:19" hidden="1" x14ac:dyDescent="0.45">
      <c r="A1472" t="s">
        <v>511</v>
      </c>
      <c r="B1472" t="s">
        <v>12397</v>
      </c>
      <c r="C1472" t="s">
        <v>6946</v>
      </c>
      <c r="D1472" t="s">
        <v>6011</v>
      </c>
      <c r="E1472" t="s">
        <v>38</v>
      </c>
      <c r="F1472" t="s">
        <v>2948</v>
      </c>
      <c r="G1472" t="s">
        <v>23</v>
      </c>
      <c r="H1472" t="s">
        <v>6947</v>
      </c>
      <c r="I1472" t="s">
        <v>6948</v>
      </c>
      <c r="J1472" t="s">
        <v>6949</v>
      </c>
      <c r="K1472" t="s">
        <v>6950</v>
      </c>
      <c r="L1472" t="s">
        <v>6521</v>
      </c>
      <c r="M1472" t="s">
        <v>3105</v>
      </c>
      <c r="N1472" t="s">
        <v>45</v>
      </c>
      <c r="O1472" t="s">
        <v>3767</v>
      </c>
      <c r="P1472" t="s">
        <v>722</v>
      </c>
      <c r="Q1472" t="s">
        <v>20</v>
      </c>
      <c r="R1472" t="s">
        <v>20</v>
      </c>
      <c r="S1472" t="s">
        <v>9363</v>
      </c>
    </row>
    <row r="1473" spans="1:19" hidden="1" x14ac:dyDescent="0.45">
      <c r="A1473" t="s">
        <v>19</v>
      </c>
      <c r="B1473" t="s">
        <v>4274</v>
      </c>
      <c r="C1473" t="s">
        <v>3883</v>
      </c>
      <c r="D1473" t="s">
        <v>3884</v>
      </c>
      <c r="E1473" t="s">
        <v>38</v>
      </c>
      <c r="F1473" t="s">
        <v>2795</v>
      </c>
      <c r="G1473" t="s">
        <v>23</v>
      </c>
      <c r="H1473" t="s">
        <v>4275</v>
      </c>
      <c r="I1473" t="s">
        <v>4276</v>
      </c>
      <c r="J1473" t="s">
        <v>4277</v>
      </c>
      <c r="K1473" t="s">
        <v>4278</v>
      </c>
      <c r="L1473" t="s">
        <v>53</v>
      </c>
      <c r="M1473" t="s">
        <v>2760</v>
      </c>
      <c r="N1473" t="s">
        <v>195</v>
      </c>
      <c r="O1473" t="s">
        <v>3767</v>
      </c>
      <c r="P1473" t="s">
        <v>168</v>
      </c>
      <c r="Q1473" t="s">
        <v>20</v>
      </c>
      <c r="R1473" t="s">
        <v>20</v>
      </c>
      <c r="S1473" t="s">
        <v>20</v>
      </c>
    </row>
    <row r="1474" spans="1:19" hidden="1" x14ac:dyDescent="0.45">
      <c r="A1474" t="s">
        <v>19</v>
      </c>
      <c r="B1474" t="s">
        <v>3897</v>
      </c>
      <c r="C1474" t="s">
        <v>3883</v>
      </c>
      <c r="D1474" t="s">
        <v>3884</v>
      </c>
      <c r="E1474" t="s">
        <v>38</v>
      </c>
      <c r="F1474" t="s">
        <v>14667</v>
      </c>
      <c r="G1474" t="s">
        <v>23</v>
      </c>
      <c r="H1474" t="s">
        <v>3898</v>
      </c>
      <c r="I1474" t="s">
        <v>3899</v>
      </c>
      <c r="J1474" t="s">
        <v>3900</v>
      </c>
      <c r="K1474" t="s">
        <v>3901</v>
      </c>
      <c r="L1474" t="s">
        <v>131</v>
      </c>
      <c r="M1474" t="s">
        <v>2760</v>
      </c>
      <c r="N1474" t="s">
        <v>62</v>
      </c>
      <c r="O1474" t="s">
        <v>3767</v>
      </c>
      <c r="P1474" t="s">
        <v>635</v>
      </c>
      <c r="Q1474" t="s">
        <v>20</v>
      </c>
      <c r="R1474" t="s">
        <v>20</v>
      </c>
      <c r="S1474" t="s">
        <v>20</v>
      </c>
    </row>
    <row r="1475" spans="1:19" hidden="1" x14ac:dyDescent="0.45">
      <c r="A1475" t="s">
        <v>19</v>
      </c>
      <c r="B1475" t="s">
        <v>3882</v>
      </c>
      <c r="C1475" t="s">
        <v>3883</v>
      </c>
      <c r="D1475" t="s">
        <v>3884</v>
      </c>
      <c r="E1475" t="s">
        <v>57</v>
      </c>
      <c r="F1475" t="s">
        <v>2795</v>
      </c>
      <c r="G1475" t="s">
        <v>23</v>
      </c>
      <c r="H1475" t="s">
        <v>3885</v>
      </c>
      <c r="I1475" t="s">
        <v>3886</v>
      </c>
      <c r="J1475" t="s">
        <v>3887</v>
      </c>
      <c r="K1475" t="s">
        <v>3888</v>
      </c>
      <c r="L1475" t="s">
        <v>101</v>
      </c>
      <c r="M1475" t="s">
        <v>297</v>
      </c>
      <c r="N1475" t="s">
        <v>119</v>
      </c>
      <c r="O1475" t="s">
        <v>3767</v>
      </c>
      <c r="P1475" t="s">
        <v>101</v>
      </c>
      <c r="Q1475" t="s">
        <v>20</v>
      </c>
      <c r="R1475" t="s">
        <v>20</v>
      </c>
      <c r="S1475" t="s">
        <v>20</v>
      </c>
    </row>
    <row r="1476" spans="1:19" hidden="1" x14ac:dyDescent="0.45">
      <c r="A1476" t="s">
        <v>19</v>
      </c>
      <c r="B1476" t="s">
        <v>13996</v>
      </c>
      <c r="C1476" t="s">
        <v>3883</v>
      </c>
      <c r="D1476" t="s">
        <v>3884</v>
      </c>
      <c r="E1476" t="s">
        <v>38</v>
      </c>
      <c r="F1476" t="s">
        <v>2755</v>
      </c>
      <c r="G1476" t="s">
        <v>23</v>
      </c>
      <c r="H1476" t="s">
        <v>13997</v>
      </c>
      <c r="I1476" t="s">
        <v>13998</v>
      </c>
      <c r="J1476" t="s">
        <v>13999</v>
      </c>
      <c r="K1476" t="s">
        <v>14000</v>
      </c>
      <c r="L1476" t="s">
        <v>8094</v>
      </c>
      <c r="M1476" t="s">
        <v>2760</v>
      </c>
      <c r="N1476" t="s">
        <v>146</v>
      </c>
      <c r="O1476" t="s">
        <v>3767</v>
      </c>
      <c r="P1476" t="s">
        <v>8094</v>
      </c>
      <c r="Q1476" t="s">
        <v>20</v>
      </c>
      <c r="R1476" t="s">
        <v>20</v>
      </c>
      <c r="S1476" t="s">
        <v>20</v>
      </c>
    </row>
    <row r="1477" spans="1:19" hidden="1" x14ac:dyDescent="0.45">
      <c r="A1477" t="s">
        <v>19</v>
      </c>
      <c r="B1477" t="s">
        <v>5200</v>
      </c>
      <c r="C1477" t="s">
        <v>3883</v>
      </c>
      <c r="D1477" t="s">
        <v>3884</v>
      </c>
      <c r="E1477" t="s">
        <v>38</v>
      </c>
      <c r="F1477" t="s">
        <v>14312</v>
      </c>
      <c r="G1477" t="s">
        <v>23</v>
      </c>
      <c r="H1477" t="s">
        <v>5201</v>
      </c>
      <c r="I1477" t="s">
        <v>5202</v>
      </c>
      <c r="J1477" t="s">
        <v>5203</v>
      </c>
      <c r="K1477" t="s">
        <v>1979</v>
      </c>
      <c r="L1477" t="s">
        <v>31</v>
      </c>
      <c r="M1477" t="s">
        <v>2760</v>
      </c>
      <c r="N1477" t="s">
        <v>119</v>
      </c>
      <c r="O1477" t="s">
        <v>3767</v>
      </c>
      <c r="P1477" t="s">
        <v>43</v>
      </c>
      <c r="Q1477" t="s">
        <v>20</v>
      </c>
      <c r="R1477" t="s">
        <v>20</v>
      </c>
      <c r="S1477" t="s">
        <v>20</v>
      </c>
    </row>
    <row r="1478" spans="1:19" hidden="1" x14ac:dyDescent="0.45">
      <c r="A1478" t="s">
        <v>518</v>
      </c>
      <c r="B1478" t="s">
        <v>10706</v>
      </c>
      <c r="C1478" t="s">
        <v>2421</v>
      </c>
      <c r="D1478" t="s">
        <v>2422</v>
      </c>
      <c r="E1478" t="s">
        <v>57</v>
      </c>
      <c r="F1478" t="s">
        <v>3891</v>
      </c>
      <c r="G1478" t="s">
        <v>23</v>
      </c>
      <c r="H1478" t="s">
        <v>2423</v>
      </c>
      <c r="I1478" t="s">
        <v>2424</v>
      </c>
      <c r="J1478" t="s">
        <v>2425</v>
      </c>
      <c r="K1478" t="s">
        <v>2426</v>
      </c>
      <c r="L1478" t="s">
        <v>7506</v>
      </c>
      <c r="M1478" t="s">
        <v>6932</v>
      </c>
      <c r="N1478" t="s">
        <v>62</v>
      </c>
      <c r="O1478" t="s">
        <v>3767</v>
      </c>
      <c r="P1478" t="s">
        <v>7506</v>
      </c>
      <c r="Q1478" t="s">
        <v>20</v>
      </c>
      <c r="R1478" t="s">
        <v>20</v>
      </c>
      <c r="S1478" t="s">
        <v>20</v>
      </c>
    </row>
    <row r="1479" spans="1:19" hidden="1" x14ac:dyDescent="0.45">
      <c r="A1479" t="s">
        <v>572</v>
      </c>
      <c r="B1479" t="s">
        <v>14211</v>
      </c>
      <c r="C1479" t="s">
        <v>573</v>
      </c>
      <c r="D1479" t="s">
        <v>574</v>
      </c>
      <c r="E1479" t="s">
        <v>57</v>
      </c>
      <c r="F1479" t="s">
        <v>3891</v>
      </c>
      <c r="G1479" t="s">
        <v>23</v>
      </c>
      <c r="H1479" t="s">
        <v>6964</v>
      </c>
      <c r="I1479" t="s">
        <v>6965</v>
      </c>
      <c r="J1479" t="s">
        <v>6966</v>
      </c>
      <c r="K1479" t="s">
        <v>6967</v>
      </c>
      <c r="L1479" t="s">
        <v>8094</v>
      </c>
      <c r="M1479" t="s">
        <v>102</v>
      </c>
      <c r="N1479" t="s">
        <v>62</v>
      </c>
      <c r="O1479" t="s">
        <v>3767</v>
      </c>
      <c r="P1479" t="s">
        <v>8094</v>
      </c>
      <c r="Q1479" t="s">
        <v>20</v>
      </c>
      <c r="R1479" t="s">
        <v>20</v>
      </c>
      <c r="S1479" t="s">
        <v>20</v>
      </c>
    </row>
    <row r="1480" spans="1:19" hidden="1" x14ac:dyDescent="0.45">
      <c r="A1480" t="s">
        <v>211</v>
      </c>
      <c r="B1480" t="s">
        <v>14212</v>
      </c>
      <c r="C1480" t="s">
        <v>1360</v>
      </c>
      <c r="D1480" t="s">
        <v>1361</v>
      </c>
      <c r="E1480" t="s">
        <v>57</v>
      </c>
      <c r="F1480" t="s">
        <v>2795</v>
      </c>
      <c r="G1480" t="s">
        <v>23</v>
      </c>
      <c r="H1480" t="s">
        <v>1644</v>
      </c>
      <c r="I1480" t="s">
        <v>1645</v>
      </c>
      <c r="J1480" t="s">
        <v>1646</v>
      </c>
      <c r="K1480" t="s">
        <v>1647</v>
      </c>
      <c r="L1480" t="s">
        <v>11782</v>
      </c>
      <c r="M1480" t="s">
        <v>102</v>
      </c>
      <c r="N1480" t="s">
        <v>62</v>
      </c>
      <c r="O1480" t="s">
        <v>3767</v>
      </c>
      <c r="P1480" t="s">
        <v>11782</v>
      </c>
      <c r="Q1480" t="s">
        <v>20</v>
      </c>
      <c r="R1480" t="s">
        <v>20</v>
      </c>
      <c r="S1480" t="s">
        <v>20</v>
      </c>
    </row>
    <row r="1481" spans="1:19" hidden="1" x14ac:dyDescent="0.45">
      <c r="A1481" t="s">
        <v>35</v>
      </c>
      <c r="B1481" t="s">
        <v>12961</v>
      </c>
      <c r="C1481" t="s">
        <v>2731</v>
      </c>
      <c r="D1481" t="s">
        <v>2732</v>
      </c>
      <c r="E1481" t="s">
        <v>38</v>
      </c>
      <c r="F1481" t="s">
        <v>2722</v>
      </c>
      <c r="G1481" t="s">
        <v>23</v>
      </c>
      <c r="H1481" t="s">
        <v>12962</v>
      </c>
      <c r="I1481" t="s">
        <v>12963</v>
      </c>
      <c r="J1481" t="s">
        <v>12964</v>
      </c>
      <c r="K1481" t="s">
        <v>12965</v>
      </c>
      <c r="L1481" t="s">
        <v>6527</v>
      </c>
      <c r="M1481" t="s">
        <v>2760</v>
      </c>
      <c r="N1481" t="s">
        <v>137</v>
      </c>
      <c r="O1481" t="s">
        <v>3767</v>
      </c>
      <c r="P1481" t="s">
        <v>6527</v>
      </c>
      <c r="Q1481" t="s">
        <v>20</v>
      </c>
      <c r="R1481" t="s">
        <v>20</v>
      </c>
      <c r="S1481" t="s">
        <v>20</v>
      </c>
    </row>
    <row r="1482" spans="1:19" hidden="1" x14ac:dyDescent="0.45">
      <c r="A1482" t="s">
        <v>35</v>
      </c>
      <c r="B1482" t="s">
        <v>4399</v>
      </c>
      <c r="C1482" t="s">
        <v>2731</v>
      </c>
      <c r="D1482" t="s">
        <v>2732</v>
      </c>
      <c r="E1482" t="s">
        <v>38</v>
      </c>
      <c r="F1482" t="s">
        <v>2755</v>
      </c>
      <c r="G1482" t="s">
        <v>23</v>
      </c>
      <c r="H1482" t="s">
        <v>4400</v>
      </c>
      <c r="I1482" t="s">
        <v>4401</v>
      </c>
      <c r="J1482" t="s">
        <v>4402</v>
      </c>
      <c r="K1482" t="s">
        <v>4403</v>
      </c>
      <c r="L1482" t="s">
        <v>168</v>
      </c>
      <c r="M1482" t="s">
        <v>2760</v>
      </c>
      <c r="N1482" t="s">
        <v>2727</v>
      </c>
      <c r="O1482" t="s">
        <v>3767</v>
      </c>
      <c r="P1482" t="s">
        <v>1605</v>
      </c>
      <c r="Q1482" t="s">
        <v>20</v>
      </c>
      <c r="R1482" t="s">
        <v>20</v>
      </c>
      <c r="S1482" t="s">
        <v>20</v>
      </c>
    </row>
    <row r="1483" spans="1:19" hidden="1" x14ac:dyDescent="0.45">
      <c r="A1483" t="s">
        <v>104</v>
      </c>
      <c r="B1483" t="s">
        <v>4364</v>
      </c>
      <c r="C1483" t="s">
        <v>936</v>
      </c>
      <c r="D1483" t="s">
        <v>937</v>
      </c>
      <c r="E1483" t="s">
        <v>38</v>
      </c>
      <c r="F1483" t="s">
        <v>4365</v>
      </c>
      <c r="G1483" t="s">
        <v>23</v>
      </c>
      <c r="H1483" t="s">
        <v>4366</v>
      </c>
      <c r="I1483" t="s">
        <v>4367</v>
      </c>
      <c r="J1483" t="s">
        <v>4368</v>
      </c>
      <c r="K1483" t="s">
        <v>4369</v>
      </c>
      <c r="L1483" t="s">
        <v>53</v>
      </c>
      <c r="M1483" t="s">
        <v>132</v>
      </c>
      <c r="N1483" t="s">
        <v>62</v>
      </c>
      <c r="O1483" t="s">
        <v>3767</v>
      </c>
      <c r="P1483" t="s">
        <v>118</v>
      </c>
      <c r="Q1483" t="s">
        <v>20</v>
      </c>
      <c r="R1483" t="s">
        <v>20</v>
      </c>
      <c r="S1483" t="s">
        <v>3269</v>
      </c>
    </row>
    <row r="1484" spans="1:19" hidden="1" x14ac:dyDescent="0.45">
      <c r="A1484" t="s">
        <v>869</v>
      </c>
      <c r="B1484" t="s">
        <v>4690</v>
      </c>
      <c r="C1484" t="s">
        <v>2583</v>
      </c>
      <c r="D1484" t="s">
        <v>2584</v>
      </c>
      <c r="E1484" t="s">
        <v>38</v>
      </c>
      <c r="F1484" t="s">
        <v>3954</v>
      </c>
      <c r="G1484" t="s">
        <v>23</v>
      </c>
      <c r="H1484" t="s">
        <v>4691</v>
      </c>
      <c r="I1484" t="s">
        <v>4692</v>
      </c>
      <c r="J1484" t="s">
        <v>4693</v>
      </c>
      <c r="K1484" t="s">
        <v>4694</v>
      </c>
      <c r="L1484" t="s">
        <v>53</v>
      </c>
      <c r="M1484" t="s">
        <v>2760</v>
      </c>
      <c r="N1484" t="s">
        <v>3831</v>
      </c>
      <c r="O1484" t="s">
        <v>3767</v>
      </c>
      <c r="P1484" t="s">
        <v>31</v>
      </c>
      <c r="Q1484" t="s">
        <v>20</v>
      </c>
      <c r="R1484" t="s">
        <v>20</v>
      </c>
      <c r="S1484" t="s">
        <v>4695</v>
      </c>
    </row>
    <row r="1485" spans="1:19" hidden="1" x14ac:dyDescent="0.45">
      <c r="A1485" t="s">
        <v>335</v>
      </c>
      <c r="B1485" t="s">
        <v>9364</v>
      </c>
      <c r="C1485" t="s">
        <v>956</v>
      </c>
      <c r="D1485" t="s">
        <v>957</v>
      </c>
      <c r="E1485" t="s">
        <v>21</v>
      </c>
      <c r="F1485" t="s">
        <v>2722</v>
      </c>
      <c r="G1485" t="s">
        <v>23</v>
      </c>
      <c r="H1485" t="s">
        <v>8988</v>
      </c>
      <c r="I1485" t="s">
        <v>9365</v>
      </c>
      <c r="J1485" t="s">
        <v>9366</v>
      </c>
      <c r="K1485" t="s">
        <v>9367</v>
      </c>
      <c r="L1485" t="s">
        <v>6513</v>
      </c>
      <c r="M1485" t="s">
        <v>3145</v>
      </c>
      <c r="N1485" t="s">
        <v>2858</v>
      </c>
      <c r="O1485" t="s">
        <v>3767</v>
      </c>
      <c r="P1485" t="s">
        <v>6513</v>
      </c>
      <c r="Q1485" t="s">
        <v>20</v>
      </c>
      <c r="R1485" t="s">
        <v>20</v>
      </c>
      <c r="S1485" t="s">
        <v>20</v>
      </c>
    </row>
    <row r="1486" spans="1:19" hidden="1" x14ac:dyDescent="0.45">
      <c r="A1486" t="s">
        <v>335</v>
      </c>
      <c r="B1486" t="s">
        <v>10586</v>
      </c>
      <c r="C1486" t="s">
        <v>956</v>
      </c>
      <c r="D1486" t="s">
        <v>957</v>
      </c>
      <c r="E1486" t="s">
        <v>21</v>
      </c>
      <c r="F1486" t="s">
        <v>2722</v>
      </c>
      <c r="G1486" t="s">
        <v>23</v>
      </c>
      <c r="H1486" t="s">
        <v>10587</v>
      </c>
      <c r="I1486" t="s">
        <v>10588</v>
      </c>
      <c r="J1486" t="s">
        <v>10589</v>
      </c>
      <c r="K1486" t="s">
        <v>10590</v>
      </c>
      <c r="L1486" t="s">
        <v>9126</v>
      </c>
      <c r="M1486" t="s">
        <v>3145</v>
      </c>
      <c r="N1486" t="s">
        <v>2727</v>
      </c>
      <c r="O1486" t="s">
        <v>3767</v>
      </c>
      <c r="P1486" t="s">
        <v>7506</v>
      </c>
      <c r="Q1486" t="s">
        <v>20</v>
      </c>
      <c r="R1486" t="s">
        <v>20</v>
      </c>
      <c r="S1486" t="s">
        <v>20</v>
      </c>
    </row>
    <row r="1487" spans="1:19" hidden="1" x14ac:dyDescent="0.45">
      <c r="A1487" t="s">
        <v>335</v>
      </c>
      <c r="B1487" t="s">
        <v>12396</v>
      </c>
      <c r="C1487" t="s">
        <v>956</v>
      </c>
      <c r="D1487" t="s">
        <v>957</v>
      </c>
      <c r="E1487" t="s">
        <v>38</v>
      </c>
      <c r="F1487" t="s">
        <v>2785</v>
      </c>
      <c r="G1487" t="s">
        <v>23</v>
      </c>
      <c r="H1487" t="s">
        <v>10348</v>
      </c>
      <c r="I1487" t="s">
        <v>10349</v>
      </c>
      <c r="J1487" t="s">
        <v>11051</v>
      </c>
      <c r="K1487" t="s">
        <v>11052</v>
      </c>
      <c r="L1487" t="s">
        <v>6524</v>
      </c>
      <c r="M1487" t="s">
        <v>2760</v>
      </c>
      <c r="N1487" t="s">
        <v>146</v>
      </c>
      <c r="O1487" t="s">
        <v>3767</v>
      </c>
      <c r="P1487" t="s">
        <v>8377</v>
      </c>
      <c r="Q1487" t="s">
        <v>20</v>
      </c>
      <c r="R1487" t="s">
        <v>20</v>
      </c>
      <c r="S1487" t="s">
        <v>20</v>
      </c>
    </row>
    <row r="1488" spans="1:19" hidden="1" x14ac:dyDescent="0.45">
      <c r="A1488" t="s">
        <v>335</v>
      </c>
      <c r="B1488" t="s">
        <v>8470</v>
      </c>
      <c r="C1488" t="s">
        <v>956</v>
      </c>
      <c r="D1488" t="s">
        <v>957</v>
      </c>
      <c r="E1488" t="s">
        <v>57</v>
      </c>
      <c r="F1488" t="s">
        <v>2795</v>
      </c>
      <c r="G1488" t="s">
        <v>23</v>
      </c>
      <c r="H1488" t="s">
        <v>8471</v>
      </c>
      <c r="I1488" t="s">
        <v>8472</v>
      </c>
      <c r="J1488" t="s">
        <v>8473</v>
      </c>
      <c r="K1488" t="s">
        <v>8474</v>
      </c>
      <c r="L1488" t="s">
        <v>290</v>
      </c>
      <c r="M1488" t="s">
        <v>2760</v>
      </c>
      <c r="N1488" t="s">
        <v>146</v>
      </c>
      <c r="O1488" t="s">
        <v>3767</v>
      </c>
      <c r="P1488" t="s">
        <v>290</v>
      </c>
      <c r="Q1488" t="s">
        <v>20</v>
      </c>
      <c r="R1488" t="s">
        <v>20</v>
      </c>
      <c r="S1488" t="s">
        <v>20</v>
      </c>
    </row>
    <row r="1489" spans="1:19" hidden="1" x14ac:dyDescent="0.45">
      <c r="A1489" t="s">
        <v>1043</v>
      </c>
      <c r="B1489" t="s">
        <v>3799</v>
      </c>
      <c r="C1489" t="s">
        <v>2954</v>
      </c>
      <c r="D1489" t="s">
        <v>2955</v>
      </c>
      <c r="E1489" t="s">
        <v>29</v>
      </c>
      <c r="F1489" t="s">
        <v>3800</v>
      </c>
      <c r="G1489" t="s">
        <v>23</v>
      </c>
      <c r="H1489" t="s">
        <v>3801</v>
      </c>
      <c r="I1489" t="s">
        <v>3802</v>
      </c>
      <c r="J1489" t="s">
        <v>3803</v>
      </c>
      <c r="K1489" t="s">
        <v>3804</v>
      </c>
      <c r="L1489" t="s">
        <v>635</v>
      </c>
      <c r="M1489" t="s">
        <v>132</v>
      </c>
      <c r="N1489" t="s">
        <v>33</v>
      </c>
      <c r="O1489" t="s">
        <v>3767</v>
      </c>
      <c r="P1489" t="s">
        <v>296</v>
      </c>
      <c r="Q1489" t="s">
        <v>20</v>
      </c>
      <c r="R1489" t="s">
        <v>20</v>
      </c>
      <c r="S1489" t="s">
        <v>3269</v>
      </c>
    </row>
    <row r="1490" spans="1:19" hidden="1" x14ac:dyDescent="0.45">
      <c r="A1490" t="s">
        <v>1043</v>
      </c>
      <c r="B1490" t="s">
        <v>9423</v>
      </c>
      <c r="C1490" t="s">
        <v>2954</v>
      </c>
      <c r="D1490" t="s">
        <v>2955</v>
      </c>
      <c r="E1490" t="s">
        <v>38</v>
      </c>
      <c r="F1490" t="s">
        <v>3076</v>
      </c>
      <c r="G1490" t="s">
        <v>23</v>
      </c>
      <c r="H1490" t="s">
        <v>9424</v>
      </c>
      <c r="I1490" t="s">
        <v>9425</v>
      </c>
      <c r="J1490" t="s">
        <v>9426</v>
      </c>
      <c r="K1490" t="s">
        <v>9427</v>
      </c>
      <c r="L1490" t="s">
        <v>6513</v>
      </c>
      <c r="M1490" t="s">
        <v>2760</v>
      </c>
      <c r="N1490" t="s">
        <v>1224</v>
      </c>
      <c r="O1490" t="s">
        <v>3767</v>
      </c>
      <c r="P1490" t="s">
        <v>6513</v>
      </c>
      <c r="Q1490" t="s">
        <v>20</v>
      </c>
      <c r="R1490" t="s">
        <v>20</v>
      </c>
      <c r="S1490" t="s">
        <v>20</v>
      </c>
    </row>
    <row r="1491" spans="1:19" hidden="1" x14ac:dyDescent="0.45">
      <c r="A1491" t="s">
        <v>563</v>
      </c>
      <c r="B1491" t="s">
        <v>14001</v>
      </c>
      <c r="C1491" t="s">
        <v>2520</v>
      </c>
      <c r="D1491" t="s">
        <v>2521</v>
      </c>
      <c r="E1491" t="s">
        <v>38</v>
      </c>
      <c r="F1491" t="s">
        <v>2785</v>
      </c>
      <c r="G1491" t="s">
        <v>23</v>
      </c>
      <c r="H1491" t="s">
        <v>9532</v>
      </c>
      <c r="I1491" t="s">
        <v>9649</v>
      </c>
      <c r="J1491" t="s">
        <v>9650</v>
      </c>
      <c r="K1491" t="s">
        <v>9651</v>
      </c>
      <c r="L1491" t="s">
        <v>6533</v>
      </c>
      <c r="M1491" t="s">
        <v>2760</v>
      </c>
      <c r="N1491" t="s">
        <v>45</v>
      </c>
      <c r="O1491" t="s">
        <v>3767</v>
      </c>
      <c r="P1491" t="s">
        <v>3998</v>
      </c>
      <c r="Q1491" t="s">
        <v>20</v>
      </c>
      <c r="R1491" t="s">
        <v>20</v>
      </c>
      <c r="S1491" t="s">
        <v>9797</v>
      </c>
    </row>
    <row r="1492" spans="1:19" hidden="1" x14ac:dyDescent="0.45">
      <c r="A1492" t="s">
        <v>869</v>
      </c>
      <c r="B1492" t="s">
        <v>8510</v>
      </c>
      <c r="C1492" t="s">
        <v>1126</v>
      </c>
      <c r="D1492" t="s">
        <v>1127</v>
      </c>
      <c r="E1492" t="s">
        <v>21</v>
      </c>
      <c r="F1492" t="s">
        <v>3062</v>
      </c>
      <c r="G1492" t="s">
        <v>23</v>
      </c>
      <c r="H1492" t="s">
        <v>8511</v>
      </c>
      <c r="I1492" t="s">
        <v>8512</v>
      </c>
      <c r="J1492" t="s">
        <v>8513</v>
      </c>
      <c r="K1492" t="s">
        <v>8514</v>
      </c>
      <c r="L1492" t="s">
        <v>290</v>
      </c>
      <c r="M1492" t="s">
        <v>2760</v>
      </c>
      <c r="N1492" t="s">
        <v>1224</v>
      </c>
      <c r="O1492" t="s">
        <v>3767</v>
      </c>
      <c r="P1492" t="s">
        <v>290</v>
      </c>
      <c r="Q1492" t="s">
        <v>20</v>
      </c>
      <c r="R1492" t="s">
        <v>20</v>
      </c>
      <c r="S1492" t="s">
        <v>20</v>
      </c>
    </row>
    <row r="1493" spans="1:19" hidden="1" x14ac:dyDescent="0.45">
      <c r="A1493" t="s">
        <v>572</v>
      </c>
      <c r="B1493" t="s">
        <v>14002</v>
      </c>
      <c r="C1493" t="s">
        <v>3565</v>
      </c>
      <c r="D1493" t="s">
        <v>3566</v>
      </c>
      <c r="E1493" t="s">
        <v>57</v>
      </c>
      <c r="F1493" t="s">
        <v>2795</v>
      </c>
      <c r="G1493" t="s">
        <v>23</v>
      </c>
      <c r="H1493" t="s">
        <v>7829</v>
      </c>
      <c r="I1493" t="s">
        <v>7830</v>
      </c>
      <c r="J1493" t="s">
        <v>7831</v>
      </c>
      <c r="K1493" t="s">
        <v>7832</v>
      </c>
      <c r="L1493" t="s">
        <v>2769</v>
      </c>
      <c r="M1493" t="s">
        <v>2760</v>
      </c>
      <c r="N1493" t="s">
        <v>62</v>
      </c>
      <c r="O1493" t="s">
        <v>3767</v>
      </c>
      <c r="P1493" t="s">
        <v>6524</v>
      </c>
      <c r="Q1493" t="s">
        <v>20</v>
      </c>
      <c r="R1493" t="s">
        <v>20</v>
      </c>
      <c r="S1493" t="s">
        <v>20</v>
      </c>
    </row>
    <row r="1494" spans="1:19" hidden="1" x14ac:dyDescent="0.45">
      <c r="A1494" t="s">
        <v>139</v>
      </c>
      <c r="B1494" t="s">
        <v>11645</v>
      </c>
      <c r="C1494" t="s">
        <v>2208</v>
      </c>
      <c r="D1494" t="s">
        <v>2209</v>
      </c>
      <c r="E1494" t="s">
        <v>38</v>
      </c>
      <c r="F1494" t="s">
        <v>2904</v>
      </c>
      <c r="G1494" t="s">
        <v>23</v>
      </c>
      <c r="H1494" t="s">
        <v>8090</v>
      </c>
      <c r="I1494" t="s">
        <v>8091</v>
      </c>
      <c r="J1494" t="s">
        <v>8092</v>
      </c>
      <c r="K1494" t="s">
        <v>8093</v>
      </c>
      <c r="L1494" t="s">
        <v>3998</v>
      </c>
      <c r="M1494" t="s">
        <v>2760</v>
      </c>
      <c r="N1494" t="s">
        <v>33</v>
      </c>
      <c r="O1494" t="s">
        <v>3767</v>
      </c>
      <c r="P1494" t="s">
        <v>8109</v>
      </c>
      <c r="Q1494" t="s">
        <v>20</v>
      </c>
      <c r="R1494" t="s">
        <v>20</v>
      </c>
      <c r="S1494" t="s">
        <v>20</v>
      </c>
    </row>
    <row r="1495" spans="1:19" hidden="1" x14ac:dyDescent="0.45">
      <c r="A1495" t="s">
        <v>173</v>
      </c>
      <c r="B1495" t="s">
        <v>3852</v>
      </c>
      <c r="C1495" t="s">
        <v>351</v>
      </c>
      <c r="D1495" t="s">
        <v>352</v>
      </c>
      <c r="E1495" t="s">
        <v>2487</v>
      </c>
      <c r="F1495" t="s">
        <v>3062</v>
      </c>
      <c r="G1495" t="s">
        <v>23</v>
      </c>
      <c r="H1495" t="s">
        <v>3853</v>
      </c>
      <c r="I1495" t="s">
        <v>3854</v>
      </c>
      <c r="J1495" t="s">
        <v>3855</v>
      </c>
      <c r="K1495" t="s">
        <v>3856</v>
      </c>
      <c r="L1495" t="s">
        <v>161</v>
      </c>
      <c r="M1495" t="s">
        <v>102</v>
      </c>
      <c r="N1495" t="s">
        <v>146</v>
      </c>
      <c r="O1495" t="s">
        <v>3767</v>
      </c>
      <c r="P1495" t="s">
        <v>1125</v>
      </c>
      <c r="Q1495" t="s">
        <v>20</v>
      </c>
      <c r="R1495" t="s">
        <v>20</v>
      </c>
      <c r="S1495" t="s">
        <v>20</v>
      </c>
    </row>
    <row r="1496" spans="1:19" hidden="1" x14ac:dyDescent="0.45">
      <c r="A1496" t="s">
        <v>19</v>
      </c>
      <c r="B1496" t="s">
        <v>4548</v>
      </c>
      <c r="C1496" t="s">
        <v>2084</v>
      </c>
      <c r="D1496" t="s">
        <v>2085</v>
      </c>
      <c r="E1496" t="s">
        <v>38</v>
      </c>
      <c r="F1496" t="s">
        <v>2795</v>
      </c>
      <c r="G1496" t="s">
        <v>23</v>
      </c>
      <c r="H1496" t="s">
        <v>4549</v>
      </c>
      <c r="I1496" t="s">
        <v>4550</v>
      </c>
      <c r="J1496" t="s">
        <v>4551</v>
      </c>
      <c r="K1496" t="s">
        <v>4552</v>
      </c>
      <c r="L1496" t="s">
        <v>53</v>
      </c>
      <c r="M1496" t="s">
        <v>2760</v>
      </c>
      <c r="N1496" t="s">
        <v>62</v>
      </c>
      <c r="O1496" t="s">
        <v>3767</v>
      </c>
      <c r="P1496" t="s">
        <v>168</v>
      </c>
      <c r="Q1496" t="s">
        <v>20</v>
      </c>
      <c r="R1496" t="s">
        <v>20</v>
      </c>
      <c r="S1496" t="s">
        <v>20</v>
      </c>
    </row>
    <row r="1497" spans="1:19" hidden="1" x14ac:dyDescent="0.45">
      <c r="A1497" t="s">
        <v>395</v>
      </c>
      <c r="B1497" t="s">
        <v>8675</v>
      </c>
      <c r="C1497" t="s">
        <v>396</v>
      </c>
      <c r="D1497" t="s">
        <v>397</v>
      </c>
      <c r="E1497" t="s">
        <v>38</v>
      </c>
      <c r="F1497" t="s">
        <v>2904</v>
      </c>
      <c r="G1497" t="s">
        <v>23</v>
      </c>
      <c r="H1497" t="s">
        <v>398</v>
      </c>
      <c r="I1497" t="s">
        <v>399</v>
      </c>
      <c r="J1497" t="s">
        <v>400</v>
      </c>
      <c r="K1497" t="s">
        <v>401</v>
      </c>
      <c r="L1497" t="s">
        <v>6523</v>
      </c>
      <c r="M1497" t="s">
        <v>132</v>
      </c>
      <c r="N1497" t="s">
        <v>45</v>
      </c>
      <c r="O1497" t="s">
        <v>3767</v>
      </c>
      <c r="P1497" t="s">
        <v>2330</v>
      </c>
      <c r="Q1497" t="s">
        <v>20</v>
      </c>
      <c r="R1497" t="s">
        <v>20</v>
      </c>
      <c r="S1497" t="s">
        <v>20</v>
      </c>
    </row>
    <row r="1498" spans="1:19" hidden="1" x14ac:dyDescent="0.45">
      <c r="A1498" t="s">
        <v>211</v>
      </c>
      <c r="B1498" t="s">
        <v>14668</v>
      </c>
      <c r="C1498" t="s">
        <v>2443</v>
      </c>
      <c r="D1498" t="s">
        <v>2444</v>
      </c>
      <c r="E1498" t="s">
        <v>38</v>
      </c>
      <c r="F1498" t="s">
        <v>2787</v>
      </c>
      <c r="G1498" t="s">
        <v>23</v>
      </c>
      <c r="H1498" t="s">
        <v>13380</v>
      </c>
      <c r="I1498" t="s">
        <v>13381</v>
      </c>
      <c r="J1498" t="s">
        <v>13382</v>
      </c>
      <c r="K1498" t="s">
        <v>13383</v>
      </c>
      <c r="L1498" t="s">
        <v>6524</v>
      </c>
      <c r="M1498" t="s">
        <v>2981</v>
      </c>
      <c r="N1498" t="s">
        <v>2809</v>
      </c>
      <c r="O1498" t="s">
        <v>3767</v>
      </c>
      <c r="P1498" t="s">
        <v>6524</v>
      </c>
      <c r="Q1498" t="s">
        <v>20</v>
      </c>
      <c r="R1498" t="s">
        <v>20</v>
      </c>
      <c r="S1498" t="s">
        <v>20</v>
      </c>
    </row>
    <row r="1499" spans="1:19" hidden="1" x14ac:dyDescent="0.45">
      <c r="A1499" t="s">
        <v>516</v>
      </c>
      <c r="B1499" t="s">
        <v>4671</v>
      </c>
      <c r="C1499" t="s">
        <v>4183</v>
      </c>
      <c r="D1499" t="s">
        <v>4184</v>
      </c>
      <c r="E1499" t="s">
        <v>38</v>
      </c>
      <c r="F1499" t="s">
        <v>2722</v>
      </c>
      <c r="G1499" t="s">
        <v>23</v>
      </c>
      <c r="H1499" t="s">
        <v>4672</v>
      </c>
      <c r="I1499" t="s">
        <v>4673</v>
      </c>
      <c r="J1499" t="s">
        <v>4674</v>
      </c>
      <c r="K1499" t="s">
        <v>4675</v>
      </c>
      <c r="L1499" t="s">
        <v>111</v>
      </c>
      <c r="M1499" t="s">
        <v>2760</v>
      </c>
      <c r="N1499" t="s">
        <v>137</v>
      </c>
      <c r="O1499" t="s">
        <v>3767</v>
      </c>
      <c r="P1499" t="s">
        <v>111</v>
      </c>
      <c r="Q1499" t="s">
        <v>20</v>
      </c>
      <c r="R1499" t="s">
        <v>20</v>
      </c>
      <c r="S1499" t="s">
        <v>138</v>
      </c>
    </row>
    <row r="1500" spans="1:19" hidden="1" x14ac:dyDescent="0.45">
      <c r="A1500" t="s">
        <v>516</v>
      </c>
      <c r="B1500" t="s">
        <v>4182</v>
      </c>
      <c r="C1500" t="s">
        <v>4183</v>
      </c>
      <c r="D1500" t="s">
        <v>4184</v>
      </c>
      <c r="E1500" t="s">
        <v>38</v>
      </c>
      <c r="F1500" t="s">
        <v>2785</v>
      </c>
      <c r="G1500" t="s">
        <v>23</v>
      </c>
      <c r="H1500" t="s">
        <v>4185</v>
      </c>
      <c r="I1500" t="s">
        <v>1723</v>
      </c>
      <c r="J1500" t="s">
        <v>4186</v>
      </c>
      <c r="K1500" t="s">
        <v>4187</v>
      </c>
      <c r="L1500" t="s">
        <v>101</v>
      </c>
      <c r="M1500" t="s">
        <v>2760</v>
      </c>
      <c r="N1500" t="s">
        <v>45</v>
      </c>
      <c r="O1500" t="s">
        <v>3767</v>
      </c>
      <c r="P1500" t="s">
        <v>1125</v>
      </c>
      <c r="Q1500" t="s">
        <v>20</v>
      </c>
      <c r="R1500" t="s">
        <v>20</v>
      </c>
      <c r="S1500" t="s">
        <v>20</v>
      </c>
    </row>
    <row r="1501" spans="1:19" hidden="1" x14ac:dyDescent="0.45">
      <c r="A1501" t="s">
        <v>516</v>
      </c>
      <c r="B1501" t="s">
        <v>10699</v>
      </c>
      <c r="C1501" t="s">
        <v>4183</v>
      </c>
      <c r="D1501" t="s">
        <v>4184</v>
      </c>
      <c r="E1501" t="s">
        <v>21</v>
      </c>
      <c r="F1501" t="s">
        <v>2722</v>
      </c>
      <c r="G1501" t="s">
        <v>23</v>
      </c>
      <c r="H1501" t="s">
        <v>10700</v>
      </c>
      <c r="I1501" t="s">
        <v>10701</v>
      </c>
      <c r="J1501" t="s">
        <v>10702</v>
      </c>
      <c r="K1501" t="s">
        <v>10703</v>
      </c>
      <c r="L1501" t="s">
        <v>2769</v>
      </c>
      <c r="M1501" t="s">
        <v>2760</v>
      </c>
      <c r="N1501" t="s">
        <v>137</v>
      </c>
      <c r="O1501" t="s">
        <v>3767</v>
      </c>
      <c r="P1501" t="s">
        <v>2769</v>
      </c>
      <c r="Q1501" t="s">
        <v>20</v>
      </c>
      <c r="R1501" t="s">
        <v>20</v>
      </c>
      <c r="S1501" t="s">
        <v>138</v>
      </c>
    </row>
    <row r="1502" spans="1:19" hidden="1" x14ac:dyDescent="0.45">
      <c r="A1502" t="s">
        <v>1219</v>
      </c>
      <c r="B1502" t="s">
        <v>3704</v>
      </c>
      <c r="C1502" t="s">
        <v>3705</v>
      </c>
      <c r="D1502" t="s">
        <v>3706</v>
      </c>
      <c r="E1502" t="s">
        <v>21</v>
      </c>
      <c r="F1502" t="s">
        <v>2722</v>
      </c>
      <c r="G1502" t="s">
        <v>23</v>
      </c>
      <c r="H1502" t="s">
        <v>3707</v>
      </c>
      <c r="I1502" t="s">
        <v>3708</v>
      </c>
      <c r="J1502" t="s">
        <v>3709</v>
      </c>
      <c r="K1502" t="s">
        <v>3710</v>
      </c>
      <c r="L1502" t="s">
        <v>194</v>
      </c>
      <c r="M1502" t="s">
        <v>1223</v>
      </c>
      <c r="N1502" t="s">
        <v>1224</v>
      </c>
      <c r="O1502" t="s">
        <v>3767</v>
      </c>
      <c r="P1502" t="s">
        <v>194</v>
      </c>
      <c r="Q1502" t="s">
        <v>20</v>
      </c>
      <c r="R1502" t="s">
        <v>20</v>
      </c>
      <c r="S1502" t="s">
        <v>20</v>
      </c>
    </row>
    <row r="1503" spans="1:19" hidden="1" x14ac:dyDescent="0.45">
      <c r="A1503" t="s">
        <v>2553</v>
      </c>
      <c r="B1503" t="s">
        <v>3204</v>
      </c>
      <c r="C1503" t="s">
        <v>3205</v>
      </c>
      <c r="D1503" t="s">
        <v>3206</v>
      </c>
      <c r="E1503" t="s">
        <v>21</v>
      </c>
      <c r="F1503" t="s">
        <v>2722</v>
      </c>
      <c r="G1503" t="s">
        <v>23</v>
      </c>
      <c r="H1503" t="s">
        <v>3207</v>
      </c>
      <c r="I1503" t="s">
        <v>3208</v>
      </c>
      <c r="J1503" t="s">
        <v>3209</v>
      </c>
      <c r="K1503" t="s">
        <v>3210</v>
      </c>
      <c r="L1503" t="s">
        <v>3418</v>
      </c>
      <c r="M1503" t="s">
        <v>1223</v>
      </c>
      <c r="N1503" t="s">
        <v>1224</v>
      </c>
      <c r="O1503" t="s">
        <v>3767</v>
      </c>
      <c r="P1503" t="s">
        <v>6527</v>
      </c>
      <c r="Q1503" t="s">
        <v>20</v>
      </c>
      <c r="R1503" t="s">
        <v>20</v>
      </c>
      <c r="S1503" t="s">
        <v>9796</v>
      </c>
    </row>
    <row r="1504" spans="1:19" hidden="1" x14ac:dyDescent="0.45">
      <c r="A1504" t="s">
        <v>3159</v>
      </c>
      <c r="B1504" t="s">
        <v>3160</v>
      </c>
      <c r="C1504" t="s">
        <v>3161</v>
      </c>
      <c r="D1504" t="s">
        <v>3162</v>
      </c>
      <c r="E1504" t="s">
        <v>38</v>
      </c>
      <c r="F1504" t="s">
        <v>2722</v>
      </c>
      <c r="G1504" t="s">
        <v>23</v>
      </c>
      <c r="H1504" t="s">
        <v>3163</v>
      </c>
      <c r="I1504" t="s">
        <v>3164</v>
      </c>
      <c r="J1504" t="s">
        <v>3165</v>
      </c>
      <c r="K1504" t="s">
        <v>3166</v>
      </c>
      <c r="L1504" t="s">
        <v>3418</v>
      </c>
      <c r="M1504" t="s">
        <v>1223</v>
      </c>
      <c r="N1504" t="s">
        <v>1224</v>
      </c>
      <c r="O1504" t="s">
        <v>3767</v>
      </c>
      <c r="P1504" t="s">
        <v>6527</v>
      </c>
      <c r="Q1504" t="s">
        <v>20</v>
      </c>
      <c r="R1504" t="s">
        <v>20</v>
      </c>
      <c r="S1504" t="s">
        <v>9309</v>
      </c>
    </row>
    <row r="1505" spans="1:19" hidden="1" x14ac:dyDescent="0.45">
      <c r="A1505" t="s">
        <v>4800</v>
      </c>
      <c r="B1505" t="s">
        <v>5054</v>
      </c>
      <c r="C1505" t="s">
        <v>5055</v>
      </c>
      <c r="D1505" t="s">
        <v>5056</v>
      </c>
      <c r="E1505" t="s">
        <v>21</v>
      </c>
      <c r="F1505" t="s">
        <v>2722</v>
      </c>
      <c r="G1505" t="s">
        <v>23</v>
      </c>
      <c r="H1505" t="s">
        <v>5057</v>
      </c>
      <c r="I1505" t="s">
        <v>5058</v>
      </c>
      <c r="J1505" t="s">
        <v>5059</v>
      </c>
      <c r="K1505" t="s">
        <v>5060</v>
      </c>
      <c r="L1505" t="s">
        <v>2769</v>
      </c>
      <c r="M1505" t="s">
        <v>3145</v>
      </c>
      <c r="N1505" t="s">
        <v>2727</v>
      </c>
      <c r="O1505" t="s">
        <v>3767</v>
      </c>
      <c r="P1505" t="s">
        <v>168</v>
      </c>
      <c r="Q1505" t="s">
        <v>20</v>
      </c>
      <c r="R1505" t="s">
        <v>20</v>
      </c>
      <c r="S1505" t="s">
        <v>20</v>
      </c>
    </row>
    <row r="1506" spans="1:19" hidden="1" x14ac:dyDescent="0.45">
      <c r="A1506" t="s">
        <v>2553</v>
      </c>
      <c r="B1506" t="s">
        <v>10231</v>
      </c>
      <c r="C1506" t="s">
        <v>10232</v>
      </c>
      <c r="D1506" t="s">
        <v>5948</v>
      </c>
      <c r="E1506" t="s">
        <v>21</v>
      </c>
      <c r="F1506" t="s">
        <v>2722</v>
      </c>
      <c r="G1506" t="s">
        <v>23</v>
      </c>
      <c r="H1506" t="s">
        <v>10233</v>
      </c>
      <c r="I1506" t="s">
        <v>10234</v>
      </c>
      <c r="J1506" t="s">
        <v>10235</v>
      </c>
      <c r="K1506" t="s">
        <v>10236</v>
      </c>
      <c r="L1506" t="s">
        <v>6522</v>
      </c>
      <c r="M1506" t="s">
        <v>13329</v>
      </c>
      <c r="N1506" t="s">
        <v>137</v>
      </c>
      <c r="O1506" t="s">
        <v>3767</v>
      </c>
      <c r="P1506" t="s">
        <v>6522</v>
      </c>
      <c r="Q1506" t="s">
        <v>20</v>
      </c>
      <c r="R1506" t="s">
        <v>20</v>
      </c>
      <c r="S1506" t="s">
        <v>138</v>
      </c>
    </row>
    <row r="1507" spans="1:19" hidden="1" x14ac:dyDescent="0.45">
      <c r="A1507" t="s">
        <v>2664</v>
      </c>
      <c r="B1507" t="s">
        <v>13405</v>
      </c>
      <c r="C1507" t="s">
        <v>4541</v>
      </c>
      <c r="D1507" t="s">
        <v>4542</v>
      </c>
      <c r="E1507" t="s">
        <v>21</v>
      </c>
      <c r="F1507" t="s">
        <v>2722</v>
      </c>
      <c r="G1507" t="s">
        <v>23</v>
      </c>
      <c r="H1507" t="s">
        <v>13406</v>
      </c>
      <c r="I1507" t="s">
        <v>13407</v>
      </c>
      <c r="J1507" t="s">
        <v>13408</v>
      </c>
      <c r="K1507" t="s">
        <v>13409</v>
      </c>
      <c r="L1507" t="s">
        <v>6524</v>
      </c>
      <c r="M1507" t="s">
        <v>2760</v>
      </c>
      <c r="N1507" t="s">
        <v>137</v>
      </c>
      <c r="O1507" t="s">
        <v>3767</v>
      </c>
      <c r="P1507" t="s">
        <v>6524</v>
      </c>
      <c r="Q1507" t="s">
        <v>20</v>
      </c>
      <c r="R1507" t="s">
        <v>20</v>
      </c>
      <c r="S1507" t="s">
        <v>138</v>
      </c>
    </row>
    <row r="1508" spans="1:19" hidden="1" x14ac:dyDescent="0.45">
      <c r="A1508" t="s">
        <v>2278</v>
      </c>
      <c r="B1508" t="s">
        <v>10253</v>
      </c>
      <c r="C1508" t="s">
        <v>10254</v>
      </c>
      <c r="D1508" t="s">
        <v>5792</v>
      </c>
      <c r="E1508" t="s">
        <v>38</v>
      </c>
      <c r="F1508" t="s">
        <v>2787</v>
      </c>
      <c r="G1508" t="s">
        <v>23</v>
      </c>
      <c r="H1508" t="s">
        <v>10255</v>
      </c>
      <c r="I1508" t="s">
        <v>10256</v>
      </c>
      <c r="J1508" t="s">
        <v>10257</v>
      </c>
      <c r="K1508" t="s">
        <v>10258</v>
      </c>
      <c r="L1508" t="s">
        <v>6522</v>
      </c>
      <c r="M1508" t="s">
        <v>2981</v>
      </c>
      <c r="N1508" t="s">
        <v>137</v>
      </c>
      <c r="O1508" t="s">
        <v>3767</v>
      </c>
      <c r="P1508" t="s">
        <v>6522</v>
      </c>
      <c r="Q1508" t="s">
        <v>20</v>
      </c>
      <c r="R1508" t="s">
        <v>20</v>
      </c>
      <c r="S1508" t="s">
        <v>138</v>
      </c>
    </row>
    <row r="1509" spans="1:19" hidden="1" x14ac:dyDescent="0.45">
      <c r="A1509" t="s">
        <v>2700</v>
      </c>
      <c r="B1509" t="s">
        <v>10685</v>
      </c>
      <c r="C1509" t="s">
        <v>10686</v>
      </c>
      <c r="D1509" t="s">
        <v>5944</v>
      </c>
      <c r="E1509" t="s">
        <v>21</v>
      </c>
      <c r="F1509" t="s">
        <v>2787</v>
      </c>
      <c r="G1509" t="s">
        <v>23</v>
      </c>
      <c r="H1509" t="s">
        <v>10687</v>
      </c>
      <c r="I1509" t="s">
        <v>10688</v>
      </c>
      <c r="J1509" t="s">
        <v>10689</v>
      </c>
      <c r="K1509" t="s">
        <v>10690</v>
      </c>
      <c r="L1509" t="s">
        <v>2769</v>
      </c>
      <c r="M1509" t="s">
        <v>2760</v>
      </c>
      <c r="N1509" t="s">
        <v>1224</v>
      </c>
      <c r="O1509" t="s">
        <v>3767</v>
      </c>
      <c r="P1509" t="s">
        <v>2769</v>
      </c>
      <c r="Q1509" t="s">
        <v>20</v>
      </c>
      <c r="R1509" t="s">
        <v>20</v>
      </c>
      <c r="S1509" t="s">
        <v>20</v>
      </c>
    </row>
    <row r="1510" spans="1:19" hidden="1" x14ac:dyDescent="0.45">
      <c r="A1510" t="s">
        <v>3159</v>
      </c>
      <c r="B1510" t="s">
        <v>5161</v>
      </c>
      <c r="C1510" t="s">
        <v>5162</v>
      </c>
      <c r="D1510" t="s">
        <v>5163</v>
      </c>
      <c r="E1510" t="s">
        <v>21</v>
      </c>
      <c r="F1510" t="s">
        <v>2722</v>
      </c>
      <c r="G1510" t="s">
        <v>23</v>
      </c>
      <c r="H1510" t="s">
        <v>5164</v>
      </c>
      <c r="I1510" t="s">
        <v>5165</v>
      </c>
      <c r="J1510" t="s">
        <v>5166</v>
      </c>
      <c r="K1510" t="s">
        <v>5167</v>
      </c>
      <c r="L1510" t="s">
        <v>168</v>
      </c>
      <c r="M1510" t="s">
        <v>3145</v>
      </c>
      <c r="N1510" t="s">
        <v>2727</v>
      </c>
      <c r="O1510" t="s">
        <v>3767</v>
      </c>
      <c r="P1510" t="s">
        <v>214</v>
      </c>
      <c r="Q1510" t="s">
        <v>20</v>
      </c>
      <c r="R1510" t="s">
        <v>20</v>
      </c>
      <c r="S1510" t="s">
        <v>20</v>
      </c>
    </row>
    <row r="1511" spans="1:19" hidden="1" x14ac:dyDescent="0.45">
      <c r="A1511" t="s">
        <v>12382</v>
      </c>
      <c r="B1511" t="s">
        <v>3138</v>
      </c>
      <c r="C1511" t="s">
        <v>3139</v>
      </c>
      <c r="D1511" t="s">
        <v>3140</v>
      </c>
      <c r="E1511" t="s">
        <v>38</v>
      </c>
      <c r="F1511" t="s">
        <v>3062</v>
      </c>
      <c r="G1511" t="s">
        <v>23</v>
      </c>
      <c r="H1511" t="s">
        <v>3141</v>
      </c>
      <c r="I1511" t="s">
        <v>3142</v>
      </c>
      <c r="J1511" t="s">
        <v>3143</v>
      </c>
      <c r="K1511" t="s">
        <v>3144</v>
      </c>
      <c r="L1511" t="s">
        <v>135</v>
      </c>
      <c r="M1511" t="s">
        <v>3145</v>
      </c>
      <c r="N1511" t="s">
        <v>13447</v>
      </c>
      <c r="O1511" t="s">
        <v>3767</v>
      </c>
      <c r="P1511" t="s">
        <v>3998</v>
      </c>
      <c r="Q1511" t="s">
        <v>20</v>
      </c>
      <c r="R1511" t="s">
        <v>20</v>
      </c>
      <c r="S1511" t="s">
        <v>20</v>
      </c>
    </row>
    <row r="1512" spans="1:19" hidden="1" x14ac:dyDescent="0.45">
      <c r="A1512" t="s">
        <v>572</v>
      </c>
      <c r="B1512" t="s">
        <v>14213</v>
      </c>
      <c r="C1512" t="s">
        <v>7597</v>
      </c>
      <c r="D1512" t="s">
        <v>5926</v>
      </c>
      <c r="E1512" t="s">
        <v>57</v>
      </c>
      <c r="F1512" t="s">
        <v>3891</v>
      </c>
      <c r="G1512" t="s">
        <v>23</v>
      </c>
      <c r="H1512" t="s">
        <v>7598</v>
      </c>
      <c r="I1512" t="s">
        <v>7599</v>
      </c>
      <c r="J1512" t="s">
        <v>7600</v>
      </c>
      <c r="K1512" t="s">
        <v>7601</v>
      </c>
      <c r="L1512" t="s">
        <v>3418</v>
      </c>
      <c r="M1512" t="s">
        <v>102</v>
      </c>
      <c r="N1512" t="s">
        <v>62</v>
      </c>
      <c r="O1512" t="s">
        <v>3767</v>
      </c>
      <c r="P1512" t="s">
        <v>8094</v>
      </c>
      <c r="Q1512" t="s">
        <v>20</v>
      </c>
      <c r="R1512" t="s">
        <v>20</v>
      </c>
      <c r="S1512" t="s">
        <v>20</v>
      </c>
    </row>
    <row r="1513" spans="1:19" hidden="1" x14ac:dyDescent="0.45">
      <c r="A1513" t="s">
        <v>607</v>
      </c>
      <c r="B1513" t="s">
        <v>4220</v>
      </c>
      <c r="C1513" t="s">
        <v>4221</v>
      </c>
      <c r="D1513" t="s">
        <v>4222</v>
      </c>
      <c r="E1513" t="s">
        <v>21</v>
      </c>
      <c r="F1513" t="s">
        <v>2722</v>
      </c>
      <c r="G1513" t="s">
        <v>23</v>
      </c>
      <c r="H1513" t="s">
        <v>4223</v>
      </c>
      <c r="I1513" t="s">
        <v>4224</v>
      </c>
      <c r="J1513" t="s">
        <v>4225</v>
      </c>
      <c r="K1513" t="s">
        <v>4226</v>
      </c>
      <c r="L1513" t="s">
        <v>168</v>
      </c>
      <c r="M1513" t="s">
        <v>2760</v>
      </c>
      <c r="N1513" t="s">
        <v>137</v>
      </c>
      <c r="O1513" t="s">
        <v>3767</v>
      </c>
      <c r="P1513" t="s">
        <v>168</v>
      </c>
      <c r="Q1513" t="s">
        <v>20</v>
      </c>
      <c r="R1513" t="s">
        <v>20</v>
      </c>
      <c r="S1513" t="s">
        <v>138</v>
      </c>
    </row>
    <row r="1514" spans="1:19" hidden="1" x14ac:dyDescent="0.45">
      <c r="A1514" t="s">
        <v>310</v>
      </c>
      <c r="B1514" t="s">
        <v>4712</v>
      </c>
      <c r="C1514" t="s">
        <v>2983</v>
      </c>
      <c r="D1514" t="s">
        <v>2984</v>
      </c>
      <c r="E1514" t="s">
        <v>38</v>
      </c>
      <c r="F1514" t="s">
        <v>2787</v>
      </c>
      <c r="G1514" t="s">
        <v>23</v>
      </c>
      <c r="H1514" t="s">
        <v>4713</v>
      </c>
      <c r="I1514" t="s">
        <v>4714</v>
      </c>
      <c r="J1514" t="s">
        <v>4715</v>
      </c>
      <c r="K1514" t="s">
        <v>4716</v>
      </c>
      <c r="L1514" t="s">
        <v>168</v>
      </c>
      <c r="M1514" t="s">
        <v>2760</v>
      </c>
      <c r="N1514" t="s">
        <v>119</v>
      </c>
      <c r="O1514" t="s">
        <v>3767</v>
      </c>
      <c r="P1514" t="s">
        <v>168</v>
      </c>
      <c r="Q1514" t="s">
        <v>20</v>
      </c>
      <c r="R1514" t="s">
        <v>20</v>
      </c>
      <c r="S1514" t="s">
        <v>20</v>
      </c>
    </row>
    <row r="1515" spans="1:19" hidden="1" x14ac:dyDescent="0.45">
      <c r="A1515" t="s">
        <v>516</v>
      </c>
      <c r="B1515" t="s">
        <v>5042</v>
      </c>
      <c r="C1515" t="s">
        <v>5043</v>
      </c>
      <c r="D1515" t="s">
        <v>5044</v>
      </c>
      <c r="E1515" t="s">
        <v>21</v>
      </c>
      <c r="F1515" t="s">
        <v>2722</v>
      </c>
      <c r="G1515" t="s">
        <v>23</v>
      </c>
      <c r="H1515" t="s">
        <v>5045</v>
      </c>
      <c r="I1515" t="s">
        <v>5046</v>
      </c>
      <c r="J1515" t="s">
        <v>5047</v>
      </c>
      <c r="K1515" t="s">
        <v>5048</v>
      </c>
      <c r="L1515" t="s">
        <v>635</v>
      </c>
      <c r="M1515" t="s">
        <v>1223</v>
      </c>
      <c r="N1515" t="s">
        <v>678</v>
      </c>
      <c r="O1515" t="s">
        <v>3767</v>
      </c>
      <c r="P1515" t="s">
        <v>635</v>
      </c>
      <c r="Q1515" t="s">
        <v>20</v>
      </c>
      <c r="R1515" t="s">
        <v>20</v>
      </c>
      <c r="S1515" t="s">
        <v>20</v>
      </c>
    </row>
    <row r="1516" spans="1:19" hidden="1" x14ac:dyDescent="0.45">
      <c r="A1516" t="s">
        <v>2700</v>
      </c>
      <c r="B1516" t="s">
        <v>4490</v>
      </c>
      <c r="C1516" t="s">
        <v>4491</v>
      </c>
      <c r="D1516" t="s">
        <v>4492</v>
      </c>
      <c r="E1516" t="s">
        <v>21</v>
      </c>
      <c r="F1516" t="s">
        <v>2722</v>
      </c>
      <c r="G1516" t="s">
        <v>23</v>
      </c>
      <c r="H1516" t="s">
        <v>4493</v>
      </c>
      <c r="I1516" t="s">
        <v>4494</v>
      </c>
      <c r="J1516" t="s">
        <v>4495</v>
      </c>
      <c r="K1516" t="s">
        <v>4496</v>
      </c>
      <c r="L1516" t="s">
        <v>1125</v>
      </c>
      <c r="M1516" t="s">
        <v>2760</v>
      </c>
      <c r="N1516" t="s">
        <v>678</v>
      </c>
      <c r="O1516" t="s">
        <v>3767</v>
      </c>
      <c r="P1516" t="s">
        <v>1125</v>
      </c>
      <c r="Q1516" t="s">
        <v>20</v>
      </c>
      <c r="R1516" t="s">
        <v>20</v>
      </c>
      <c r="S1516" t="s">
        <v>20</v>
      </c>
    </row>
    <row r="1517" spans="1:19" hidden="1" x14ac:dyDescent="0.45">
      <c r="A1517" t="s">
        <v>2700</v>
      </c>
      <c r="B1517" t="s">
        <v>10247</v>
      </c>
      <c r="C1517" t="s">
        <v>10248</v>
      </c>
      <c r="D1517" t="s">
        <v>5929</v>
      </c>
      <c r="E1517" t="s">
        <v>21</v>
      </c>
      <c r="F1517" t="s">
        <v>2722</v>
      </c>
      <c r="G1517" t="s">
        <v>23</v>
      </c>
      <c r="H1517" t="s">
        <v>10249</v>
      </c>
      <c r="I1517" t="s">
        <v>10250</v>
      </c>
      <c r="J1517" t="s">
        <v>10251</v>
      </c>
      <c r="K1517" t="s">
        <v>10252</v>
      </c>
      <c r="L1517" t="s">
        <v>2769</v>
      </c>
      <c r="M1517" t="s">
        <v>2760</v>
      </c>
      <c r="N1517" t="s">
        <v>2727</v>
      </c>
      <c r="O1517" t="s">
        <v>3767</v>
      </c>
      <c r="P1517" t="s">
        <v>2769</v>
      </c>
      <c r="Q1517" t="s">
        <v>20</v>
      </c>
      <c r="R1517" t="s">
        <v>20</v>
      </c>
      <c r="S1517" t="s">
        <v>9909</v>
      </c>
    </row>
    <row r="1518" spans="1:19" hidden="1" x14ac:dyDescent="0.45">
      <c r="A1518" t="s">
        <v>3120</v>
      </c>
      <c r="B1518" t="s">
        <v>8643</v>
      </c>
      <c r="C1518" t="s">
        <v>8644</v>
      </c>
      <c r="D1518" t="s">
        <v>5878</v>
      </c>
      <c r="E1518" t="s">
        <v>21</v>
      </c>
      <c r="F1518" t="s">
        <v>2722</v>
      </c>
      <c r="G1518" t="s">
        <v>23</v>
      </c>
      <c r="H1518" t="s">
        <v>8645</v>
      </c>
      <c r="I1518" t="s">
        <v>8646</v>
      </c>
      <c r="J1518" t="s">
        <v>8647</v>
      </c>
      <c r="K1518" t="s">
        <v>8648</v>
      </c>
      <c r="L1518" t="s">
        <v>3998</v>
      </c>
      <c r="M1518" t="s">
        <v>3145</v>
      </c>
      <c r="N1518" t="s">
        <v>2727</v>
      </c>
      <c r="O1518" t="s">
        <v>3767</v>
      </c>
      <c r="P1518" t="s">
        <v>902</v>
      </c>
      <c r="Q1518" t="s">
        <v>20</v>
      </c>
      <c r="R1518" t="s">
        <v>20</v>
      </c>
      <c r="S1518" t="s">
        <v>20</v>
      </c>
    </row>
    <row r="1519" spans="1:19" hidden="1" x14ac:dyDescent="0.45">
      <c r="A1519" t="s">
        <v>2278</v>
      </c>
      <c r="B1519" t="s">
        <v>4387</v>
      </c>
      <c r="C1519" t="s">
        <v>4388</v>
      </c>
      <c r="D1519" t="s">
        <v>4389</v>
      </c>
      <c r="E1519" t="s">
        <v>38</v>
      </c>
      <c r="F1519" t="s">
        <v>2722</v>
      </c>
      <c r="G1519" t="s">
        <v>23</v>
      </c>
      <c r="H1519" t="s">
        <v>4390</v>
      </c>
      <c r="I1519" t="s">
        <v>4391</v>
      </c>
      <c r="J1519" t="s">
        <v>4392</v>
      </c>
      <c r="K1519" t="s">
        <v>4393</v>
      </c>
      <c r="L1519" t="s">
        <v>635</v>
      </c>
      <c r="M1519" t="s">
        <v>2760</v>
      </c>
      <c r="N1519" t="s">
        <v>137</v>
      </c>
      <c r="O1519" t="s">
        <v>3767</v>
      </c>
      <c r="P1519" t="s">
        <v>635</v>
      </c>
      <c r="Q1519" t="s">
        <v>20</v>
      </c>
      <c r="R1519" t="s">
        <v>20</v>
      </c>
      <c r="S1519" t="s">
        <v>138</v>
      </c>
    </row>
    <row r="1520" spans="1:19" hidden="1" x14ac:dyDescent="0.45">
      <c r="A1520" t="s">
        <v>1975</v>
      </c>
      <c r="B1520" t="s">
        <v>14176</v>
      </c>
      <c r="C1520" t="s">
        <v>9083</v>
      </c>
      <c r="D1520" t="s">
        <v>5715</v>
      </c>
      <c r="E1520" t="s">
        <v>38</v>
      </c>
      <c r="F1520" t="s">
        <v>14307</v>
      </c>
      <c r="G1520" t="s">
        <v>23</v>
      </c>
      <c r="H1520" t="s">
        <v>14177</v>
      </c>
      <c r="I1520" t="s">
        <v>14178</v>
      </c>
      <c r="J1520" t="s">
        <v>14179</v>
      </c>
      <c r="K1520" t="s">
        <v>14180</v>
      </c>
      <c r="L1520" t="s">
        <v>3418</v>
      </c>
      <c r="M1520" t="s">
        <v>2760</v>
      </c>
      <c r="N1520" t="s">
        <v>62</v>
      </c>
      <c r="O1520" t="s">
        <v>3767</v>
      </c>
      <c r="P1520" t="s">
        <v>8094</v>
      </c>
      <c r="Q1520" t="s">
        <v>20</v>
      </c>
      <c r="R1520" t="s">
        <v>20</v>
      </c>
      <c r="S1520" t="s">
        <v>20</v>
      </c>
    </row>
    <row r="1521" spans="1:19" hidden="1" x14ac:dyDescent="0.45">
      <c r="A1521" t="s">
        <v>3480</v>
      </c>
      <c r="B1521" t="s">
        <v>8851</v>
      </c>
      <c r="C1521" t="s">
        <v>3481</v>
      </c>
      <c r="D1521" t="s">
        <v>3482</v>
      </c>
      <c r="E1521" t="s">
        <v>21</v>
      </c>
      <c r="F1521" t="s">
        <v>2722</v>
      </c>
      <c r="G1521" t="s">
        <v>23</v>
      </c>
      <c r="H1521" t="s">
        <v>8852</v>
      </c>
      <c r="I1521" t="s">
        <v>8853</v>
      </c>
      <c r="J1521" t="s">
        <v>8854</v>
      </c>
      <c r="K1521" t="s">
        <v>8855</v>
      </c>
      <c r="L1521" t="s">
        <v>3998</v>
      </c>
      <c r="M1521" t="s">
        <v>3145</v>
      </c>
      <c r="N1521" t="s">
        <v>2727</v>
      </c>
      <c r="O1521" t="s">
        <v>3767</v>
      </c>
      <c r="P1521" t="s">
        <v>290</v>
      </c>
      <c r="Q1521" t="s">
        <v>20</v>
      </c>
      <c r="R1521" t="s">
        <v>20</v>
      </c>
      <c r="S1521" t="s">
        <v>20</v>
      </c>
    </row>
    <row r="1522" spans="1:19" hidden="1" x14ac:dyDescent="0.45">
      <c r="A1522" t="s">
        <v>3120</v>
      </c>
      <c r="B1522" t="s">
        <v>9433</v>
      </c>
      <c r="C1522" t="s">
        <v>9434</v>
      </c>
      <c r="D1522" t="s">
        <v>5642</v>
      </c>
      <c r="E1522" t="s">
        <v>21</v>
      </c>
      <c r="F1522" t="s">
        <v>2722</v>
      </c>
      <c r="G1522" t="s">
        <v>23</v>
      </c>
      <c r="H1522" t="s">
        <v>9435</v>
      </c>
      <c r="I1522" t="s">
        <v>9436</v>
      </c>
      <c r="J1522" t="s">
        <v>9437</v>
      </c>
      <c r="K1522" t="s">
        <v>9438</v>
      </c>
      <c r="L1522" t="s">
        <v>6521</v>
      </c>
      <c r="M1522" t="s">
        <v>9439</v>
      </c>
      <c r="N1522" t="s">
        <v>2809</v>
      </c>
      <c r="O1522" t="s">
        <v>3767</v>
      </c>
      <c r="P1522" t="s">
        <v>6521</v>
      </c>
      <c r="Q1522" t="s">
        <v>20</v>
      </c>
      <c r="R1522" t="s">
        <v>20</v>
      </c>
      <c r="S1522" t="s">
        <v>20</v>
      </c>
    </row>
    <row r="1523" spans="1:19" hidden="1" x14ac:dyDescent="0.45">
      <c r="A1523" t="s">
        <v>4056</v>
      </c>
      <c r="B1523" t="s">
        <v>11961</v>
      </c>
      <c r="C1523" t="s">
        <v>4058</v>
      </c>
      <c r="D1523" t="s">
        <v>4059</v>
      </c>
      <c r="E1523" t="s">
        <v>4208</v>
      </c>
      <c r="F1523" t="s">
        <v>2773</v>
      </c>
      <c r="G1523" t="s">
        <v>23</v>
      </c>
      <c r="H1523" t="s">
        <v>11962</v>
      </c>
      <c r="I1523" t="s">
        <v>11963</v>
      </c>
      <c r="J1523" t="s">
        <v>11964</v>
      </c>
      <c r="K1523" t="s">
        <v>11965</v>
      </c>
      <c r="L1523" t="s">
        <v>8109</v>
      </c>
      <c r="M1523" t="s">
        <v>2981</v>
      </c>
      <c r="N1523" t="s">
        <v>1224</v>
      </c>
      <c r="O1523" t="s">
        <v>3767</v>
      </c>
      <c r="P1523" t="s">
        <v>8109</v>
      </c>
      <c r="Q1523" t="s">
        <v>20</v>
      </c>
      <c r="R1523" t="s">
        <v>20</v>
      </c>
      <c r="S1523" t="s">
        <v>20</v>
      </c>
    </row>
    <row r="1524" spans="1:19" hidden="1" x14ac:dyDescent="0.45">
      <c r="A1524" t="s">
        <v>2278</v>
      </c>
      <c r="B1524" t="s">
        <v>10266</v>
      </c>
      <c r="C1524" t="s">
        <v>10267</v>
      </c>
      <c r="D1524" t="s">
        <v>9905</v>
      </c>
      <c r="E1524" t="s">
        <v>38</v>
      </c>
      <c r="F1524" t="s">
        <v>2787</v>
      </c>
      <c r="G1524" t="s">
        <v>23</v>
      </c>
      <c r="H1524" t="s">
        <v>10268</v>
      </c>
      <c r="I1524" t="s">
        <v>9920</v>
      </c>
      <c r="J1524" t="s">
        <v>10269</v>
      </c>
      <c r="K1524" t="s">
        <v>10270</v>
      </c>
      <c r="L1524" t="s">
        <v>6522</v>
      </c>
      <c r="M1524" t="s">
        <v>2981</v>
      </c>
      <c r="N1524" t="s">
        <v>137</v>
      </c>
      <c r="O1524" t="s">
        <v>3767</v>
      </c>
      <c r="P1524" t="s">
        <v>6522</v>
      </c>
      <c r="Q1524" t="s">
        <v>20</v>
      </c>
      <c r="R1524" t="s">
        <v>20</v>
      </c>
      <c r="S1524" t="s">
        <v>20</v>
      </c>
    </row>
    <row r="1525" spans="1:19" hidden="1" x14ac:dyDescent="0.45">
      <c r="A1525" t="s">
        <v>3120</v>
      </c>
      <c r="B1525" t="s">
        <v>3341</v>
      </c>
      <c r="C1525" t="s">
        <v>3342</v>
      </c>
      <c r="D1525" t="s">
        <v>3343</v>
      </c>
      <c r="E1525" t="s">
        <v>21</v>
      </c>
      <c r="F1525" t="s">
        <v>2904</v>
      </c>
      <c r="G1525" t="s">
        <v>23</v>
      </c>
      <c r="H1525" t="s">
        <v>3344</v>
      </c>
      <c r="I1525" t="s">
        <v>3345</v>
      </c>
      <c r="J1525" t="s">
        <v>3346</v>
      </c>
      <c r="K1525" t="s">
        <v>3347</v>
      </c>
      <c r="L1525" t="s">
        <v>2769</v>
      </c>
      <c r="M1525" t="s">
        <v>3145</v>
      </c>
      <c r="N1525" t="s">
        <v>2727</v>
      </c>
      <c r="O1525" t="s">
        <v>3767</v>
      </c>
      <c r="P1525" t="s">
        <v>6527</v>
      </c>
      <c r="Q1525" t="s">
        <v>20</v>
      </c>
      <c r="R1525" t="s">
        <v>20</v>
      </c>
      <c r="S1525" t="s">
        <v>20</v>
      </c>
    </row>
    <row r="1526" spans="1:19" hidden="1" x14ac:dyDescent="0.45">
      <c r="A1526" t="s">
        <v>3159</v>
      </c>
      <c r="B1526" t="s">
        <v>8632</v>
      </c>
      <c r="C1526" t="s">
        <v>8633</v>
      </c>
      <c r="D1526" t="s">
        <v>5461</v>
      </c>
      <c r="E1526" t="s">
        <v>38</v>
      </c>
      <c r="F1526" t="s">
        <v>2722</v>
      </c>
      <c r="G1526" t="s">
        <v>23</v>
      </c>
      <c r="H1526" t="s">
        <v>8634</v>
      </c>
      <c r="I1526" t="s">
        <v>8635</v>
      </c>
      <c r="J1526" t="s">
        <v>8636</v>
      </c>
      <c r="K1526" t="s">
        <v>8637</v>
      </c>
      <c r="L1526" t="s">
        <v>902</v>
      </c>
      <c r="M1526" t="s">
        <v>2760</v>
      </c>
      <c r="N1526" t="s">
        <v>137</v>
      </c>
      <c r="O1526" t="s">
        <v>3767</v>
      </c>
      <c r="P1526" t="s">
        <v>902</v>
      </c>
      <c r="Q1526" t="s">
        <v>20</v>
      </c>
      <c r="R1526" t="s">
        <v>20</v>
      </c>
      <c r="S1526" t="s">
        <v>138</v>
      </c>
    </row>
    <row r="1527" spans="1:19" hidden="1" x14ac:dyDescent="0.45">
      <c r="A1527" t="s">
        <v>3026</v>
      </c>
      <c r="B1527" t="s">
        <v>3816</v>
      </c>
      <c r="C1527" t="s">
        <v>3817</v>
      </c>
      <c r="D1527" t="s">
        <v>3818</v>
      </c>
      <c r="E1527" t="s">
        <v>21</v>
      </c>
      <c r="F1527" t="s">
        <v>2787</v>
      </c>
      <c r="G1527" t="s">
        <v>23</v>
      </c>
      <c r="H1527" t="s">
        <v>3819</v>
      </c>
      <c r="I1527" t="s">
        <v>3820</v>
      </c>
      <c r="J1527" t="s">
        <v>3821</v>
      </c>
      <c r="K1527" t="s">
        <v>3822</v>
      </c>
      <c r="L1527" t="s">
        <v>131</v>
      </c>
      <c r="M1527" t="s">
        <v>2760</v>
      </c>
      <c r="N1527" t="s">
        <v>678</v>
      </c>
      <c r="O1527" t="s">
        <v>3767</v>
      </c>
      <c r="P1527" t="s">
        <v>131</v>
      </c>
      <c r="Q1527" t="s">
        <v>20</v>
      </c>
      <c r="R1527" t="s">
        <v>20</v>
      </c>
      <c r="S1527" t="s">
        <v>20</v>
      </c>
    </row>
    <row r="1528" spans="1:19" hidden="1" x14ac:dyDescent="0.45">
      <c r="A1528" t="s">
        <v>8742</v>
      </c>
      <c r="B1528" t="s">
        <v>14215</v>
      </c>
      <c r="C1528" t="s">
        <v>14216</v>
      </c>
      <c r="D1528" t="s">
        <v>5870</v>
      </c>
      <c r="E1528" t="s">
        <v>21</v>
      </c>
      <c r="F1528" t="s">
        <v>2722</v>
      </c>
      <c r="G1528" t="s">
        <v>23</v>
      </c>
      <c r="H1528" t="s">
        <v>14217</v>
      </c>
      <c r="I1528" t="s">
        <v>14218</v>
      </c>
      <c r="J1528" t="s">
        <v>14219</v>
      </c>
      <c r="K1528" t="s">
        <v>14220</v>
      </c>
      <c r="L1528" t="s">
        <v>11782</v>
      </c>
      <c r="M1528" t="s">
        <v>1223</v>
      </c>
      <c r="N1528" t="s">
        <v>25</v>
      </c>
      <c r="O1528" t="s">
        <v>3767</v>
      </c>
      <c r="P1528" t="s">
        <v>11782</v>
      </c>
      <c r="Q1528" t="s">
        <v>20</v>
      </c>
      <c r="R1528" t="s">
        <v>20</v>
      </c>
      <c r="S1528" t="s">
        <v>20</v>
      </c>
    </row>
    <row r="1529" spans="1:19" hidden="1" x14ac:dyDescent="0.45">
      <c r="A1529" t="s">
        <v>5074</v>
      </c>
      <c r="B1529" t="s">
        <v>8818</v>
      </c>
      <c r="C1529" t="s">
        <v>8819</v>
      </c>
      <c r="D1529" t="s">
        <v>5638</v>
      </c>
      <c r="E1529" t="s">
        <v>21</v>
      </c>
      <c r="F1529" t="s">
        <v>2722</v>
      </c>
      <c r="G1529" t="s">
        <v>23</v>
      </c>
      <c r="H1529" t="s">
        <v>8820</v>
      </c>
      <c r="I1529" t="s">
        <v>8821</v>
      </c>
      <c r="J1529" t="s">
        <v>8822</v>
      </c>
      <c r="K1529" t="s">
        <v>8823</v>
      </c>
      <c r="L1529" t="s">
        <v>5398</v>
      </c>
      <c r="M1529" t="s">
        <v>3145</v>
      </c>
      <c r="N1529" t="s">
        <v>1224</v>
      </c>
      <c r="O1529" t="s">
        <v>3767</v>
      </c>
      <c r="P1529" t="s">
        <v>5398</v>
      </c>
      <c r="Q1529" t="s">
        <v>20</v>
      </c>
      <c r="R1529" t="s">
        <v>20</v>
      </c>
      <c r="S1529" t="s">
        <v>20</v>
      </c>
    </row>
    <row r="1530" spans="1:19" hidden="1" x14ac:dyDescent="0.45">
      <c r="A1530" t="s">
        <v>3480</v>
      </c>
      <c r="B1530" t="s">
        <v>9724</v>
      </c>
      <c r="C1530" t="s">
        <v>9725</v>
      </c>
      <c r="D1530" t="s">
        <v>6380</v>
      </c>
      <c r="E1530" t="s">
        <v>38</v>
      </c>
      <c r="F1530" t="s">
        <v>2722</v>
      </c>
      <c r="G1530" t="s">
        <v>23</v>
      </c>
      <c r="H1530" t="s">
        <v>9052</v>
      </c>
      <c r="I1530" t="s">
        <v>9726</v>
      </c>
      <c r="J1530" t="s">
        <v>9727</v>
      </c>
      <c r="K1530" t="s">
        <v>9728</v>
      </c>
      <c r="L1530" t="s">
        <v>6523</v>
      </c>
      <c r="M1530" t="s">
        <v>2760</v>
      </c>
      <c r="N1530" t="s">
        <v>137</v>
      </c>
      <c r="O1530" t="s">
        <v>3767</v>
      </c>
      <c r="P1530" t="s">
        <v>6523</v>
      </c>
      <c r="Q1530" t="s">
        <v>20</v>
      </c>
      <c r="R1530" t="s">
        <v>20</v>
      </c>
      <c r="S1530" t="s">
        <v>20</v>
      </c>
    </row>
    <row r="1531" spans="1:19" hidden="1" x14ac:dyDescent="0.45">
      <c r="A1531" t="s">
        <v>2920</v>
      </c>
      <c r="B1531" t="s">
        <v>6703</v>
      </c>
      <c r="C1531" t="s">
        <v>6704</v>
      </c>
      <c r="D1531" t="s">
        <v>5880</v>
      </c>
      <c r="E1531" t="s">
        <v>38</v>
      </c>
      <c r="F1531" t="s">
        <v>2785</v>
      </c>
      <c r="G1531" t="s">
        <v>23</v>
      </c>
      <c r="H1531" t="s">
        <v>6460</v>
      </c>
      <c r="I1531" t="s">
        <v>6705</v>
      </c>
      <c r="J1531" t="s">
        <v>6706</v>
      </c>
      <c r="K1531" t="s">
        <v>6707</v>
      </c>
      <c r="L1531" t="s">
        <v>43</v>
      </c>
      <c r="M1531" t="s">
        <v>2760</v>
      </c>
      <c r="N1531" t="s">
        <v>45</v>
      </c>
      <c r="O1531" t="s">
        <v>3767</v>
      </c>
      <c r="P1531" t="s">
        <v>43</v>
      </c>
      <c r="Q1531" t="s">
        <v>20</v>
      </c>
      <c r="R1531" t="s">
        <v>20</v>
      </c>
      <c r="S1531" t="s">
        <v>20</v>
      </c>
    </row>
    <row r="1532" spans="1:19" hidden="1" x14ac:dyDescent="0.45">
      <c r="A1532" t="s">
        <v>3159</v>
      </c>
      <c r="B1532" t="s">
        <v>8776</v>
      </c>
      <c r="C1532" t="s">
        <v>8777</v>
      </c>
      <c r="D1532" t="s">
        <v>5685</v>
      </c>
      <c r="E1532" t="s">
        <v>38</v>
      </c>
      <c r="F1532" t="s">
        <v>4105</v>
      </c>
      <c r="G1532" t="s">
        <v>23</v>
      </c>
      <c r="H1532" t="s">
        <v>8778</v>
      </c>
      <c r="I1532" t="s">
        <v>8779</v>
      </c>
      <c r="J1532" t="s">
        <v>8780</v>
      </c>
      <c r="K1532" t="s">
        <v>8781</v>
      </c>
      <c r="L1532" t="s">
        <v>902</v>
      </c>
      <c r="M1532" t="s">
        <v>2760</v>
      </c>
      <c r="N1532" t="s">
        <v>137</v>
      </c>
      <c r="O1532" t="s">
        <v>3767</v>
      </c>
      <c r="P1532" t="s">
        <v>902</v>
      </c>
      <c r="Q1532" t="s">
        <v>20</v>
      </c>
      <c r="R1532" t="s">
        <v>20</v>
      </c>
      <c r="S1532" t="s">
        <v>20</v>
      </c>
    </row>
    <row r="1533" spans="1:19" hidden="1" x14ac:dyDescent="0.45">
      <c r="A1533" t="s">
        <v>2553</v>
      </c>
      <c r="B1533" t="s">
        <v>4441</v>
      </c>
      <c r="C1533" t="s">
        <v>4442</v>
      </c>
      <c r="D1533" t="s">
        <v>4443</v>
      </c>
      <c r="E1533" t="s">
        <v>21</v>
      </c>
      <c r="F1533" t="s">
        <v>2722</v>
      </c>
      <c r="G1533" t="s">
        <v>23</v>
      </c>
      <c r="H1533" t="s">
        <v>4444</v>
      </c>
      <c r="I1533" t="s">
        <v>4445</v>
      </c>
      <c r="J1533" t="s">
        <v>4446</v>
      </c>
      <c r="K1533" t="s">
        <v>4447</v>
      </c>
      <c r="L1533" t="s">
        <v>2769</v>
      </c>
      <c r="M1533" t="s">
        <v>2760</v>
      </c>
      <c r="N1533" t="s">
        <v>2727</v>
      </c>
      <c r="O1533" t="s">
        <v>3767</v>
      </c>
      <c r="P1533" t="s">
        <v>296</v>
      </c>
      <c r="Q1533" t="s">
        <v>20</v>
      </c>
      <c r="R1533" t="s">
        <v>20</v>
      </c>
      <c r="S1533" t="s">
        <v>20</v>
      </c>
    </row>
    <row r="1534" spans="1:19" hidden="1" x14ac:dyDescent="0.45">
      <c r="A1534" t="s">
        <v>535</v>
      </c>
      <c r="B1534" t="s">
        <v>12410</v>
      </c>
      <c r="C1534" t="s">
        <v>10333</v>
      </c>
      <c r="D1534" t="s">
        <v>5778</v>
      </c>
      <c r="E1534" t="s">
        <v>38</v>
      </c>
      <c r="F1534" t="s">
        <v>12177</v>
      </c>
      <c r="G1534" t="s">
        <v>23</v>
      </c>
      <c r="H1534" t="s">
        <v>10334</v>
      </c>
      <c r="I1534" t="s">
        <v>10335</v>
      </c>
      <c r="J1534" t="s">
        <v>11009</v>
      </c>
      <c r="K1534" t="s">
        <v>11010</v>
      </c>
      <c r="L1534" t="s">
        <v>9570</v>
      </c>
      <c r="M1534" t="s">
        <v>32</v>
      </c>
      <c r="N1534" t="s">
        <v>3831</v>
      </c>
      <c r="O1534" t="s">
        <v>3767</v>
      </c>
      <c r="P1534" t="s">
        <v>8377</v>
      </c>
      <c r="Q1534" t="s">
        <v>20</v>
      </c>
      <c r="R1534" t="s">
        <v>20</v>
      </c>
      <c r="S1534" t="s">
        <v>10336</v>
      </c>
    </row>
    <row r="1535" spans="1:19" hidden="1" x14ac:dyDescent="0.45">
      <c r="A1535" t="s">
        <v>173</v>
      </c>
      <c r="B1535" t="s">
        <v>14221</v>
      </c>
      <c r="C1535" t="s">
        <v>207</v>
      </c>
      <c r="D1535" t="s">
        <v>208</v>
      </c>
      <c r="E1535" t="s">
        <v>38</v>
      </c>
      <c r="F1535" t="s">
        <v>3062</v>
      </c>
      <c r="G1535" t="s">
        <v>23</v>
      </c>
      <c r="H1535" t="s">
        <v>14222</v>
      </c>
      <c r="I1535" t="s">
        <v>14223</v>
      </c>
      <c r="J1535" t="s">
        <v>14224</v>
      </c>
      <c r="K1535" t="s">
        <v>14225</v>
      </c>
      <c r="L1535" t="s">
        <v>6525</v>
      </c>
      <c r="M1535" t="s">
        <v>2760</v>
      </c>
      <c r="N1535" t="s">
        <v>146</v>
      </c>
      <c r="O1535" t="s">
        <v>3767</v>
      </c>
      <c r="P1535" t="s">
        <v>6525</v>
      </c>
      <c r="Q1535" t="s">
        <v>20</v>
      </c>
      <c r="R1535" t="s">
        <v>20</v>
      </c>
      <c r="S1535" t="s">
        <v>20</v>
      </c>
    </row>
    <row r="1536" spans="1:19" hidden="1" x14ac:dyDescent="0.45">
      <c r="A1536" t="s">
        <v>592</v>
      </c>
      <c r="B1536" t="s">
        <v>13330</v>
      </c>
      <c r="C1536" t="s">
        <v>3711</v>
      </c>
      <c r="D1536" t="s">
        <v>3712</v>
      </c>
      <c r="E1536" t="s">
        <v>21</v>
      </c>
      <c r="F1536" t="s">
        <v>14313</v>
      </c>
      <c r="G1536" t="s">
        <v>23</v>
      </c>
      <c r="H1536" t="s">
        <v>13331</v>
      </c>
      <c r="I1536" t="s">
        <v>13332</v>
      </c>
      <c r="J1536" t="s">
        <v>13333</v>
      </c>
      <c r="K1536" t="s">
        <v>13334</v>
      </c>
      <c r="L1536" t="s">
        <v>8094</v>
      </c>
      <c r="M1536" t="s">
        <v>1498</v>
      </c>
      <c r="N1536" t="s">
        <v>25</v>
      </c>
      <c r="O1536" t="s">
        <v>3767</v>
      </c>
      <c r="P1536" t="s">
        <v>3998</v>
      </c>
      <c r="Q1536" t="s">
        <v>20</v>
      </c>
      <c r="R1536" t="s">
        <v>20</v>
      </c>
      <c r="S1536" t="s">
        <v>20</v>
      </c>
    </row>
    <row r="1537" spans="1:19" hidden="1" x14ac:dyDescent="0.45">
      <c r="A1537" t="s">
        <v>3902</v>
      </c>
      <c r="B1537" t="s">
        <v>3903</v>
      </c>
      <c r="C1537" t="s">
        <v>3904</v>
      </c>
      <c r="D1537" t="s">
        <v>3905</v>
      </c>
      <c r="E1537" t="s">
        <v>38</v>
      </c>
      <c r="F1537" t="s">
        <v>2985</v>
      </c>
      <c r="G1537" t="s">
        <v>23</v>
      </c>
      <c r="H1537" t="s">
        <v>3906</v>
      </c>
      <c r="I1537" t="s">
        <v>3907</v>
      </c>
      <c r="J1537" t="s">
        <v>3908</v>
      </c>
      <c r="K1537" t="s">
        <v>3909</v>
      </c>
      <c r="L1537" t="s">
        <v>296</v>
      </c>
      <c r="M1537" t="s">
        <v>3910</v>
      </c>
      <c r="N1537" t="s">
        <v>119</v>
      </c>
      <c r="O1537" t="s">
        <v>3767</v>
      </c>
      <c r="P1537" t="s">
        <v>168</v>
      </c>
      <c r="Q1537" t="s">
        <v>20</v>
      </c>
      <c r="R1537" t="s">
        <v>20</v>
      </c>
      <c r="S1537" t="s">
        <v>20</v>
      </c>
    </row>
    <row r="1538" spans="1:19" hidden="1" x14ac:dyDescent="0.45">
      <c r="A1538" t="s">
        <v>6989</v>
      </c>
      <c r="B1538" t="s">
        <v>8505</v>
      </c>
      <c r="C1538" t="s">
        <v>2640</v>
      </c>
      <c r="D1538" t="s">
        <v>2641</v>
      </c>
      <c r="E1538" t="s">
        <v>21</v>
      </c>
      <c r="F1538" t="s">
        <v>2787</v>
      </c>
      <c r="G1538" t="s">
        <v>23</v>
      </c>
      <c r="H1538" t="s">
        <v>8506</v>
      </c>
      <c r="I1538" t="s">
        <v>8507</v>
      </c>
      <c r="J1538" t="s">
        <v>8508</v>
      </c>
      <c r="K1538" t="s">
        <v>8509</v>
      </c>
      <c r="L1538" t="s">
        <v>902</v>
      </c>
      <c r="M1538" t="s">
        <v>2760</v>
      </c>
      <c r="N1538" t="s">
        <v>678</v>
      </c>
      <c r="O1538" t="s">
        <v>3767</v>
      </c>
      <c r="P1538" t="s">
        <v>902</v>
      </c>
      <c r="Q1538" t="s">
        <v>20</v>
      </c>
      <c r="R1538" t="s">
        <v>20</v>
      </c>
      <c r="S1538" t="s">
        <v>20</v>
      </c>
    </row>
    <row r="1539" spans="1:19" hidden="1" x14ac:dyDescent="0.45">
      <c r="A1539" t="s">
        <v>35</v>
      </c>
      <c r="B1539" t="s">
        <v>13972</v>
      </c>
      <c r="C1539" t="s">
        <v>155</v>
      </c>
      <c r="D1539" t="s">
        <v>156</v>
      </c>
      <c r="E1539" t="s">
        <v>38</v>
      </c>
      <c r="F1539" t="s">
        <v>22</v>
      </c>
      <c r="G1539" t="s">
        <v>23</v>
      </c>
      <c r="H1539" t="s">
        <v>13973</v>
      </c>
      <c r="I1539" t="s">
        <v>13974</v>
      </c>
      <c r="J1539" t="s">
        <v>13975</v>
      </c>
      <c r="K1539" t="s">
        <v>13976</v>
      </c>
      <c r="L1539" t="s">
        <v>3418</v>
      </c>
      <c r="M1539" t="s">
        <v>2760</v>
      </c>
      <c r="N1539" t="s">
        <v>62</v>
      </c>
      <c r="O1539" t="s">
        <v>3767</v>
      </c>
      <c r="P1539" t="s">
        <v>8094</v>
      </c>
      <c r="Q1539" t="s">
        <v>20</v>
      </c>
      <c r="R1539" t="s">
        <v>20</v>
      </c>
      <c r="S1539" t="s">
        <v>20</v>
      </c>
    </row>
    <row r="1540" spans="1:19" hidden="1" x14ac:dyDescent="0.45">
      <c r="A1540" t="s">
        <v>6989</v>
      </c>
      <c r="B1540" t="s">
        <v>5024</v>
      </c>
      <c r="C1540" t="s">
        <v>2414</v>
      </c>
      <c r="D1540" t="s">
        <v>2415</v>
      </c>
      <c r="E1540" t="s">
        <v>21</v>
      </c>
      <c r="F1540" t="s">
        <v>2722</v>
      </c>
      <c r="G1540" t="s">
        <v>23</v>
      </c>
      <c r="H1540" t="s">
        <v>5025</v>
      </c>
      <c r="I1540" t="s">
        <v>5026</v>
      </c>
      <c r="J1540" t="s">
        <v>5027</v>
      </c>
      <c r="K1540" t="s">
        <v>5028</v>
      </c>
      <c r="L1540" t="s">
        <v>1125</v>
      </c>
      <c r="M1540" t="s">
        <v>1223</v>
      </c>
      <c r="N1540" t="s">
        <v>678</v>
      </c>
      <c r="O1540" t="s">
        <v>3767</v>
      </c>
      <c r="P1540" t="s">
        <v>1125</v>
      </c>
      <c r="Q1540" t="s">
        <v>20</v>
      </c>
      <c r="R1540" t="s">
        <v>20</v>
      </c>
      <c r="S1540" t="s">
        <v>20</v>
      </c>
    </row>
    <row r="1541" spans="1:19" hidden="1" x14ac:dyDescent="0.45">
      <c r="A1541" t="s">
        <v>535</v>
      </c>
      <c r="B1541" t="s">
        <v>3965</v>
      </c>
      <c r="C1541" t="s">
        <v>3966</v>
      </c>
      <c r="D1541" t="s">
        <v>3967</v>
      </c>
      <c r="E1541" t="s">
        <v>38</v>
      </c>
      <c r="F1541" t="s">
        <v>3968</v>
      </c>
      <c r="G1541" t="s">
        <v>23</v>
      </c>
      <c r="H1541" t="s">
        <v>3969</v>
      </c>
      <c r="I1541" t="s">
        <v>3970</v>
      </c>
      <c r="J1541" t="s">
        <v>3971</v>
      </c>
      <c r="K1541" t="s">
        <v>3972</v>
      </c>
      <c r="L1541" t="s">
        <v>135</v>
      </c>
      <c r="M1541" t="s">
        <v>132</v>
      </c>
      <c r="N1541" t="s">
        <v>210</v>
      </c>
      <c r="O1541" t="s">
        <v>3767</v>
      </c>
      <c r="P1541" t="s">
        <v>118</v>
      </c>
      <c r="Q1541" t="s">
        <v>20</v>
      </c>
      <c r="R1541" t="s">
        <v>20</v>
      </c>
      <c r="S1541" t="s">
        <v>20</v>
      </c>
    </row>
    <row r="1542" spans="1:19" hidden="1" x14ac:dyDescent="0.45">
      <c r="A1542" t="s">
        <v>211</v>
      </c>
      <c r="B1542" t="s">
        <v>10679</v>
      </c>
      <c r="C1542" t="s">
        <v>212</v>
      </c>
      <c r="D1542" t="s">
        <v>213</v>
      </c>
      <c r="E1542" t="s">
        <v>21</v>
      </c>
      <c r="F1542" t="s">
        <v>2755</v>
      </c>
      <c r="G1542" t="s">
        <v>23</v>
      </c>
      <c r="H1542" t="s">
        <v>10680</v>
      </c>
      <c r="I1542" t="s">
        <v>10681</v>
      </c>
      <c r="J1542" t="s">
        <v>10682</v>
      </c>
      <c r="K1542" t="s">
        <v>10683</v>
      </c>
      <c r="L1542" t="s">
        <v>2769</v>
      </c>
      <c r="M1542" t="s">
        <v>2760</v>
      </c>
      <c r="N1542" t="s">
        <v>137</v>
      </c>
      <c r="O1542" t="s">
        <v>3767</v>
      </c>
      <c r="P1542" t="s">
        <v>2769</v>
      </c>
      <c r="Q1542" t="s">
        <v>20</v>
      </c>
      <c r="R1542" t="s">
        <v>20</v>
      </c>
      <c r="S1542" t="s">
        <v>20</v>
      </c>
    </row>
    <row r="1543" spans="1:19" hidden="1" x14ac:dyDescent="0.45">
      <c r="A1543" t="s">
        <v>71</v>
      </c>
      <c r="B1543" t="s">
        <v>4311</v>
      </c>
      <c r="C1543" t="s">
        <v>2004</v>
      </c>
      <c r="D1543" t="s">
        <v>2005</v>
      </c>
      <c r="E1543" t="s">
        <v>2487</v>
      </c>
      <c r="F1543" t="s">
        <v>3062</v>
      </c>
      <c r="G1543" t="s">
        <v>23</v>
      </c>
      <c r="H1543" t="s">
        <v>4312</v>
      </c>
      <c r="I1543" t="s">
        <v>4313</v>
      </c>
      <c r="J1543" t="s">
        <v>4314</v>
      </c>
      <c r="K1543" t="s">
        <v>4315</v>
      </c>
      <c r="L1543" t="s">
        <v>504</v>
      </c>
      <c r="M1543" t="s">
        <v>102</v>
      </c>
      <c r="N1543" t="s">
        <v>146</v>
      </c>
      <c r="O1543" t="s">
        <v>3767</v>
      </c>
      <c r="P1543" t="s">
        <v>1125</v>
      </c>
      <c r="Q1543" t="s">
        <v>20</v>
      </c>
      <c r="R1543" t="s">
        <v>20</v>
      </c>
      <c r="S1543" t="s">
        <v>20</v>
      </c>
    </row>
    <row r="1544" spans="1:19" hidden="1" x14ac:dyDescent="0.45">
      <c r="A1544" t="s">
        <v>26</v>
      </c>
      <c r="B1544" t="s">
        <v>11231</v>
      </c>
      <c r="C1544" t="s">
        <v>2537</v>
      </c>
      <c r="D1544" t="s">
        <v>2538</v>
      </c>
      <c r="E1544" t="s">
        <v>38</v>
      </c>
      <c r="F1544" t="s">
        <v>11661</v>
      </c>
      <c r="G1544" t="s">
        <v>23</v>
      </c>
      <c r="H1544" t="s">
        <v>2539</v>
      </c>
      <c r="I1544" t="s">
        <v>2540</v>
      </c>
      <c r="J1544" t="s">
        <v>2541</v>
      </c>
      <c r="K1544" t="s">
        <v>2542</v>
      </c>
      <c r="L1544" t="s">
        <v>8109</v>
      </c>
      <c r="M1544" t="s">
        <v>205</v>
      </c>
      <c r="N1544" t="s">
        <v>62</v>
      </c>
      <c r="O1544" t="s">
        <v>3767</v>
      </c>
      <c r="P1544" t="s">
        <v>8109</v>
      </c>
      <c r="Q1544" t="s">
        <v>20</v>
      </c>
      <c r="R1544" t="s">
        <v>20</v>
      </c>
      <c r="S1544" t="s">
        <v>20</v>
      </c>
    </row>
    <row r="1545" spans="1:19" hidden="1" x14ac:dyDescent="0.45">
      <c r="A1545" t="s">
        <v>239</v>
      </c>
      <c r="B1545" t="s">
        <v>14013</v>
      </c>
      <c r="C1545" t="s">
        <v>2866</v>
      </c>
      <c r="D1545" t="s">
        <v>2867</v>
      </c>
      <c r="E1545" t="s">
        <v>38</v>
      </c>
      <c r="F1545" t="s">
        <v>2863</v>
      </c>
      <c r="G1545" t="s">
        <v>23</v>
      </c>
      <c r="H1545" t="s">
        <v>10045</v>
      </c>
      <c r="I1545" t="s">
        <v>10046</v>
      </c>
      <c r="J1545" t="s">
        <v>10047</v>
      </c>
      <c r="K1545" t="s">
        <v>10048</v>
      </c>
      <c r="L1545" t="s">
        <v>6524</v>
      </c>
      <c r="M1545" t="s">
        <v>2760</v>
      </c>
      <c r="N1545" t="s">
        <v>45</v>
      </c>
      <c r="O1545" t="s">
        <v>3767</v>
      </c>
      <c r="P1545" t="s">
        <v>6524</v>
      </c>
      <c r="Q1545" t="s">
        <v>20</v>
      </c>
      <c r="R1545" t="s">
        <v>20</v>
      </c>
      <c r="S1545" t="s">
        <v>11637</v>
      </c>
    </row>
    <row r="1546" spans="1:19" hidden="1" x14ac:dyDescent="0.45">
      <c r="A1546" t="s">
        <v>173</v>
      </c>
      <c r="B1546" t="s">
        <v>8485</v>
      </c>
      <c r="C1546" t="s">
        <v>1103</v>
      </c>
      <c r="D1546" t="s">
        <v>1104</v>
      </c>
      <c r="E1546" t="s">
        <v>38</v>
      </c>
      <c r="F1546" t="s">
        <v>3062</v>
      </c>
      <c r="G1546" t="s">
        <v>23</v>
      </c>
      <c r="H1546" t="s">
        <v>8486</v>
      </c>
      <c r="I1546" t="s">
        <v>8487</v>
      </c>
      <c r="J1546" t="s">
        <v>8488</v>
      </c>
      <c r="K1546" t="s">
        <v>8489</v>
      </c>
      <c r="L1546" t="s">
        <v>722</v>
      </c>
      <c r="M1546" t="s">
        <v>2760</v>
      </c>
      <c r="N1546" t="s">
        <v>146</v>
      </c>
      <c r="O1546" t="s">
        <v>3767</v>
      </c>
      <c r="P1546" t="s">
        <v>5398</v>
      </c>
      <c r="Q1546" t="s">
        <v>20</v>
      </c>
      <c r="R1546" t="s">
        <v>20</v>
      </c>
      <c r="S1546" t="s">
        <v>20</v>
      </c>
    </row>
    <row r="1547" spans="1:19" hidden="1" x14ac:dyDescent="0.45">
      <c r="A1547" t="s">
        <v>362</v>
      </c>
      <c r="B1547" t="s">
        <v>4323</v>
      </c>
      <c r="C1547" t="s">
        <v>4324</v>
      </c>
      <c r="D1547" t="s">
        <v>4325</v>
      </c>
      <c r="E1547" t="s">
        <v>38</v>
      </c>
      <c r="F1547" t="s">
        <v>2785</v>
      </c>
      <c r="G1547" t="s">
        <v>23</v>
      </c>
      <c r="H1547" t="s">
        <v>4326</v>
      </c>
      <c r="I1547" t="s">
        <v>4327</v>
      </c>
      <c r="J1547" t="s">
        <v>4328</v>
      </c>
      <c r="K1547" t="s">
        <v>4329</v>
      </c>
      <c r="L1547" t="s">
        <v>53</v>
      </c>
      <c r="M1547" t="s">
        <v>132</v>
      </c>
      <c r="N1547" t="s">
        <v>62</v>
      </c>
      <c r="O1547" t="s">
        <v>3767</v>
      </c>
      <c r="P1547" t="s">
        <v>53</v>
      </c>
      <c r="Q1547" t="s">
        <v>20</v>
      </c>
      <c r="R1547" t="s">
        <v>20</v>
      </c>
      <c r="S1547" t="s">
        <v>20</v>
      </c>
    </row>
    <row r="1548" spans="1:19" hidden="1" x14ac:dyDescent="0.45">
      <c r="A1548" t="s">
        <v>379</v>
      </c>
      <c r="B1548" t="s">
        <v>12984</v>
      </c>
      <c r="C1548" t="s">
        <v>3293</v>
      </c>
      <c r="D1548" t="s">
        <v>3294</v>
      </c>
      <c r="E1548" t="s">
        <v>38</v>
      </c>
      <c r="F1548" t="s">
        <v>2785</v>
      </c>
      <c r="G1548" t="s">
        <v>23</v>
      </c>
      <c r="H1548" t="s">
        <v>12985</v>
      </c>
      <c r="I1548" t="s">
        <v>12986</v>
      </c>
      <c r="J1548" t="s">
        <v>12987</v>
      </c>
      <c r="K1548" t="s">
        <v>12988</v>
      </c>
      <c r="L1548" t="s">
        <v>8094</v>
      </c>
      <c r="M1548" t="s">
        <v>102</v>
      </c>
      <c r="N1548" t="s">
        <v>146</v>
      </c>
      <c r="O1548" t="s">
        <v>3767</v>
      </c>
      <c r="P1548" t="s">
        <v>6524</v>
      </c>
      <c r="Q1548" t="s">
        <v>20</v>
      </c>
      <c r="R1548" t="s">
        <v>20</v>
      </c>
      <c r="S1548" t="s">
        <v>20</v>
      </c>
    </row>
    <row r="1549" spans="1:19" hidden="1" x14ac:dyDescent="0.45">
      <c r="A1549" t="s">
        <v>425</v>
      </c>
      <c r="B1549" t="s">
        <v>10678</v>
      </c>
      <c r="C1549" t="s">
        <v>1578</v>
      </c>
      <c r="D1549" t="s">
        <v>1579</v>
      </c>
      <c r="E1549" t="s">
        <v>57</v>
      </c>
      <c r="F1549" t="s">
        <v>2837</v>
      </c>
      <c r="G1549" t="s">
        <v>23</v>
      </c>
      <c r="H1549" t="s">
        <v>1580</v>
      </c>
      <c r="I1549" t="s">
        <v>1581</v>
      </c>
      <c r="J1549" t="s">
        <v>1582</v>
      </c>
      <c r="K1549" t="s">
        <v>1583</v>
      </c>
      <c r="L1549" t="s">
        <v>7506</v>
      </c>
      <c r="M1549" t="s">
        <v>6932</v>
      </c>
      <c r="N1549" t="s">
        <v>62</v>
      </c>
      <c r="O1549" t="s">
        <v>3767</v>
      </c>
      <c r="P1549" t="s">
        <v>7506</v>
      </c>
      <c r="Q1549" t="s">
        <v>20</v>
      </c>
      <c r="R1549" t="s">
        <v>20</v>
      </c>
      <c r="S1549" t="s">
        <v>20</v>
      </c>
    </row>
    <row r="1550" spans="1:19" hidden="1" x14ac:dyDescent="0.45">
      <c r="A1550" t="s">
        <v>173</v>
      </c>
      <c r="B1550" t="s">
        <v>8461</v>
      </c>
      <c r="C1550" t="s">
        <v>885</v>
      </c>
      <c r="D1550" t="s">
        <v>886</v>
      </c>
      <c r="E1550" t="s">
        <v>21</v>
      </c>
      <c r="F1550" t="s">
        <v>3062</v>
      </c>
      <c r="G1550" t="s">
        <v>23</v>
      </c>
      <c r="H1550" t="s">
        <v>8462</v>
      </c>
      <c r="I1550" t="s">
        <v>7429</v>
      </c>
      <c r="J1550" t="s">
        <v>8463</v>
      </c>
      <c r="K1550" t="s">
        <v>8464</v>
      </c>
      <c r="L1550" t="s">
        <v>5398</v>
      </c>
      <c r="M1550" t="s">
        <v>2760</v>
      </c>
      <c r="N1550" t="s">
        <v>146</v>
      </c>
      <c r="O1550" t="s">
        <v>3767</v>
      </c>
      <c r="P1550" t="s">
        <v>5398</v>
      </c>
      <c r="Q1550" t="s">
        <v>20</v>
      </c>
      <c r="R1550" t="s">
        <v>20</v>
      </c>
      <c r="S1550" t="s">
        <v>20</v>
      </c>
    </row>
    <row r="1551" spans="1:19" hidden="1" x14ac:dyDescent="0.45">
      <c r="A1551" t="s">
        <v>2761</v>
      </c>
      <c r="B1551" t="s">
        <v>3226</v>
      </c>
      <c r="C1551" t="s">
        <v>3227</v>
      </c>
      <c r="D1551" t="s">
        <v>3228</v>
      </c>
      <c r="E1551" t="s">
        <v>21</v>
      </c>
      <c r="F1551" t="s">
        <v>2722</v>
      </c>
      <c r="G1551" t="s">
        <v>23</v>
      </c>
      <c r="H1551" t="s">
        <v>3229</v>
      </c>
      <c r="I1551" t="s">
        <v>3230</v>
      </c>
      <c r="J1551" t="s">
        <v>3231</v>
      </c>
      <c r="K1551" t="s">
        <v>3232</v>
      </c>
      <c r="L1551" t="s">
        <v>168</v>
      </c>
      <c r="M1551" t="s">
        <v>1223</v>
      </c>
      <c r="N1551" t="s">
        <v>1224</v>
      </c>
      <c r="O1551" t="s">
        <v>3767</v>
      </c>
      <c r="P1551" t="s">
        <v>6527</v>
      </c>
      <c r="Q1551" t="s">
        <v>20</v>
      </c>
      <c r="R1551" t="s">
        <v>20</v>
      </c>
      <c r="S1551" t="s">
        <v>11637</v>
      </c>
    </row>
    <row r="1552" spans="1:19" hidden="1" x14ac:dyDescent="0.45">
      <c r="A1552" t="s">
        <v>358</v>
      </c>
      <c r="B1552" t="s">
        <v>9412</v>
      </c>
      <c r="C1552" t="s">
        <v>6601</v>
      </c>
      <c r="D1552" t="s">
        <v>5914</v>
      </c>
      <c r="E1552" t="s">
        <v>38</v>
      </c>
      <c r="F1552" t="s">
        <v>2948</v>
      </c>
      <c r="G1552" t="s">
        <v>23</v>
      </c>
      <c r="H1552" t="s">
        <v>8345</v>
      </c>
      <c r="I1552" t="s">
        <v>8346</v>
      </c>
      <c r="J1552" t="s">
        <v>8347</v>
      </c>
      <c r="K1552" t="s">
        <v>8348</v>
      </c>
      <c r="L1552" t="s">
        <v>6523</v>
      </c>
      <c r="M1552" t="s">
        <v>2760</v>
      </c>
      <c r="N1552" t="s">
        <v>113</v>
      </c>
      <c r="O1552" t="s">
        <v>3767</v>
      </c>
      <c r="P1552" t="s">
        <v>6513</v>
      </c>
      <c r="Q1552" t="s">
        <v>20</v>
      </c>
      <c r="R1552" t="s">
        <v>20</v>
      </c>
      <c r="S1552" t="s">
        <v>8119</v>
      </c>
    </row>
    <row r="1553" spans="1:19" hidden="1" x14ac:dyDescent="0.45">
      <c r="A1553" t="s">
        <v>173</v>
      </c>
      <c r="B1553" t="s">
        <v>3193</v>
      </c>
      <c r="C1553" t="s">
        <v>841</v>
      </c>
      <c r="D1553" t="s">
        <v>842</v>
      </c>
      <c r="E1553" t="s">
        <v>38</v>
      </c>
      <c r="F1553" t="s">
        <v>2755</v>
      </c>
      <c r="G1553" t="s">
        <v>23</v>
      </c>
      <c r="H1553" t="s">
        <v>3194</v>
      </c>
      <c r="I1553" t="s">
        <v>3195</v>
      </c>
      <c r="J1553" t="s">
        <v>3196</v>
      </c>
      <c r="K1553" t="s">
        <v>3197</v>
      </c>
      <c r="L1553" t="s">
        <v>101</v>
      </c>
      <c r="M1553" t="s">
        <v>3198</v>
      </c>
      <c r="N1553" t="s">
        <v>62</v>
      </c>
      <c r="O1553" t="s">
        <v>3767</v>
      </c>
      <c r="P1553" t="s">
        <v>101</v>
      </c>
      <c r="Q1553" t="s">
        <v>20</v>
      </c>
      <c r="R1553" t="s">
        <v>20</v>
      </c>
      <c r="S1553" t="s">
        <v>9686</v>
      </c>
    </row>
    <row r="1554" spans="1:19" hidden="1" x14ac:dyDescent="0.45">
      <c r="A1554" t="s">
        <v>508</v>
      </c>
      <c r="B1554" t="s">
        <v>10648</v>
      </c>
      <c r="C1554" t="s">
        <v>586</v>
      </c>
      <c r="D1554" t="s">
        <v>587</v>
      </c>
      <c r="E1554" t="s">
        <v>57</v>
      </c>
      <c r="F1554" t="s">
        <v>3891</v>
      </c>
      <c r="G1554" t="s">
        <v>23</v>
      </c>
      <c r="H1554" t="s">
        <v>588</v>
      </c>
      <c r="I1554" t="s">
        <v>589</v>
      </c>
      <c r="J1554" t="s">
        <v>590</v>
      </c>
      <c r="K1554" t="s">
        <v>591</v>
      </c>
      <c r="L1554" t="s">
        <v>43</v>
      </c>
      <c r="M1554" t="s">
        <v>6932</v>
      </c>
      <c r="N1554" t="s">
        <v>62</v>
      </c>
      <c r="O1554" t="s">
        <v>3767</v>
      </c>
      <c r="P1554" t="s">
        <v>7506</v>
      </c>
      <c r="Q1554" t="s">
        <v>20</v>
      </c>
      <c r="R1554" t="s">
        <v>20</v>
      </c>
      <c r="S1554" t="s">
        <v>20</v>
      </c>
    </row>
    <row r="1555" spans="1:19" hidden="1" x14ac:dyDescent="0.45">
      <c r="A1555" t="s">
        <v>173</v>
      </c>
      <c r="B1555" t="s">
        <v>4428</v>
      </c>
      <c r="C1555" t="s">
        <v>4429</v>
      </c>
      <c r="D1555" t="s">
        <v>4430</v>
      </c>
      <c r="E1555" t="s">
        <v>2487</v>
      </c>
      <c r="F1555" t="s">
        <v>3062</v>
      </c>
      <c r="G1555" t="s">
        <v>23</v>
      </c>
      <c r="H1555" t="s">
        <v>4431</v>
      </c>
      <c r="I1555" t="s">
        <v>4432</v>
      </c>
      <c r="J1555" t="s">
        <v>4433</v>
      </c>
      <c r="K1555" t="s">
        <v>4434</v>
      </c>
      <c r="L1555" t="s">
        <v>161</v>
      </c>
      <c r="M1555" t="s">
        <v>102</v>
      </c>
      <c r="N1555" t="s">
        <v>146</v>
      </c>
      <c r="O1555" t="s">
        <v>3767</v>
      </c>
      <c r="P1555" t="s">
        <v>1125</v>
      </c>
      <c r="Q1555" t="s">
        <v>20</v>
      </c>
      <c r="R1555" t="s">
        <v>20</v>
      </c>
      <c r="S1555" t="s">
        <v>20</v>
      </c>
    </row>
    <row r="1556" spans="1:19" hidden="1" x14ac:dyDescent="0.45">
      <c r="A1556" t="s">
        <v>211</v>
      </c>
      <c r="B1556" t="s">
        <v>10195</v>
      </c>
      <c r="C1556" t="s">
        <v>723</v>
      </c>
      <c r="D1556" t="s">
        <v>724</v>
      </c>
      <c r="E1556" t="s">
        <v>38</v>
      </c>
      <c r="F1556" t="s">
        <v>2785</v>
      </c>
      <c r="G1556" t="s">
        <v>23</v>
      </c>
      <c r="H1556" t="s">
        <v>837</v>
      </c>
      <c r="I1556" t="s">
        <v>838</v>
      </c>
      <c r="J1556" t="s">
        <v>839</v>
      </c>
      <c r="K1556" t="s">
        <v>840</v>
      </c>
      <c r="L1556" t="s">
        <v>31</v>
      </c>
      <c r="M1556" t="s">
        <v>2760</v>
      </c>
      <c r="N1556" t="s">
        <v>146</v>
      </c>
      <c r="O1556" t="s">
        <v>3767</v>
      </c>
      <c r="P1556" t="s">
        <v>2769</v>
      </c>
      <c r="Q1556" t="s">
        <v>20</v>
      </c>
      <c r="R1556" t="s">
        <v>20</v>
      </c>
      <c r="S1556" t="s">
        <v>20</v>
      </c>
    </row>
    <row r="1557" spans="1:19" hidden="1" x14ac:dyDescent="0.45">
      <c r="A1557" t="s">
        <v>11893</v>
      </c>
      <c r="B1557" t="s">
        <v>11894</v>
      </c>
      <c r="C1557" t="s">
        <v>11895</v>
      </c>
      <c r="D1557" t="s">
        <v>5922</v>
      </c>
      <c r="E1557" t="s">
        <v>21</v>
      </c>
      <c r="F1557" t="s">
        <v>2722</v>
      </c>
      <c r="G1557" t="s">
        <v>23</v>
      </c>
      <c r="H1557" t="s">
        <v>11896</v>
      </c>
      <c r="I1557" t="s">
        <v>11897</v>
      </c>
      <c r="J1557" t="s">
        <v>11898</v>
      </c>
      <c r="K1557" t="s">
        <v>11899</v>
      </c>
      <c r="L1557" t="s">
        <v>8109</v>
      </c>
      <c r="M1557" t="s">
        <v>3145</v>
      </c>
      <c r="N1557" t="s">
        <v>1224</v>
      </c>
      <c r="O1557" t="s">
        <v>3767</v>
      </c>
      <c r="P1557" t="s">
        <v>3998</v>
      </c>
      <c r="Q1557" t="s">
        <v>20</v>
      </c>
      <c r="R1557" t="s">
        <v>20</v>
      </c>
      <c r="S1557" t="s">
        <v>20</v>
      </c>
    </row>
    <row r="1558" spans="1:19" hidden="1" x14ac:dyDescent="0.45">
      <c r="A1558" t="s">
        <v>362</v>
      </c>
      <c r="B1558" t="s">
        <v>10684</v>
      </c>
      <c r="C1558" t="s">
        <v>7825</v>
      </c>
      <c r="D1558" t="s">
        <v>5818</v>
      </c>
      <c r="E1558" t="s">
        <v>57</v>
      </c>
      <c r="F1558" t="s">
        <v>4263</v>
      </c>
      <c r="G1558" t="s">
        <v>23</v>
      </c>
      <c r="H1558" t="s">
        <v>7826</v>
      </c>
      <c r="I1558" t="s">
        <v>6892</v>
      </c>
      <c r="J1558" t="s">
        <v>7827</v>
      </c>
      <c r="K1558" t="s">
        <v>7828</v>
      </c>
      <c r="L1558" t="s">
        <v>2769</v>
      </c>
      <c r="M1558" t="s">
        <v>6932</v>
      </c>
      <c r="N1558" t="s">
        <v>62</v>
      </c>
      <c r="O1558" t="s">
        <v>3767</v>
      </c>
      <c r="P1558" t="s">
        <v>7506</v>
      </c>
      <c r="Q1558" t="s">
        <v>20</v>
      </c>
      <c r="R1558" t="s">
        <v>20</v>
      </c>
      <c r="S1558" t="s">
        <v>20</v>
      </c>
    </row>
    <row r="1559" spans="1:19" hidden="1" x14ac:dyDescent="0.45">
      <c r="A1559" t="s">
        <v>26</v>
      </c>
      <c r="B1559" t="s">
        <v>4771</v>
      </c>
      <c r="C1559" t="s">
        <v>2518</v>
      </c>
      <c r="D1559" t="s">
        <v>2519</v>
      </c>
      <c r="E1559" t="s">
        <v>38</v>
      </c>
      <c r="F1559" t="s">
        <v>2785</v>
      </c>
      <c r="G1559" t="s">
        <v>23</v>
      </c>
      <c r="H1559" t="s">
        <v>4772</v>
      </c>
      <c r="I1559" t="s">
        <v>4773</v>
      </c>
      <c r="J1559" t="s">
        <v>4774</v>
      </c>
      <c r="K1559" t="s">
        <v>4775</v>
      </c>
      <c r="L1559" t="s">
        <v>53</v>
      </c>
      <c r="M1559" t="s">
        <v>205</v>
      </c>
      <c r="N1559" t="s">
        <v>119</v>
      </c>
      <c r="O1559" t="s">
        <v>3767</v>
      </c>
      <c r="P1559" t="s">
        <v>43</v>
      </c>
      <c r="Q1559" t="s">
        <v>20</v>
      </c>
      <c r="R1559" t="s">
        <v>20</v>
      </c>
      <c r="S1559" t="s">
        <v>20</v>
      </c>
    </row>
    <row r="1560" spans="1:19" hidden="1" x14ac:dyDescent="0.45">
      <c r="A1560" t="s">
        <v>535</v>
      </c>
      <c r="B1560" t="s">
        <v>4170</v>
      </c>
      <c r="C1560" t="s">
        <v>536</v>
      </c>
      <c r="D1560" t="s">
        <v>537</v>
      </c>
      <c r="E1560" t="s">
        <v>38</v>
      </c>
      <c r="F1560" t="s">
        <v>2722</v>
      </c>
      <c r="G1560" t="s">
        <v>23</v>
      </c>
      <c r="H1560" t="s">
        <v>4171</v>
      </c>
      <c r="I1560" t="s">
        <v>4172</v>
      </c>
      <c r="J1560" t="s">
        <v>4173</v>
      </c>
      <c r="K1560" t="s">
        <v>4174</v>
      </c>
      <c r="L1560" t="s">
        <v>161</v>
      </c>
      <c r="M1560" t="s">
        <v>2760</v>
      </c>
      <c r="N1560" t="s">
        <v>45</v>
      </c>
      <c r="O1560" t="s">
        <v>3767</v>
      </c>
      <c r="P1560" t="s">
        <v>209</v>
      </c>
      <c r="Q1560" t="s">
        <v>20</v>
      </c>
      <c r="R1560" t="s">
        <v>20</v>
      </c>
      <c r="S1560" t="s">
        <v>20</v>
      </c>
    </row>
    <row r="1561" spans="1:19" hidden="1" x14ac:dyDescent="0.45">
      <c r="A1561" t="s">
        <v>2911</v>
      </c>
      <c r="B1561" t="s">
        <v>2912</v>
      </c>
      <c r="C1561" t="s">
        <v>2913</v>
      </c>
      <c r="D1561" t="s">
        <v>2914</v>
      </c>
      <c r="E1561" t="s">
        <v>21</v>
      </c>
      <c r="F1561" t="s">
        <v>2787</v>
      </c>
      <c r="G1561" t="s">
        <v>23</v>
      </c>
      <c r="H1561" t="s">
        <v>2915</v>
      </c>
      <c r="I1561" t="s">
        <v>2916</v>
      </c>
      <c r="J1561" t="s">
        <v>2917</v>
      </c>
      <c r="K1561" t="s">
        <v>2918</v>
      </c>
      <c r="L1561" t="s">
        <v>3418</v>
      </c>
      <c r="M1561" t="s">
        <v>1223</v>
      </c>
      <c r="N1561" t="s">
        <v>1224</v>
      </c>
      <c r="O1561" t="s">
        <v>3767</v>
      </c>
      <c r="P1561" t="s">
        <v>6527</v>
      </c>
      <c r="Q1561" t="s">
        <v>20</v>
      </c>
      <c r="R1561" t="s">
        <v>20</v>
      </c>
      <c r="S1561" t="s">
        <v>2919</v>
      </c>
    </row>
    <row r="1562" spans="1:19" hidden="1" x14ac:dyDescent="0.45">
      <c r="A1562" t="s">
        <v>19</v>
      </c>
      <c r="B1562" t="s">
        <v>4269</v>
      </c>
      <c r="C1562" t="s">
        <v>294</v>
      </c>
      <c r="D1562" t="s">
        <v>295</v>
      </c>
      <c r="E1562" t="s">
        <v>57</v>
      </c>
      <c r="F1562" t="s">
        <v>2795</v>
      </c>
      <c r="G1562" t="s">
        <v>23</v>
      </c>
      <c r="H1562" t="s">
        <v>4270</v>
      </c>
      <c r="I1562" t="s">
        <v>4271</v>
      </c>
      <c r="J1562" t="s">
        <v>4272</v>
      </c>
      <c r="K1562" t="s">
        <v>4273</v>
      </c>
      <c r="L1562" t="s">
        <v>296</v>
      </c>
      <c r="M1562" t="s">
        <v>297</v>
      </c>
      <c r="N1562" t="s">
        <v>119</v>
      </c>
      <c r="O1562" t="s">
        <v>3767</v>
      </c>
      <c r="P1562" t="s">
        <v>296</v>
      </c>
      <c r="Q1562" t="s">
        <v>20</v>
      </c>
      <c r="R1562" t="s">
        <v>20</v>
      </c>
      <c r="S1562" t="s">
        <v>20</v>
      </c>
    </row>
    <row r="1563" spans="1:19" hidden="1" x14ac:dyDescent="0.45">
      <c r="A1563" t="s">
        <v>379</v>
      </c>
      <c r="B1563" t="s">
        <v>12325</v>
      </c>
      <c r="C1563" t="s">
        <v>4316</v>
      </c>
      <c r="D1563" t="s">
        <v>4317</v>
      </c>
      <c r="E1563" t="s">
        <v>21</v>
      </c>
      <c r="F1563" t="s">
        <v>2722</v>
      </c>
      <c r="G1563" t="s">
        <v>23</v>
      </c>
      <c r="H1563" t="s">
        <v>12326</v>
      </c>
      <c r="I1563" t="s">
        <v>12327</v>
      </c>
      <c r="J1563" t="s">
        <v>12328</v>
      </c>
      <c r="K1563" t="s">
        <v>12329</v>
      </c>
      <c r="L1563" t="s">
        <v>8377</v>
      </c>
      <c r="M1563" t="s">
        <v>2760</v>
      </c>
      <c r="N1563" t="s">
        <v>678</v>
      </c>
      <c r="O1563" t="s">
        <v>3767</v>
      </c>
      <c r="P1563" t="s">
        <v>8377</v>
      </c>
      <c r="Q1563" t="s">
        <v>20</v>
      </c>
      <c r="R1563" t="s">
        <v>20</v>
      </c>
      <c r="S1563" t="s">
        <v>20</v>
      </c>
    </row>
    <row r="1564" spans="1:19" hidden="1" x14ac:dyDescent="0.45">
      <c r="A1564" t="s">
        <v>46</v>
      </c>
      <c r="B1564" t="s">
        <v>3150</v>
      </c>
      <c r="C1564" t="s">
        <v>1414</v>
      </c>
      <c r="D1564" t="s">
        <v>1415</v>
      </c>
      <c r="E1564" t="s">
        <v>21</v>
      </c>
      <c r="F1564" t="s">
        <v>2722</v>
      </c>
      <c r="G1564" t="s">
        <v>23</v>
      </c>
      <c r="H1564" t="s">
        <v>3151</v>
      </c>
      <c r="I1564" t="s">
        <v>3152</v>
      </c>
      <c r="J1564" t="s">
        <v>3153</v>
      </c>
      <c r="K1564" t="s">
        <v>3154</v>
      </c>
      <c r="L1564" t="s">
        <v>635</v>
      </c>
      <c r="M1564" t="s">
        <v>1223</v>
      </c>
      <c r="N1564" t="s">
        <v>678</v>
      </c>
      <c r="O1564" t="s">
        <v>3767</v>
      </c>
      <c r="P1564" t="s">
        <v>290</v>
      </c>
      <c r="Q1564" t="s">
        <v>20</v>
      </c>
      <c r="R1564" t="s">
        <v>20</v>
      </c>
      <c r="S1564" t="s">
        <v>20</v>
      </c>
    </row>
    <row r="1565" spans="1:19" hidden="1" x14ac:dyDescent="0.45">
      <c r="A1565" t="s">
        <v>809</v>
      </c>
      <c r="B1565" t="s">
        <v>13979</v>
      </c>
      <c r="C1565" t="s">
        <v>1259</v>
      </c>
      <c r="D1565" t="s">
        <v>1260</v>
      </c>
      <c r="E1565" t="s">
        <v>38</v>
      </c>
      <c r="F1565" t="s">
        <v>2795</v>
      </c>
      <c r="G1565" t="s">
        <v>23</v>
      </c>
      <c r="H1565" t="s">
        <v>1261</v>
      </c>
      <c r="I1565" t="s">
        <v>1262</v>
      </c>
      <c r="J1565" t="s">
        <v>1263</v>
      </c>
      <c r="K1565" t="s">
        <v>84</v>
      </c>
      <c r="L1565" t="s">
        <v>31</v>
      </c>
      <c r="M1565" t="s">
        <v>3840</v>
      </c>
      <c r="N1565" t="s">
        <v>62</v>
      </c>
      <c r="O1565" t="s">
        <v>3767</v>
      </c>
      <c r="P1565" t="s">
        <v>8094</v>
      </c>
      <c r="Q1565" t="s">
        <v>20</v>
      </c>
      <c r="R1565" t="s">
        <v>20</v>
      </c>
      <c r="S1565" t="s">
        <v>20</v>
      </c>
    </row>
    <row r="1566" spans="1:19" hidden="1" x14ac:dyDescent="0.45">
      <c r="A1566" t="s">
        <v>64</v>
      </c>
      <c r="B1566" t="s">
        <v>4404</v>
      </c>
      <c r="C1566" t="s">
        <v>1833</v>
      </c>
      <c r="D1566" t="s">
        <v>1834</v>
      </c>
      <c r="E1566" t="s">
        <v>38</v>
      </c>
      <c r="F1566" t="s">
        <v>2722</v>
      </c>
      <c r="G1566" t="s">
        <v>23</v>
      </c>
      <c r="H1566" t="s">
        <v>4405</v>
      </c>
      <c r="I1566" t="s">
        <v>4406</v>
      </c>
      <c r="J1566" t="s">
        <v>4407</v>
      </c>
      <c r="K1566" t="s">
        <v>4408</v>
      </c>
      <c r="L1566" t="s">
        <v>2413</v>
      </c>
      <c r="M1566" t="s">
        <v>2760</v>
      </c>
      <c r="N1566" t="s">
        <v>113</v>
      </c>
      <c r="O1566" t="s">
        <v>3767</v>
      </c>
      <c r="P1566" t="s">
        <v>2413</v>
      </c>
      <c r="Q1566" t="s">
        <v>20</v>
      </c>
      <c r="R1566" t="s">
        <v>20</v>
      </c>
      <c r="S1566" t="s">
        <v>20</v>
      </c>
    </row>
    <row r="1567" spans="1:19" hidden="1" x14ac:dyDescent="0.45">
      <c r="A1567" t="s">
        <v>211</v>
      </c>
      <c r="B1567" t="s">
        <v>4040</v>
      </c>
      <c r="C1567" t="s">
        <v>2466</v>
      </c>
      <c r="D1567" t="s">
        <v>2467</v>
      </c>
      <c r="E1567" t="s">
        <v>38</v>
      </c>
      <c r="F1567" t="s">
        <v>4041</v>
      </c>
      <c r="G1567" t="s">
        <v>23</v>
      </c>
      <c r="H1567" t="s">
        <v>4042</v>
      </c>
      <c r="I1567" t="s">
        <v>4043</v>
      </c>
      <c r="J1567" t="s">
        <v>4044</v>
      </c>
      <c r="K1567" t="s">
        <v>4045</v>
      </c>
      <c r="L1567" t="s">
        <v>111</v>
      </c>
      <c r="M1567" t="s">
        <v>102</v>
      </c>
      <c r="N1567" t="s">
        <v>146</v>
      </c>
      <c r="O1567" t="s">
        <v>3767</v>
      </c>
      <c r="P1567" t="s">
        <v>111</v>
      </c>
      <c r="Q1567" t="s">
        <v>20</v>
      </c>
      <c r="R1567" t="s">
        <v>20</v>
      </c>
      <c r="S1567" t="s">
        <v>20</v>
      </c>
    </row>
    <row r="1568" spans="1:19" hidden="1" x14ac:dyDescent="0.45">
      <c r="A1568" t="s">
        <v>71</v>
      </c>
      <c r="B1568" t="s">
        <v>4423</v>
      </c>
      <c r="C1568" t="s">
        <v>877</v>
      </c>
      <c r="D1568" t="s">
        <v>878</v>
      </c>
      <c r="E1568" t="s">
        <v>2487</v>
      </c>
      <c r="F1568" t="s">
        <v>3062</v>
      </c>
      <c r="G1568" t="s">
        <v>23</v>
      </c>
      <c r="H1568" t="s">
        <v>4424</v>
      </c>
      <c r="I1568" t="s">
        <v>4425</v>
      </c>
      <c r="J1568" t="s">
        <v>4426</v>
      </c>
      <c r="K1568" t="s">
        <v>4427</v>
      </c>
      <c r="L1568" t="s">
        <v>504</v>
      </c>
      <c r="M1568" t="s">
        <v>102</v>
      </c>
      <c r="N1568" t="s">
        <v>146</v>
      </c>
      <c r="O1568" t="s">
        <v>3767</v>
      </c>
      <c r="P1568" t="s">
        <v>1125</v>
      </c>
      <c r="Q1568" t="s">
        <v>20</v>
      </c>
      <c r="R1568" t="s">
        <v>20</v>
      </c>
      <c r="S1568" t="s">
        <v>20</v>
      </c>
    </row>
    <row r="1569" spans="1:19" hidden="1" x14ac:dyDescent="0.45">
      <c r="A1569" t="s">
        <v>139</v>
      </c>
      <c r="B1569" t="s">
        <v>12254</v>
      </c>
      <c r="C1569" t="s">
        <v>577</v>
      </c>
      <c r="D1569" t="s">
        <v>578</v>
      </c>
      <c r="E1569" t="s">
        <v>38</v>
      </c>
      <c r="F1569" t="s">
        <v>5397</v>
      </c>
      <c r="G1569" t="s">
        <v>23</v>
      </c>
      <c r="H1569" t="s">
        <v>9642</v>
      </c>
      <c r="I1569" t="s">
        <v>12255</v>
      </c>
      <c r="J1569" t="s">
        <v>12256</v>
      </c>
      <c r="K1569" t="s">
        <v>12257</v>
      </c>
      <c r="L1569" t="s">
        <v>6524</v>
      </c>
      <c r="M1569" t="s">
        <v>2760</v>
      </c>
      <c r="N1569" t="s">
        <v>33</v>
      </c>
      <c r="O1569" t="s">
        <v>3767</v>
      </c>
      <c r="P1569" t="s">
        <v>6527</v>
      </c>
      <c r="Q1569" t="s">
        <v>20</v>
      </c>
      <c r="R1569" t="s">
        <v>20</v>
      </c>
      <c r="S1569" t="s">
        <v>20</v>
      </c>
    </row>
    <row r="1570" spans="1:19" hidden="1" x14ac:dyDescent="0.45">
      <c r="A1570" t="s">
        <v>26</v>
      </c>
      <c r="B1570" t="s">
        <v>9445</v>
      </c>
      <c r="C1570" t="s">
        <v>1061</v>
      </c>
      <c r="D1570" t="s">
        <v>1062</v>
      </c>
      <c r="E1570" t="s">
        <v>38</v>
      </c>
      <c r="F1570" t="s">
        <v>14314</v>
      </c>
      <c r="G1570" t="s">
        <v>23</v>
      </c>
      <c r="H1570" t="s">
        <v>1938</v>
      </c>
      <c r="I1570" t="s">
        <v>1939</v>
      </c>
      <c r="J1570" t="s">
        <v>1940</v>
      </c>
      <c r="K1570" t="s">
        <v>1941</v>
      </c>
      <c r="L1570" t="s">
        <v>2769</v>
      </c>
      <c r="M1570" t="s">
        <v>205</v>
      </c>
      <c r="N1570" t="s">
        <v>119</v>
      </c>
      <c r="O1570" t="s">
        <v>3767</v>
      </c>
      <c r="P1570" t="s">
        <v>6523</v>
      </c>
      <c r="Q1570" t="s">
        <v>20</v>
      </c>
      <c r="R1570" t="s">
        <v>20</v>
      </c>
      <c r="S1570" t="s">
        <v>9333</v>
      </c>
    </row>
    <row r="1571" spans="1:19" hidden="1" x14ac:dyDescent="0.45">
      <c r="A1571" t="s">
        <v>425</v>
      </c>
      <c r="B1571" t="s">
        <v>11190</v>
      </c>
      <c r="C1571" t="s">
        <v>764</v>
      </c>
      <c r="D1571" t="s">
        <v>765</v>
      </c>
      <c r="E1571" t="s">
        <v>21</v>
      </c>
      <c r="F1571" t="s">
        <v>2722</v>
      </c>
      <c r="G1571" t="s">
        <v>23</v>
      </c>
      <c r="H1571" t="s">
        <v>11191</v>
      </c>
      <c r="I1571" t="s">
        <v>11192</v>
      </c>
      <c r="J1571" t="s">
        <v>11193</v>
      </c>
      <c r="K1571" t="s">
        <v>11194</v>
      </c>
      <c r="L1571" t="s">
        <v>7506</v>
      </c>
      <c r="M1571" t="s">
        <v>3145</v>
      </c>
      <c r="N1571" t="s">
        <v>3407</v>
      </c>
      <c r="O1571" t="s">
        <v>3767</v>
      </c>
      <c r="P1571" t="s">
        <v>7506</v>
      </c>
      <c r="Q1571" t="s">
        <v>20</v>
      </c>
      <c r="R1571" t="s">
        <v>20</v>
      </c>
      <c r="S1571" t="s">
        <v>20</v>
      </c>
    </row>
    <row r="1572" spans="1:19" hidden="1" x14ac:dyDescent="0.45">
      <c r="A1572" t="s">
        <v>1016</v>
      </c>
      <c r="B1572" t="s">
        <v>3113</v>
      </c>
      <c r="C1572" t="s">
        <v>3114</v>
      </c>
      <c r="D1572" t="s">
        <v>3115</v>
      </c>
      <c r="E1572" t="s">
        <v>38</v>
      </c>
      <c r="F1572" t="s">
        <v>13335</v>
      </c>
      <c r="G1572" t="s">
        <v>23</v>
      </c>
      <c r="H1572" t="s">
        <v>3116</v>
      </c>
      <c r="I1572" t="s">
        <v>3117</v>
      </c>
      <c r="J1572" t="s">
        <v>3118</v>
      </c>
      <c r="K1572" t="s">
        <v>3119</v>
      </c>
      <c r="L1572" t="s">
        <v>168</v>
      </c>
      <c r="M1572" t="s">
        <v>132</v>
      </c>
      <c r="N1572" t="s">
        <v>195</v>
      </c>
      <c r="O1572" t="s">
        <v>3767</v>
      </c>
      <c r="P1572" t="s">
        <v>722</v>
      </c>
      <c r="Q1572" t="s">
        <v>20</v>
      </c>
      <c r="R1572" t="s">
        <v>20</v>
      </c>
      <c r="S1572" t="s">
        <v>20</v>
      </c>
    </row>
    <row r="1573" spans="1:19" hidden="1" x14ac:dyDescent="0.45">
      <c r="A1573" t="s">
        <v>379</v>
      </c>
      <c r="B1573" t="s">
        <v>4720</v>
      </c>
      <c r="C1573" t="s">
        <v>2153</v>
      </c>
      <c r="D1573" t="s">
        <v>2154</v>
      </c>
      <c r="E1573" t="s">
        <v>38</v>
      </c>
      <c r="F1573" t="s">
        <v>4263</v>
      </c>
      <c r="G1573" t="s">
        <v>23</v>
      </c>
      <c r="H1573" t="s">
        <v>4721</v>
      </c>
      <c r="I1573" t="s">
        <v>4722</v>
      </c>
      <c r="J1573" t="s">
        <v>4723</v>
      </c>
      <c r="K1573" t="s">
        <v>4724</v>
      </c>
      <c r="L1573" t="s">
        <v>168</v>
      </c>
      <c r="M1573" t="s">
        <v>102</v>
      </c>
      <c r="N1573" t="s">
        <v>3831</v>
      </c>
      <c r="O1573" t="s">
        <v>3767</v>
      </c>
      <c r="P1573" t="s">
        <v>168</v>
      </c>
      <c r="Q1573" t="s">
        <v>20</v>
      </c>
      <c r="R1573" t="s">
        <v>20</v>
      </c>
      <c r="S1573" t="s">
        <v>4725</v>
      </c>
    </row>
    <row r="1574" spans="1:19" hidden="1" x14ac:dyDescent="0.45">
      <c r="A1574" t="s">
        <v>46</v>
      </c>
      <c r="B1574" t="s">
        <v>13448</v>
      </c>
      <c r="C1574" t="s">
        <v>889</v>
      </c>
      <c r="D1574" t="s">
        <v>890</v>
      </c>
      <c r="E1574" t="s">
        <v>38</v>
      </c>
      <c r="F1574" t="s">
        <v>22</v>
      </c>
      <c r="G1574" t="s">
        <v>23</v>
      </c>
      <c r="H1574" t="s">
        <v>13228</v>
      </c>
      <c r="I1574" t="s">
        <v>13229</v>
      </c>
      <c r="J1574" t="s">
        <v>13230</v>
      </c>
      <c r="K1574" t="s">
        <v>13231</v>
      </c>
      <c r="L1574" t="s">
        <v>6524</v>
      </c>
      <c r="M1574" t="s">
        <v>2760</v>
      </c>
      <c r="N1574" t="s">
        <v>119</v>
      </c>
      <c r="O1574" t="s">
        <v>3767</v>
      </c>
      <c r="P1574" t="s">
        <v>3998</v>
      </c>
      <c r="Q1574" t="s">
        <v>20</v>
      </c>
      <c r="R1574" t="s">
        <v>20</v>
      </c>
      <c r="S1574" t="s">
        <v>20</v>
      </c>
    </row>
    <row r="1575" spans="1:19" hidden="1" x14ac:dyDescent="0.45">
      <c r="A1575" t="s">
        <v>81</v>
      </c>
      <c r="B1575" t="s">
        <v>8699</v>
      </c>
      <c r="C1575" t="s">
        <v>770</v>
      </c>
      <c r="D1575" t="s">
        <v>771</v>
      </c>
      <c r="E1575" t="s">
        <v>38</v>
      </c>
      <c r="F1575" t="s">
        <v>2785</v>
      </c>
      <c r="G1575" t="s">
        <v>23</v>
      </c>
      <c r="H1575" t="s">
        <v>8700</v>
      </c>
      <c r="I1575" t="s">
        <v>8701</v>
      </c>
      <c r="J1575" t="s">
        <v>8702</v>
      </c>
      <c r="K1575" t="s">
        <v>8703</v>
      </c>
      <c r="L1575" t="s">
        <v>722</v>
      </c>
      <c r="M1575" t="s">
        <v>2760</v>
      </c>
      <c r="N1575" t="s">
        <v>113</v>
      </c>
      <c r="O1575" t="s">
        <v>3767</v>
      </c>
      <c r="P1575" t="s">
        <v>722</v>
      </c>
      <c r="Q1575" t="s">
        <v>20</v>
      </c>
      <c r="R1575" t="s">
        <v>20</v>
      </c>
      <c r="S1575" t="s">
        <v>20</v>
      </c>
    </row>
    <row r="1576" spans="1:19" hidden="1" x14ac:dyDescent="0.45">
      <c r="A1576" t="s">
        <v>809</v>
      </c>
      <c r="B1576" t="s">
        <v>3833</v>
      </c>
      <c r="C1576" t="s">
        <v>3834</v>
      </c>
      <c r="D1576" t="s">
        <v>3835</v>
      </c>
      <c r="E1576" t="s">
        <v>38</v>
      </c>
      <c r="F1576" t="s">
        <v>2795</v>
      </c>
      <c r="G1576" t="s">
        <v>23</v>
      </c>
      <c r="H1576" t="s">
        <v>3836</v>
      </c>
      <c r="I1576" t="s">
        <v>3837</v>
      </c>
      <c r="J1576" t="s">
        <v>3838</v>
      </c>
      <c r="K1576" t="s">
        <v>3839</v>
      </c>
      <c r="L1576" t="s">
        <v>53</v>
      </c>
      <c r="M1576" t="s">
        <v>3840</v>
      </c>
      <c r="N1576" t="s">
        <v>62</v>
      </c>
      <c r="O1576" t="s">
        <v>3767</v>
      </c>
      <c r="P1576" t="s">
        <v>53</v>
      </c>
      <c r="Q1576" t="s">
        <v>20</v>
      </c>
      <c r="R1576" t="s">
        <v>20</v>
      </c>
      <c r="S1576" t="s">
        <v>20</v>
      </c>
    </row>
    <row r="1577" spans="1:19" hidden="1" x14ac:dyDescent="0.45">
      <c r="A1577" t="s">
        <v>1278</v>
      </c>
      <c r="B1577" t="s">
        <v>4301</v>
      </c>
      <c r="C1577" t="s">
        <v>2127</v>
      </c>
      <c r="D1577" t="s">
        <v>2128</v>
      </c>
      <c r="E1577" t="s">
        <v>38</v>
      </c>
      <c r="F1577" t="s">
        <v>2787</v>
      </c>
      <c r="G1577" t="s">
        <v>23</v>
      </c>
      <c r="H1577" t="s">
        <v>4302</v>
      </c>
      <c r="I1577" t="s">
        <v>4303</v>
      </c>
      <c r="J1577" t="s">
        <v>4304</v>
      </c>
      <c r="K1577" t="s">
        <v>4305</v>
      </c>
      <c r="L1577" t="s">
        <v>296</v>
      </c>
      <c r="M1577" t="s">
        <v>2760</v>
      </c>
      <c r="N1577" t="s">
        <v>119</v>
      </c>
      <c r="O1577" t="s">
        <v>3767</v>
      </c>
      <c r="P1577" t="s">
        <v>296</v>
      </c>
      <c r="Q1577" t="s">
        <v>20</v>
      </c>
      <c r="R1577" t="s">
        <v>20</v>
      </c>
      <c r="S1577" t="s">
        <v>20</v>
      </c>
    </row>
    <row r="1578" spans="1:19" hidden="1" x14ac:dyDescent="0.45">
      <c r="A1578" t="s">
        <v>379</v>
      </c>
      <c r="B1578" t="s">
        <v>3892</v>
      </c>
      <c r="C1578" t="s">
        <v>1332</v>
      </c>
      <c r="D1578" t="s">
        <v>1333</v>
      </c>
      <c r="E1578" t="s">
        <v>38</v>
      </c>
      <c r="F1578" t="s">
        <v>2755</v>
      </c>
      <c r="G1578" t="s">
        <v>23</v>
      </c>
      <c r="H1578" t="s">
        <v>3893</v>
      </c>
      <c r="I1578" t="s">
        <v>3894</v>
      </c>
      <c r="J1578" t="s">
        <v>3895</v>
      </c>
      <c r="K1578" t="s">
        <v>3896</v>
      </c>
      <c r="L1578" t="s">
        <v>194</v>
      </c>
      <c r="M1578" t="s">
        <v>2760</v>
      </c>
      <c r="N1578" t="s">
        <v>146</v>
      </c>
      <c r="O1578" t="s">
        <v>3767</v>
      </c>
      <c r="P1578" t="s">
        <v>111</v>
      </c>
      <c r="Q1578" t="s">
        <v>20</v>
      </c>
      <c r="R1578" t="s">
        <v>20</v>
      </c>
      <c r="S1578" t="s">
        <v>20</v>
      </c>
    </row>
    <row r="1579" spans="1:19" hidden="1" x14ac:dyDescent="0.45">
      <c r="A1579" t="s">
        <v>715</v>
      </c>
      <c r="B1579" t="s">
        <v>4046</v>
      </c>
      <c r="C1579" t="s">
        <v>3787</v>
      </c>
      <c r="D1579" t="s">
        <v>3788</v>
      </c>
      <c r="E1579" t="s">
        <v>57</v>
      </c>
      <c r="F1579" t="s">
        <v>3891</v>
      </c>
      <c r="G1579" t="s">
        <v>23</v>
      </c>
      <c r="H1579" t="s">
        <v>4047</v>
      </c>
      <c r="I1579" t="s">
        <v>4048</v>
      </c>
      <c r="J1579" t="s">
        <v>4049</v>
      </c>
      <c r="K1579" t="s">
        <v>4050</v>
      </c>
      <c r="L1579" t="s">
        <v>194</v>
      </c>
      <c r="M1579" t="s">
        <v>102</v>
      </c>
      <c r="N1579" t="s">
        <v>210</v>
      </c>
      <c r="O1579" t="s">
        <v>3767</v>
      </c>
      <c r="P1579" t="s">
        <v>194</v>
      </c>
      <c r="Q1579" t="s">
        <v>20</v>
      </c>
      <c r="R1579" t="s">
        <v>20</v>
      </c>
      <c r="S1579" t="s">
        <v>20</v>
      </c>
    </row>
    <row r="1580" spans="1:19" hidden="1" x14ac:dyDescent="0.45">
      <c r="A1580" t="s">
        <v>71</v>
      </c>
      <c r="B1580" t="s">
        <v>14237</v>
      </c>
      <c r="C1580" t="s">
        <v>4065</v>
      </c>
      <c r="D1580" t="s">
        <v>4066</v>
      </c>
      <c r="E1580" t="s">
        <v>38</v>
      </c>
      <c r="F1580" t="s">
        <v>2785</v>
      </c>
      <c r="G1580" t="s">
        <v>23</v>
      </c>
      <c r="H1580" t="s">
        <v>9013</v>
      </c>
      <c r="I1580" t="s">
        <v>9060</v>
      </c>
      <c r="J1580" t="s">
        <v>10009</v>
      </c>
      <c r="K1580" t="s">
        <v>10010</v>
      </c>
      <c r="L1580" t="s">
        <v>3418</v>
      </c>
      <c r="M1580" t="s">
        <v>102</v>
      </c>
      <c r="N1580" t="s">
        <v>146</v>
      </c>
      <c r="O1580" t="s">
        <v>3767</v>
      </c>
      <c r="P1580" t="s">
        <v>11782</v>
      </c>
      <c r="Q1580" t="s">
        <v>20</v>
      </c>
      <c r="R1580" t="s">
        <v>20</v>
      </c>
      <c r="S1580" t="s">
        <v>12319</v>
      </c>
    </row>
    <row r="1581" spans="1:19" hidden="1" x14ac:dyDescent="0.45">
      <c r="A1581" t="s">
        <v>71</v>
      </c>
      <c r="B1581" t="s">
        <v>4707</v>
      </c>
      <c r="C1581" t="s">
        <v>1109</v>
      </c>
      <c r="D1581" t="s">
        <v>1110</v>
      </c>
      <c r="E1581" t="s">
        <v>38</v>
      </c>
      <c r="F1581" t="s">
        <v>3076</v>
      </c>
      <c r="G1581" t="s">
        <v>23</v>
      </c>
      <c r="H1581" t="s">
        <v>4708</v>
      </c>
      <c r="I1581" t="s">
        <v>4709</v>
      </c>
      <c r="J1581" t="s">
        <v>4710</v>
      </c>
      <c r="K1581" t="s">
        <v>4711</v>
      </c>
      <c r="L1581" t="s">
        <v>2413</v>
      </c>
      <c r="M1581" t="s">
        <v>102</v>
      </c>
      <c r="N1581" t="s">
        <v>1224</v>
      </c>
      <c r="O1581" t="s">
        <v>3767</v>
      </c>
      <c r="P1581" t="s">
        <v>296</v>
      </c>
      <c r="Q1581" t="s">
        <v>20</v>
      </c>
      <c r="R1581" t="s">
        <v>20</v>
      </c>
      <c r="S1581" t="s">
        <v>20</v>
      </c>
    </row>
    <row r="1582" spans="1:19" hidden="1" x14ac:dyDescent="0.45">
      <c r="A1582" t="s">
        <v>6989</v>
      </c>
      <c r="B1582" t="s">
        <v>10639</v>
      </c>
      <c r="C1582" t="s">
        <v>850</v>
      </c>
      <c r="D1582" t="s">
        <v>851</v>
      </c>
      <c r="E1582" t="s">
        <v>38</v>
      </c>
      <c r="F1582" t="s">
        <v>14669</v>
      </c>
      <c r="G1582" t="s">
        <v>23</v>
      </c>
      <c r="H1582" t="s">
        <v>10640</v>
      </c>
      <c r="I1582" t="s">
        <v>10641</v>
      </c>
      <c r="J1582" t="s">
        <v>10642</v>
      </c>
      <c r="K1582" t="s">
        <v>10643</v>
      </c>
      <c r="L1582" t="s">
        <v>2769</v>
      </c>
      <c r="M1582" t="s">
        <v>2760</v>
      </c>
      <c r="N1582" t="s">
        <v>4008</v>
      </c>
      <c r="O1582" t="s">
        <v>3767</v>
      </c>
      <c r="P1582" t="s">
        <v>2769</v>
      </c>
      <c r="Q1582" t="s">
        <v>20</v>
      </c>
      <c r="R1582" t="s">
        <v>20</v>
      </c>
      <c r="S1582" t="s">
        <v>20</v>
      </c>
    </row>
    <row r="1583" spans="1:19" hidden="1" x14ac:dyDescent="0.45">
      <c r="A1583" t="s">
        <v>715</v>
      </c>
      <c r="B1583" t="s">
        <v>14014</v>
      </c>
      <c r="C1583" t="s">
        <v>970</v>
      </c>
      <c r="D1583" t="s">
        <v>971</v>
      </c>
      <c r="E1583" t="s">
        <v>38</v>
      </c>
      <c r="F1583" t="s">
        <v>14309</v>
      </c>
      <c r="G1583" t="s">
        <v>23</v>
      </c>
      <c r="H1583" t="s">
        <v>14015</v>
      </c>
      <c r="I1583" t="s">
        <v>14016</v>
      </c>
      <c r="J1583" t="s">
        <v>14017</v>
      </c>
      <c r="K1583" t="s">
        <v>14018</v>
      </c>
      <c r="L1583" t="s">
        <v>3998</v>
      </c>
      <c r="M1583" t="s">
        <v>3198</v>
      </c>
      <c r="N1583" t="s">
        <v>3815</v>
      </c>
      <c r="O1583" t="s">
        <v>3767</v>
      </c>
      <c r="P1583" t="s">
        <v>3998</v>
      </c>
      <c r="Q1583" t="s">
        <v>20</v>
      </c>
      <c r="R1583" t="s">
        <v>20</v>
      </c>
      <c r="S1583" t="s">
        <v>8119</v>
      </c>
    </row>
    <row r="1584" spans="1:19" hidden="1" x14ac:dyDescent="0.45">
      <c r="A1584" t="s">
        <v>310</v>
      </c>
      <c r="B1584" t="s">
        <v>4346</v>
      </c>
      <c r="C1584" t="s">
        <v>713</v>
      </c>
      <c r="D1584" t="s">
        <v>714</v>
      </c>
      <c r="E1584" t="s">
        <v>38</v>
      </c>
      <c r="F1584" t="s">
        <v>2722</v>
      </c>
      <c r="G1584" t="s">
        <v>23</v>
      </c>
      <c r="H1584" t="s">
        <v>4347</v>
      </c>
      <c r="I1584" t="s">
        <v>2715</v>
      </c>
      <c r="J1584" t="s">
        <v>4348</v>
      </c>
      <c r="K1584" t="s">
        <v>4349</v>
      </c>
      <c r="L1584" t="s">
        <v>2413</v>
      </c>
      <c r="M1584" t="s">
        <v>2760</v>
      </c>
      <c r="N1584" t="s">
        <v>113</v>
      </c>
      <c r="O1584" t="s">
        <v>3767</v>
      </c>
      <c r="P1584" t="s">
        <v>2413</v>
      </c>
      <c r="Q1584" t="s">
        <v>20</v>
      </c>
      <c r="R1584" t="s">
        <v>20</v>
      </c>
      <c r="S1584" t="s">
        <v>20</v>
      </c>
    </row>
    <row r="1585" spans="1:19" hidden="1" x14ac:dyDescent="0.45">
      <c r="A1585" t="s">
        <v>187</v>
      </c>
      <c r="B1585" t="s">
        <v>3841</v>
      </c>
      <c r="C1585" t="s">
        <v>188</v>
      </c>
      <c r="D1585" t="s">
        <v>189</v>
      </c>
      <c r="E1585" t="s">
        <v>38</v>
      </c>
      <c r="F1585" t="s">
        <v>3842</v>
      </c>
      <c r="G1585" t="s">
        <v>23</v>
      </c>
      <c r="H1585" t="s">
        <v>3843</v>
      </c>
      <c r="I1585" t="s">
        <v>3844</v>
      </c>
      <c r="J1585" t="s">
        <v>3845</v>
      </c>
      <c r="K1585" t="s">
        <v>3846</v>
      </c>
      <c r="L1585" t="s">
        <v>296</v>
      </c>
      <c r="M1585" t="s">
        <v>2760</v>
      </c>
      <c r="N1585" t="s">
        <v>62</v>
      </c>
      <c r="O1585" t="s">
        <v>3767</v>
      </c>
      <c r="P1585" t="s">
        <v>194</v>
      </c>
      <c r="Q1585" t="s">
        <v>20</v>
      </c>
      <c r="R1585" t="s">
        <v>20</v>
      </c>
      <c r="S1585" t="s">
        <v>20</v>
      </c>
    </row>
    <row r="1586" spans="1:19" hidden="1" x14ac:dyDescent="0.45">
      <c r="A1586" t="s">
        <v>173</v>
      </c>
      <c r="B1586" t="s">
        <v>4035</v>
      </c>
      <c r="C1586" t="s">
        <v>2647</v>
      </c>
      <c r="D1586" t="s">
        <v>2648</v>
      </c>
      <c r="E1586" t="s">
        <v>2487</v>
      </c>
      <c r="F1586" t="s">
        <v>3062</v>
      </c>
      <c r="G1586" t="s">
        <v>23</v>
      </c>
      <c r="H1586" t="s">
        <v>4036</v>
      </c>
      <c r="I1586" t="s">
        <v>4037</v>
      </c>
      <c r="J1586" t="s">
        <v>4038</v>
      </c>
      <c r="K1586" t="s">
        <v>4039</v>
      </c>
      <c r="L1586" t="s">
        <v>161</v>
      </c>
      <c r="M1586" t="s">
        <v>102</v>
      </c>
      <c r="N1586" t="s">
        <v>146</v>
      </c>
      <c r="O1586" t="s">
        <v>3767</v>
      </c>
      <c r="P1586" t="s">
        <v>1125</v>
      </c>
      <c r="Q1586" t="s">
        <v>20</v>
      </c>
      <c r="R1586" t="s">
        <v>20</v>
      </c>
      <c r="S1586" t="s">
        <v>20</v>
      </c>
    </row>
    <row r="1587" spans="1:19" hidden="1" x14ac:dyDescent="0.45">
      <c r="A1587" t="s">
        <v>505</v>
      </c>
      <c r="B1587" t="s">
        <v>4627</v>
      </c>
      <c r="C1587" t="s">
        <v>788</v>
      </c>
      <c r="D1587" t="s">
        <v>789</v>
      </c>
      <c r="E1587" t="s">
        <v>29</v>
      </c>
      <c r="F1587" t="s">
        <v>3182</v>
      </c>
      <c r="G1587" t="s">
        <v>23</v>
      </c>
      <c r="H1587" t="s">
        <v>4628</v>
      </c>
      <c r="I1587" t="s">
        <v>3636</v>
      </c>
      <c r="J1587" t="s">
        <v>4629</v>
      </c>
      <c r="K1587" t="s">
        <v>4630</v>
      </c>
      <c r="L1587" t="s">
        <v>474</v>
      </c>
      <c r="M1587" t="s">
        <v>205</v>
      </c>
      <c r="N1587" t="s">
        <v>33</v>
      </c>
      <c r="O1587" t="s">
        <v>3767</v>
      </c>
      <c r="P1587" t="s">
        <v>111</v>
      </c>
      <c r="Q1587" t="s">
        <v>20</v>
      </c>
      <c r="R1587" t="s">
        <v>20</v>
      </c>
      <c r="S1587" t="s">
        <v>20</v>
      </c>
    </row>
    <row r="1588" spans="1:19" hidden="1" x14ac:dyDescent="0.45">
      <c r="A1588" t="s">
        <v>379</v>
      </c>
      <c r="B1588" t="s">
        <v>4051</v>
      </c>
      <c r="C1588" t="s">
        <v>1930</v>
      </c>
      <c r="D1588" t="s">
        <v>1931</v>
      </c>
      <c r="E1588" t="s">
        <v>57</v>
      </c>
      <c r="F1588" t="s">
        <v>3891</v>
      </c>
      <c r="G1588" t="s">
        <v>23</v>
      </c>
      <c r="H1588" t="s">
        <v>4052</v>
      </c>
      <c r="I1588" t="s">
        <v>4053</v>
      </c>
      <c r="J1588" t="s">
        <v>4054</v>
      </c>
      <c r="K1588" t="s">
        <v>4055</v>
      </c>
      <c r="L1588" t="s">
        <v>161</v>
      </c>
      <c r="M1588" t="s">
        <v>102</v>
      </c>
      <c r="N1588" t="s">
        <v>1224</v>
      </c>
      <c r="O1588" t="s">
        <v>3767</v>
      </c>
      <c r="P1588" t="s">
        <v>111</v>
      </c>
      <c r="Q1588" t="s">
        <v>20</v>
      </c>
      <c r="R1588" t="s">
        <v>20</v>
      </c>
      <c r="S1588" t="s">
        <v>20</v>
      </c>
    </row>
    <row r="1589" spans="1:19" hidden="1" x14ac:dyDescent="0.45">
      <c r="A1589" t="s">
        <v>1027</v>
      </c>
      <c r="B1589" t="s">
        <v>3778</v>
      </c>
      <c r="C1589" t="s">
        <v>3779</v>
      </c>
      <c r="D1589" t="s">
        <v>3780</v>
      </c>
      <c r="E1589" t="s">
        <v>38</v>
      </c>
      <c r="F1589" t="s">
        <v>2785</v>
      </c>
      <c r="G1589" t="s">
        <v>23</v>
      </c>
      <c r="H1589" t="s">
        <v>3781</v>
      </c>
      <c r="I1589" t="s">
        <v>3782</v>
      </c>
      <c r="J1589" t="s">
        <v>3783</v>
      </c>
      <c r="K1589" t="s">
        <v>3784</v>
      </c>
      <c r="L1589" t="s">
        <v>13044</v>
      </c>
      <c r="M1589" t="s">
        <v>2760</v>
      </c>
      <c r="N1589" t="s">
        <v>45</v>
      </c>
      <c r="O1589" t="s">
        <v>3767</v>
      </c>
      <c r="P1589" t="s">
        <v>214</v>
      </c>
      <c r="Q1589" t="s">
        <v>20</v>
      </c>
      <c r="R1589" t="s">
        <v>20</v>
      </c>
      <c r="S1589" t="s">
        <v>20</v>
      </c>
    </row>
    <row r="1590" spans="1:19" hidden="1" x14ac:dyDescent="0.45">
      <c r="A1590" t="s">
        <v>511</v>
      </c>
      <c r="B1590" t="s">
        <v>2883</v>
      </c>
      <c r="C1590" t="s">
        <v>2884</v>
      </c>
      <c r="D1590" t="s">
        <v>2885</v>
      </c>
      <c r="E1590" t="s">
        <v>21</v>
      </c>
      <c r="F1590" t="s">
        <v>2722</v>
      </c>
      <c r="G1590" t="s">
        <v>23</v>
      </c>
      <c r="H1590" t="s">
        <v>2886</v>
      </c>
      <c r="I1590" t="s">
        <v>2887</v>
      </c>
      <c r="J1590" t="s">
        <v>2888</v>
      </c>
      <c r="K1590" t="s">
        <v>2889</v>
      </c>
      <c r="L1590" t="s">
        <v>2769</v>
      </c>
      <c r="M1590" t="s">
        <v>1223</v>
      </c>
      <c r="N1590" t="s">
        <v>2727</v>
      </c>
      <c r="O1590" t="s">
        <v>3767</v>
      </c>
      <c r="P1590" t="s">
        <v>8377</v>
      </c>
      <c r="Q1590" t="s">
        <v>20</v>
      </c>
      <c r="R1590" t="s">
        <v>20</v>
      </c>
      <c r="S1590" t="s">
        <v>20</v>
      </c>
    </row>
    <row r="1591" spans="1:19" hidden="1" x14ac:dyDescent="0.45">
      <c r="A1591" t="s">
        <v>211</v>
      </c>
      <c r="B1591" t="s">
        <v>4262</v>
      </c>
      <c r="C1591" t="s">
        <v>2113</v>
      </c>
      <c r="D1591" t="s">
        <v>2114</v>
      </c>
      <c r="E1591" t="s">
        <v>57</v>
      </c>
      <c r="F1591" t="s">
        <v>4263</v>
      </c>
      <c r="G1591" t="s">
        <v>23</v>
      </c>
      <c r="H1591" t="s">
        <v>4264</v>
      </c>
      <c r="I1591" t="s">
        <v>4265</v>
      </c>
      <c r="J1591" t="s">
        <v>4266</v>
      </c>
      <c r="K1591" t="s">
        <v>4267</v>
      </c>
      <c r="L1591" t="s">
        <v>111</v>
      </c>
      <c r="M1591" t="s">
        <v>102</v>
      </c>
      <c r="N1591" t="s">
        <v>3831</v>
      </c>
      <c r="O1591" t="s">
        <v>3767</v>
      </c>
      <c r="P1591" t="s">
        <v>111</v>
      </c>
      <c r="Q1591" t="s">
        <v>20</v>
      </c>
      <c r="R1591" t="s">
        <v>20</v>
      </c>
      <c r="S1591" t="s">
        <v>4268</v>
      </c>
    </row>
    <row r="1592" spans="1:19" hidden="1" x14ac:dyDescent="0.45">
      <c r="A1592" t="s">
        <v>425</v>
      </c>
      <c r="B1592" t="s">
        <v>10674</v>
      </c>
      <c r="C1592" t="s">
        <v>2159</v>
      </c>
      <c r="D1592" t="s">
        <v>2160</v>
      </c>
      <c r="E1592" t="s">
        <v>57</v>
      </c>
      <c r="F1592" t="s">
        <v>2795</v>
      </c>
      <c r="G1592" t="s">
        <v>23</v>
      </c>
      <c r="H1592" t="s">
        <v>2161</v>
      </c>
      <c r="I1592" t="s">
        <v>2162</v>
      </c>
      <c r="J1592" t="s">
        <v>2163</v>
      </c>
      <c r="K1592" t="s">
        <v>2164</v>
      </c>
      <c r="L1592" t="s">
        <v>7506</v>
      </c>
      <c r="M1592" t="s">
        <v>6932</v>
      </c>
      <c r="N1592" t="s">
        <v>62</v>
      </c>
      <c r="O1592" t="s">
        <v>3767</v>
      </c>
      <c r="P1592" t="s">
        <v>7506</v>
      </c>
      <c r="Q1592" t="s">
        <v>20</v>
      </c>
      <c r="R1592" t="s">
        <v>20</v>
      </c>
      <c r="S1592" t="s">
        <v>20</v>
      </c>
    </row>
    <row r="1593" spans="1:19" hidden="1" x14ac:dyDescent="0.45">
      <c r="A1593" t="s">
        <v>592</v>
      </c>
      <c r="B1593" t="s">
        <v>4986</v>
      </c>
      <c r="C1593" t="s">
        <v>2057</v>
      </c>
      <c r="D1593" t="s">
        <v>2058</v>
      </c>
      <c r="E1593" t="s">
        <v>21</v>
      </c>
      <c r="F1593" t="s">
        <v>2722</v>
      </c>
      <c r="G1593" t="s">
        <v>23</v>
      </c>
      <c r="H1593" t="s">
        <v>4987</v>
      </c>
      <c r="I1593" t="s">
        <v>4988</v>
      </c>
      <c r="J1593" t="s">
        <v>4989</v>
      </c>
      <c r="K1593" t="s">
        <v>4990</v>
      </c>
      <c r="L1593" t="s">
        <v>118</v>
      </c>
      <c r="M1593" t="s">
        <v>1223</v>
      </c>
      <c r="N1593" t="s">
        <v>2858</v>
      </c>
      <c r="O1593" t="s">
        <v>3767</v>
      </c>
      <c r="P1593" t="s">
        <v>118</v>
      </c>
      <c r="Q1593" t="s">
        <v>20</v>
      </c>
      <c r="R1593" t="s">
        <v>20</v>
      </c>
      <c r="S1593" t="s">
        <v>20</v>
      </c>
    </row>
    <row r="1594" spans="1:19" hidden="1" x14ac:dyDescent="0.45">
      <c r="A1594" t="s">
        <v>335</v>
      </c>
      <c r="B1594" t="s">
        <v>4640</v>
      </c>
      <c r="C1594" t="s">
        <v>656</v>
      </c>
      <c r="D1594" t="s">
        <v>657</v>
      </c>
      <c r="E1594" t="s">
        <v>57</v>
      </c>
      <c r="F1594" t="s">
        <v>2795</v>
      </c>
      <c r="G1594" t="s">
        <v>23</v>
      </c>
      <c r="H1594" t="s">
        <v>4641</v>
      </c>
      <c r="I1594" t="s">
        <v>4642</v>
      </c>
      <c r="J1594" t="s">
        <v>4643</v>
      </c>
      <c r="K1594" t="s">
        <v>4644</v>
      </c>
      <c r="L1594" t="s">
        <v>194</v>
      </c>
      <c r="M1594" t="s">
        <v>102</v>
      </c>
      <c r="N1594" t="s">
        <v>62</v>
      </c>
      <c r="O1594" t="s">
        <v>3767</v>
      </c>
      <c r="P1594" t="s">
        <v>111</v>
      </c>
      <c r="Q1594" t="s">
        <v>20</v>
      </c>
      <c r="R1594" t="s">
        <v>20</v>
      </c>
      <c r="S1594" t="s">
        <v>20</v>
      </c>
    </row>
    <row r="1595" spans="1:19" hidden="1" x14ac:dyDescent="0.45">
      <c r="A1595" t="s">
        <v>19</v>
      </c>
      <c r="B1595" t="s">
        <v>4354</v>
      </c>
      <c r="C1595" t="s">
        <v>1977</v>
      </c>
      <c r="D1595" t="s">
        <v>1978</v>
      </c>
      <c r="E1595" t="s">
        <v>38</v>
      </c>
      <c r="F1595" t="s">
        <v>3062</v>
      </c>
      <c r="G1595" t="s">
        <v>23</v>
      </c>
      <c r="H1595" t="s">
        <v>4355</v>
      </c>
      <c r="I1595" t="s">
        <v>4356</v>
      </c>
      <c r="J1595" t="s">
        <v>4357</v>
      </c>
      <c r="K1595" t="s">
        <v>4358</v>
      </c>
      <c r="L1595" t="s">
        <v>161</v>
      </c>
      <c r="M1595" t="s">
        <v>297</v>
      </c>
      <c r="N1595" t="s">
        <v>195</v>
      </c>
      <c r="O1595" t="s">
        <v>3767</v>
      </c>
      <c r="P1595" t="s">
        <v>101</v>
      </c>
      <c r="Q1595" t="s">
        <v>20</v>
      </c>
      <c r="R1595" t="s">
        <v>20</v>
      </c>
      <c r="S1595" t="s">
        <v>20</v>
      </c>
    </row>
    <row r="1596" spans="1:19" hidden="1" x14ac:dyDescent="0.45">
      <c r="A1596" t="s">
        <v>173</v>
      </c>
      <c r="B1596" t="s">
        <v>4508</v>
      </c>
      <c r="C1596" t="s">
        <v>3234</v>
      </c>
      <c r="D1596" t="s">
        <v>3235</v>
      </c>
      <c r="E1596" t="s">
        <v>38</v>
      </c>
      <c r="F1596" t="s">
        <v>2795</v>
      </c>
      <c r="G1596" t="s">
        <v>23</v>
      </c>
      <c r="H1596" t="s">
        <v>4509</v>
      </c>
      <c r="I1596" t="s">
        <v>4510</v>
      </c>
      <c r="J1596" t="s">
        <v>4511</v>
      </c>
      <c r="K1596" t="s">
        <v>4512</v>
      </c>
      <c r="L1596" t="s">
        <v>101</v>
      </c>
      <c r="M1596" t="s">
        <v>2760</v>
      </c>
      <c r="N1596" t="s">
        <v>62</v>
      </c>
      <c r="O1596" t="s">
        <v>3767</v>
      </c>
      <c r="P1596" t="s">
        <v>111</v>
      </c>
      <c r="Q1596" t="s">
        <v>20</v>
      </c>
      <c r="R1596" t="s">
        <v>20</v>
      </c>
      <c r="S1596" t="s">
        <v>20</v>
      </c>
    </row>
    <row r="1597" spans="1:19" hidden="1" x14ac:dyDescent="0.45">
      <c r="A1597" t="s">
        <v>1308</v>
      </c>
      <c r="B1597" t="s">
        <v>11646</v>
      </c>
      <c r="C1597" t="s">
        <v>11647</v>
      </c>
      <c r="D1597" t="s">
        <v>9896</v>
      </c>
      <c r="E1597" t="s">
        <v>38</v>
      </c>
      <c r="F1597" t="s">
        <v>2722</v>
      </c>
      <c r="G1597" t="s">
        <v>23</v>
      </c>
      <c r="H1597" t="s">
        <v>11648</v>
      </c>
      <c r="I1597" t="s">
        <v>11649</v>
      </c>
      <c r="J1597" t="s">
        <v>11650</v>
      </c>
      <c r="K1597" t="s">
        <v>11651</v>
      </c>
      <c r="L1597" t="s">
        <v>118</v>
      </c>
      <c r="M1597" t="s">
        <v>2760</v>
      </c>
      <c r="N1597" t="s">
        <v>45</v>
      </c>
      <c r="O1597" t="s">
        <v>3767</v>
      </c>
      <c r="P1597" t="s">
        <v>1125</v>
      </c>
      <c r="Q1597" t="s">
        <v>20</v>
      </c>
      <c r="R1597" t="s">
        <v>20</v>
      </c>
      <c r="S1597" t="s">
        <v>20</v>
      </c>
    </row>
    <row r="1598" spans="1:19" hidden="1" x14ac:dyDescent="0.45">
      <c r="A1598" t="s">
        <v>211</v>
      </c>
      <c r="B1598" t="s">
        <v>14205</v>
      </c>
      <c r="C1598" t="s">
        <v>2024</v>
      </c>
      <c r="D1598" t="s">
        <v>2025</v>
      </c>
      <c r="E1598" t="s">
        <v>57</v>
      </c>
      <c r="F1598" t="s">
        <v>2795</v>
      </c>
      <c r="G1598" t="s">
        <v>23</v>
      </c>
      <c r="H1598" t="s">
        <v>2529</v>
      </c>
      <c r="I1598" t="s">
        <v>2530</v>
      </c>
      <c r="J1598" t="s">
        <v>2531</v>
      </c>
      <c r="K1598" t="s">
        <v>2532</v>
      </c>
      <c r="L1598" t="s">
        <v>6525</v>
      </c>
      <c r="M1598" t="s">
        <v>102</v>
      </c>
      <c r="N1598" t="s">
        <v>62</v>
      </c>
      <c r="O1598" t="s">
        <v>3767</v>
      </c>
      <c r="P1598" t="s">
        <v>6525</v>
      </c>
      <c r="Q1598" t="s">
        <v>20</v>
      </c>
      <c r="R1598" t="s">
        <v>20</v>
      </c>
      <c r="S1598" t="s">
        <v>20</v>
      </c>
    </row>
    <row r="1599" spans="1:19" hidden="1" x14ac:dyDescent="0.45">
      <c r="A1599" t="s">
        <v>3096</v>
      </c>
      <c r="B1599" t="s">
        <v>13336</v>
      </c>
      <c r="C1599" t="s">
        <v>11028</v>
      </c>
      <c r="D1599" t="s">
        <v>5873</v>
      </c>
      <c r="E1599" t="s">
        <v>38</v>
      </c>
      <c r="F1599" t="s">
        <v>2748</v>
      </c>
      <c r="G1599" t="s">
        <v>23</v>
      </c>
      <c r="H1599" t="s">
        <v>13337</v>
      </c>
      <c r="I1599" t="s">
        <v>13338</v>
      </c>
      <c r="J1599" t="s">
        <v>13339</v>
      </c>
      <c r="K1599" t="s">
        <v>13340</v>
      </c>
      <c r="L1599" t="s">
        <v>6524</v>
      </c>
      <c r="M1599" t="s">
        <v>3105</v>
      </c>
      <c r="N1599" t="s">
        <v>1224</v>
      </c>
      <c r="O1599" t="s">
        <v>3767</v>
      </c>
      <c r="P1599" t="s">
        <v>6524</v>
      </c>
      <c r="Q1599" t="s">
        <v>20</v>
      </c>
      <c r="R1599" t="s">
        <v>20</v>
      </c>
      <c r="S1599" t="s">
        <v>20</v>
      </c>
    </row>
    <row r="1600" spans="1:19" hidden="1" x14ac:dyDescent="0.45">
      <c r="A1600" t="s">
        <v>1855</v>
      </c>
      <c r="B1600" t="s">
        <v>4615</v>
      </c>
      <c r="C1600" t="s">
        <v>2272</v>
      </c>
      <c r="D1600" t="s">
        <v>2273</v>
      </c>
      <c r="E1600" t="s">
        <v>57</v>
      </c>
      <c r="F1600" t="s">
        <v>2795</v>
      </c>
      <c r="G1600" t="s">
        <v>23</v>
      </c>
      <c r="H1600" t="s">
        <v>4616</v>
      </c>
      <c r="I1600" t="s">
        <v>4617</v>
      </c>
      <c r="J1600" t="s">
        <v>4618</v>
      </c>
      <c r="K1600" t="s">
        <v>4619</v>
      </c>
      <c r="L1600" t="s">
        <v>101</v>
      </c>
      <c r="M1600" t="s">
        <v>2760</v>
      </c>
      <c r="N1600" t="s">
        <v>146</v>
      </c>
      <c r="O1600" t="s">
        <v>3767</v>
      </c>
      <c r="P1600" t="s">
        <v>635</v>
      </c>
      <c r="Q1600" t="s">
        <v>20</v>
      </c>
      <c r="R1600" t="s">
        <v>20</v>
      </c>
      <c r="S1600" t="s">
        <v>20</v>
      </c>
    </row>
    <row r="1601" spans="1:19" hidden="1" x14ac:dyDescent="0.45">
      <c r="A1601" t="s">
        <v>3990</v>
      </c>
      <c r="B1601" t="s">
        <v>3991</v>
      </c>
      <c r="C1601" t="s">
        <v>3992</v>
      </c>
      <c r="D1601" t="s">
        <v>3993</v>
      </c>
      <c r="E1601" t="s">
        <v>38</v>
      </c>
      <c r="F1601" t="s">
        <v>2722</v>
      </c>
      <c r="G1601" t="s">
        <v>23</v>
      </c>
      <c r="H1601" t="s">
        <v>3994</v>
      </c>
      <c r="I1601" t="s">
        <v>3995</v>
      </c>
      <c r="J1601" t="s">
        <v>3996</v>
      </c>
      <c r="K1601" t="s">
        <v>3997</v>
      </c>
      <c r="L1601" t="s">
        <v>3998</v>
      </c>
      <c r="M1601" t="s">
        <v>2760</v>
      </c>
      <c r="N1601" t="s">
        <v>2727</v>
      </c>
      <c r="O1601" t="s">
        <v>3767</v>
      </c>
      <c r="P1601" t="s">
        <v>111</v>
      </c>
      <c r="Q1601" t="s">
        <v>20</v>
      </c>
      <c r="R1601" t="s">
        <v>20</v>
      </c>
      <c r="S1601" t="s">
        <v>20</v>
      </c>
    </row>
    <row r="1602" spans="1:19" hidden="1" x14ac:dyDescent="0.45">
      <c r="A1602" t="s">
        <v>943</v>
      </c>
      <c r="B1602" t="s">
        <v>4150</v>
      </c>
      <c r="C1602" t="s">
        <v>1690</v>
      </c>
      <c r="D1602" t="s">
        <v>1691</v>
      </c>
      <c r="E1602" t="s">
        <v>21</v>
      </c>
      <c r="F1602" t="s">
        <v>2722</v>
      </c>
      <c r="G1602" t="s">
        <v>23</v>
      </c>
      <c r="H1602" t="s">
        <v>4151</v>
      </c>
      <c r="I1602" t="s">
        <v>4152</v>
      </c>
      <c r="J1602" t="s">
        <v>4153</v>
      </c>
      <c r="K1602" t="s">
        <v>4154</v>
      </c>
      <c r="L1602" t="s">
        <v>214</v>
      </c>
      <c r="M1602" t="s">
        <v>2760</v>
      </c>
      <c r="N1602" t="s">
        <v>137</v>
      </c>
      <c r="O1602" t="s">
        <v>3767</v>
      </c>
      <c r="P1602" t="s">
        <v>214</v>
      </c>
      <c r="Q1602" t="s">
        <v>20</v>
      </c>
      <c r="R1602" t="s">
        <v>20</v>
      </c>
      <c r="S1602" t="s">
        <v>138</v>
      </c>
    </row>
    <row r="1603" spans="1:19" hidden="1" x14ac:dyDescent="0.45">
      <c r="A1603" t="s">
        <v>1855</v>
      </c>
      <c r="B1603" t="s">
        <v>4730</v>
      </c>
      <c r="C1603" t="s">
        <v>1856</v>
      </c>
      <c r="D1603" t="s">
        <v>1857</v>
      </c>
      <c r="E1603" t="s">
        <v>57</v>
      </c>
      <c r="F1603" t="s">
        <v>2795</v>
      </c>
      <c r="G1603" t="s">
        <v>23</v>
      </c>
      <c r="H1603" t="s">
        <v>4731</v>
      </c>
      <c r="I1603" t="s">
        <v>4732</v>
      </c>
      <c r="J1603" t="s">
        <v>4733</v>
      </c>
      <c r="K1603" t="s">
        <v>4734</v>
      </c>
      <c r="L1603" t="s">
        <v>209</v>
      </c>
      <c r="M1603" t="s">
        <v>2760</v>
      </c>
      <c r="N1603" t="s">
        <v>146</v>
      </c>
      <c r="O1603" t="s">
        <v>3767</v>
      </c>
      <c r="P1603" t="s">
        <v>635</v>
      </c>
      <c r="Q1603" t="s">
        <v>20</v>
      </c>
      <c r="R1603" t="s">
        <v>20</v>
      </c>
      <c r="S1603" t="s">
        <v>20</v>
      </c>
    </row>
    <row r="1604" spans="1:19" hidden="1" x14ac:dyDescent="0.45">
      <c r="A1604" t="s">
        <v>71</v>
      </c>
      <c r="B1604" t="s">
        <v>10636</v>
      </c>
      <c r="C1604" t="s">
        <v>72</v>
      </c>
      <c r="D1604" t="s">
        <v>73</v>
      </c>
      <c r="E1604" t="s">
        <v>38</v>
      </c>
      <c r="F1604" t="s">
        <v>14670</v>
      </c>
      <c r="G1604" t="s">
        <v>23</v>
      </c>
      <c r="H1604" t="s">
        <v>75</v>
      </c>
      <c r="I1604" t="s">
        <v>76</v>
      </c>
      <c r="J1604" t="s">
        <v>77</v>
      </c>
      <c r="K1604" t="s">
        <v>78</v>
      </c>
      <c r="L1604" t="s">
        <v>6521</v>
      </c>
      <c r="M1604" t="s">
        <v>102</v>
      </c>
      <c r="N1604" t="s">
        <v>146</v>
      </c>
      <c r="O1604" t="s">
        <v>3767</v>
      </c>
      <c r="P1604" t="s">
        <v>6522</v>
      </c>
      <c r="Q1604" t="s">
        <v>20</v>
      </c>
      <c r="R1604" t="s">
        <v>20</v>
      </c>
      <c r="S1604" t="s">
        <v>20</v>
      </c>
    </row>
    <row r="1605" spans="1:19" hidden="1" x14ac:dyDescent="0.45">
      <c r="A1605" t="s">
        <v>64</v>
      </c>
      <c r="B1605" t="s">
        <v>14025</v>
      </c>
      <c r="C1605" t="s">
        <v>1648</v>
      </c>
      <c r="D1605" t="s">
        <v>1649</v>
      </c>
      <c r="E1605" t="s">
        <v>57</v>
      </c>
      <c r="F1605" t="s">
        <v>2795</v>
      </c>
      <c r="G1605" t="s">
        <v>23</v>
      </c>
      <c r="H1605" t="s">
        <v>1650</v>
      </c>
      <c r="I1605" t="s">
        <v>1651</v>
      </c>
      <c r="J1605" t="s">
        <v>1652</v>
      </c>
      <c r="K1605" t="s">
        <v>1653</v>
      </c>
      <c r="L1605" t="s">
        <v>43</v>
      </c>
      <c r="M1605" t="s">
        <v>2760</v>
      </c>
      <c r="N1605" t="s">
        <v>62</v>
      </c>
      <c r="O1605" t="s">
        <v>3767</v>
      </c>
      <c r="P1605" t="s">
        <v>8094</v>
      </c>
      <c r="Q1605" t="s">
        <v>20</v>
      </c>
      <c r="R1605" t="s">
        <v>20</v>
      </c>
      <c r="S1605" t="s">
        <v>20</v>
      </c>
    </row>
    <row r="1606" spans="1:19" hidden="1" x14ac:dyDescent="0.45">
      <c r="A1606" t="s">
        <v>395</v>
      </c>
      <c r="B1606" t="s">
        <v>3089</v>
      </c>
      <c r="C1606" t="s">
        <v>3090</v>
      </c>
      <c r="D1606" t="s">
        <v>3091</v>
      </c>
      <c r="E1606" t="s">
        <v>21</v>
      </c>
      <c r="F1606" t="s">
        <v>2722</v>
      </c>
      <c r="G1606" t="s">
        <v>23</v>
      </c>
      <c r="H1606" t="s">
        <v>3092</v>
      </c>
      <c r="I1606" t="s">
        <v>3093</v>
      </c>
      <c r="J1606" t="s">
        <v>3094</v>
      </c>
      <c r="K1606" t="s">
        <v>3095</v>
      </c>
      <c r="L1606" t="s">
        <v>168</v>
      </c>
      <c r="M1606" t="s">
        <v>1223</v>
      </c>
      <c r="N1606" t="s">
        <v>1224</v>
      </c>
      <c r="O1606" t="s">
        <v>3767</v>
      </c>
      <c r="P1606" t="s">
        <v>6527</v>
      </c>
      <c r="Q1606" t="s">
        <v>20</v>
      </c>
      <c r="R1606" t="s">
        <v>20</v>
      </c>
      <c r="S1606" t="s">
        <v>9351</v>
      </c>
    </row>
    <row r="1607" spans="1:19" hidden="1" x14ac:dyDescent="0.45">
      <c r="A1607" t="s">
        <v>6881</v>
      </c>
      <c r="B1607" t="s">
        <v>13028</v>
      </c>
      <c r="C1607" t="s">
        <v>6882</v>
      </c>
      <c r="D1607" t="s">
        <v>5626</v>
      </c>
      <c r="E1607" t="s">
        <v>21</v>
      </c>
      <c r="F1607" t="s">
        <v>2722</v>
      </c>
      <c r="G1607" t="s">
        <v>23</v>
      </c>
      <c r="H1607" t="s">
        <v>13029</v>
      </c>
      <c r="I1607" t="s">
        <v>13030</v>
      </c>
      <c r="J1607" t="s">
        <v>13031</v>
      </c>
      <c r="K1607" t="s">
        <v>13032</v>
      </c>
      <c r="L1607" t="s">
        <v>6527</v>
      </c>
      <c r="M1607" t="s">
        <v>3145</v>
      </c>
      <c r="N1607" t="s">
        <v>1224</v>
      </c>
      <c r="O1607" t="s">
        <v>3767</v>
      </c>
      <c r="P1607" t="s">
        <v>6527</v>
      </c>
      <c r="Q1607" t="s">
        <v>20</v>
      </c>
      <c r="R1607" t="s">
        <v>20</v>
      </c>
      <c r="S1607" t="s">
        <v>20</v>
      </c>
    </row>
    <row r="1608" spans="1:19" hidden="1" x14ac:dyDescent="0.45">
      <c r="A1608" t="s">
        <v>64</v>
      </c>
      <c r="B1608" t="s">
        <v>4072</v>
      </c>
      <c r="C1608" t="s">
        <v>402</v>
      </c>
      <c r="D1608" t="s">
        <v>403</v>
      </c>
      <c r="E1608" t="s">
        <v>38</v>
      </c>
      <c r="F1608" t="s">
        <v>2936</v>
      </c>
      <c r="G1608" t="s">
        <v>23</v>
      </c>
      <c r="H1608" t="s">
        <v>4073</v>
      </c>
      <c r="I1608" t="s">
        <v>4074</v>
      </c>
      <c r="J1608" t="s">
        <v>4075</v>
      </c>
      <c r="K1608" t="s">
        <v>4076</v>
      </c>
      <c r="L1608" t="s">
        <v>131</v>
      </c>
      <c r="M1608" t="s">
        <v>2760</v>
      </c>
      <c r="N1608" t="s">
        <v>3831</v>
      </c>
      <c r="O1608" t="s">
        <v>3767</v>
      </c>
      <c r="P1608" t="s">
        <v>118</v>
      </c>
      <c r="Q1608" t="s">
        <v>20</v>
      </c>
      <c r="R1608" t="s">
        <v>20</v>
      </c>
      <c r="S1608" t="s">
        <v>4077</v>
      </c>
    </row>
    <row r="1609" spans="1:19" hidden="1" x14ac:dyDescent="0.45">
      <c r="A1609" t="s">
        <v>362</v>
      </c>
      <c r="B1609" t="s">
        <v>10662</v>
      </c>
      <c r="C1609" t="s">
        <v>6688</v>
      </c>
      <c r="D1609" t="s">
        <v>6236</v>
      </c>
      <c r="E1609" t="s">
        <v>57</v>
      </c>
      <c r="F1609" t="s">
        <v>3673</v>
      </c>
      <c r="G1609" t="s">
        <v>23</v>
      </c>
      <c r="H1609" t="s">
        <v>7317</v>
      </c>
      <c r="I1609" t="s">
        <v>7318</v>
      </c>
      <c r="J1609" t="s">
        <v>7319</v>
      </c>
      <c r="K1609" t="s">
        <v>7320</v>
      </c>
      <c r="L1609" t="s">
        <v>2769</v>
      </c>
      <c r="M1609" t="s">
        <v>6932</v>
      </c>
      <c r="N1609" t="s">
        <v>62</v>
      </c>
      <c r="O1609" t="s">
        <v>3767</v>
      </c>
      <c r="P1609" t="s">
        <v>7506</v>
      </c>
      <c r="Q1609" t="s">
        <v>20</v>
      </c>
      <c r="R1609" t="s">
        <v>20</v>
      </c>
      <c r="S1609" t="s">
        <v>20</v>
      </c>
    </row>
    <row r="1610" spans="1:19" hidden="1" x14ac:dyDescent="0.45">
      <c r="A1610" t="s">
        <v>518</v>
      </c>
      <c r="B1610" t="s">
        <v>10644</v>
      </c>
      <c r="C1610" t="s">
        <v>519</v>
      </c>
      <c r="D1610" t="s">
        <v>520</v>
      </c>
      <c r="E1610" t="s">
        <v>57</v>
      </c>
      <c r="F1610" t="s">
        <v>3891</v>
      </c>
      <c r="G1610" t="s">
        <v>23</v>
      </c>
      <c r="H1610" t="s">
        <v>521</v>
      </c>
      <c r="I1610" t="s">
        <v>522</v>
      </c>
      <c r="J1610" t="s">
        <v>523</v>
      </c>
      <c r="K1610" t="s">
        <v>524</v>
      </c>
      <c r="L1610" t="s">
        <v>7506</v>
      </c>
      <c r="M1610" t="s">
        <v>32</v>
      </c>
      <c r="N1610" t="s">
        <v>62</v>
      </c>
      <c r="O1610" t="s">
        <v>3767</v>
      </c>
      <c r="P1610" t="s">
        <v>7506</v>
      </c>
      <c r="Q1610" t="s">
        <v>20</v>
      </c>
      <c r="R1610" t="s">
        <v>20</v>
      </c>
      <c r="S1610" t="s">
        <v>20</v>
      </c>
    </row>
    <row r="1611" spans="1:19" hidden="1" x14ac:dyDescent="0.45">
      <c r="A1611" t="s">
        <v>729</v>
      </c>
      <c r="B1611" t="s">
        <v>4110</v>
      </c>
      <c r="C1611" t="s">
        <v>1079</v>
      </c>
      <c r="D1611" t="s">
        <v>1080</v>
      </c>
      <c r="E1611" t="s">
        <v>38</v>
      </c>
      <c r="F1611" t="s">
        <v>4092</v>
      </c>
      <c r="G1611" t="s">
        <v>23</v>
      </c>
      <c r="H1611" t="s">
        <v>4111</v>
      </c>
      <c r="I1611" t="s">
        <v>4112</v>
      </c>
      <c r="J1611" t="s">
        <v>4113</v>
      </c>
      <c r="K1611" t="s">
        <v>4114</v>
      </c>
      <c r="L1611" t="s">
        <v>214</v>
      </c>
      <c r="M1611" t="s">
        <v>2760</v>
      </c>
      <c r="N1611" t="s">
        <v>113</v>
      </c>
      <c r="O1611" t="s">
        <v>3767</v>
      </c>
      <c r="P1611" t="s">
        <v>118</v>
      </c>
      <c r="Q1611" t="s">
        <v>20</v>
      </c>
      <c r="R1611" t="s">
        <v>20</v>
      </c>
      <c r="S1611" t="s">
        <v>20</v>
      </c>
    </row>
    <row r="1612" spans="1:19" hidden="1" x14ac:dyDescent="0.45">
      <c r="A1612" t="s">
        <v>518</v>
      </c>
      <c r="B1612" t="s">
        <v>10675</v>
      </c>
      <c r="C1612" t="s">
        <v>2188</v>
      </c>
      <c r="D1612" t="s">
        <v>2189</v>
      </c>
      <c r="E1612" t="s">
        <v>57</v>
      </c>
      <c r="F1612" t="s">
        <v>2795</v>
      </c>
      <c r="G1612" t="s">
        <v>23</v>
      </c>
      <c r="H1612" t="s">
        <v>2190</v>
      </c>
      <c r="I1612" t="s">
        <v>2191</v>
      </c>
      <c r="J1612" t="s">
        <v>2192</v>
      </c>
      <c r="K1612" t="s">
        <v>2193</v>
      </c>
      <c r="L1612" t="s">
        <v>7506</v>
      </c>
      <c r="M1612" t="s">
        <v>32</v>
      </c>
      <c r="N1612" t="s">
        <v>62</v>
      </c>
      <c r="O1612" t="s">
        <v>3767</v>
      </c>
      <c r="P1612" t="s">
        <v>7506</v>
      </c>
      <c r="Q1612" t="s">
        <v>20</v>
      </c>
      <c r="R1612" t="s">
        <v>20</v>
      </c>
      <c r="S1612" t="s">
        <v>20</v>
      </c>
    </row>
    <row r="1613" spans="1:19" hidden="1" x14ac:dyDescent="0.45">
      <c r="A1613" t="s">
        <v>310</v>
      </c>
      <c r="B1613" t="s">
        <v>8443</v>
      </c>
      <c r="C1613" t="s">
        <v>976</v>
      </c>
      <c r="D1613" t="s">
        <v>977</v>
      </c>
      <c r="E1613" t="s">
        <v>38</v>
      </c>
      <c r="F1613" t="s">
        <v>2722</v>
      </c>
      <c r="G1613" t="s">
        <v>23</v>
      </c>
      <c r="H1613" t="s">
        <v>8444</v>
      </c>
      <c r="I1613" t="s">
        <v>8445</v>
      </c>
      <c r="J1613" t="s">
        <v>8446</v>
      </c>
      <c r="K1613" t="s">
        <v>8447</v>
      </c>
      <c r="L1613" t="s">
        <v>474</v>
      </c>
      <c r="M1613" t="s">
        <v>2760</v>
      </c>
      <c r="N1613" t="s">
        <v>119</v>
      </c>
      <c r="O1613" t="s">
        <v>3767</v>
      </c>
      <c r="P1613" t="s">
        <v>722</v>
      </c>
      <c r="Q1613" t="s">
        <v>20</v>
      </c>
      <c r="R1613" t="s">
        <v>20</v>
      </c>
      <c r="S1613" t="s">
        <v>20</v>
      </c>
    </row>
    <row r="1614" spans="1:19" hidden="1" x14ac:dyDescent="0.45">
      <c r="A1614" t="s">
        <v>1278</v>
      </c>
      <c r="B1614" t="s">
        <v>5121</v>
      </c>
      <c r="C1614" t="s">
        <v>1296</v>
      </c>
      <c r="D1614" t="s">
        <v>1297</v>
      </c>
      <c r="E1614" t="s">
        <v>21</v>
      </c>
      <c r="F1614" t="s">
        <v>2722</v>
      </c>
      <c r="G1614" t="s">
        <v>23</v>
      </c>
      <c r="H1614" t="s">
        <v>5122</v>
      </c>
      <c r="I1614" t="s">
        <v>5123</v>
      </c>
      <c r="J1614" t="s">
        <v>5124</v>
      </c>
      <c r="K1614" t="s">
        <v>5125</v>
      </c>
      <c r="L1614" t="s">
        <v>722</v>
      </c>
      <c r="M1614" t="s">
        <v>1223</v>
      </c>
      <c r="N1614" t="s">
        <v>2727</v>
      </c>
      <c r="O1614" t="s">
        <v>3767</v>
      </c>
      <c r="P1614" t="s">
        <v>168</v>
      </c>
      <c r="Q1614" t="s">
        <v>20</v>
      </c>
      <c r="R1614" t="s">
        <v>20</v>
      </c>
      <c r="S1614" t="s">
        <v>20</v>
      </c>
    </row>
    <row r="1615" spans="1:19" hidden="1" x14ac:dyDescent="0.45">
      <c r="A1615" t="s">
        <v>525</v>
      </c>
      <c r="B1615" t="s">
        <v>4543</v>
      </c>
      <c r="C1615" t="s">
        <v>2038</v>
      </c>
      <c r="D1615" t="s">
        <v>2039</v>
      </c>
      <c r="E1615" t="s">
        <v>57</v>
      </c>
      <c r="F1615" t="s">
        <v>2795</v>
      </c>
      <c r="G1615" t="s">
        <v>23</v>
      </c>
      <c r="H1615" t="s">
        <v>4544</v>
      </c>
      <c r="I1615" t="s">
        <v>4545</v>
      </c>
      <c r="J1615" t="s">
        <v>4546</v>
      </c>
      <c r="K1615" t="s">
        <v>4547</v>
      </c>
      <c r="L1615" t="s">
        <v>161</v>
      </c>
      <c r="M1615" t="s">
        <v>2760</v>
      </c>
      <c r="N1615" t="s">
        <v>146</v>
      </c>
      <c r="O1615" t="s">
        <v>3767</v>
      </c>
      <c r="P1615" t="s">
        <v>296</v>
      </c>
      <c r="Q1615" t="s">
        <v>20</v>
      </c>
      <c r="R1615" t="s">
        <v>20</v>
      </c>
      <c r="S1615" t="s">
        <v>20</v>
      </c>
    </row>
    <row r="1616" spans="1:19" hidden="1" x14ac:dyDescent="0.45">
      <c r="A1616" t="s">
        <v>6697</v>
      </c>
      <c r="B1616" t="s">
        <v>6698</v>
      </c>
      <c r="C1616" t="s">
        <v>6699</v>
      </c>
      <c r="D1616" t="s">
        <v>5833</v>
      </c>
      <c r="E1616" t="s">
        <v>21</v>
      </c>
      <c r="F1616" t="s">
        <v>2722</v>
      </c>
      <c r="G1616" t="s">
        <v>23</v>
      </c>
      <c r="H1616" t="s">
        <v>6457</v>
      </c>
      <c r="I1616" t="s">
        <v>6700</v>
      </c>
      <c r="J1616" t="s">
        <v>6701</v>
      </c>
      <c r="K1616" t="s">
        <v>6702</v>
      </c>
      <c r="L1616" t="s">
        <v>3418</v>
      </c>
      <c r="M1616" t="s">
        <v>1223</v>
      </c>
      <c r="N1616" t="s">
        <v>1224</v>
      </c>
      <c r="O1616" t="s">
        <v>3767</v>
      </c>
      <c r="P1616" t="s">
        <v>6527</v>
      </c>
      <c r="Q1616" t="s">
        <v>20</v>
      </c>
      <c r="R1616" t="s">
        <v>20</v>
      </c>
      <c r="S1616" t="s">
        <v>20</v>
      </c>
    </row>
    <row r="1617" spans="1:19" hidden="1" x14ac:dyDescent="0.45">
      <c r="A1617" t="s">
        <v>715</v>
      </c>
      <c r="B1617" t="s">
        <v>4514</v>
      </c>
      <c r="C1617" t="s">
        <v>716</v>
      </c>
      <c r="D1617" t="s">
        <v>717</v>
      </c>
      <c r="E1617" t="s">
        <v>38</v>
      </c>
      <c r="F1617" t="s">
        <v>3062</v>
      </c>
      <c r="G1617" t="s">
        <v>23</v>
      </c>
      <c r="H1617" t="s">
        <v>4515</v>
      </c>
      <c r="I1617" t="s">
        <v>4516</v>
      </c>
      <c r="J1617" t="s">
        <v>4517</v>
      </c>
      <c r="K1617" t="s">
        <v>4518</v>
      </c>
      <c r="L1617" t="s">
        <v>474</v>
      </c>
      <c r="M1617" t="s">
        <v>102</v>
      </c>
      <c r="N1617" t="s">
        <v>195</v>
      </c>
      <c r="O1617" t="s">
        <v>3767</v>
      </c>
      <c r="P1617" t="s">
        <v>296</v>
      </c>
      <c r="Q1617" t="s">
        <v>20</v>
      </c>
      <c r="R1617" t="s">
        <v>20</v>
      </c>
      <c r="S1617" t="s">
        <v>20</v>
      </c>
    </row>
    <row r="1618" spans="1:19" hidden="1" x14ac:dyDescent="0.45">
      <c r="A1618" t="s">
        <v>802</v>
      </c>
      <c r="B1618" t="s">
        <v>12340</v>
      </c>
      <c r="C1618" t="s">
        <v>1827</v>
      </c>
      <c r="D1618" t="s">
        <v>1828</v>
      </c>
      <c r="E1618" t="s">
        <v>38</v>
      </c>
      <c r="F1618" t="s">
        <v>2785</v>
      </c>
      <c r="G1618" t="s">
        <v>23</v>
      </c>
      <c r="H1618" t="s">
        <v>11921</v>
      </c>
      <c r="I1618" t="s">
        <v>11922</v>
      </c>
      <c r="J1618" t="s">
        <v>11923</v>
      </c>
      <c r="K1618" t="s">
        <v>11924</v>
      </c>
      <c r="L1618" t="s">
        <v>6527</v>
      </c>
      <c r="M1618" t="s">
        <v>2760</v>
      </c>
      <c r="N1618" t="s">
        <v>146</v>
      </c>
      <c r="O1618" t="s">
        <v>3767</v>
      </c>
      <c r="P1618" t="s">
        <v>8377</v>
      </c>
      <c r="Q1618" t="s">
        <v>20</v>
      </c>
      <c r="R1618" t="s">
        <v>20</v>
      </c>
      <c r="S1618" t="s">
        <v>11892</v>
      </c>
    </row>
    <row r="1619" spans="1:19" hidden="1" x14ac:dyDescent="0.45">
      <c r="A1619" t="s">
        <v>64</v>
      </c>
      <c r="B1619" t="s">
        <v>12338</v>
      </c>
      <c r="C1619" t="s">
        <v>2115</v>
      </c>
      <c r="D1619" t="s">
        <v>2116</v>
      </c>
      <c r="E1619" t="s">
        <v>38</v>
      </c>
      <c r="F1619" t="s">
        <v>2785</v>
      </c>
      <c r="G1619" t="s">
        <v>23</v>
      </c>
      <c r="H1619" t="s">
        <v>11904</v>
      </c>
      <c r="I1619" t="s">
        <v>11905</v>
      </c>
      <c r="J1619" t="s">
        <v>11906</v>
      </c>
      <c r="K1619" t="s">
        <v>11907</v>
      </c>
      <c r="L1619" t="s">
        <v>6524</v>
      </c>
      <c r="M1619" t="s">
        <v>2760</v>
      </c>
      <c r="N1619" t="s">
        <v>146</v>
      </c>
      <c r="O1619" t="s">
        <v>3767</v>
      </c>
      <c r="P1619" t="s">
        <v>8377</v>
      </c>
      <c r="Q1619" t="s">
        <v>20</v>
      </c>
      <c r="R1619" t="s">
        <v>20</v>
      </c>
      <c r="S1619" t="s">
        <v>11892</v>
      </c>
    </row>
    <row r="1620" spans="1:19" hidden="1" x14ac:dyDescent="0.45">
      <c r="A1620" t="s">
        <v>79</v>
      </c>
      <c r="B1620" t="s">
        <v>12956</v>
      </c>
      <c r="C1620" t="s">
        <v>1576</v>
      </c>
      <c r="D1620" t="s">
        <v>1577</v>
      </c>
      <c r="E1620" t="s">
        <v>21</v>
      </c>
      <c r="F1620" t="s">
        <v>2831</v>
      </c>
      <c r="G1620" t="s">
        <v>23</v>
      </c>
      <c r="H1620" t="s">
        <v>12957</v>
      </c>
      <c r="I1620" t="s">
        <v>12958</v>
      </c>
      <c r="J1620" t="s">
        <v>12959</v>
      </c>
      <c r="K1620" t="s">
        <v>12960</v>
      </c>
      <c r="L1620" t="s">
        <v>6527</v>
      </c>
      <c r="M1620" t="s">
        <v>2760</v>
      </c>
      <c r="N1620" t="s">
        <v>678</v>
      </c>
      <c r="O1620" t="s">
        <v>3767</v>
      </c>
      <c r="P1620" t="s">
        <v>6527</v>
      </c>
      <c r="Q1620" t="s">
        <v>20</v>
      </c>
      <c r="R1620" t="s">
        <v>20</v>
      </c>
      <c r="S1620" t="s">
        <v>20</v>
      </c>
    </row>
    <row r="1621" spans="1:19" hidden="1" x14ac:dyDescent="0.45">
      <c r="A1621" t="s">
        <v>211</v>
      </c>
      <c r="B1621" t="s">
        <v>4755</v>
      </c>
      <c r="C1621" t="s">
        <v>1360</v>
      </c>
      <c r="D1621" t="s">
        <v>1361</v>
      </c>
      <c r="E1621" t="s">
        <v>38</v>
      </c>
      <c r="F1621" t="s">
        <v>2755</v>
      </c>
      <c r="G1621" t="s">
        <v>23</v>
      </c>
      <c r="H1621" t="s">
        <v>4756</v>
      </c>
      <c r="I1621" t="s">
        <v>4757</v>
      </c>
      <c r="J1621" t="s">
        <v>4758</v>
      </c>
      <c r="K1621" t="s">
        <v>4759</v>
      </c>
      <c r="L1621" t="s">
        <v>168</v>
      </c>
      <c r="M1621" t="s">
        <v>2760</v>
      </c>
      <c r="N1621" t="s">
        <v>3831</v>
      </c>
      <c r="O1621" t="s">
        <v>3767</v>
      </c>
      <c r="P1621" t="s">
        <v>194</v>
      </c>
      <c r="Q1621" t="s">
        <v>20</v>
      </c>
      <c r="R1621" t="s">
        <v>20</v>
      </c>
      <c r="S1621" t="s">
        <v>4760</v>
      </c>
    </row>
    <row r="1622" spans="1:19" hidden="1" x14ac:dyDescent="0.45">
      <c r="A1622" t="s">
        <v>335</v>
      </c>
      <c r="B1622" t="s">
        <v>4696</v>
      </c>
      <c r="C1622" t="s">
        <v>956</v>
      </c>
      <c r="D1622" t="s">
        <v>957</v>
      </c>
      <c r="E1622" t="s">
        <v>38</v>
      </c>
      <c r="F1622" t="s">
        <v>2936</v>
      </c>
      <c r="G1622" t="s">
        <v>23</v>
      </c>
      <c r="H1622" t="s">
        <v>4697</v>
      </c>
      <c r="I1622" t="s">
        <v>4698</v>
      </c>
      <c r="J1622" t="s">
        <v>4699</v>
      </c>
      <c r="K1622" t="s">
        <v>4700</v>
      </c>
      <c r="L1622" t="s">
        <v>111</v>
      </c>
      <c r="M1622" t="s">
        <v>2760</v>
      </c>
      <c r="N1622" t="s">
        <v>3831</v>
      </c>
      <c r="O1622" t="s">
        <v>3767</v>
      </c>
      <c r="P1622" t="s">
        <v>168</v>
      </c>
      <c r="Q1622" t="s">
        <v>20</v>
      </c>
      <c r="R1622" t="s">
        <v>20</v>
      </c>
      <c r="S1622" t="s">
        <v>4701</v>
      </c>
    </row>
    <row r="1623" spans="1:19" hidden="1" x14ac:dyDescent="0.45">
      <c r="A1623" t="s">
        <v>1043</v>
      </c>
      <c r="B1623" t="s">
        <v>14671</v>
      </c>
      <c r="C1623" t="s">
        <v>2954</v>
      </c>
      <c r="D1623" t="s">
        <v>2955</v>
      </c>
      <c r="E1623" t="s">
        <v>38</v>
      </c>
      <c r="F1623" t="s">
        <v>2773</v>
      </c>
      <c r="G1623" t="s">
        <v>23</v>
      </c>
      <c r="H1623" t="s">
        <v>2956</v>
      </c>
      <c r="I1623" t="s">
        <v>2957</v>
      </c>
      <c r="J1623" t="s">
        <v>2958</v>
      </c>
      <c r="K1623" t="s">
        <v>2959</v>
      </c>
      <c r="L1623" t="s">
        <v>6533</v>
      </c>
      <c r="M1623" t="s">
        <v>2100</v>
      </c>
      <c r="N1623" t="s">
        <v>1224</v>
      </c>
      <c r="O1623" t="s">
        <v>3767</v>
      </c>
      <c r="P1623" t="s">
        <v>3418</v>
      </c>
      <c r="Q1623" t="s">
        <v>20</v>
      </c>
      <c r="R1623" t="s">
        <v>20</v>
      </c>
      <c r="S1623" t="s">
        <v>20</v>
      </c>
    </row>
    <row r="1624" spans="1:19" hidden="1" x14ac:dyDescent="0.45">
      <c r="A1624" t="s">
        <v>662</v>
      </c>
      <c r="B1624" t="s">
        <v>10646</v>
      </c>
      <c r="C1624" t="s">
        <v>7095</v>
      </c>
      <c r="D1624" t="s">
        <v>6067</v>
      </c>
      <c r="E1624" t="s">
        <v>38</v>
      </c>
      <c r="F1624" t="s">
        <v>2755</v>
      </c>
      <c r="G1624" t="s">
        <v>23</v>
      </c>
      <c r="H1624" t="s">
        <v>7096</v>
      </c>
      <c r="I1624" t="s">
        <v>7097</v>
      </c>
      <c r="J1624" t="s">
        <v>7098</v>
      </c>
      <c r="K1624" t="s">
        <v>7099</v>
      </c>
      <c r="L1624" t="s">
        <v>6533</v>
      </c>
      <c r="M1624" t="s">
        <v>2760</v>
      </c>
      <c r="N1624" t="s">
        <v>3831</v>
      </c>
      <c r="O1624" t="s">
        <v>3767</v>
      </c>
      <c r="P1624" t="s">
        <v>2769</v>
      </c>
      <c r="Q1624" t="s">
        <v>20</v>
      </c>
      <c r="R1624" t="s">
        <v>20</v>
      </c>
      <c r="S1624" t="s">
        <v>10300</v>
      </c>
    </row>
    <row r="1625" spans="1:19" hidden="1" x14ac:dyDescent="0.45">
      <c r="A1625" t="s">
        <v>869</v>
      </c>
      <c r="B1625" t="s">
        <v>6756</v>
      </c>
      <c r="C1625" t="s">
        <v>1126</v>
      </c>
      <c r="D1625" t="s">
        <v>1127</v>
      </c>
      <c r="E1625" t="s">
        <v>21</v>
      </c>
      <c r="F1625" t="s">
        <v>3062</v>
      </c>
      <c r="G1625" t="s">
        <v>23</v>
      </c>
      <c r="H1625" t="s">
        <v>6757</v>
      </c>
      <c r="I1625" t="s">
        <v>6758</v>
      </c>
      <c r="J1625" t="s">
        <v>6759</v>
      </c>
      <c r="K1625" t="s">
        <v>6760</v>
      </c>
      <c r="L1625" t="s">
        <v>43</v>
      </c>
      <c r="M1625" t="s">
        <v>1223</v>
      </c>
      <c r="N1625" t="s">
        <v>1224</v>
      </c>
      <c r="O1625" t="s">
        <v>3767</v>
      </c>
      <c r="P1625" t="s">
        <v>43</v>
      </c>
      <c r="Q1625" t="s">
        <v>20</v>
      </c>
      <c r="R1625" t="s">
        <v>20</v>
      </c>
      <c r="S1625" t="s">
        <v>6761</v>
      </c>
    </row>
    <row r="1626" spans="1:19" hidden="1" x14ac:dyDescent="0.45">
      <c r="A1626" t="s">
        <v>173</v>
      </c>
      <c r="B1626" t="s">
        <v>8535</v>
      </c>
      <c r="C1626" t="s">
        <v>351</v>
      </c>
      <c r="D1626" t="s">
        <v>352</v>
      </c>
      <c r="E1626" t="s">
        <v>38</v>
      </c>
      <c r="F1626" t="s">
        <v>3062</v>
      </c>
      <c r="G1626" t="s">
        <v>23</v>
      </c>
      <c r="H1626" t="s">
        <v>8536</v>
      </c>
      <c r="I1626" t="s">
        <v>8537</v>
      </c>
      <c r="J1626" t="s">
        <v>8538</v>
      </c>
      <c r="K1626" t="s">
        <v>8539</v>
      </c>
      <c r="L1626" t="s">
        <v>5398</v>
      </c>
      <c r="M1626" t="s">
        <v>2760</v>
      </c>
      <c r="N1626" t="s">
        <v>146</v>
      </c>
      <c r="O1626" t="s">
        <v>3767</v>
      </c>
      <c r="P1626" t="s">
        <v>5398</v>
      </c>
      <c r="Q1626" t="s">
        <v>20</v>
      </c>
      <c r="R1626" t="s">
        <v>20</v>
      </c>
      <c r="S1626" t="s">
        <v>20</v>
      </c>
    </row>
    <row r="1627" spans="1:19" hidden="1" x14ac:dyDescent="0.45">
      <c r="A1627" t="s">
        <v>211</v>
      </c>
      <c r="B1627" t="s">
        <v>11997</v>
      </c>
      <c r="C1627" t="s">
        <v>2443</v>
      </c>
      <c r="D1627" t="s">
        <v>2444</v>
      </c>
      <c r="E1627" t="s">
        <v>38</v>
      </c>
      <c r="F1627" t="s">
        <v>2785</v>
      </c>
      <c r="G1627" t="s">
        <v>23</v>
      </c>
      <c r="H1627" t="s">
        <v>11998</v>
      </c>
      <c r="I1627" t="s">
        <v>11999</v>
      </c>
      <c r="J1627" t="s">
        <v>12000</v>
      </c>
      <c r="K1627" t="s">
        <v>12001</v>
      </c>
      <c r="L1627" t="s">
        <v>6524</v>
      </c>
      <c r="M1627" t="s">
        <v>2760</v>
      </c>
      <c r="N1627" t="s">
        <v>146</v>
      </c>
      <c r="O1627" t="s">
        <v>3767</v>
      </c>
      <c r="P1627" t="s">
        <v>8377</v>
      </c>
      <c r="Q1627" t="s">
        <v>20</v>
      </c>
      <c r="R1627" t="s">
        <v>20</v>
      </c>
      <c r="S1627" t="s">
        <v>20</v>
      </c>
    </row>
    <row r="1628" spans="1:19" hidden="1" x14ac:dyDescent="0.45">
      <c r="A1628" t="s">
        <v>516</v>
      </c>
      <c r="B1628" t="s">
        <v>4527</v>
      </c>
      <c r="C1628" t="s">
        <v>4183</v>
      </c>
      <c r="D1628" t="s">
        <v>4184</v>
      </c>
      <c r="E1628" t="s">
        <v>38</v>
      </c>
      <c r="F1628" t="s">
        <v>2785</v>
      </c>
      <c r="G1628" t="s">
        <v>23</v>
      </c>
      <c r="H1628" t="s">
        <v>4528</v>
      </c>
      <c r="I1628" t="s">
        <v>4529</v>
      </c>
      <c r="J1628" t="s">
        <v>4530</v>
      </c>
      <c r="K1628" t="s">
        <v>4531</v>
      </c>
      <c r="L1628" t="s">
        <v>168</v>
      </c>
      <c r="M1628" t="s">
        <v>2760</v>
      </c>
      <c r="N1628" t="s">
        <v>146</v>
      </c>
      <c r="O1628" t="s">
        <v>3767</v>
      </c>
      <c r="P1628" t="s">
        <v>168</v>
      </c>
      <c r="Q1628" t="s">
        <v>20</v>
      </c>
      <c r="R1628" t="s">
        <v>20</v>
      </c>
      <c r="S1628" t="s">
        <v>20</v>
      </c>
    </row>
    <row r="1629" spans="1:19" hidden="1" x14ac:dyDescent="0.45">
      <c r="A1629" t="s">
        <v>379</v>
      </c>
      <c r="B1629" t="s">
        <v>10176</v>
      </c>
      <c r="C1629" t="s">
        <v>380</v>
      </c>
      <c r="D1629" t="s">
        <v>381</v>
      </c>
      <c r="E1629" t="s">
        <v>38</v>
      </c>
      <c r="F1629" t="s">
        <v>8147</v>
      </c>
      <c r="G1629" t="s">
        <v>23</v>
      </c>
      <c r="H1629" t="s">
        <v>382</v>
      </c>
      <c r="I1629" t="s">
        <v>383</v>
      </c>
      <c r="J1629" t="s">
        <v>384</v>
      </c>
      <c r="K1629" t="s">
        <v>385</v>
      </c>
      <c r="L1629" t="s">
        <v>9619</v>
      </c>
      <c r="M1629" t="s">
        <v>2760</v>
      </c>
      <c r="N1629" t="s">
        <v>146</v>
      </c>
      <c r="O1629" t="s">
        <v>3767</v>
      </c>
      <c r="P1629" t="s">
        <v>2769</v>
      </c>
      <c r="Q1629" t="s">
        <v>20</v>
      </c>
      <c r="R1629" t="s">
        <v>20</v>
      </c>
      <c r="S1629" t="s">
        <v>20</v>
      </c>
    </row>
    <row r="1630" spans="1:19" hidden="1" x14ac:dyDescent="0.45">
      <c r="A1630" t="s">
        <v>379</v>
      </c>
      <c r="B1630" t="s">
        <v>10201</v>
      </c>
      <c r="C1630" t="s">
        <v>380</v>
      </c>
      <c r="D1630" t="s">
        <v>381</v>
      </c>
      <c r="E1630" t="s">
        <v>38</v>
      </c>
      <c r="F1630" t="s">
        <v>2755</v>
      </c>
      <c r="G1630" t="s">
        <v>23</v>
      </c>
      <c r="H1630" t="s">
        <v>6477</v>
      </c>
      <c r="I1630" t="s">
        <v>6587</v>
      </c>
      <c r="J1630" t="s">
        <v>6588</v>
      </c>
      <c r="K1630" t="s">
        <v>6589</v>
      </c>
      <c r="L1630" t="s">
        <v>9619</v>
      </c>
      <c r="M1630" t="s">
        <v>2760</v>
      </c>
      <c r="N1630" t="s">
        <v>146</v>
      </c>
      <c r="O1630" t="s">
        <v>3767</v>
      </c>
      <c r="P1630" t="s">
        <v>2769</v>
      </c>
      <c r="Q1630" t="s">
        <v>20</v>
      </c>
      <c r="R1630" t="s">
        <v>20</v>
      </c>
      <c r="S1630" t="s">
        <v>20</v>
      </c>
    </row>
    <row r="1631" spans="1:19" hidden="1" x14ac:dyDescent="0.45">
      <c r="A1631" t="s">
        <v>379</v>
      </c>
      <c r="B1631" t="s">
        <v>4681</v>
      </c>
      <c r="C1631" t="s">
        <v>380</v>
      </c>
      <c r="D1631" t="s">
        <v>381</v>
      </c>
      <c r="E1631" t="s">
        <v>38</v>
      </c>
      <c r="F1631" t="s">
        <v>2795</v>
      </c>
      <c r="G1631" t="s">
        <v>23</v>
      </c>
      <c r="H1631" t="s">
        <v>4682</v>
      </c>
      <c r="I1631" t="s">
        <v>4683</v>
      </c>
      <c r="J1631" t="s">
        <v>4684</v>
      </c>
      <c r="K1631" t="s">
        <v>4685</v>
      </c>
      <c r="L1631" t="s">
        <v>101</v>
      </c>
      <c r="M1631" t="s">
        <v>102</v>
      </c>
      <c r="N1631" t="s">
        <v>62</v>
      </c>
      <c r="O1631" t="s">
        <v>3767</v>
      </c>
      <c r="P1631" t="s">
        <v>296</v>
      </c>
      <c r="Q1631" t="s">
        <v>20</v>
      </c>
      <c r="R1631" t="s">
        <v>20</v>
      </c>
      <c r="S1631" t="s">
        <v>20</v>
      </c>
    </row>
    <row r="1632" spans="1:19" hidden="1" x14ac:dyDescent="0.45">
      <c r="A1632" t="s">
        <v>379</v>
      </c>
      <c r="B1632" t="s">
        <v>4664</v>
      </c>
      <c r="C1632" t="s">
        <v>380</v>
      </c>
      <c r="D1632" t="s">
        <v>381</v>
      </c>
      <c r="E1632" t="s">
        <v>38</v>
      </c>
      <c r="F1632" t="s">
        <v>2940</v>
      </c>
      <c r="G1632" t="s">
        <v>23</v>
      </c>
      <c r="H1632" t="s">
        <v>4665</v>
      </c>
      <c r="I1632" t="s">
        <v>4666</v>
      </c>
      <c r="J1632" t="s">
        <v>4667</v>
      </c>
      <c r="K1632" t="s">
        <v>4668</v>
      </c>
      <c r="L1632" t="s">
        <v>209</v>
      </c>
      <c r="M1632" t="s">
        <v>102</v>
      </c>
      <c r="N1632" t="s">
        <v>1224</v>
      </c>
      <c r="O1632" t="s">
        <v>3767</v>
      </c>
      <c r="P1632" t="s">
        <v>296</v>
      </c>
      <c r="Q1632" t="s">
        <v>20</v>
      </c>
      <c r="R1632" t="s">
        <v>20</v>
      </c>
      <c r="S1632" t="s">
        <v>20</v>
      </c>
    </row>
    <row r="1633" spans="1:19" hidden="1" x14ac:dyDescent="0.45">
      <c r="A1633" t="s">
        <v>81</v>
      </c>
      <c r="B1633" t="s">
        <v>4207</v>
      </c>
      <c r="C1633" t="s">
        <v>2367</v>
      </c>
      <c r="D1633" t="s">
        <v>2368</v>
      </c>
      <c r="E1633" t="s">
        <v>4208</v>
      </c>
      <c r="F1633" t="s">
        <v>3062</v>
      </c>
      <c r="G1633" t="s">
        <v>23</v>
      </c>
      <c r="H1633" t="s">
        <v>4209</v>
      </c>
      <c r="I1633" t="s">
        <v>4210</v>
      </c>
      <c r="J1633" t="s">
        <v>4211</v>
      </c>
      <c r="K1633" t="s">
        <v>4212</v>
      </c>
      <c r="L1633" t="s">
        <v>296</v>
      </c>
      <c r="M1633" t="s">
        <v>2760</v>
      </c>
      <c r="N1633" t="s">
        <v>146</v>
      </c>
      <c r="O1633" t="s">
        <v>3767</v>
      </c>
      <c r="P1633" t="s">
        <v>296</v>
      </c>
      <c r="Q1633" t="s">
        <v>20</v>
      </c>
      <c r="R1633" t="s">
        <v>20</v>
      </c>
      <c r="S1633" t="s">
        <v>20</v>
      </c>
    </row>
    <row r="1634" spans="1:19" hidden="1" x14ac:dyDescent="0.45">
      <c r="A1634" t="s">
        <v>71</v>
      </c>
      <c r="B1634" t="s">
        <v>4776</v>
      </c>
      <c r="C1634" t="s">
        <v>4520</v>
      </c>
      <c r="D1634" t="s">
        <v>4521</v>
      </c>
      <c r="E1634" t="s">
        <v>2487</v>
      </c>
      <c r="F1634" t="s">
        <v>3062</v>
      </c>
      <c r="G1634" t="s">
        <v>23</v>
      </c>
      <c r="H1634" t="s">
        <v>4777</v>
      </c>
      <c r="I1634" t="s">
        <v>4778</v>
      </c>
      <c r="J1634" t="s">
        <v>4779</v>
      </c>
      <c r="K1634" t="s">
        <v>4780</v>
      </c>
      <c r="L1634" t="s">
        <v>504</v>
      </c>
      <c r="M1634" t="s">
        <v>102</v>
      </c>
      <c r="N1634" t="s">
        <v>146</v>
      </c>
      <c r="O1634" t="s">
        <v>3767</v>
      </c>
      <c r="P1634" t="s">
        <v>1125</v>
      </c>
      <c r="Q1634" t="s">
        <v>20</v>
      </c>
      <c r="R1634" t="s">
        <v>20</v>
      </c>
      <c r="S1634" t="s">
        <v>20</v>
      </c>
    </row>
    <row r="1635" spans="1:19" hidden="1" x14ac:dyDescent="0.45">
      <c r="A1635" t="s">
        <v>71</v>
      </c>
      <c r="B1635" t="s">
        <v>10649</v>
      </c>
      <c r="C1635" t="s">
        <v>4520</v>
      </c>
      <c r="D1635" t="s">
        <v>4521</v>
      </c>
      <c r="E1635" t="s">
        <v>57</v>
      </c>
      <c r="F1635" t="s">
        <v>3891</v>
      </c>
      <c r="G1635" t="s">
        <v>23</v>
      </c>
      <c r="H1635" t="s">
        <v>7438</v>
      </c>
      <c r="I1635" t="s">
        <v>7439</v>
      </c>
      <c r="J1635" t="s">
        <v>7440</v>
      </c>
      <c r="K1635" t="s">
        <v>7441</v>
      </c>
      <c r="L1635" t="s">
        <v>2769</v>
      </c>
      <c r="M1635" t="s">
        <v>102</v>
      </c>
      <c r="N1635" t="s">
        <v>62</v>
      </c>
      <c r="O1635" t="s">
        <v>3767</v>
      </c>
      <c r="P1635" t="s">
        <v>6522</v>
      </c>
      <c r="Q1635" t="s">
        <v>20</v>
      </c>
      <c r="R1635" t="s">
        <v>20</v>
      </c>
      <c r="S1635" t="s">
        <v>20</v>
      </c>
    </row>
    <row r="1636" spans="1:19" hidden="1" x14ac:dyDescent="0.45">
      <c r="A1636" t="s">
        <v>211</v>
      </c>
      <c r="B1636" t="s">
        <v>8465</v>
      </c>
      <c r="C1636" t="s">
        <v>654</v>
      </c>
      <c r="D1636" t="s">
        <v>655</v>
      </c>
      <c r="E1636" t="s">
        <v>38</v>
      </c>
      <c r="F1636" t="s">
        <v>2787</v>
      </c>
      <c r="G1636" t="s">
        <v>23</v>
      </c>
      <c r="H1636" t="s">
        <v>8466</v>
      </c>
      <c r="I1636" t="s">
        <v>8467</v>
      </c>
      <c r="J1636" t="s">
        <v>8468</v>
      </c>
      <c r="K1636" t="s">
        <v>8469</v>
      </c>
      <c r="L1636" t="s">
        <v>290</v>
      </c>
      <c r="M1636" t="s">
        <v>2760</v>
      </c>
      <c r="N1636" t="s">
        <v>137</v>
      </c>
      <c r="O1636" t="s">
        <v>3767</v>
      </c>
      <c r="P1636" t="s">
        <v>290</v>
      </c>
      <c r="Q1636" t="s">
        <v>20</v>
      </c>
      <c r="R1636" t="s">
        <v>20</v>
      </c>
      <c r="S1636" t="s">
        <v>138</v>
      </c>
    </row>
    <row r="1637" spans="1:19" hidden="1" x14ac:dyDescent="0.45">
      <c r="A1637" t="s">
        <v>211</v>
      </c>
      <c r="B1637" t="s">
        <v>14672</v>
      </c>
      <c r="C1637" t="s">
        <v>654</v>
      </c>
      <c r="D1637" t="s">
        <v>655</v>
      </c>
      <c r="E1637" t="s">
        <v>38</v>
      </c>
      <c r="F1637" t="s">
        <v>2948</v>
      </c>
      <c r="G1637" t="s">
        <v>23</v>
      </c>
      <c r="H1637" t="s">
        <v>14673</v>
      </c>
      <c r="I1637" t="s">
        <v>14674</v>
      </c>
      <c r="J1637" t="s">
        <v>14675</v>
      </c>
      <c r="K1637" t="s">
        <v>14676</v>
      </c>
      <c r="L1637" t="s">
        <v>9126</v>
      </c>
      <c r="M1637" t="s">
        <v>2760</v>
      </c>
      <c r="N1637" t="s">
        <v>146</v>
      </c>
      <c r="O1637" t="s">
        <v>3767</v>
      </c>
      <c r="P1637" t="s">
        <v>6525</v>
      </c>
      <c r="Q1637" t="s">
        <v>20</v>
      </c>
      <c r="R1637" t="s">
        <v>20</v>
      </c>
      <c r="S1637" t="s">
        <v>20</v>
      </c>
    </row>
    <row r="1638" spans="1:19" hidden="1" x14ac:dyDescent="0.45">
      <c r="A1638" t="s">
        <v>211</v>
      </c>
      <c r="B1638" t="s">
        <v>13286</v>
      </c>
      <c r="C1638" t="s">
        <v>654</v>
      </c>
      <c r="D1638" t="s">
        <v>655</v>
      </c>
      <c r="E1638" t="s">
        <v>21</v>
      </c>
      <c r="F1638" t="s">
        <v>2748</v>
      </c>
      <c r="G1638" t="s">
        <v>23</v>
      </c>
      <c r="H1638" t="s">
        <v>13287</v>
      </c>
      <c r="I1638" t="s">
        <v>13288</v>
      </c>
      <c r="J1638" t="s">
        <v>13289</v>
      </c>
      <c r="K1638" t="s">
        <v>13290</v>
      </c>
      <c r="L1638" t="s">
        <v>6524</v>
      </c>
      <c r="M1638" t="s">
        <v>2760</v>
      </c>
      <c r="N1638" t="s">
        <v>1224</v>
      </c>
      <c r="O1638" t="s">
        <v>3767</v>
      </c>
      <c r="P1638" t="s">
        <v>8094</v>
      </c>
      <c r="Q1638" t="s">
        <v>20</v>
      </c>
      <c r="R1638" t="s">
        <v>20</v>
      </c>
      <c r="S1638" t="s">
        <v>20</v>
      </c>
    </row>
    <row r="1639" spans="1:19" hidden="1" x14ac:dyDescent="0.45">
      <c r="A1639" t="s">
        <v>246</v>
      </c>
      <c r="B1639" t="s">
        <v>14677</v>
      </c>
      <c r="C1639" t="s">
        <v>779</v>
      </c>
      <c r="D1639" t="s">
        <v>780</v>
      </c>
      <c r="E1639" t="s">
        <v>57</v>
      </c>
      <c r="F1639" t="s">
        <v>4263</v>
      </c>
      <c r="G1639" t="s">
        <v>23</v>
      </c>
      <c r="H1639" t="s">
        <v>14678</v>
      </c>
      <c r="I1639" t="s">
        <v>14679</v>
      </c>
      <c r="J1639" t="s">
        <v>14680</v>
      </c>
      <c r="K1639" t="s">
        <v>14681</v>
      </c>
      <c r="L1639" t="s">
        <v>3418</v>
      </c>
      <c r="M1639" t="s">
        <v>5352</v>
      </c>
      <c r="N1639" t="s">
        <v>62</v>
      </c>
      <c r="O1639" t="s">
        <v>3767</v>
      </c>
      <c r="P1639" t="s">
        <v>6525</v>
      </c>
      <c r="Q1639" t="s">
        <v>20</v>
      </c>
      <c r="R1639" t="s">
        <v>20</v>
      </c>
      <c r="S1639" t="s">
        <v>20</v>
      </c>
    </row>
    <row r="1640" spans="1:19" hidden="1" x14ac:dyDescent="0.45">
      <c r="A1640" t="s">
        <v>1613</v>
      </c>
      <c r="B1640" t="s">
        <v>9527</v>
      </c>
      <c r="C1640" t="s">
        <v>8711</v>
      </c>
      <c r="D1640" t="s">
        <v>6351</v>
      </c>
      <c r="E1640" t="s">
        <v>21</v>
      </c>
      <c r="F1640" t="s">
        <v>2722</v>
      </c>
      <c r="G1640" t="s">
        <v>23</v>
      </c>
      <c r="H1640" t="s">
        <v>9528</v>
      </c>
      <c r="I1640" t="s">
        <v>9078</v>
      </c>
      <c r="J1640" t="s">
        <v>9529</v>
      </c>
      <c r="K1640" t="s">
        <v>9530</v>
      </c>
      <c r="L1640" t="s">
        <v>9126</v>
      </c>
      <c r="M1640" t="s">
        <v>3145</v>
      </c>
      <c r="N1640" t="s">
        <v>2727</v>
      </c>
      <c r="O1640" t="s">
        <v>3767</v>
      </c>
      <c r="P1640" t="s">
        <v>6521</v>
      </c>
      <c r="Q1640" t="s">
        <v>20</v>
      </c>
      <c r="R1640" t="s">
        <v>20</v>
      </c>
      <c r="S1640" t="s">
        <v>20</v>
      </c>
    </row>
    <row r="1641" spans="1:19" hidden="1" x14ac:dyDescent="0.45">
      <c r="A1641" t="s">
        <v>809</v>
      </c>
      <c r="B1641" t="s">
        <v>14026</v>
      </c>
      <c r="C1641" t="s">
        <v>810</v>
      </c>
      <c r="D1641" t="s">
        <v>811</v>
      </c>
      <c r="E1641" t="s">
        <v>38</v>
      </c>
      <c r="F1641" t="s">
        <v>2795</v>
      </c>
      <c r="G1641" t="s">
        <v>23</v>
      </c>
      <c r="H1641" t="s">
        <v>812</v>
      </c>
      <c r="I1641" t="s">
        <v>813</v>
      </c>
      <c r="J1641" t="s">
        <v>814</v>
      </c>
      <c r="K1641" t="s">
        <v>815</v>
      </c>
      <c r="L1641" t="s">
        <v>8094</v>
      </c>
      <c r="M1641" t="s">
        <v>3840</v>
      </c>
      <c r="N1641" t="s">
        <v>62</v>
      </c>
      <c r="O1641" t="s">
        <v>3767</v>
      </c>
      <c r="P1641" t="s">
        <v>8094</v>
      </c>
      <c r="Q1641" t="s">
        <v>20</v>
      </c>
      <c r="R1641" t="s">
        <v>20</v>
      </c>
      <c r="S1641" t="s">
        <v>20</v>
      </c>
    </row>
    <row r="1642" spans="1:19" hidden="1" x14ac:dyDescent="0.45">
      <c r="A1642" t="s">
        <v>592</v>
      </c>
      <c r="B1642" t="s">
        <v>4600</v>
      </c>
      <c r="C1642" t="s">
        <v>1170</v>
      </c>
      <c r="D1642" t="s">
        <v>1171</v>
      </c>
      <c r="E1642" t="s">
        <v>38</v>
      </c>
      <c r="F1642" t="s">
        <v>2904</v>
      </c>
      <c r="G1642" t="s">
        <v>23</v>
      </c>
      <c r="H1642" t="s">
        <v>4601</v>
      </c>
      <c r="I1642" t="s">
        <v>4602</v>
      </c>
      <c r="J1642" t="s">
        <v>4603</v>
      </c>
      <c r="K1642" t="s">
        <v>4604</v>
      </c>
      <c r="L1642" t="s">
        <v>214</v>
      </c>
      <c r="M1642" t="s">
        <v>2760</v>
      </c>
      <c r="N1642" t="s">
        <v>45</v>
      </c>
      <c r="O1642" t="s">
        <v>3767</v>
      </c>
      <c r="P1642" t="s">
        <v>1125</v>
      </c>
      <c r="Q1642" t="s">
        <v>20</v>
      </c>
      <c r="R1642" t="s">
        <v>20</v>
      </c>
      <c r="S1642" t="s">
        <v>20</v>
      </c>
    </row>
    <row r="1643" spans="1:19" hidden="1" x14ac:dyDescent="0.45">
      <c r="A1643" t="s">
        <v>139</v>
      </c>
      <c r="B1643" t="s">
        <v>4286</v>
      </c>
      <c r="C1643" t="s">
        <v>140</v>
      </c>
      <c r="D1643" t="s">
        <v>141</v>
      </c>
      <c r="E1643" t="s">
        <v>21</v>
      </c>
      <c r="F1643" t="s">
        <v>2831</v>
      </c>
      <c r="G1643" t="s">
        <v>23</v>
      </c>
      <c r="H1643" t="s">
        <v>4287</v>
      </c>
      <c r="I1643" t="s">
        <v>4288</v>
      </c>
      <c r="J1643" t="s">
        <v>4289</v>
      </c>
      <c r="K1643" t="s">
        <v>4290</v>
      </c>
      <c r="L1643" t="s">
        <v>214</v>
      </c>
      <c r="M1643" t="s">
        <v>2760</v>
      </c>
      <c r="N1643" t="s">
        <v>3389</v>
      </c>
      <c r="O1643" t="s">
        <v>3767</v>
      </c>
      <c r="P1643" t="s">
        <v>214</v>
      </c>
      <c r="Q1643" t="s">
        <v>20</v>
      </c>
      <c r="R1643" t="s">
        <v>20</v>
      </c>
      <c r="S1643" t="s">
        <v>20</v>
      </c>
    </row>
    <row r="1644" spans="1:19" hidden="1" x14ac:dyDescent="0.45">
      <c r="A1644" t="s">
        <v>3096</v>
      </c>
      <c r="B1644" t="s">
        <v>8495</v>
      </c>
      <c r="C1644" t="s">
        <v>3947</v>
      </c>
      <c r="D1644" t="s">
        <v>3948</v>
      </c>
      <c r="E1644" t="s">
        <v>21</v>
      </c>
      <c r="F1644" t="s">
        <v>2748</v>
      </c>
      <c r="G1644" t="s">
        <v>23</v>
      </c>
      <c r="H1644" t="s">
        <v>8496</v>
      </c>
      <c r="I1644" t="s">
        <v>8497</v>
      </c>
      <c r="J1644" t="s">
        <v>8498</v>
      </c>
      <c r="K1644" t="s">
        <v>8499</v>
      </c>
      <c r="L1644" t="s">
        <v>902</v>
      </c>
      <c r="M1644" t="s">
        <v>3105</v>
      </c>
      <c r="N1644" t="s">
        <v>1224</v>
      </c>
      <c r="O1644" t="s">
        <v>3767</v>
      </c>
      <c r="P1644" t="s">
        <v>902</v>
      </c>
      <c r="Q1644" t="s">
        <v>20</v>
      </c>
      <c r="R1644" t="s">
        <v>20</v>
      </c>
      <c r="S1644" t="s">
        <v>20</v>
      </c>
    </row>
    <row r="1645" spans="1:19" hidden="1" x14ac:dyDescent="0.45">
      <c r="A1645" t="s">
        <v>3096</v>
      </c>
      <c r="B1645" t="s">
        <v>3946</v>
      </c>
      <c r="C1645" t="s">
        <v>3947</v>
      </c>
      <c r="D1645" t="s">
        <v>3948</v>
      </c>
      <c r="E1645" t="s">
        <v>57</v>
      </c>
      <c r="F1645" t="s">
        <v>2795</v>
      </c>
      <c r="G1645" t="s">
        <v>23</v>
      </c>
      <c r="H1645" t="s">
        <v>3949</v>
      </c>
      <c r="I1645" t="s">
        <v>3950</v>
      </c>
      <c r="J1645" t="s">
        <v>3951</v>
      </c>
      <c r="K1645" t="s">
        <v>3952</v>
      </c>
      <c r="L1645" t="s">
        <v>168</v>
      </c>
      <c r="M1645" t="s">
        <v>3105</v>
      </c>
      <c r="N1645" t="s">
        <v>45</v>
      </c>
      <c r="O1645" t="s">
        <v>3767</v>
      </c>
      <c r="P1645" t="s">
        <v>168</v>
      </c>
      <c r="Q1645" t="s">
        <v>20</v>
      </c>
      <c r="R1645" t="s">
        <v>20</v>
      </c>
      <c r="S1645" t="s">
        <v>20</v>
      </c>
    </row>
    <row r="1646" spans="1:19" hidden="1" x14ac:dyDescent="0.45">
      <c r="A1646" t="s">
        <v>563</v>
      </c>
      <c r="B1646" t="s">
        <v>12049</v>
      </c>
      <c r="C1646" t="s">
        <v>2017</v>
      </c>
      <c r="D1646" t="s">
        <v>2018</v>
      </c>
      <c r="E1646" t="s">
        <v>38</v>
      </c>
      <c r="F1646" t="s">
        <v>3076</v>
      </c>
      <c r="G1646" t="s">
        <v>23</v>
      </c>
      <c r="H1646" t="s">
        <v>10566</v>
      </c>
      <c r="I1646" t="s">
        <v>10330</v>
      </c>
      <c r="J1646" t="s">
        <v>10567</v>
      </c>
      <c r="K1646" t="s">
        <v>10568</v>
      </c>
      <c r="L1646" t="s">
        <v>2769</v>
      </c>
      <c r="M1646" t="s">
        <v>2760</v>
      </c>
      <c r="N1646" t="s">
        <v>1224</v>
      </c>
      <c r="O1646" t="s">
        <v>3767</v>
      </c>
      <c r="P1646" t="s">
        <v>2769</v>
      </c>
      <c r="Q1646" t="s">
        <v>20</v>
      </c>
      <c r="R1646" t="s">
        <v>20</v>
      </c>
      <c r="S1646" t="s">
        <v>10294</v>
      </c>
    </row>
    <row r="1647" spans="1:19" hidden="1" x14ac:dyDescent="0.45">
      <c r="A1647" t="s">
        <v>563</v>
      </c>
      <c r="B1647" t="s">
        <v>10651</v>
      </c>
      <c r="C1647" t="s">
        <v>2017</v>
      </c>
      <c r="D1647" t="s">
        <v>2018</v>
      </c>
      <c r="E1647" t="s">
        <v>38</v>
      </c>
      <c r="F1647" t="s">
        <v>2940</v>
      </c>
      <c r="G1647" t="s">
        <v>23</v>
      </c>
      <c r="H1647" t="s">
        <v>10652</v>
      </c>
      <c r="I1647" t="s">
        <v>10653</v>
      </c>
      <c r="J1647" t="s">
        <v>10654</v>
      </c>
      <c r="K1647" t="s">
        <v>10655</v>
      </c>
      <c r="L1647" t="s">
        <v>2769</v>
      </c>
      <c r="M1647" t="s">
        <v>2760</v>
      </c>
      <c r="N1647" t="s">
        <v>1224</v>
      </c>
      <c r="O1647" t="s">
        <v>3767</v>
      </c>
      <c r="P1647" t="s">
        <v>2769</v>
      </c>
      <c r="Q1647" t="s">
        <v>20</v>
      </c>
      <c r="R1647" t="s">
        <v>20</v>
      </c>
      <c r="S1647" t="s">
        <v>20</v>
      </c>
    </row>
    <row r="1648" spans="1:19" hidden="1" x14ac:dyDescent="0.45">
      <c r="A1648" t="s">
        <v>563</v>
      </c>
      <c r="B1648" t="s">
        <v>10693</v>
      </c>
      <c r="C1648" t="s">
        <v>2017</v>
      </c>
      <c r="D1648" t="s">
        <v>2018</v>
      </c>
      <c r="E1648" t="s">
        <v>38</v>
      </c>
      <c r="F1648" t="s">
        <v>3076</v>
      </c>
      <c r="G1648" t="s">
        <v>23</v>
      </c>
      <c r="H1648" t="s">
        <v>10694</v>
      </c>
      <c r="I1648" t="s">
        <v>10695</v>
      </c>
      <c r="J1648" t="s">
        <v>10696</v>
      </c>
      <c r="K1648" t="s">
        <v>10697</v>
      </c>
      <c r="L1648" t="s">
        <v>2769</v>
      </c>
      <c r="M1648" t="s">
        <v>2760</v>
      </c>
      <c r="N1648" t="s">
        <v>1224</v>
      </c>
      <c r="O1648" t="s">
        <v>3767</v>
      </c>
      <c r="P1648" t="s">
        <v>2769</v>
      </c>
      <c r="Q1648" t="s">
        <v>20</v>
      </c>
      <c r="R1648" t="s">
        <v>20</v>
      </c>
      <c r="S1648" t="s">
        <v>20</v>
      </c>
    </row>
    <row r="1649" spans="1:19" hidden="1" x14ac:dyDescent="0.45">
      <c r="A1649" t="s">
        <v>563</v>
      </c>
      <c r="B1649" t="s">
        <v>4702</v>
      </c>
      <c r="C1649" t="s">
        <v>2017</v>
      </c>
      <c r="D1649" t="s">
        <v>2018</v>
      </c>
      <c r="E1649" t="s">
        <v>38</v>
      </c>
      <c r="F1649" t="s">
        <v>3800</v>
      </c>
      <c r="G1649" t="s">
        <v>23</v>
      </c>
      <c r="H1649" t="s">
        <v>4703</v>
      </c>
      <c r="I1649" t="s">
        <v>4704</v>
      </c>
      <c r="J1649" t="s">
        <v>4705</v>
      </c>
      <c r="K1649" t="s">
        <v>4706</v>
      </c>
      <c r="L1649" t="s">
        <v>53</v>
      </c>
      <c r="M1649" t="s">
        <v>132</v>
      </c>
      <c r="N1649" t="s">
        <v>62</v>
      </c>
      <c r="O1649" t="s">
        <v>3767</v>
      </c>
      <c r="P1649" t="s">
        <v>53</v>
      </c>
      <c r="Q1649" t="s">
        <v>20</v>
      </c>
      <c r="R1649" t="s">
        <v>20</v>
      </c>
      <c r="S1649" t="s">
        <v>20</v>
      </c>
    </row>
    <row r="1650" spans="1:19" hidden="1" x14ac:dyDescent="0.45">
      <c r="A1650" t="s">
        <v>2561</v>
      </c>
      <c r="B1650" t="s">
        <v>2967</v>
      </c>
      <c r="C1650" t="s">
        <v>2968</v>
      </c>
      <c r="D1650" t="s">
        <v>2969</v>
      </c>
      <c r="E1650" t="s">
        <v>38</v>
      </c>
      <c r="F1650" t="s">
        <v>2722</v>
      </c>
      <c r="G1650" t="s">
        <v>23</v>
      </c>
      <c r="H1650" t="s">
        <v>2970</v>
      </c>
      <c r="I1650" t="s">
        <v>2971</v>
      </c>
      <c r="J1650" t="s">
        <v>2972</v>
      </c>
      <c r="K1650" t="s">
        <v>2973</v>
      </c>
      <c r="L1650" t="s">
        <v>3418</v>
      </c>
      <c r="M1650" t="s">
        <v>1223</v>
      </c>
      <c r="N1650" t="s">
        <v>1224</v>
      </c>
      <c r="O1650" t="s">
        <v>3767</v>
      </c>
      <c r="P1650" t="s">
        <v>3998</v>
      </c>
      <c r="Q1650" t="s">
        <v>20</v>
      </c>
      <c r="R1650" t="s">
        <v>20</v>
      </c>
      <c r="S1650" t="s">
        <v>20</v>
      </c>
    </row>
    <row r="1651" spans="1:19" hidden="1" x14ac:dyDescent="0.45">
      <c r="A1651" t="s">
        <v>2561</v>
      </c>
      <c r="B1651" t="s">
        <v>3794</v>
      </c>
      <c r="C1651" t="s">
        <v>2968</v>
      </c>
      <c r="D1651" t="s">
        <v>2969</v>
      </c>
      <c r="E1651" t="s">
        <v>21</v>
      </c>
      <c r="F1651" t="s">
        <v>2722</v>
      </c>
      <c r="G1651" t="s">
        <v>23</v>
      </c>
      <c r="H1651" t="s">
        <v>3795</v>
      </c>
      <c r="I1651" t="s">
        <v>3796</v>
      </c>
      <c r="J1651" t="s">
        <v>3797</v>
      </c>
      <c r="K1651" t="s">
        <v>3798</v>
      </c>
      <c r="L1651" t="s">
        <v>722</v>
      </c>
      <c r="M1651" t="s">
        <v>2760</v>
      </c>
      <c r="N1651" t="s">
        <v>2727</v>
      </c>
      <c r="O1651" t="s">
        <v>3767</v>
      </c>
      <c r="P1651" t="s">
        <v>194</v>
      </c>
      <c r="Q1651" t="s">
        <v>20</v>
      </c>
      <c r="R1651" t="s">
        <v>20</v>
      </c>
      <c r="S1651" t="s">
        <v>20</v>
      </c>
    </row>
    <row r="1652" spans="1:19" hidden="1" x14ac:dyDescent="0.45">
      <c r="A1652" t="s">
        <v>2561</v>
      </c>
      <c r="B1652" t="s">
        <v>10621</v>
      </c>
      <c r="C1652" t="s">
        <v>2968</v>
      </c>
      <c r="D1652" t="s">
        <v>2969</v>
      </c>
      <c r="E1652" t="s">
        <v>38</v>
      </c>
      <c r="F1652" t="s">
        <v>2722</v>
      </c>
      <c r="G1652" t="s">
        <v>23</v>
      </c>
      <c r="H1652" t="s">
        <v>10622</v>
      </c>
      <c r="I1652" t="s">
        <v>10372</v>
      </c>
      <c r="J1652" t="s">
        <v>10623</v>
      </c>
      <c r="K1652" t="s">
        <v>10624</v>
      </c>
      <c r="L1652" t="s">
        <v>2769</v>
      </c>
      <c r="M1652" t="s">
        <v>2760</v>
      </c>
      <c r="N1652" t="s">
        <v>1224</v>
      </c>
      <c r="O1652" t="s">
        <v>3767</v>
      </c>
      <c r="P1652" t="s">
        <v>2769</v>
      </c>
      <c r="Q1652" t="s">
        <v>20</v>
      </c>
      <c r="R1652" t="s">
        <v>20</v>
      </c>
      <c r="S1652" t="s">
        <v>20</v>
      </c>
    </row>
    <row r="1653" spans="1:19" hidden="1" x14ac:dyDescent="0.45">
      <c r="A1653" t="s">
        <v>1308</v>
      </c>
      <c r="B1653" t="s">
        <v>10214</v>
      </c>
      <c r="C1653" t="s">
        <v>6812</v>
      </c>
      <c r="D1653" t="s">
        <v>6266</v>
      </c>
      <c r="E1653" t="s">
        <v>21</v>
      </c>
      <c r="F1653" t="s">
        <v>2722</v>
      </c>
      <c r="G1653" t="s">
        <v>23</v>
      </c>
      <c r="H1653" t="s">
        <v>10215</v>
      </c>
      <c r="I1653" t="s">
        <v>10216</v>
      </c>
      <c r="J1653" t="s">
        <v>10217</v>
      </c>
      <c r="K1653" t="s">
        <v>10218</v>
      </c>
      <c r="L1653" t="s">
        <v>6522</v>
      </c>
      <c r="M1653" t="s">
        <v>2760</v>
      </c>
      <c r="N1653" t="s">
        <v>137</v>
      </c>
      <c r="O1653" t="s">
        <v>3767</v>
      </c>
      <c r="P1653" t="s">
        <v>6522</v>
      </c>
      <c r="Q1653" t="s">
        <v>20</v>
      </c>
      <c r="R1653" t="s">
        <v>20</v>
      </c>
      <c r="S1653" t="s">
        <v>20</v>
      </c>
    </row>
    <row r="1654" spans="1:19" hidden="1" x14ac:dyDescent="0.45">
      <c r="A1654" t="s">
        <v>211</v>
      </c>
      <c r="B1654" t="s">
        <v>14240</v>
      </c>
      <c r="C1654" t="s">
        <v>550</v>
      </c>
      <c r="D1654" t="s">
        <v>551</v>
      </c>
      <c r="E1654" t="s">
        <v>57</v>
      </c>
      <c r="F1654" t="s">
        <v>2795</v>
      </c>
      <c r="G1654" t="s">
        <v>23</v>
      </c>
      <c r="H1654" t="s">
        <v>552</v>
      </c>
      <c r="I1654" t="s">
        <v>553</v>
      </c>
      <c r="J1654" t="s">
        <v>554</v>
      </c>
      <c r="K1654" t="s">
        <v>555</v>
      </c>
      <c r="L1654" t="s">
        <v>6525</v>
      </c>
      <c r="M1654" t="s">
        <v>102</v>
      </c>
      <c r="N1654" t="s">
        <v>62</v>
      </c>
      <c r="O1654" t="s">
        <v>3767</v>
      </c>
      <c r="P1654" t="s">
        <v>6525</v>
      </c>
      <c r="Q1654" t="s">
        <v>20</v>
      </c>
      <c r="R1654" t="s">
        <v>20</v>
      </c>
      <c r="S1654" t="s">
        <v>20</v>
      </c>
    </row>
    <row r="1655" spans="1:19" hidden="1" x14ac:dyDescent="0.45">
      <c r="A1655" t="s">
        <v>71</v>
      </c>
      <c r="B1655" t="s">
        <v>4570</v>
      </c>
      <c r="C1655" t="s">
        <v>4571</v>
      </c>
      <c r="D1655" t="s">
        <v>4572</v>
      </c>
      <c r="E1655" t="s">
        <v>2487</v>
      </c>
      <c r="F1655" t="s">
        <v>3062</v>
      </c>
      <c r="G1655" t="s">
        <v>23</v>
      </c>
      <c r="H1655" t="s">
        <v>4573</v>
      </c>
      <c r="I1655" t="s">
        <v>4172</v>
      </c>
      <c r="J1655" t="s">
        <v>4574</v>
      </c>
      <c r="K1655" t="s">
        <v>4575</v>
      </c>
      <c r="L1655" t="s">
        <v>504</v>
      </c>
      <c r="M1655" t="s">
        <v>102</v>
      </c>
      <c r="N1655" t="s">
        <v>146</v>
      </c>
      <c r="O1655" t="s">
        <v>3767</v>
      </c>
      <c r="P1655" t="s">
        <v>1125</v>
      </c>
      <c r="Q1655" t="s">
        <v>20</v>
      </c>
      <c r="R1655" t="s">
        <v>20</v>
      </c>
      <c r="S1655" t="s">
        <v>20</v>
      </c>
    </row>
    <row r="1656" spans="1:19" hidden="1" x14ac:dyDescent="0.45">
      <c r="A1656" t="s">
        <v>71</v>
      </c>
      <c r="B1656" t="s">
        <v>11185</v>
      </c>
      <c r="C1656" t="s">
        <v>4571</v>
      </c>
      <c r="D1656" t="s">
        <v>4572</v>
      </c>
      <c r="E1656" t="s">
        <v>74</v>
      </c>
      <c r="F1656" t="s">
        <v>3673</v>
      </c>
      <c r="G1656" t="s">
        <v>23</v>
      </c>
      <c r="H1656" t="s">
        <v>11186</v>
      </c>
      <c r="I1656" t="s">
        <v>11187</v>
      </c>
      <c r="J1656" t="s">
        <v>11188</v>
      </c>
      <c r="K1656" t="s">
        <v>11189</v>
      </c>
      <c r="L1656" t="s">
        <v>7506</v>
      </c>
      <c r="M1656" t="s">
        <v>102</v>
      </c>
      <c r="N1656" t="s">
        <v>210</v>
      </c>
      <c r="O1656" t="s">
        <v>3767</v>
      </c>
      <c r="P1656" t="s">
        <v>7506</v>
      </c>
      <c r="Q1656" t="s">
        <v>20</v>
      </c>
      <c r="R1656" t="s">
        <v>20</v>
      </c>
      <c r="S1656" t="s">
        <v>20</v>
      </c>
    </row>
    <row r="1657" spans="1:19" hidden="1" x14ac:dyDescent="0.45">
      <c r="A1657" t="s">
        <v>1016</v>
      </c>
      <c r="B1657" t="s">
        <v>3595</v>
      </c>
      <c r="C1657" t="s">
        <v>3441</v>
      </c>
      <c r="D1657" t="s">
        <v>3442</v>
      </c>
      <c r="E1657" t="s">
        <v>38</v>
      </c>
      <c r="F1657" t="s">
        <v>2785</v>
      </c>
      <c r="G1657" t="s">
        <v>23</v>
      </c>
      <c r="H1657" t="s">
        <v>3596</v>
      </c>
      <c r="I1657" t="s">
        <v>3597</v>
      </c>
      <c r="J1657" t="s">
        <v>3598</v>
      </c>
      <c r="K1657" t="s">
        <v>3599</v>
      </c>
      <c r="L1657" t="s">
        <v>111</v>
      </c>
      <c r="M1657" t="s">
        <v>132</v>
      </c>
      <c r="N1657" t="s">
        <v>195</v>
      </c>
      <c r="O1657" t="s">
        <v>3767</v>
      </c>
      <c r="P1657" t="s">
        <v>722</v>
      </c>
      <c r="Q1657" t="s">
        <v>20</v>
      </c>
      <c r="R1657" t="s">
        <v>20</v>
      </c>
      <c r="S1657" t="s">
        <v>20</v>
      </c>
    </row>
    <row r="1658" spans="1:19" hidden="1" x14ac:dyDescent="0.45">
      <c r="A1658" t="s">
        <v>26</v>
      </c>
      <c r="B1658" t="s">
        <v>8490</v>
      </c>
      <c r="C1658" t="s">
        <v>203</v>
      </c>
      <c r="D1658" t="s">
        <v>204</v>
      </c>
      <c r="E1658" t="s">
        <v>74</v>
      </c>
      <c r="F1658" t="s">
        <v>2722</v>
      </c>
      <c r="G1658" t="s">
        <v>23</v>
      </c>
      <c r="H1658" t="s">
        <v>8491</v>
      </c>
      <c r="I1658" t="s">
        <v>8198</v>
      </c>
      <c r="J1658" t="s">
        <v>8492</v>
      </c>
      <c r="K1658" t="s">
        <v>8493</v>
      </c>
      <c r="L1658" t="s">
        <v>902</v>
      </c>
      <c r="M1658" t="s">
        <v>2760</v>
      </c>
      <c r="N1658" t="s">
        <v>678</v>
      </c>
      <c r="O1658" t="s">
        <v>3767</v>
      </c>
      <c r="P1658" t="s">
        <v>902</v>
      </c>
      <c r="Q1658" t="s">
        <v>20</v>
      </c>
      <c r="R1658" t="s">
        <v>20</v>
      </c>
      <c r="S1658" t="s">
        <v>8494</v>
      </c>
    </row>
    <row r="1659" spans="1:19" hidden="1" x14ac:dyDescent="0.45">
      <c r="A1659" t="s">
        <v>81</v>
      </c>
      <c r="B1659" t="s">
        <v>4370</v>
      </c>
      <c r="C1659" t="s">
        <v>919</v>
      </c>
      <c r="D1659" t="s">
        <v>920</v>
      </c>
      <c r="E1659" t="s">
        <v>4208</v>
      </c>
      <c r="F1659" t="s">
        <v>3182</v>
      </c>
      <c r="G1659" t="s">
        <v>23</v>
      </c>
      <c r="H1659" t="s">
        <v>4371</v>
      </c>
      <c r="I1659" t="s">
        <v>4372</v>
      </c>
      <c r="J1659" t="s">
        <v>4373</v>
      </c>
      <c r="K1659" t="s">
        <v>4374</v>
      </c>
      <c r="L1659" t="s">
        <v>635</v>
      </c>
      <c r="M1659" t="s">
        <v>2760</v>
      </c>
      <c r="N1659" t="s">
        <v>33</v>
      </c>
      <c r="O1659" t="s">
        <v>3767</v>
      </c>
      <c r="P1659" t="s">
        <v>296</v>
      </c>
      <c r="Q1659" t="s">
        <v>20</v>
      </c>
      <c r="R1659" t="s">
        <v>20</v>
      </c>
      <c r="S1659" t="s">
        <v>20</v>
      </c>
    </row>
    <row r="1660" spans="1:19" hidden="1" x14ac:dyDescent="0.45">
      <c r="A1660" t="s">
        <v>81</v>
      </c>
      <c r="B1660" t="s">
        <v>8451</v>
      </c>
      <c r="C1660" t="s">
        <v>919</v>
      </c>
      <c r="D1660" t="s">
        <v>920</v>
      </c>
      <c r="E1660" t="s">
        <v>38</v>
      </c>
      <c r="F1660" t="s">
        <v>2785</v>
      </c>
      <c r="G1660" t="s">
        <v>23</v>
      </c>
      <c r="H1660" t="s">
        <v>8452</v>
      </c>
      <c r="I1660" t="s">
        <v>8453</v>
      </c>
      <c r="J1660" t="s">
        <v>8454</v>
      </c>
      <c r="K1660" t="s">
        <v>8455</v>
      </c>
      <c r="L1660" t="s">
        <v>722</v>
      </c>
      <c r="M1660" t="s">
        <v>2760</v>
      </c>
      <c r="N1660" t="s">
        <v>113</v>
      </c>
      <c r="O1660" t="s">
        <v>3767</v>
      </c>
      <c r="P1660" t="s">
        <v>722</v>
      </c>
      <c r="Q1660" t="s">
        <v>20</v>
      </c>
      <c r="R1660" t="s">
        <v>20</v>
      </c>
      <c r="S1660" t="s">
        <v>20</v>
      </c>
    </row>
    <row r="1661" spans="1:19" hidden="1" x14ac:dyDescent="0.45">
      <c r="A1661" t="s">
        <v>81</v>
      </c>
      <c r="B1661" t="s">
        <v>14241</v>
      </c>
      <c r="C1661" t="s">
        <v>919</v>
      </c>
      <c r="D1661" t="s">
        <v>920</v>
      </c>
      <c r="E1661" t="s">
        <v>38</v>
      </c>
      <c r="F1661" t="s">
        <v>3062</v>
      </c>
      <c r="G1661" t="s">
        <v>23</v>
      </c>
      <c r="H1661" t="s">
        <v>14242</v>
      </c>
      <c r="I1661" t="s">
        <v>14243</v>
      </c>
      <c r="J1661" t="s">
        <v>14244</v>
      </c>
      <c r="K1661" t="s">
        <v>14245</v>
      </c>
      <c r="L1661" t="s">
        <v>3418</v>
      </c>
      <c r="M1661" t="s">
        <v>2760</v>
      </c>
      <c r="N1661" t="s">
        <v>146</v>
      </c>
      <c r="O1661" t="s">
        <v>3767</v>
      </c>
      <c r="P1661" t="s">
        <v>6525</v>
      </c>
      <c r="Q1661" t="s">
        <v>20</v>
      </c>
      <c r="R1661" t="s">
        <v>20</v>
      </c>
      <c r="S1661" t="s">
        <v>20</v>
      </c>
    </row>
    <row r="1662" spans="1:19" hidden="1" x14ac:dyDescent="0.45">
      <c r="A1662" t="s">
        <v>81</v>
      </c>
      <c r="B1662" t="s">
        <v>9446</v>
      </c>
      <c r="C1662" t="s">
        <v>919</v>
      </c>
      <c r="D1662" t="s">
        <v>920</v>
      </c>
      <c r="E1662" t="s">
        <v>38</v>
      </c>
      <c r="F1662" t="s">
        <v>2863</v>
      </c>
      <c r="G1662" t="s">
        <v>23</v>
      </c>
      <c r="H1662" t="s">
        <v>7188</v>
      </c>
      <c r="I1662" t="s">
        <v>7189</v>
      </c>
      <c r="J1662" t="s">
        <v>7190</v>
      </c>
      <c r="K1662" t="s">
        <v>7191</v>
      </c>
      <c r="L1662" t="s">
        <v>722</v>
      </c>
      <c r="M1662" t="s">
        <v>2760</v>
      </c>
      <c r="N1662" t="s">
        <v>62</v>
      </c>
      <c r="O1662" t="s">
        <v>3767</v>
      </c>
      <c r="P1662" t="s">
        <v>6513</v>
      </c>
      <c r="Q1662" t="s">
        <v>20</v>
      </c>
      <c r="R1662" t="s">
        <v>20</v>
      </c>
      <c r="S1662" t="s">
        <v>20</v>
      </c>
    </row>
    <row r="1663" spans="1:19" hidden="1" x14ac:dyDescent="0.45">
      <c r="A1663" t="s">
        <v>81</v>
      </c>
      <c r="B1663" t="s">
        <v>14249</v>
      </c>
      <c r="C1663" t="s">
        <v>919</v>
      </c>
      <c r="D1663" t="s">
        <v>920</v>
      </c>
      <c r="E1663" t="s">
        <v>38</v>
      </c>
      <c r="F1663" t="s">
        <v>3062</v>
      </c>
      <c r="G1663" t="s">
        <v>23</v>
      </c>
      <c r="H1663" t="s">
        <v>14250</v>
      </c>
      <c r="I1663" t="s">
        <v>14251</v>
      </c>
      <c r="J1663" t="s">
        <v>14252</v>
      </c>
      <c r="K1663" t="s">
        <v>14253</v>
      </c>
      <c r="L1663" t="s">
        <v>3418</v>
      </c>
      <c r="M1663" t="s">
        <v>2760</v>
      </c>
      <c r="N1663" t="s">
        <v>146</v>
      </c>
      <c r="O1663" t="s">
        <v>3767</v>
      </c>
      <c r="P1663" t="s">
        <v>6525</v>
      </c>
      <c r="Q1663" t="s">
        <v>20</v>
      </c>
      <c r="R1663" t="s">
        <v>20</v>
      </c>
      <c r="S1663" t="s">
        <v>20</v>
      </c>
    </row>
    <row r="1664" spans="1:19" hidden="1" x14ac:dyDescent="0.45">
      <c r="A1664" t="s">
        <v>173</v>
      </c>
      <c r="B1664" t="s">
        <v>14682</v>
      </c>
      <c r="C1664" t="s">
        <v>2902</v>
      </c>
      <c r="D1664" t="s">
        <v>2903</v>
      </c>
      <c r="E1664" t="s">
        <v>38</v>
      </c>
      <c r="F1664" t="s">
        <v>2831</v>
      </c>
      <c r="G1664" t="s">
        <v>23</v>
      </c>
      <c r="H1664" t="s">
        <v>12813</v>
      </c>
      <c r="I1664" t="s">
        <v>12814</v>
      </c>
      <c r="J1664" t="s">
        <v>12815</v>
      </c>
      <c r="K1664" t="s">
        <v>12816</v>
      </c>
      <c r="L1664" t="s">
        <v>3418</v>
      </c>
      <c r="M1664" t="s">
        <v>2760</v>
      </c>
      <c r="N1664" t="s">
        <v>146</v>
      </c>
      <c r="O1664" t="s">
        <v>3767</v>
      </c>
      <c r="P1664" t="s">
        <v>6525</v>
      </c>
      <c r="Q1664" t="s">
        <v>20</v>
      </c>
      <c r="R1664" t="s">
        <v>20</v>
      </c>
      <c r="S1664" t="s">
        <v>20</v>
      </c>
    </row>
    <row r="1665" spans="1:19" hidden="1" x14ac:dyDescent="0.45">
      <c r="A1665" t="s">
        <v>173</v>
      </c>
      <c r="B1665" t="s">
        <v>8525</v>
      </c>
      <c r="C1665" t="s">
        <v>2902</v>
      </c>
      <c r="D1665" t="s">
        <v>2903</v>
      </c>
      <c r="E1665" t="s">
        <v>38</v>
      </c>
      <c r="F1665" t="s">
        <v>3062</v>
      </c>
      <c r="G1665" t="s">
        <v>23</v>
      </c>
      <c r="H1665" t="s">
        <v>8526</v>
      </c>
      <c r="I1665" t="s">
        <v>8527</v>
      </c>
      <c r="J1665" t="s">
        <v>8528</v>
      </c>
      <c r="K1665" t="s">
        <v>7291</v>
      </c>
      <c r="L1665" t="s">
        <v>722</v>
      </c>
      <c r="M1665" t="s">
        <v>2760</v>
      </c>
      <c r="N1665" t="s">
        <v>146</v>
      </c>
      <c r="O1665" t="s">
        <v>3767</v>
      </c>
      <c r="P1665" t="s">
        <v>5398</v>
      </c>
      <c r="Q1665" t="s">
        <v>20</v>
      </c>
      <c r="R1665" t="s">
        <v>20</v>
      </c>
      <c r="S1665" t="s">
        <v>20</v>
      </c>
    </row>
    <row r="1666" spans="1:19" hidden="1" x14ac:dyDescent="0.45">
      <c r="A1666" t="s">
        <v>173</v>
      </c>
      <c r="B1666" t="s">
        <v>4078</v>
      </c>
      <c r="C1666" t="s">
        <v>2902</v>
      </c>
      <c r="D1666" t="s">
        <v>2903</v>
      </c>
      <c r="E1666" t="s">
        <v>2487</v>
      </c>
      <c r="F1666" t="s">
        <v>3062</v>
      </c>
      <c r="G1666" t="s">
        <v>23</v>
      </c>
      <c r="H1666" t="s">
        <v>4079</v>
      </c>
      <c r="I1666" t="s">
        <v>4080</v>
      </c>
      <c r="J1666" t="s">
        <v>4081</v>
      </c>
      <c r="K1666" t="s">
        <v>4082</v>
      </c>
      <c r="L1666" t="s">
        <v>214</v>
      </c>
      <c r="M1666" t="s">
        <v>102</v>
      </c>
      <c r="N1666" t="s">
        <v>146</v>
      </c>
      <c r="O1666" t="s">
        <v>3767</v>
      </c>
      <c r="P1666" t="s">
        <v>1125</v>
      </c>
      <c r="Q1666" t="s">
        <v>20</v>
      </c>
      <c r="R1666" t="s">
        <v>20</v>
      </c>
      <c r="S1666" t="s">
        <v>20</v>
      </c>
    </row>
    <row r="1667" spans="1:19" hidden="1" x14ac:dyDescent="0.45">
      <c r="A1667" t="s">
        <v>173</v>
      </c>
      <c r="B1667" t="s">
        <v>6716</v>
      </c>
      <c r="C1667" t="s">
        <v>482</v>
      </c>
      <c r="D1667" t="s">
        <v>483</v>
      </c>
      <c r="E1667" t="s">
        <v>38</v>
      </c>
      <c r="F1667" t="s">
        <v>3062</v>
      </c>
      <c r="G1667" t="s">
        <v>23</v>
      </c>
      <c r="H1667" t="s">
        <v>484</v>
      </c>
      <c r="I1667" t="s">
        <v>485</v>
      </c>
      <c r="J1667" t="s">
        <v>486</v>
      </c>
      <c r="K1667" t="s">
        <v>487</v>
      </c>
      <c r="L1667" t="s">
        <v>161</v>
      </c>
      <c r="M1667" t="s">
        <v>2760</v>
      </c>
      <c r="N1667" t="s">
        <v>146</v>
      </c>
      <c r="O1667" t="s">
        <v>3767</v>
      </c>
      <c r="P1667" t="s">
        <v>290</v>
      </c>
      <c r="Q1667" t="s">
        <v>20</v>
      </c>
      <c r="R1667" t="s">
        <v>20</v>
      </c>
      <c r="S1667" t="s">
        <v>20</v>
      </c>
    </row>
    <row r="1668" spans="1:19" hidden="1" x14ac:dyDescent="0.45">
      <c r="A1668" t="s">
        <v>173</v>
      </c>
      <c r="B1668" t="s">
        <v>14027</v>
      </c>
      <c r="C1668" t="s">
        <v>482</v>
      </c>
      <c r="D1668" t="s">
        <v>483</v>
      </c>
      <c r="E1668" t="s">
        <v>38</v>
      </c>
      <c r="F1668" t="s">
        <v>2795</v>
      </c>
      <c r="G1668" t="s">
        <v>23</v>
      </c>
      <c r="H1668" t="s">
        <v>832</v>
      </c>
      <c r="I1668" t="s">
        <v>833</v>
      </c>
      <c r="J1668" t="s">
        <v>834</v>
      </c>
      <c r="K1668" t="s">
        <v>835</v>
      </c>
      <c r="L1668" t="s">
        <v>6513</v>
      </c>
      <c r="M1668" t="s">
        <v>2760</v>
      </c>
      <c r="N1668" t="s">
        <v>62</v>
      </c>
      <c r="O1668" t="s">
        <v>3767</v>
      </c>
      <c r="P1668" t="s">
        <v>8094</v>
      </c>
      <c r="Q1668" t="s">
        <v>20</v>
      </c>
      <c r="R1668" t="s">
        <v>20</v>
      </c>
      <c r="S1668" t="s">
        <v>20</v>
      </c>
    </row>
    <row r="1669" spans="1:19" hidden="1" x14ac:dyDescent="0.45">
      <c r="A1669" t="s">
        <v>310</v>
      </c>
      <c r="B1669" t="s">
        <v>14028</v>
      </c>
      <c r="C1669" t="s">
        <v>419</v>
      </c>
      <c r="D1669" t="s">
        <v>420</v>
      </c>
      <c r="E1669" t="s">
        <v>38</v>
      </c>
      <c r="F1669" t="s">
        <v>14029</v>
      </c>
      <c r="G1669" t="s">
        <v>23</v>
      </c>
      <c r="H1669" t="s">
        <v>12212</v>
      </c>
      <c r="I1669" t="s">
        <v>12213</v>
      </c>
      <c r="J1669" t="s">
        <v>12877</v>
      </c>
      <c r="K1669" t="s">
        <v>12878</v>
      </c>
      <c r="L1669" t="s">
        <v>11782</v>
      </c>
      <c r="M1669" t="s">
        <v>2760</v>
      </c>
      <c r="N1669" t="s">
        <v>3831</v>
      </c>
      <c r="O1669" t="s">
        <v>3767</v>
      </c>
      <c r="P1669" t="s">
        <v>8094</v>
      </c>
      <c r="Q1669" t="s">
        <v>20</v>
      </c>
      <c r="R1669" t="s">
        <v>20</v>
      </c>
      <c r="S1669" t="s">
        <v>12214</v>
      </c>
    </row>
    <row r="1670" spans="1:19" hidden="1" x14ac:dyDescent="0.45">
      <c r="A1670" t="s">
        <v>425</v>
      </c>
      <c r="B1670" t="s">
        <v>8900</v>
      </c>
      <c r="C1670" t="s">
        <v>2671</v>
      </c>
      <c r="D1670" t="s">
        <v>2672</v>
      </c>
      <c r="E1670" t="s">
        <v>38</v>
      </c>
      <c r="F1670" t="s">
        <v>2795</v>
      </c>
      <c r="G1670" t="s">
        <v>23</v>
      </c>
      <c r="H1670" t="s">
        <v>2673</v>
      </c>
      <c r="I1670" t="s">
        <v>2674</v>
      </c>
      <c r="J1670" t="s">
        <v>2675</v>
      </c>
      <c r="K1670" t="s">
        <v>1683</v>
      </c>
      <c r="L1670" t="s">
        <v>209</v>
      </c>
      <c r="M1670" t="s">
        <v>132</v>
      </c>
      <c r="N1670" t="s">
        <v>146</v>
      </c>
      <c r="O1670" t="s">
        <v>3767</v>
      </c>
      <c r="P1670" t="s">
        <v>2330</v>
      </c>
      <c r="Q1670" t="s">
        <v>20</v>
      </c>
      <c r="R1670" t="s">
        <v>20</v>
      </c>
      <c r="S1670" t="s">
        <v>20</v>
      </c>
    </row>
    <row r="1671" spans="1:19" hidden="1" x14ac:dyDescent="0.45">
      <c r="A1671" t="s">
        <v>94</v>
      </c>
      <c r="B1671" t="s">
        <v>8515</v>
      </c>
      <c r="C1671" t="s">
        <v>2746</v>
      </c>
      <c r="D1671" t="s">
        <v>2747</v>
      </c>
      <c r="E1671" t="s">
        <v>38</v>
      </c>
      <c r="F1671" t="s">
        <v>3062</v>
      </c>
      <c r="G1671" t="s">
        <v>23</v>
      </c>
      <c r="H1671" t="s">
        <v>8516</v>
      </c>
      <c r="I1671" t="s">
        <v>8517</v>
      </c>
      <c r="J1671" t="s">
        <v>8518</v>
      </c>
      <c r="K1671" t="s">
        <v>8519</v>
      </c>
      <c r="L1671" t="s">
        <v>5398</v>
      </c>
      <c r="M1671" t="s">
        <v>2760</v>
      </c>
      <c r="N1671" t="s">
        <v>146</v>
      </c>
      <c r="O1671" t="s">
        <v>3767</v>
      </c>
      <c r="P1671" t="s">
        <v>5398</v>
      </c>
      <c r="Q1671" t="s">
        <v>20</v>
      </c>
      <c r="R1671" t="s">
        <v>20</v>
      </c>
      <c r="S1671" t="s">
        <v>20</v>
      </c>
    </row>
    <row r="1672" spans="1:19" hidden="1" x14ac:dyDescent="0.45">
      <c r="A1672" t="s">
        <v>592</v>
      </c>
      <c r="B1672" t="s">
        <v>5277</v>
      </c>
      <c r="C1672" t="s">
        <v>1488</v>
      </c>
      <c r="D1672" t="s">
        <v>1489</v>
      </c>
      <c r="E1672" t="s">
        <v>38</v>
      </c>
      <c r="F1672" t="s">
        <v>2722</v>
      </c>
      <c r="G1672" t="s">
        <v>23</v>
      </c>
      <c r="H1672" t="s">
        <v>5278</v>
      </c>
      <c r="I1672" t="s">
        <v>5279</v>
      </c>
      <c r="J1672" t="s">
        <v>5280</v>
      </c>
      <c r="K1672" t="s">
        <v>5281</v>
      </c>
      <c r="L1672" t="s">
        <v>296</v>
      </c>
      <c r="M1672" t="s">
        <v>2760</v>
      </c>
      <c r="N1672" t="s">
        <v>2858</v>
      </c>
      <c r="O1672" t="s">
        <v>3767</v>
      </c>
      <c r="P1672" t="s">
        <v>290</v>
      </c>
      <c r="Q1672" t="s">
        <v>20</v>
      </c>
      <c r="R1672" t="s">
        <v>20</v>
      </c>
      <c r="S1672" t="s">
        <v>20</v>
      </c>
    </row>
    <row r="1673" spans="1:19" hidden="1" x14ac:dyDescent="0.45">
      <c r="A1673" t="s">
        <v>592</v>
      </c>
      <c r="B1673" t="s">
        <v>12398</v>
      </c>
      <c r="C1673" t="s">
        <v>1488</v>
      </c>
      <c r="D1673" t="s">
        <v>1489</v>
      </c>
      <c r="E1673" t="s">
        <v>21</v>
      </c>
      <c r="F1673" t="s">
        <v>2755</v>
      </c>
      <c r="G1673" t="s">
        <v>23</v>
      </c>
      <c r="H1673" t="s">
        <v>4845</v>
      </c>
      <c r="I1673" t="s">
        <v>4846</v>
      </c>
      <c r="J1673" t="s">
        <v>4847</v>
      </c>
      <c r="K1673" t="s">
        <v>4848</v>
      </c>
      <c r="L1673" t="s">
        <v>53</v>
      </c>
      <c r="M1673" t="s">
        <v>1223</v>
      </c>
      <c r="N1673" t="s">
        <v>678</v>
      </c>
      <c r="O1673" t="s">
        <v>3767</v>
      </c>
      <c r="P1673" t="s">
        <v>53</v>
      </c>
      <c r="Q1673" t="s">
        <v>20</v>
      </c>
      <c r="R1673" t="s">
        <v>20</v>
      </c>
      <c r="S1673" t="s">
        <v>20</v>
      </c>
    </row>
    <row r="1674" spans="1:19" hidden="1" x14ac:dyDescent="0.45">
      <c r="A1674" t="s">
        <v>592</v>
      </c>
      <c r="B1674" t="s">
        <v>8448</v>
      </c>
      <c r="C1674" t="s">
        <v>1488</v>
      </c>
      <c r="D1674" t="s">
        <v>1489</v>
      </c>
      <c r="E1674" t="s">
        <v>57</v>
      </c>
      <c r="F1674" t="s">
        <v>8449</v>
      </c>
      <c r="G1674" t="s">
        <v>23</v>
      </c>
      <c r="H1674" t="s">
        <v>2872</v>
      </c>
      <c r="I1674" t="s">
        <v>2873</v>
      </c>
      <c r="J1674" t="s">
        <v>2874</v>
      </c>
      <c r="K1674" t="s">
        <v>2875</v>
      </c>
      <c r="L1674" t="s">
        <v>722</v>
      </c>
      <c r="M1674" t="s">
        <v>1498</v>
      </c>
      <c r="N1674" t="s">
        <v>45</v>
      </c>
      <c r="O1674" t="s">
        <v>3767</v>
      </c>
      <c r="P1674" t="s">
        <v>5398</v>
      </c>
      <c r="Q1674" t="s">
        <v>20</v>
      </c>
      <c r="R1674" t="s">
        <v>20</v>
      </c>
      <c r="S1674" t="s">
        <v>20</v>
      </c>
    </row>
    <row r="1675" spans="1:19" hidden="1" x14ac:dyDescent="0.45">
      <c r="A1675" t="s">
        <v>592</v>
      </c>
      <c r="B1675" t="s">
        <v>12399</v>
      </c>
      <c r="C1675" t="s">
        <v>1488</v>
      </c>
      <c r="D1675" t="s">
        <v>1489</v>
      </c>
      <c r="E1675" t="s">
        <v>38</v>
      </c>
      <c r="F1675" t="s">
        <v>3062</v>
      </c>
      <c r="G1675" t="s">
        <v>23</v>
      </c>
      <c r="H1675" t="s">
        <v>7969</v>
      </c>
      <c r="I1675" t="s">
        <v>7970</v>
      </c>
      <c r="J1675" t="s">
        <v>7971</v>
      </c>
      <c r="K1675" t="s">
        <v>7972</v>
      </c>
      <c r="L1675" t="s">
        <v>6513</v>
      </c>
      <c r="M1675" t="s">
        <v>416</v>
      </c>
      <c r="N1675" t="s">
        <v>45</v>
      </c>
      <c r="O1675" t="s">
        <v>3767</v>
      </c>
      <c r="P1675" t="s">
        <v>8377</v>
      </c>
      <c r="Q1675" t="s">
        <v>20</v>
      </c>
      <c r="R1675" t="s">
        <v>20</v>
      </c>
      <c r="S1675" t="s">
        <v>4901</v>
      </c>
    </row>
    <row r="1676" spans="1:19" hidden="1" x14ac:dyDescent="0.45">
      <c r="A1676" t="s">
        <v>54</v>
      </c>
      <c r="B1676" t="s">
        <v>14030</v>
      </c>
      <c r="C1676" t="s">
        <v>440</v>
      </c>
      <c r="D1676" t="s">
        <v>441</v>
      </c>
      <c r="E1676" t="s">
        <v>38</v>
      </c>
      <c r="F1676" t="s">
        <v>2948</v>
      </c>
      <c r="G1676" t="s">
        <v>23</v>
      </c>
      <c r="H1676" t="s">
        <v>14031</v>
      </c>
      <c r="I1676" t="s">
        <v>14032</v>
      </c>
      <c r="J1676" t="s">
        <v>14033</v>
      </c>
      <c r="K1676" t="s">
        <v>14034</v>
      </c>
      <c r="L1676" t="s">
        <v>8094</v>
      </c>
      <c r="M1676" t="s">
        <v>2760</v>
      </c>
      <c r="N1676" t="s">
        <v>146</v>
      </c>
      <c r="O1676" t="s">
        <v>3767</v>
      </c>
      <c r="P1676" t="s">
        <v>3998</v>
      </c>
      <c r="Q1676" t="s">
        <v>20</v>
      </c>
      <c r="R1676" t="s">
        <v>20</v>
      </c>
      <c r="S1676" t="s">
        <v>20</v>
      </c>
    </row>
    <row r="1677" spans="1:19" hidden="1" x14ac:dyDescent="0.45">
      <c r="A1677" t="s">
        <v>54</v>
      </c>
      <c r="B1677" t="s">
        <v>11868</v>
      </c>
      <c r="C1677" t="s">
        <v>440</v>
      </c>
      <c r="D1677" t="s">
        <v>441</v>
      </c>
      <c r="E1677" t="s">
        <v>29</v>
      </c>
      <c r="F1677" t="s">
        <v>3891</v>
      </c>
      <c r="G1677" t="s">
        <v>23</v>
      </c>
      <c r="H1677" t="s">
        <v>456</v>
      </c>
      <c r="I1677" t="s">
        <v>457</v>
      </c>
      <c r="J1677" t="s">
        <v>458</v>
      </c>
      <c r="K1677" t="s">
        <v>459</v>
      </c>
      <c r="L1677" t="s">
        <v>3418</v>
      </c>
      <c r="M1677" t="s">
        <v>32</v>
      </c>
      <c r="N1677" t="s">
        <v>62</v>
      </c>
      <c r="O1677" t="s">
        <v>3767</v>
      </c>
      <c r="P1677" t="s">
        <v>3998</v>
      </c>
      <c r="Q1677" t="s">
        <v>20</v>
      </c>
      <c r="R1677" t="s">
        <v>20</v>
      </c>
      <c r="S1677" t="s">
        <v>20</v>
      </c>
    </row>
    <row r="1678" spans="1:19" hidden="1" x14ac:dyDescent="0.45">
      <c r="A1678" t="s">
        <v>64</v>
      </c>
      <c r="B1678" t="s">
        <v>3935</v>
      </c>
      <c r="C1678" t="s">
        <v>601</v>
      </c>
      <c r="D1678" t="s">
        <v>602</v>
      </c>
      <c r="E1678" t="s">
        <v>38</v>
      </c>
      <c r="F1678" t="s">
        <v>14683</v>
      </c>
      <c r="G1678" t="s">
        <v>23</v>
      </c>
      <c r="H1678" t="s">
        <v>3936</v>
      </c>
      <c r="I1678" t="s">
        <v>3937</v>
      </c>
      <c r="J1678" t="s">
        <v>3938</v>
      </c>
      <c r="K1678" t="s">
        <v>3939</v>
      </c>
      <c r="L1678" t="s">
        <v>161</v>
      </c>
      <c r="M1678" t="s">
        <v>2760</v>
      </c>
      <c r="N1678" t="s">
        <v>3831</v>
      </c>
      <c r="O1678" t="s">
        <v>3767</v>
      </c>
      <c r="P1678" t="s">
        <v>161</v>
      </c>
      <c r="Q1678" t="s">
        <v>20</v>
      </c>
      <c r="R1678" t="s">
        <v>20</v>
      </c>
      <c r="S1678" t="s">
        <v>3940</v>
      </c>
    </row>
    <row r="1679" spans="1:19" hidden="1" x14ac:dyDescent="0.45">
      <c r="A1679" t="s">
        <v>809</v>
      </c>
      <c r="B1679" t="s">
        <v>12341</v>
      </c>
      <c r="C1679" t="s">
        <v>2074</v>
      </c>
      <c r="D1679" t="s">
        <v>2075</v>
      </c>
      <c r="E1679" t="s">
        <v>2487</v>
      </c>
      <c r="F1679" t="s">
        <v>12245</v>
      </c>
      <c r="G1679" t="s">
        <v>23</v>
      </c>
      <c r="H1679" t="s">
        <v>7681</v>
      </c>
      <c r="I1679" t="s">
        <v>7682</v>
      </c>
      <c r="J1679" t="s">
        <v>7683</v>
      </c>
      <c r="K1679" t="s">
        <v>7684</v>
      </c>
      <c r="L1679" t="s">
        <v>3418</v>
      </c>
      <c r="M1679" t="s">
        <v>32</v>
      </c>
      <c r="N1679" t="s">
        <v>62</v>
      </c>
      <c r="O1679" t="s">
        <v>3767</v>
      </c>
      <c r="P1679" t="s">
        <v>8109</v>
      </c>
      <c r="Q1679" t="s">
        <v>20</v>
      </c>
      <c r="R1679" t="s">
        <v>20</v>
      </c>
      <c r="S1679" t="s">
        <v>20</v>
      </c>
    </row>
    <row r="1680" spans="1:19" hidden="1" x14ac:dyDescent="0.45">
      <c r="A1680" t="s">
        <v>715</v>
      </c>
      <c r="B1680" t="s">
        <v>11217</v>
      </c>
      <c r="C1680" t="s">
        <v>3974</v>
      </c>
      <c r="D1680" t="s">
        <v>3975</v>
      </c>
      <c r="E1680" t="s">
        <v>38</v>
      </c>
      <c r="F1680" t="s">
        <v>2831</v>
      </c>
      <c r="G1680" t="s">
        <v>23</v>
      </c>
      <c r="H1680" t="s">
        <v>8983</v>
      </c>
      <c r="I1680" t="s">
        <v>9073</v>
      </c>
      <c r="J1680" t="s">
        <v>9807</v>
      </c>
      <c r="K1680" t="s">
        <v>9808</v>
      </c>
      <c r="L1680" t="s">
        <v>9619</v>
      </c>
      <c r="M1680" t="s">
        <v>2760</v>
      </c>
      <c r="N1680" t="s">
        <v>146</v>
      </c>
      <c r="O1680" t="s">
        <v>3767</v>
      </c>
      <c r="P1680" t="s">
        <v>6513</v>
      </c>
      <c r="Q1680" t="s">
        <v>20</v>
      </c>
      <c r="R1680" t="s">
        <v>20</v>
      </c>
      <c r="S1680" t="s">
        <v>20</v>
      </c>
    </row>
    <row r="1681" spans="1:19" hidden="1" x14ac:dyDescent="0.45">
      <c r="A1681" t="s">
        <v>662</v>
      </c>
      <c r="B1681" t="s">
        <v>8450</v>
      </c>
      <c r="C1681" t="s">
        <v>671</v>
      </c>
      <c r="D1681" t="s">
        <v>672</v>
      </c>
      <c r="E1681" t="s">
        <v>21</v>
      </c>
      <c r="F1681" t="s">
        <v>13449</v>
      </c>
      <c r="G1681" t="s">
        <v>23</v>
      </c>
      <c r="H1681" t="s">
        <v>673</v>
      </c>
      <c r="I1681" t="s">
        <v>674</v>
      </c>
      <c r="J1681" t="s">
        <v>675</v>
      </c>
      <c r="K1681" t="s">
        <v>676</v>
      </c>
      <c r="L1681" t="s">
        <v>9574</v>
      </c>
      <c r="M1681" t="s">
        <v>2760</v>
      </c>
      <c r="N1681" t="s">
        <v>678</v>
      </c>
      <c r="O1681" t="s">
        <v>3767</v>
      </c>
      <c r="P1681" t="s">
        <v>902</v>
      </c>
      <c r="Q1681" t="s">
        <v>20</v>
      </c>
      <c r="R1681" t="s">
        <v>20</v>
      </c>
      <c r="S1681" t="s">
        <v>20</v>
      </c>
    </row>
    <row r="1682" spans="1:19" hidden="1" x14ac:dyDescent="0.45">
      <c r="A1682" t="s">
        <v>239</v>
      </c>
      <c r="B1682" t="s">
        <v>3877</v>
      </c>
      <c r="C1682" t="s">
        <v>2010</v>
      </c>
      <c r="D1682" t="s">
        <v>2011</v>
      </c>
      <c r="E1682" t="s">
        <v>21</v>
      </c>
      <c r="F1682" t="s">
        <v>2785</v>
      </c>
      <c r="G1682" t="s">
        <v>23</v>
      </c>
      <c r="H1682" t="s">
        <v>3878</v>
      </c>
      <c r="I1682" t="s">
        <v>3879</v>
      </c>
      <c r="J1682" t="s">
        <v>3880</v>
      </c>
      <c r="K1682" t="s">
        <v>3881</v>
      </c>
      <c r="L1682" t="s">
        <v>111</v>
      </c>
      <c r="M1682" t="s">
        <v>132</v>
      </c>
      <c r="N1682" t="s">
        <v>146</v>
      </c>
      <c r="O1682" t="s">
        <v>3767</v>
      </c>
      <c r="P1682" t="s">
        <v>111</v>
      </c>
      <c r="Q1682" t="s">
        <v>20</v>
      </c>
      <c r="R1682" t="s">
        <v>20</v>
      </c>
      <c r="S1682" t="s">
        <v>20</v>
      </c>
    </row>
    <row r="1683" spans="1:19" hidden="1" x14ac:dyDescent="0.45">
      <c r="A1683" t="s">
        <v>239</v>
      </c>
      <c r="B1683" t="s">
        <v>5068</v>
      </c>
      <c r="C1683" t="s">
        <v>2010</v>
      </c>
      <c r="D1683" t="s">
        <v>2011</v>
      </c>
      <c r="E1683" t="s">
        <v>38</v>
      </c>
      <c r="F1683" t="s">
        <v>2722</v>
      </c>
      <c r="G1683" t="s">
        <v>23</v>
      </c>
      <c r="H1683" t="s">
        <v>5069</v>
      </c>
      <c r="I1683" t="s">
        <v>5070</v>
      </c>
      <c r="J1683" t="s">
        <v>5071</v>
      </c>
      <c r="K1683" t="s">
        <v>5072</v>
      </c>
      <c r="L1683" t="s">
        <v>168</v>
      </c>
      <c r="M1683" t="s">
        <v>3145</v>
      </c>
      <c r="N1683" t="s">
        <v>2727</v>
      </c>
      <c r="O1683" t="s">
        <v>3767</v>
      </c>
      <c r="P1683" t="s">
        <v>1125</v>
      </c>
      <c r="Q1683" t="s">
        <v>20</v>
      </c>
      <c r="R1683" t="s">
        <v>20</v>
      </c>
      <c r="S1683" t="s">
        <v>20</v>
      </c>
    </row>
    <row r="1684" spans="1:19" hidden="1" x14ac:dyDescent="0.45">
      <c r="A1684" t="s">
        <v>71</v>
      </c>
      <c r="B1684" t="s">
        <v>4394</v>
      </c>
      <c r="C1684" t="s">
        <v>1656</v>
      </c>
      <c r="D1684" t="s">
        <v>1657</v>
      </c>
      <c r="E1684" t="s">
        <v>38</v>
      </c>
      <c r="F1684" t="s">
        <v>2904</v>
      </c>
      <c r="G1684" t="s">
        <v>23</v>
      </c>
      <c r="H1684" t="s">
        <v>4395</v>
      </c>
      <c r="I1684" t="s">
        <v>4396</v>
      </c>
      <c r="J1684" t="s">
        <v>4397</v>
      </c>
      <c r="K1684" t="s">
        <v>4398</v>
      </c>
      <c r="L1684" t="s">
        <v>895</v>
      </c>
      <c r="M1684" t="s">
        <v>2760</v>
      </c>
      <c r="N1684" t="s">
        <v>678</v>
      </c>
      <c r="O1684" t="s">
        <v>3767</v>
      </c>
      <c r="P1684" t="s">
        <v>296</v>
      </c>
      <c r="Q1684" t="s">
        <v>20</v>
      </c>
      <c r="R1684" t="s">
        <v>20</v>
      </c>
      <c r="S1684" t="s">
        <v>20</v>
      </c>
    </row>
    <row r="1685" spans="1:19" hidden="1" x14ac:dyDescent="0.45">
      <c r="A1685" t="s">
        <v>71</v>
      </c>
      <c r="B1685" t="s">
        <v>11992</v>
      </c>
      <c r="C1685" t="s">
        <v>1656</v>
      </c>
      <c r="D1685" t="s">
        <v>1657</v>
      </c>
      <c r="E1685" t="s">
        <v>38</v>
      </c>
      <c r="F1685" t="s">
        <v>2785</v>
      </c>
      <c r="G1685" t="s">
        <v>23</v>
      </c>
      <c r="H1685" t="s">
        <v>11993</v>
      </c>
      <c r="I1685" t="s">
        <v>11994</v>
      </c>
      <c r="J1685" t="s">
        <v>11995</v>
      </c>
      <c r="K1685" t="s">
        <v>11996</v>
      </c>
      <c r="L1685" t="s">
        <v>6524</v>
      </c>
      <c r="M1685" t="s">
        <v>2760</v>
      </c>
      <c r="N1685" t="s">
        <v>146</v>
      </c>
      <c r="O1685" t="s">
        <v>3767</v>
      </c>
      <c r="P1685" t="s">
        <v>8377</v>
      </c>
      <c r="Q1685" t="s">
        <v>20</v>
      </c>
      <c r="R1685" t="s">
        <v>20</v>
      </c>
      <c r="S1685" t="s">
        <v>20</v>
      </c>
    </row>
    <row r="1686" spans="1:19" hidden="1" x14ac:dyDescent="0.45">
      <c r="A1686" t="s">
        <v>71</v>
      </c>
      <c r="B1686" t="s">
        <v>12971</v>
      </c>
      <c r="C1686" t="s">
        <v>1656</v>
      </c>
      <c r="D1686" t="s">
        <v>1657</v>
      </c>
      <c r="E1686" t="s">
        <v>38</v>
      </c>
      <c r="F1686" t="s">
        <v>2785</v>
      </c>
      <c r="G1686" t="s">
        <v>23</v>
      </c>
      <c r="H1686" t="s">
        <v>12972</v>
      </c>
      <c r="I1686" t="s">
        <v>12973</v>
      </c>
      <c r="J1686" t="s">
        <v>12974</v>
      </c>
      <c r="K1686" t="s">
        <v>12975</v>
      </c>
      <c r="L1686" t="s">
        <v>8094</v>
      </c>
      <c r="M1686" t="s">
        <v>2760</v>
      </c>
      <c r="N1686" t="s">
        <v>146</v>
      </c>
      <c r="O1686" t="s">
        <v>3767</v>
      </c>
      <c r="P1686" t="s">
        <v>6524</v>
      </c>
      <c r="Q1686" t="s">
        <v>20</v>
      </c>
      <c r="R1686" t="s">
        <v>20</v>
      </c>
      <c r="S1686" t="s">
        <v>20</v>
      </c>
    </row>
    <row r="1687" spans="1:19" hidden="1" x14ac:dyDescent="0.45">
      <c r="A1687" t="s">
        <v>71</v>
      </c>
      <c r="B1687" t="s">
        <v>10647</v>
      </c>
      <c r="C1687" t="s">
        <v>1656</v>
      </c>
      <c r="D1687" t="s">
        <v>1657</v>
      </c>
      <c r="E1687" t="s">
        <v>57</v>
      </c>
      <c r="F1687" t="s">
        <v>3673</v>
      </c>
      <c r="G1687" t="s">
        <v>23</v>
      </c>
      <c r="H1687" t="s">
        <v>7155</v>
      </c>
      <c r="I1687" t="s">
        <v>7156</v>
      </c>
      <c r="J1687" t="s">
        <v>7157</v>
      </c>
      <c r="K1687" t="s">
        <v>7158</v>
      </c>
      <c r="L1687" t="s">
        <v>2769</v>
      </c>
      <c r="M1687" t="s">
        <v>102</v>
      </c>
      <c r="N1687" t="s">
        <v>62</v>
      </c>
      <c r="O1687" t="s">
        <v>3767</v>
      </c>
      <c r="P1687" t="s">
        <v>6522</v>
      </c>
      <c r="Q1687" t="s">
        <v>20</v>
      </c>
      <c r="R1687" t="s">
        <v>20</v>
      </c>
      <c r="S1687" t="s">
        <v>20</v>
      </c>
    </row>
    <row r="1688" spans="1:19" hidden="1" x14ac:dyDescent="0.45">
      <c r="A1688" t="s">
        <v>446</v>
      </c>
      <c r="B1688" t="s">
        <v>4359</v>
      </c>
      <c r="C1688" t="s">
        <v>3889</v>
      </c>
      <c r="D1688" t="s">
        <v>3890</v>
      </c>
      <c r="E1688" t="s">
        <v>4208</v>
      </c>
      <c r="F1688" t="s">
        <v>2940</v>
      </c>
      <c r="G1688" t="s">
        <v>23</v>
      </c>
      <c r="H1688" t="s">
        <v>4360</v>
      </c>
      <c r="I1688" t="s">
        <v>4361</v>
      </c>
      <c r="J1688" t="s">
        <v>4362</v>
      </c>
      <c r="K1688" t="s">
        <v>4363</v>
      </c>
      <c r="L1688" t="s">
        <v>1125</v>
      </c>
      <c r="M1688" t="s">
        <v>297</v>
      </c>
      <c r="N1688" t="s">
        <v>62</v>
      </c>
      <c r="O1688" t="s">
        <v>3767</v>
      </c>
      <c r="P1688" t="s">
        <v>296</v>
      </c>
      <c r="Q1688" t="s">
        <v>20</v>
      </c>
      <c r="R1688" t="s">
        <v>20</v>
      </c>
      <c r="S1688" t="s">
        <v>20</v>
      </c>
    </row>
    <row r="1689" spans="1:19" hidden="1" x14ac:dyDescent="0.45">
      <c r="A1689" t="s">
        <v>802</v>
      </c>
      <c r="B1689" t="s">
        <v>10213</v>
      </c>
      <c r="C1689" t="s">
        <v>1741</v>
      </c>
      <c r="D1689" t="s">
        <v>1742</v>
      </c>
      <c r="E1689" t="s">
        <v>38</v>
      </c>
      <c r="F1689" t="s">
        <v>3062</v>
      </c>
      <c r="G1689" t="s">
        <v>23</v>
      </c>
      <c r="H1689" t="s">
        <v>7920</v>
      </c>
      <c r="I1689" t="s">
        <v>7921</v>
      </c>
      <c r="J1689" t="s">
        <v>7922</v>
      </c>
      <c r="K1689" t="s">
        <v>7923</v>
      </c>
      <c r="L1689" t="s">
        <v>2769</v>
      </c>
      <c r="M1689" t="s">
        <v>2760</v>
      </c>
      <c r="N1689" t="s">
        <v>113</v>
      </c>
      <c r="O1689" t="s">
        <v>3767</v>
      </c>
      <c r="P1689" t="s">
        <v>2769</v>
      </c>
      <c r="Q1689" t="s">
        <v>20</v>
      </c>
      <c r="R1689" t="s">
        <v>20</v>
      </c>
      <c r="S1689" t="s">
        <v>20</v>
      </c>
    </row>
    <row r="1690" spans="1:19" hidden="1" x14ac:dyDescent="0.45">
      <c r="A1690" t="s">
        <v>802</v>
      </c>
      <c r="B1690" t="s">
        <v>12343</v>
      </c>
      <c r="C1690" t="s">
        <v>1741</v>
      </c>
      <c r="D1690" t="s">
        <v>1742</v>
      </c>
      <c r="E1690" t="s">
        <v>38</v>
      </c>
      <c r="F1690" t="s">
        <v>2755</v>
      </c>
      <c r="G1690" t="s">
        <v>23</v>
      </c>
      <c r="H1690" t="s">
        <v>11888</v>
      </c>
      <c r="I1690" t="s">
        <v>11889</v>
      </c>
      <c r="J1690" t="s">
        <v>11890</v>
      </c>
      <c r="K1690" t="s">
        <v>11891</v>
      </c>
      <c r="L1690" t="s">
        <v>6527</v>
      </c>
      <c r="M1690" t="s">
        <v>2760</v>
      </c>
      <c r="N1690" t="s">
        <v>146</v>
      </c>
      <c r="O1690" t="s">
        <v>3767</v>
      </c>
      <c r="P1690" t="s">
        <v>8377</v>
      </c>
      <c r="Q1690" t="s">
        <v>20</v>
      </c>
      <c r="R1690" t="s">
        <v>20</v>
      </c>
      <c r="S1690" t="s">
        <v>11892</v>
      </c>
    </row>
    <row r="1691" spans="1:19" hidden="1" x14ac:dyDescent="0.45">
      <c r="A1691" t="s">
        <v>802</v>
      </c>
      <c r="B1691" t="s">
        <v>11987</v>
      </c>
      <c r="C1691" t="s">
        <v>1741</v>
      </c>
      <c r="D1691" t="s">
        <v>1742</v>
      </c>
      <c r="E1691" t="s">
        <v>38</v>
      </c>
      <c r="F1691" t="s">
        <v>2755</v>
      </c>
      <c r="G1691" t="s">
        <v>23</v>
      </c>
      <c r="H1691" t="s">
        <v>11988</v>
      </c>
      <c r="I1691" t="s">
        <v>11989</v>
      </c>
      <c r="J1691" t="s">
        <v>11990</v>
      </c>
      <c r="K1691" t="s">
        <v>11991</v>
      </c>
      <c r="L1691" t="s">
        <v>6527</v>
      </c>
      <c r="M1691" t="s">
        <v>2760</v>
      </c>
      <c r="N1691" t="s">
        <v>146</v>
      </c>
      <c r="O1691" t="s">
        <v>3767</v>
      </c>
      <c r="P1691" t="s">
        <v>8377</v>
      </c>
      <c r="Q1691" t="s">
        <v>20</v>
      </c>
      <c r="R1691" t="s">
        <v>20</v>
      </c>
      <c r="S1691" t="s">
        <v>20</v>
      </c>
    </row>
    <row r="1692" spans="1:19" hidden="1" x14ac:dyDescent="0.45">
      <c r="A1692" t="s">
        <v>802</v>
      </c>
      <c r="B1692" t="s">
        <v>11966</v>
      </c>
      <c r="C1692" t="s">
        <v>1741</v>
      </c>
      <c r="D1692" t="s">
        <v>1742</v>
      </c>
      <c r="E1692" t="s">
        <v>38</v>
      </c>
      <c r="F1692" t="s">
        <v>2948</v>
      </c>
      <c r="G1692" t="s">
        <v>23</v>
      </c>
      <c r="H1692" t="s">
        <v>11967</v>
      </c>
      <c r="I1692" t="s">
        <v>11968</v>
      </c>
      <c r="J1692" t="s">
        <v>11969</v>
      </c>
      <c r="K1692" t="s">
        <v>11970</v>
      </c>
      <c r="L1692" t="s">
        <v>6527</v>
      </c>
      <c r="M1692" t="s">
        <v>2760</v>
      </c>
      <c r="N1692" t="s">
        <v>146</v>
      </c>
      <c r="O1692" t="s">
        <v>3767</v>
      </c>
      <c r="P1692" t="s">
        <v>8377</v>
      </c>
      <c r="Q1692" t="s">
        <v>20</v>
      </c>
      <c r="R1692" t="s">
        <v>20</v>
      </c>
      <c r="S1692" t="s">
        <v>20</v>
      </c>
    </row>
    <row r="1693" spans="1:19" hidden="1" x14ac:dyDescent="0.45">
      <c r="A1693" t="s">
        <v>362</v>
      </c>
      <c r="B1693" t="s">
        <v>10202</v>
      </c>
      <c r="C1693" t="s">
        <v>363</v>
      </c>
      <c r="D1693" t="s">
        <v>364</v>
      </c>
      <c r="E1693" t="s">
        <v>38</v>
      </c>
      <c r="F1693" t="s">
        <v>2755</v>
      </c>
      <c r="G1693" t="s">
        <v>23</v>
      </c>
      <c r="H1693" t="s">
        <v>10203</v>
      </c>
      <c r="I1693" t="s">
        <v>10204</v>
      </c>
      <c r="J1693" t="s">
        <v>10205</v>
      </c>
      <c r="K1693" t="s">
        <v>10206</v>
      </c>
      <c r="L1693" t="s">
        <v>8109</v>
      </c>
      <c r="M1693" t="s">
        <v>2760</v>
      </c>
      <c r="N1693" t="s">
        <v>146</v>
      </c>
      <c r="O1693" t="s">
        <v>3767</v>
      </c>
      <c r="P1693" t="s">
        <v>2769</v>
      </c>
      <c r="Q1693" t="s">
        <v>20</v>
      </c>
      <c r="R1693" t="s">
        <v>20</v>
      </c>
      <c r="S1693" t="s">
        <v>20</v>
      </c>
    </row>
    <row r="1694" spans="1:19" hidden="1" x14ac:dyDescent="0.45">
      <c r="A1694" t="s">
        <v>362</v>
      </c>
      <c r="B1694" t="s">
        <v>4631</v>
      </c>
      <c r="C1694" t="s">
        <v>363</v>
      </c>
      <c r="D1694" t="s">
        <v>364</v>
      </c>
      <c r="E1694" t="s">
        <v>57</v>
      </c>
      <c r="F1694" t="s">
        <v>2795</v>
      </c>
      <c r="G1694" t="s">
        <v>23</v>
      </c>
      <c r="H1694" t="s">
        <v>4632</v>
      </c>
      <c r="I1694" t="s">
        <v>3782</v>
      </c>
      <c r="J1694" t="s">
        <v>4633</v>
      </c>
      <c r="K1694" t="s">
        <v>4634</v>
      </c>
      <c r="L1694" t="s">
        <v>1125</v>
      </c>
      <c r="M1694" t="s">
        <v>132</v>
      </c>
      <c r="N1694" t="s">
        <v>146</v>
      </c>
      <c r="O1694" t="s">
        <v>3767</v>
      </c>
      <c r="P1694" t="s">
        <v>209</v>
      </c>
      <c r="Q1694" t="s">
        <v>20</v>
      </c>
      <c r="R1694" t="s">
        <v>20</v>
      </c>
      <c r="S1694" t="s">
        <v>20</v>
      </c>
    </row>
    <row r="1695" spans="1:19" hidden="1" x14ac:dyDescent="0.45">
      <c r="A1695" t="s">
        <v>211</v>
      </c>
      <c r="B1695" t="s">
        <v>8438</v>
      </c>
      <c r="C1695" t="s">
        <v>1053</v>
      </c>
      <c r="D1695" t="s">
        <v>1054</v>
      </c>
      <c r="E1695" t="s">
        <v>38</v>
      </c>
      <c r="F1695" t="s">
        <v>2831</v>
      </c>
      <c r="G1695" t="s">
        <v>23</v>
      </c>
      <c r="H1695" t="s">
        <v>8439</v>
      </c>
      <c r="I1695" t="s">
        <v>8440</v>
      </c>
      <c r="J1695" t="s">
        <v>8441</v>
      </c>
      <c r="K1695" t="s">
        <v>8442</v>
      </c>
      <c r="L1695" t="s">
        <v>902</v>
      </c>
      <c r="M1695" t="s">
        <v>2760</v>
      </c>
      <c r="N1695" t="s">
        <v>146</v>
      </c>
      <c r="O1695" t="s">
        <v>3767</v>
      </c>
      <c r="P1695" t="s">
        <v>902</v>
      </c>
      <c r="Q1695" t="s">
        <v>20</v>
      </c>
      <c r="R1695" t="s">
        <v>20</v>
      </c>
      <c r="S1695" t="s">
        <v>20</v>
      </c>
    </row>
    <row r="1696" spans="1:19" hidden="1" x14ac:dyDescent="0.45">
      <c r="A1696" t="s">
        <v>508</v>
      </c>
      <c r="B1696" t="s">
        <v>10692</v>
      </c>
      <c r="C1696" t="s">
        <v>2468</v>
      </c>
      <c r="D1696" t="s">
        <v>2469</v>
      </c>
      <c r="E1696" t="s">
        <v>57</v>
      </c>
      <c r="F1696" t="s">
        <v>3673</v>
      </c>
      <c r="G1696" t="s">
        <v>23</v>
      </c>
      <c r="H1696" t="s">
        <v>2470</v>
      </c>
      <c r="I1696" t="s">
        <v>2471</v>
      </c>
      <c r="J1696" t="s">
        <v>2472</v>
      </c>
      <c r="K1696" t="s">
        <v>2473</v>
      </c>
      <c r="L1696" t="s">
        <v>7506</v>
      </c>
      <c r="M1696" t="s">
        <v>32</v>
      </c>
      <c r="N1696" t="s">
        <v>62</v>
      </c>
      <c r="O1696" t="s">
        <v>3767</v>
      </c>
      <c r="P1696" t="s">
        <v>7506</v>
      </c>
      <c r="Q1696" t="s">
        <v>20</v>
      </c>
      <c r="R1696" t="s">
        <v>20</v>
      </c>
      <c r="S1696" t="s">
        <v>20</v>
      </c>
    </row>
    <row r="1697" spans="1:19" hidden="1" x14ac:dyDescent="0.45">
      <c r="A1697" t="s">
        <v>187</v>
      </c>
      <c r="B1697" t="s">
        <v>4257</v>
      </c>
      <c r="C1697" t="s">
        <v>3050</v>
      </c>
      <c r="D1697" t="s">
        <v>3051</v>
      </c>
      <c r="E1697" t="s">
        <v>38</v>
      </c>
      <c r="F1697" t="s">
        <v>2785</v>
      </c>
      <c r="G1697" t="s">
        <v>23</v>
      </c>
      <c r="H1697" t="s">
        <v>4258</v>
      </c>
      <c r="I1697" t="s">
        <v>4259</v>
      </c>
      <c r="J1697" t="s">
        <v>4260</v>
      </c>
      <c r="K1697" t="s">
        <v>4261</v>
      </c>
      <c r="L1697" t="s">
        <v>31</v>
      </c>
      <c r="M1697" t="s">
        <v>2760</v>
      </c>
      <c r="N1697" t="s">
        <v>45</v>
      </c>
      <c r="O1697" t="s">
        <v>3767</v>
      </c>
      <c r="P1697" t="s">
        <v>194</v>
      </c>
      <c r="Q1697" t="s">
        <v>20</v>
      </c>
      <c r="R1697" t="s">
        <v>20</v>
      </c>
      <c r="S1697" t="s">
        <v>20</v>
      </c>
    </row>
    <row r="1698" spans="1:19" hidden="1" x14ac:dyDescent="0.45">
      <c r="A1698" t="s">
        <v>231</v>
      </c>
      <c r="B1698" t="s">
        <v>4465</v>
      </c>
      <c r="C1698" t="s">
        <v>1085</v>
      </c>
      <c r="D1698" t="s">
        <v>1086</v>
      </c>
      <c r="E1698" t="s">
        <v>38</v>
      </c>
      <c r="F1698" t="s">
        <v>2948</v>
      </c>
      <c r="G1698" t="s">
        <v>23</v>
      </c>
      <c r="H1698" t="s">
        <v>4466</v>
      </c>
      <c r="I1698" t="s">
        <v>4467</v>
      </c>
      <c r="J1698" t="s">
        <v>4468</v>
      </c>
      <c r="K1698" t="s">
        <v>4469</v>
      </c>
      <c r="L1698" t="s">
        <v>194</v>
      </c>
      <c r="M1698" t="s">
        <v>2760</v>
      </c>
      <c r="N1698" t="s">
        <v>113</v>
      </c>
      <c r="O1698" t="s">
        <v>3767</v>
      </c>
      <c r="P1698" t="s">
        <v>194</v>
      </c>
      <c r="Q1698" t="s">
        <v>20</v>
      </c>
      <c r="R1698" t="s">
        <v>20</v>
      </c>
      <c r="S1698" t="s">
        <v>20</v>
      </c>
    </row>
    <row r="1699" spans="1:19" hidden="1" x14ac:dyDescent="0.45">
      <c r="A1699" t="s">
        <v>535</v>
      </c>
      <c r="B1699" t="s">
        <v>11644</v>
      </c>
      <c r="C1699" t="s">
        <v>5236</v>
      </c>
      <c r="D1699" t="s">
        <v>5237</v>
      </c>
      <c r="E1699" t="s">
        <v>38</v>
      </c>
      <c r="F1699" t="s">
        <v>10537</v>
      </c>
      <c r="G1699" t="s">
        <v>23</v>
      </c>
      <c r="H1699" t="s">
        <v>9024</v>
      </c>
      <c r="I1699" t="s">
        <v>9297</v>
      </c>
      <c r="J1699" t="s">
        <v>9298</v>
      </c>
      <c r="K1699" t="s">
        <v>9299</v>
      </c>
      <c r="L1699" t="s">
        <v>9570</v>
      </c>
      <c r="M1699" t="s">
        <v>2760</v>
      </c>
      <c r="N1699" t="s">
        <v>45</v>
      </c>
      <c r="O1699" t="s">
        <v>3767</v>
      </c>
      <c r="P1699" t="s">
        <v>2769</v>
      </c>
      <c r="Q1699" t="s">
        <v>20</v>
      </c>
      <c r="R1699" t="s">
        <v>20</v>
      </c>
      <c r="S1699" t="s">
        <v>11637</v>
      </c>
    </row>
    <row r="1700" spans="1:19" hidden="1" x14ac:dyDescent="0.45">
      <c r="A1700" t="s">
        <v>120</v>
      </c>
      <c r="B1700" t="s">
        <v>10136</v>
      </c>
      <c r="C1700" t="s">
        <v>1002</v>
      </c>
      <c r="D1700" t="s">
        <v>1003</v>
      </c>
      <c r="E1700" t="s">
        <v>21</v>
      </c>
      <c r="F1700" t="s">
        <v>2722</v>
      </c>
      <c r="G1700" t="s">
        <v>23</v>
      </c>
      <c r="H1700" t="s">
        <v>10137</v>
      </c>
      <c r="I1700" t="s">
        <v>10138</v>
      </c>
      <c r="J1700" t="s">
        <v>10139</v>
      </c>
      <c r="K1700" t="s">
        <v>10140</v>
      </c>
      <c r="L1700" t="s">
        <v>9126</v>
      </c>
      <c r="M1700" t="s">
        <v>3145</v>
      </c>
      <c r="N1700" t="s">
        <v>2727</v>
      </c>
      <c r="O1700" t="s">
        <v>3767</v>
      </c>
      <c r="P1700" t="s">
        <v>3998</v>
      </c>
      <c r="Q1700" t="s">
        <v>20</v>
      </c>
      <c r="R1700" t="s">
        <v>20</v>
      </c>
      <c r="S1700" t="s">
        <v>20</v>
      </c>
    </row>
    <row r="1701" spans="1:19" hidden="1" x14ac:dyDescent="0.45">
      <c r="A1701" t="s">
        <v>3096</v>
      </c>
      <c r="B1701" t="s">
        <v>8520</v>
      </c>
      <c r="C1701" t="s">
        <v>3299</v>
      </c>
      <c r="D1701" t="s">
        <v>3300</v>
      </c>
      <c r="E1701" t="s">
        <v>21</v>
      </c>
      <c r="F1701" t="s">
        <v>2748</v>
      </c>
      <c r="G1701" t="s">
        <v>23</v>
      </c>
      <c r="H1701" t="s">
        <v>8521</v>
      </c>
      <c r="I1701" t="s">
        <v>8522</v>
      </c>
      <c r="J1701" t="s">
        <v>8523</v>
      </c>
      <c r="K1701" t="s">
        <v>8524</v>
      </c>
      <c r="L1701" t="s">
        <v>902</v>
      </c>
      <c r="M1701" t="s">
        <v>3105</v>
      </c>
      <c r="N1701" t="s">
        <v>1224</v>
      </c>
      <c r="O1701" t="s">
        <v>3767</v>
      </c>
      <c r="P1701" t="s">
        <v>902</v>
      </c>
      <c r="Q1701" t="s">
        <v>20</v>
      </c>
      <c r="R1701" t="s">
        <v>20</v>
      </c>
      <c r="S1701" t="s">
        <v>20</v>
      </c>
    </row>
    <row r="1702" spans="1:19" hidden="1" x14ac:dyDescent="0.45">
      <c r="A1702" t="s">
        <v>3096</v>
      </c>
      <c r="B1702" t="s">
        <v>10196</v>
      </c>
      <c r="C1702" t="s">
        <v>3299</v>
      </c>
      <c r="D1702" t="s">
        <v>3300</v>
      </c>
      <c r="E1702" t="s">
        <v>21</v>
      </c>
      <c r="F1702" t="s">
        <v>3460</v>
      </c>
      <c r="G1702" t="s">
        <v>23</v>
      </c>
      <c r="H1702" t="s">
        <v>10197</v>
      </c>
      <c r="I1702" t="s">
        <v>10198</v>
      </c>
      <c r="J1702" t="s">
        <v>10199</v>
      </c>
      <c r="K1702" t="s">
        <v>10200</v>
      </c>
      <c r="L1702" t="s">
        <v>6522</v>
      </c>
      <c r="M1702" t="s">
        <v>3105</v>
      </c>
      <c r="N1702" t="s">
        <v>1224</v>
      </c>
      <c r="O1702" t="s">
        <v>3767</v>
      </c>
      <c r="P1702" t="s">
        <v>6522</v>
      </c>
      <c r="Q1702" t="s">
        <v>20</v>
      </c>
      <c r="R1702" t="s">
        <v>20</v>
      </c>
      <c r="S1702" t="s">
        <v>20</v>
      </c>
    </row>
    <row r="1703" spans="1:19" hidden="1" x14ac:dyDescent="0.45">
      <c r="A1703" t="s">
        <v>173</v>
      </c>
      <c r="B1703" t="s">
        <v>9730</v>
      </c>
      <c r="C1703" t="s">
        <v>1354</v>
      </c>
      <c r="D1703" t="s">
        <v>1355</v>
      </c>
      <c r="E1703" t="s">
        <v>38</v>
      </c>
      <c r="F1703" t="s">
        <v>2785</v>
      </c>
      <c r="G1703" t="s">
        <v>23</v>
      </c>
      <c r="H1703" t="s">
        <v>6464</v>
      </c>
      <c r="I1703" t="s">
        <v>9731</v>
      </c>
      <c r="J1703" t="s">
        <v>9732</v>
      </c>
      <c r="K1703" t="s">
        <v>9733</v>
      </c>
      <c r="L1703" t="s">
        <v>53</v>
      </c>
      <c r="M1703" t="s">
        <v>102</v>
      </c>
      <c r="N1703" t="s">
        <v>62</v>
      </c>
      <c r="O1703" t="s">
        <v>3767</v>
      </c>
      <c r="P1703" t="s">
        <v>1125</v>
      </c>
      <c r="Q1703" t="s">
        <v>20</v>
      </c>
      <c r="R1703" t="s">
        <v>20</v>
      </c>
      <c r="S1703" t="s">
        <v>20</v>
      </c>
    </row>
    <row r="1704" spans="1:19" hidden="1" x14ac:dyDescent="0.45">
      <c r="A1704" t="s">
        <v>173</v>
      </c>
      <c r="B1704" t="s">
        <v>4761</v>
      </c>
      <c r="C1704" t="s">
        <v>1354</v>
      </c>
      <c r="D1704" t="s">
        <v>1355</v>
      </c>
      <c r="E1704" t="s">
        <v>2487</v>
      </c>
      <c r="F1704" t="s">
        <v>3062</v>
      </c>
      <c r="G1704" t="s">
        <v>23</v>
      </c>
      <c r="H1704" t="s">
        <v>4762</v>
      </c>
      <c r="I1704" t="s">
        <v>4763</v>
      </c>
      <c r="J1704" t="s">
        <v>4764</v>
      </c>
      <c r="K1704" t="s">
        <v>4765</v>
      </c>
      <c r="L1704" t="s">
        <v>161</v>
      </c>
      <c r="M1704" t="s">
        <v>102</v>
      </c>
      <c r="N1704" t="s">
        <v>146</v>
      </c>
      <c r="O1704" t="s">
        <v>3767</v>
      </c>
      <c r="P1704" t="s">
        <v>1125</v>
      </c>
      <c r="Q1704" t="s">
        <v>20</v>
      </c>
      <c r="R1704" t="s">
        <v>20</v>
      </c>
      <c r="S1704" t="s">
        <v>20</v>
      </c>
    </row>
    <row r="1705" spans="1:19" hidden="1" x14ac:dyDescent="0.45">
      <c r="A1705" t="s">
        <v>104</v>
      </c>
      <c r="B1705" t="s">
        <v>4160</v>
      </c>
      <c r="C1705" t="s">
        <v>105</v>
      </c>
      <c r="D1705" t="s">
        <v>106</v>
      </c>
      <c r="E1705" t="s">
        <v>38</v>
      </c>
      <c r="F1705" t="s">
        <v>3221</v>
      </c>
      <c r="G1705" t="s">
        <v>23</v>
      </c>
      <c r="H1705" t="s">
        <v>4161</v>
      </c>
      <c r="I1705" t="s">
        <v>4162</v>
      </c>
      <c r="J1705" t="s">
        <v>4163</v>
      </c>
      <c r="K1705" t="s">
        <v>4164</v>
      </c>
      <c r="L1705" t="s">
        <v>131</v>
      </c>
      <c r="M1705" t="s">
        <v>132</v>
      </c>
      <c r="N1705" t="s">
        <v>62</v>
      </c>
      <c r="O1705" t="s">
        <v>3767</v>
      </c>
      <c r="P1705" t="s">
        <v>53</v>
      </c>
      <c r="Q1705" t="s">
        <v>20</v>
      </c>
      <c r="R1705" t="s">
        <v>20</v>
      </c>
      <c r="S1705" t="s">
        <v>20</v>
      </c>
    </row>
    <row r="1706" spans="1:19" hidden="1" x14ac:dyDescent="0.45">
      <c r="A1706" t="s">
        <v>535</v>
      </c>
      <c r="B1706" t="s">
        <v>3768</v>
      </c>
      <c r="C1706" t="s">
        <v>2771</v>
      </c>
      <c r="D1706" t="s">
        <v>2772</v>
      </c>
      <c r="E1706" t="s">
        <v>38</v>
      </c>
      <c r="F1706" t="s">
        <v>2722</v>
      </c>
      <c r="G1706" t="s">
        <v>23</v>
      </c>
      <c r="H1706" t="s">
        <v>3769</v>
      </c>
      <c r="I1706" t="s">
        <v>3770</v>
      </c>
      <c r="J1706" t="s">
        <v>3771</v>
      </c>
      <c r="K1706" t="s">
        <v>3772</v>
      </c>
      <c r="L1706" t="s">
        <v>161</v>
      </c>
      <c r="M1706" t="s">
        <v>2760</v>
      </c>
      <c r="N1706" t="s">
        <v>62</v>
      </c>
      <c r="O1706" t="s">
        <v>3767</v>
      </c>
      <c r="P1706" t="s">
        <v>209</v>
      </c>
      <c r="Q1706" t="s">
        <v>20</v>
      </c>
      <c r="R1706" t="s">
        <v>20</v>
      </c>
      <c r="S1706" t="s">
        <v>20</v>
      </c>
    </row>
    <row r="1707" spans="1:19" hidden="1" x14ac:dyDescent="0.45">
      <c r="A1707" t="s">
        <v>535</v>
      </c>
      <c r="B1707" t="s">
        <v>14246</v>
      </c>
      <c r="C1707" t="s">
        <v>2771</v>
      </c>
      <c r="D1707" t="s">
        <v>2772</v>
      </c>
      <c r="E1707" t="s">
        <v>38</v>
      </c>
      <c r="F1707" t="s">
        <v>14293</v>
      </c>
      <c r="G1707" t="s">
        <v>23</v>
      </c>
      <c r="H1707" t="s">
        <v>12218</v>
      </c>
      <c r="I1707" t="s">
        <v>12219</v>
      </c>
      <c r="J1707" t="s">
        <v>12850</v>
      </c>
      <c r="K1707" t="s">
        <v>12851</v>
      </c>
      <c r="L1707" t="s">
        <v>11782</v>
      </c>
      <c r="M1707" t="s">
        <v>12431</v>
      </c>
      <c r="N1707" t="s">
        <v>3831</v>
      </c>
      <c r="O1707" t="s">
        <v>3767</v>
      </c>
      <c r="P1707" t="s">
        <v>8094</v>
      </c>
      <c r="Q1707" t="s">
        <v>20</v>
      </c>
      <c r="R1707" t="s">
        <v>20</v>
      </c>
      <c r="S1707" t="s">
        <v>12220</v>
      </c>
    </row>
    <row r="1708" spans="1:19" hidden="1" x14ac:dyDescent="0.45">
      <c r="A1708" t="s">
        <v>535</v>
      </c>
      <c r="B1708" t="s">
        <v>5369</v>
      </c>
      <c r="C1708" t="s">
        <v>2771</v>
      </c>
      <c r="D1708" t="s">
        <v>2772</v>
      </c>
      <c r="E1708" t="s">
        <v>21</v>
      </c>
      <c r="F1708" t="s">
        <v>4149</v>
      </c>
      <c r="G1708" t="s">
        <v>23</v>
      </c>
      <c r="H1708" t="s">
        <v>5370</v>
      </c>
      <c r="I1708" t="s">
        <v>5371</v>
      </c>
      <c r="J1708" t="s">
        <v>5372</v>
      </c>
      <c r="K1708" t="s">
        <v>5373</v>
      </c>
      <c r="L1708" t="s">
        <v>895</v>
      </c>
      <c r="M1708" t="s">
        <v>2953</v>
      </c>
      <c r="N1708" t="s">
        <v>3389</v>
      </c>
      <c r="O1708" t="s">
        <v>3767</v>
      </c>
      <c r="P1708" t="s">
        <v>895</v>
      </c>
      <c r="Q1708" t="s">
        <v>20</v>
      </c>
      <c r="R1708" t="s">
        <v>20</v>
      </c>
      <c r="S1708" t="s">
        <v>20</v>
      </c>
    </row>
    <row r="1709" spans="1:19" hidden="1" x14ac:dyDescent="0.45">
      <c r="A1709" t="s">
        <v>81</v>
      </c>
      <c r="B1709" t="s">
        <v>4726</v>
      </c>
      <c r="C1709" t="s">
        <v>978</v>
      </c>
      <c r="D1709" t="s">
        <v>979</v>
      </c>
      <c r="E1709" t="s">
        <v>38</v>
      </c>
      <c r="F1709" t="s">
        <v>3062</v>
      </c>
      <c r="G1709" t="s">
        <v>23</v>
      </c>
      <c r="H1709" t="s">
        <v>4727</v>
      </c>
      <c r="I1709" t="s">
        <v>257</v>
      </c>
      <c r="J1709" t="s">
        <v>4728</v>
      </c>
      <c r="K1709" t="s">
        <v>4729</v>
      </c>
      <c r="L1709" t="s">
        <v>296</v>
      </c>
      <c r="M1709" t="s">
        <v>2760</v>
      </c>
      <c r="N1709" t="s">
        <v>113</v>
      </c>
      <c r="O1709" t="s">
        <v>3767</v>
      </c>
      <c r="P1709" t="s">
        <v>296</v>
      </c>
      <c r="Q1709" t="s">
        <v>20</v>
      </c>
      <c r="R1709" t="s">
        <v>20</v>
      </c>
      <c r="S1709" t="s">
        <v>20</v>
      </c>
    </row>
    <row r="1710" spans="1:19" hidden="1" x14ac:dyDescent="0.45">
      <c r="A1710" t="s">
        <v>81</v>
      </c>
      <c r="B1710" t="s">
        <v>14247</v>
      </c>
      <c r="C1710" t="s">
        <v>978</v>
      </c>
      <c r="D1710" t="s">
        <v>979</v>
      </c>
      <c r="E1710" t="s">
        <v>57</v>
      </c>
      <c r="F1710" t="s">
        <v>4263</v>
      </c>
      <c r="G1710" t="s">
        <v>23</v>
      </c>
      <c r="H1710" t="s">
        <v>980</v>
      </c>
      <c r="I1710" t="s">
        <v>981</v>
      </c>
      <c r="J1710" t="s">
        <v>982</v>
      </c>
      <c r="K1710" t="s">
        <v>983</v>
      </c>
      <c r="L1710" t="s">
        <v>43</v>
      </c>
      <c r="M1710" t="s">
        <v>2760</v>
      </c>
      <c r="N1710" t="s">
        <v>62</v>
      </c>
      <c r="O1710" t="s">
        <v>3767</v>
      </c>
      <c r="P1710" t="s">
        <v>6525</v>
      </c>
      <c r="Q1710" t="s">
        <v>20</v>
      </c>
      <c r="R1710" t="s">
        <v>20</v>
      </c>
      <c r="S1710" t="s">
        <v>20</v>
      </c>
    </row>
    <row r="1711" spans="1:19" hidden="1" x14ac:dyDescent="0.45">
      <c r="A1711" t="s">
        <v>81</v>
      </c>
      <c r="B1711" t="s">
        <v>4409</v>
      </c>
      <c r="C1711" t="s">
        <v>978</v>
      </c>
      <c r="D1711" t="s">
        <v>979</v>
      </c>
      <c r="E1711" t="s">
        <v>4208</v>
      </c>
      <c r="F1711" t="s">
        <v>22</v>
      </c>
      <c r="G1711" t="s">
        <v>23</v>
      </c>
      <c r="H1711" t="s">
        <v>4410</v>
      </c>
      <c r="I1711" t="s">
        <v>4411</v>
      </c>
      <c r="J1711" t="s">
        <v>4412</v>
      </c>
      <c r="K1711" t="s">
        <v>4413</v>
      </c>
      <c r="L1711" t="s">
        <v>296</v>
      </c>
      <c r="M1711" t="s">
        <v>2760</v>
      </c>
      <c r="N1711" t="s">
        <v>146</v>
      </c>
      <c r="O1711" t="s">
        <v>3767</v>
      </c>
      <c r="P1711" t="s">
        <v>296</v>
      </c>
      <c r="Q1711" t="s">
        <v>20</v>
      </c>
      <c r="R1711" t="s">
        <v>20</v>
      </c>
      <c r="S1711" t="s">
        <v>20</v>
      </c>
    </row>
    <row r="1712" spans="1:19" hidden="1" x14ac:dyDescent="0.45">
      <c r="A1712" t="s">
        <v>715</v>
      </c>
      <c r="B1712" t="s">
        <v>4553</v>
      </c>
      <c r="C1712" t="s">
        <v>984</v>
      </c>
      <c r="D1712" t="s">
        <v>985</v>
      </c>
      <c r="E1712" t="s">
        <v>38</v>
      </c>
      <c r="F1712" t="s">
        <v>3062</v>
      </c>
      <c r="G1712" t="s">
        <v>23</v>
      </c>
      <c r="H1712" t="s">
        <v>4554</v>
      </c>
      <c r="I1712" t="s">
        <v>4555</v>
      </c>
      <c r="J1712" t="s">
        <v>4556</v>
      </c>
      <c r="K1712" t="s">
        <v>4557</v>
      </c>
      <c r="L1712" t="s">
        <v>118</v>
      </c>
      <c r="M1712" t="s">
        <v>102</v>
      </c>
      <c r="N1712" t="s">
        <v>146</v>
      </c>
      <c r="O1712" t="s">
        <v>3767</v>
      </c>
      <c r="P1712" t="s">
        <v>296</v>
      </c>
      <c r="Q1712" t="s">
        <v>20</v>
      </c>
      <c r="R1712" t="s">
        <v>20</v>
      </c>
      <c r="S1712" t="s">
        <v>20</v>
      </c>
    </row>
    <row r="1713" spans="1:19" hidden="1" x14ac:dyDescent="0.45">
      <c r="A1713" t="s">
        <v>715</v>
      </c>
      <c r="B1713" t="s">
        <v>10178</v>
      </c>
      <c r="C1713" t="s">
        <v>984</v>
      </c>
      <c r="D1713" t="s">
        <v>985</v>
      </c>
      <c r="E1713" t="s">
        <v>38</v>
      </c>
      <c r="F1713" t="s">
        <v>2755</v>
      </c>
      <c r="G1713" t="s">
        <v>23</v>
      </c>
      <c r="H1713" t="s">
        <v>1362</v>
      </c>
      <c r="I1713" t="s">
        <v>1363</v>
      </c>
      <c r="J1713" t="s">
        <v>1364</v>
      </c>
      <c r="K1713" t="s">
        <v>1365</v>
      </c>
      <c r="L1713" t="s">
        <v>7506</v>
      </c>
      <c r="M1713" t="s">
        <v>2760</v>
      </c>
      <c r="N1713" t="s">
        <v>146</v>
      </c>
      <c r="O1713" t="s">
        <v>3767</v>
      </c>
      <c r="P1713" t="s">
        <v>2769</v>
      </c>
      <c r="Q1713" t="s">
        <v>20</v>
      </c>
      <c r="R1713" t="s">
        <v>20</v>
      </c>
      <c r="S1713" t="s">
        <v>20</v>
      </c>
    </row>
    <row r="1714" spans="1:19" hidden="1" x14ac:dyDescent="0.45">
      <c r="A1714" t="s">
        <v>715</v>
      </c>
      <c r="B1714" t="s">
        <v>11213</v>
      </c>
      <c r="C1714" t="s">
        <v>984</v>
      </c>
      <c r="D1714" t="s">
        <v>985</v>
      </c>
      <c r="E1714" t="s">
        <v>38</v>
      </c>
      <c r="F1714" t="s">
        <v>2992</v>
      </c>
      <c r="G1714" t="s">
        <v>23</v>
      </c>
      <c r="H1714" t="s">
        <v>986</v>
      </c>
      <c r="I1714" t="s">
        <v>987</v>
      </c>
      <c r="J1714" t="s">
        <v>988</v>
      </c>
      <c r="K1714" t="s">
        <v>989</v>
      </c>
      <c r="L1714" t="s">
        <v>111</v>
      </c>
      <c r="M1714" t="s">
        <v>102</v>
      </c>
      <c r="N1714" t="s">
        <v>45</v>
      </c>
      <c r="O1714" t="s">
        <v>3767</v>
      </c>
      <c r="P1714" t="s">
        <v>635</v>
      </c>
      <c r="Q1714" t="s">
        <v>20</v>
      </c>
      <c r="R1714" t="s">
        <v>20</v>
      </c>
      <c r="S1714" t="s">
        <v>20</v>
      </c>
    </row>
    <row r="1715" spans="1:19" hidden="1" x14ac:dyDescent="0.45">
      <c r="A1715" t="s">
        <v>26</v>
      </c>
      <c r="B1715" t="s">
        <v>11234</v>
      </c>
      <c r="C1715" t="s">
        <v>1839</v>
      </c>
      <c r="D1715" t="s">
        <v>1840</v>
      </c>
      <c r="E1715" t="s">
        <v>38</v>
      </c>
      <c r="F1715" t="s">
        <v>2787</v>
      </c>
      <c r="G1715" t="s">
        <v>23</v>
      </c>
      <c r="H1715" t="s">
        <v>7290</v>
      </c>
      <c r="I1715" t="s">
        <v>7291</v>
      </c>
      <c r="J1715" t="s">
        <v>7292</v>
      </c>
      <c r="K1715" t="s">
        <v>7293</v>
      </c>
      <c r="L1715" t="s">
        <v>6521</v>
      </c>
      <c r="M1715" t="s">
        <v>2760</v>
      </c>
      <c r="N1715" t="s">
        <v>195</v>
      </c>
      <c r="O1715" t="s">
        <v>3767</v>
      </c>
      <c r="P1715" t="s">
        <v>2330</v>
      </c>
      <c r="Q1715" t="s">
        <v>20</v>
      </c>
      <c r="R1715" t="s">
        <v>20</v>
      </c>
      <c r="S1715" t="s">
        <v>20</v>
      </c>
    </row>
    <row r="1716" spans="1:19" hidden="1" x14ac:dyDescent="0.45">
      <c r="A1716" t="s">
        <v>269</v>
      </c>
      <c r="B1716" t="s">
        <v>6725</v>
      </c>
      <c r="C1716" t="s">
        <v>2569</v>
      </c>
      <c r="D1716" t="s">
        <v>2570</v>
      </c>
      <c r="E1716" t="s">
        <v>38</v>
      </c>
      <c r="F1716" t="s">
        <v>2863</v>
      </c>
      <c r="G1716" t="s">
        <v>23</v>
      </c>
      <c r="H1716" t="s">
        <v>6726</v>
      </c>
      <c r="I1716" t="s">
        <v>6727</v>
      </c>
      <c r="J1716" t="s">
        <v>6728</v>
      </c>
      <c r="K1716" t="s">
        <v>6729</v>
      </c>
      <c r="L1716" t="s">
        <v>902</v>
      </c>
      <c r="M1716" t="s">
        <v>2760</v>
      </c>
      <c r="N1716" t="s">
        <v>146</v>
      </c>
      <c r="O1716" t="s">
        <v>3767</v>
      </c>
      <c r="P1716" t="s">
        <v>290</v>
      </c>
      <c r="Q1716" t="s">
        <v>20</v>
      </c>
      <c r="R1716" t="s">
        <v>20</v>
      </c>
      <c r="S1716" t="s">
        <v>20</v>
      </c>
    </row>
    <row r="1717" spans="1:19" hidden="1" x14ac:dyDescent="0.45">
      <c r="A1717" t="s">
        <v>535</v>
      </c>
      <c r="B1717" t="s">
        <v>4023</v>
      </c>
      <c r="C1717" t="s">
        <v>4024</v>
      </c>
      <c r="D1717" t="s">
        <v>4025</v>
      </c>
      <c r="E1717" t="s">
        <v>38</v>
      </c>
      <c r="F1717" t="s">
        <v>2948</v>
      </c>
      <c r="G1717" t="s">
        <v>23</v>
      </c>
      <c r="H1717" t="s">
        <v>4026</v>
      </c>
      <c r="I1717" t="s">
        <v>4027</v>
      </c>
      <c r="J1717" t="s">
        <v>4028</v>
      </c>
      <c r="K1717" t="s">
        <v>4029</v>
      </c>
      <c r="L1717" t="s">
        <v>168</v>
      </c>
      <c r="M1717" t="s">
        <v>2760</v>
      </c>
      <c r="N1717" t="s">
        <v>2727</v>
      </c>
      <c r="O1717" t="s">
        <v>3767</v>
      </c>
      <c r="P1717" t="s">
        <v>168</v>
      </c>
      <c r="Q1717" t="s">
        <v>20</v>
      </c>
      <c r="R1717" t="s">
        <v>20</v>
      </c>
      <c r="S1717" t="s">
        <v>20</v>
      </c>
    </row>
    <row r="1718" spans="1:19" hidden="1" x14ac:dyDescent="0.45">
      <c r="A1718" t="s">
        <v>535</v>
      </c>
      <c r="B1718" t="s">
        <v>12976</v>
      </c>
      <c r="C1718" t="s">
        <v>4024</v>
      </c>
      <c r="D1718" t="s">
        <v>4025</v>
      </c>
      <c r="E1718" t="s">
        <v>38</v>
      </c>
      <c r="F1718" t="s">
        <v>14684</v>
      </c>
      <c r="G1718" t="s">
        <v>23</v>
      </c>
      <c r="H1718" t="s">
        <v>10362</v>
      </c>
      <c r="I1718" t="s">
        <v>10363</v>
      </c>
      <c r="J1718" t="s">
        <v>11050</v>
      </c>
      <c r="K1718" t="s">
        <v>10787</v>
      </c>
      <c r="L1718" t="s">
        <v>10764</v>
      </c>
      <c r="M1718" t="s">
        <v>2760</v>
      </c>
      <c r="N1718" t="s">
        <v>3831</v>
      </c>
      <c r="O1718" t="s">
        <v>3767</v>
      </c>
      <c r="P1718" t="s">
        <v>6527</v>
      </c>
      <c r="Q1718" t="s">
        <v>20</v>
      </c>
      <c r="R1718" t="s">
        <v>20</v>
      </c>
      <c r="S1718" t="s">
        <v>10364</v>
      </c>
    </row>
    <row r="1719" spans="1:19" hidden="1" x14ac:dyDescent="0.45">
      <c r="A1719" t="s">
        <v>535</v>
      </c>
      <c r="B1719" t="s">
        <v>12412</v>
      </c>
      <c r="C1719" t="s">
        <v>798</v>
      </c>
      <c r="D1719" t="s">
        <v>799</v>
      </c>
      <c r="E1719" t="s">
        <v>38</v>
      </c>
      <c r="F1719" t="s">
        <v>3954</v>
      </c>
      <c r="G1719" t="s">
        <v>23</v>
      </c>
      <c r="H1719" t="s">
        <v>8918</v>
      </c>
      <c r="I1719" t="s">
        <v>9079</v>
      </c>
      <c r="J1719" t="s">
        <v>10957</v>
      </c>
      <c r="K1719" t="s">
        <v>10958</v>
      </c>
      <c r="L1719" t="s">
        <v>7506</v>
      </c>
      <c r="M1719" t="s">
        <v>5379</v>
      </c>
      <c r="N1719" t="s">
        <v>3831</v>
      </c>
      <c r="O1719" t="s">
        <v>3767</v>
      </c>
      <c r="P1719" t="s">
        <v>8377</v>
      </c>
      <c r="Q1719" t="s">
        <v>20</v>
      </c>
      <c r="R1719" t="s">
        <v>20</v>
      </c>
      <c r="S1719" t="s">
        <v>9080</v>
      </c>
    </row>
    <row r="1720" spans="1:19" hidden="1" x14ac:dyDescent="0.45">
      <c r="A1720" t="s">
        <v>379</v>
      </c>
      <c r="B1720" t="s">
        <v>4014</v>
      </c>
      <c r="C1720" t="s">
        <v>380</v>
      </c>
      <c r="D1720" t="s">
        <v>381</v>
      </c>
      <c r="E1720" t="s">
        <v>2487</v>
      </c>
      <c r="F1720" t="s">
        <v>3062</v>
      </c>
      <c r="G1720" t="s">
        <v>23</v>
      </c>
      <c r="H1720" t="s">
        <v>4015</v>
      </c>
      <c r="I1720" t="s">
        <v>3546</v>
      </c>
      <c r="J1720" t="s">
        <v>4016</v>
      </c>
      <c r="K1720" t="s">
        <v>4017</v>
      </c>
      <c r="L1720" t="s">
        <v>2413</v>
      </c>
      <c r="M1720" t="s">
        <v>102</v>
      </c>
      <c r="N1720" t="s">
        <v>146</v>
      </c>
      <c r="O1720" t="s">
        <v>3767</v>
      </c>
      <c r="P1720" t="s">
        <v>1125</v>
      </c>
      <c r="Q1720" t="s">
        <v>20</v>
      </c>
      <c r="R1720" t="s">
        <v>20</v>
      </c>
      <c r="S1720" t="s">
        <v>20</v>
      </c>
    </row>
    <row r="1721" spans="1:19" hidden="1" x14ac:dyDescent="0.45">
      <c r="A1721" t="s">
        <v>71</v>
      </c>
      <c r="B1721" t="s">
        <v>4519</v>
      </c>
      <c r="C1721" t="s">
        <v>4520</v>
      </c>
      <c r="D1721" t="s">
        <v>4521</v>
      </c>
      <c r="E1721" t="s">
        <v>2487</v>
      </c>
      <c r="F1721" t="s">
        <v>2898</v>
      </c>
      <c r="G1721" t="s">
        <v>23</v>
      </c>
      <c r="H1721" t="s">
        <v>4522</v>
      </c>
      <c r="I1721" t="s">
        <v>4523</v>
      </c>
      <c r="J1721" t="s">
        <v>4524</v>
      </c>
      <c r="K1721" t="s">
        <v>4525</v>
      </c>
      <c r="L1721" t="s">
        <v>194</v>
      </c>
      <c r="M1721" t="s">
        <v>2760</v>
      </c>
      <c r="N1721" t="s">
        <v>3831</v>
      </c>
      <c r="O1721" t="s">
        <v>3767</v>
      </c>
      <c r="P1721" t="s">
        <v>111</v>
      </c>
      <c r="Q1721" t="s">
        <v>20</v>
      </c>
      <c r="R1721" t="s">
        <v>20</v>
      </c>
      <c r="S1721" t="s">
        <v>4526</v>
      </c>
    </row>
    <row r="1722" spans="1:19" hidden="1" x14ac:dyDescent="0.45">
      <c r="A1722" t="s">
        <v>809</v>
      </c>
      <c r="B1722" t="s">
        <v>14035</v>
      </c>
      <c r="C1722" t="s">
        <v>810</v>
      </c>
      <c r="D1722" t="s">
        <v>811</v>
      </c>
      <c r="E1722" t="s">
        <v>38</v>
      </c>
      <c r="F1722" t="s">
        <v>14036</v>
      </c>
      <c r="G1722" t="s">
        <v>23</v>
      </c>
      <c r="H1722" t="s">
        <v>14037</v>
      </c>
      <c r="I1722" t="s">
        <v>14038</v>
      </c>
      <c r="J1722" t="s">
        <v>14039</v>
      </c>
      <c r="K1722" t="s">
        <v>14040</v>
      </c>
      <c r="L1722" t="s">
        <v>3998</v>
      </c>
      <c r="M1722" t="s">
        <v>3840</v>
      </c>
      <c r="N1722" t="s">
        <v>1224</v>
      </c>
      <c r="O1722" t="s">
        <v>3767</v>
      </c>
      <c r="P1722" t="s">
        <v>3998</v>
      </c>
      <c r="Q1722" t="s">
        <v>20</v>
      </c>
      <c r="R1722" t="s">
        <v>20</v>
      </c>
      <c r="S1722" t="s">
        <v>20</v>
      </c>
    </row>
    <row r="1723" spans="1:19" hidden="1" x14ac:dyDescent="0.45">
      <c r="A1723" t="s">
        <v>706</v>
      </c>
      <c r="B1723" t="s">
        <v>9778</v>
      </c>
      <c r="C1723" t="s">
        <v>7446</v>
      </c>
      <c r="D1723" t="s">
        <v>5857</v>
      </c>
      <c r="E1723" t="s">
        <v>21</v>
      </c>
      <c r="F1723" t="s">
        <v>3766</v>
      </c>
      <c r="G1723" t="s">
        <v>23</v>
      </c>
      <c r="H1723" t="s">
        <v>9779</v>
      </c>
      <c r="I1723" t="s">
        <v>9780</v>
      </c>
      <c r="J1723" t="s">
        <v>9781</v>
      </c>
      <c r="K1723" t="s">
        <v>9782</v>
      </c>
      <c r="L1723" t="s">
        <v>6523</v>
      </c>
      <c r="M1723" t="s">
        <v>438</v>
      </c>
      <c r="N1723" t="s">
        <v>137</v>
      </c>
      <c r="O1723" t="s">
        <v>3767</v>
      </c>
      <c r="P1723" t="s">
        <v>6523</v>
      </c>
      <c r="Q1723" t="s">
        <v>20</v>
      </c>
      <c r="R1723" t="s">
        <v>20</v>
      </c>
      <c r="S1723" t="s">
        <v>138</v>
      </c>
    </row>
    <row r="1724" spans="1:19" hidden="1" x14ac:dyDescent="0.45">
      <c r="A1724" t="s">
        <v>4482</v>
      </c>
      <c r="B1724" t="s">
        <v>6719</v>
      </c>
      <c r="C1724" t="s">
        <v>6720</v>
      </c>
      <c r="D1724" t="s">
        <v>6273</v>
      </c>
      <c r="E1724" t="s">
        <v>21</v>
      </c>
      <c r="F1724" t="s">
        <v>2722</v>
      </c>
      <c r="G1724" t="s">
        <v>23</v>
      </c>
      <c r="H1724" t="s">
        <v>6721</v>
      </c>
      <c r="I1724" t="s">
        <v>6722</v>
      </c>
      <c r="J1724" t="s">
        <v>6723</v>
      </c>
      <c r="K1724" t="s">
        <v>6724</v>
      </c>
      <c r="L1724" t="s">
        <v>43</v>
      </c>
      <c r="M1724" t="s">
        <v>2760</v>
      </c>
      <c r="N1724" t="s">
        <v>137</v>
      </c>
      <c r="O1724" t="s">
        <v>3767</v>
      </c>
      <c r="P1724" t="s">
        <v>43</v>
      </c>
      <c r="Q1724" t="s">
        <v>20</v>
      </c>
      <c r="R1724" t="s">
        <v>20</v>
      </c>
      <c r="S1724" t="s">
        <v>20</v>
      </c>
    </row>
    <row r="1725" spans="1:19" hidden="1" x14ac:dyDescent="0.45">
      <c r="A1725" t="s">
        <v>211</v>
      </c>
      <c r="B1725" t="s">
        <v>14239</v>
      </c>
      <c r="C1725" t="s">
        <v>292</v>
      </c>
      <c r="D1725" t="s">
        <v>293</v>
      </c>
      <c r="E1725" t="s">
        <v>57</v>
      </c>
      <c r="F1725" t="s">
        <v>2795</v>
      </c>
      <c r="G1725" t="s">
        <v>23</v>
      </c>
      <c r="H1725" t="s">
        <v>1379</v>
      </c>
      <c r="I1725" t="s">
        <v>1380</v>
      </c>
      <c r="J1725" t="s">
        <v>1381</v>
      </c>
      <c r="K1725" t="s">
        <v>1382</v>
      </c>
      <c r="L1725" t="s">
        <v>6525</v>
      </c>
      <c r="M1725" t="s">
        <v>102</v>
      </c>
      <c r="N1725" t="s">
        <v>62</v>
      </c>
      <c r="O1725" t="s">
        <v>3767</v>
      </c>
      <c r="P1725" t="s">
        <v>11782</v>
      </c>
      <c r="Q1725" t="s">
        <v>20</v>
      </c>
      <c r="R1725" t="s">
        <v>20</v>
      </c>
      <c r="S1725" t="s">
        <v>20</v>
      </c>
    </row>
    <row r="1726" spans="1:19" hidden="1" x14ac:dyDescent="0.45">
      <c r="A1726" t="s">
        <v>71</v>
      </c>
      <c r="B1726" t="s">
        <v>10704</v>
      </c>
      <c r="C1726" t="s">
        <v>4571</v>
      </c>
      <c r="D1726" t="s">
        <v>4572</v>
      </c>
      <c r="E1726" t="s">
        <v>57</v>
      </c>
      <c r="F1726" t="s">
        <v>10705</v>
      </c>
      <c r="G1726" t="s">
        <v>23</v>
      </c>
      <c r="H1726" t="s">
        <v>7916</v>
      </c>
      <c r="I1726" t="s">
        <v>7917</v>
      </c>
      <c r="J1726" t="s">
        <v>7918</v>
      </c>
      <c r="K1726" t="s">
        <v>7919</v>
      </c>
      <c r="L1726" t="s">
        <v>2769</v>
      </c>
      <c r="M1726" t="s">
        <v>102</v>
      </c>
      <c r="N1726" t="s">
        <v>62</v>
      </c>
      <c r="O1726" t="s">
        <v>3767</v>
      </c>
      <c r="P1726" t="s">
        <v>6522</v>
      </c>
      <c r="Q1726" t="s">
        <v>20</v>
      </c>
      <c r="R1726" t="s">
        <v>20</v>
      </c>
      <c r="S1726" t="s">
        <v>20</v>
      </c>
    </row>
    <row r="1727" spans="1:19" hidden="1" x14ac:dyDescent="0.45">
      <c r="A1727" t="s">
        <v>8868</v>
      </c>
      <c r="B1727" t="s">
        <v>8869</v>
      </c>
      <c r="C1727" t="s">
        <v>8870</v>
      </c>
      <c r="D1727" t="s">
        <v>6364</v>
      </c>
      <c r="E1727" t="s">
        <v>21</v>
      </c>
      <c r="F1727" t="s">
        <v>2722</v>
      </c>
      <c r="G1727" t="s">
        <v>23</v>
      </c>
      <c r="H1727" t="s">
        <v>8871</v>
      </c>
      <c r="I1727" t="s">
        <v>8872</v>
      </c>
      <c r="J1727" t="s">
        <v>8873</v>
      </c>
      <c r="K1727" t="s">
        <v>8874</v>
      </c>
      <c r="L1727" t="s">
        <v>722</v>
      </c>
      <c r="M1727" t="s">
        <v>2760</v>
      </c>
      <c r="N1727" t="s">
        <v>137</v>
      </c>
      <c r="O1727" t="s">
        <v>3767</v>
      </c>
      <c r="P1727" t="s">
        <v>722</v>
      </c>
      <c r="Q1727" t="s">
        <v>20</v>
      </c>
      <c r="R1727" t="s">
        <v>20</v>
      </c>
      <c r="S1727" t="s">
        <v>138</v>
      </c>
    </row>
    <row r="1728" spans="1:19" hidden="1" x14ac:dyDescent="0.45">
      <c r="A1728" t="s">
        <v>1016</v>
      </c>
      <c r="B1728" t="s">
        <v>3440</v>
      </c>
      <c r="C1728" t="s">
        <v>3441</v>
      </c>
      <c r="D1728" t="s">
        <v>3442</v>
      </c>
      <c r="E1728" t="s">
        <v>38</v>
      </c>
      <c r="F1728" t="s">
        <v>2785</v>
      </c>
      <c r="G1728" t="s">
        <v>23</v>
      </c>
      <c r="H1728" t="s">
        <v>3443</v>
      </c>
      <c r="I1728" t="s">
        <v>3444</v>
      </c>
      <c r="J1728" t="s">
        <v>3445</v>
      </c>
      <c r="K1728" t="s">
        <v>3446</v>
      </c>
      <c r="L1728" t="s">
        <v>296</v>
      </c>
      <c r="M1728" t="s">
        <v>132</v>
      </c>
      <c r="N1728" t="s">
        <v>195</v>
      </c>
      <c r="O1728" t="s">
        <v>3767</v>
      </c>
      <c r="P1728" t="s">
        <v>722</v>
      </c>
      <c r="Q1728" t="s">
        <v>20</v>
      </c>
      <c r="R1728" t="s">
        <v>20</v>
      </c>
      <c r="S1728" t="s">
        <v>20</v>
      </c>
    </row>
    <row r="1729" spans="1:19" hidden="1" x14ac:dyDescent="0.45">
      <c r="A1729" t="s">
        <v>81</v>
      </c>
      <c r="B1729" t="s">
        <v>4686</v>
      </c>
      <c r="C1729" t="s">
        <v>919</v>
      </c>
      <c r="D1729" t="s">
        <v>920</v>
      </c>
      <c r="E1729" t="s">
        <v>38</v>
      </c>
      <c r="F1729" t="s">
        <v>2831</v>
      </c>
      <c r="G1729" t="s">
        <v>23</v>
      </c>
      <c r="H1729" t="s">
        <v>4687</v>
      </c>
      <c r="I1729" t="s">
        <v>1957</v>
      </c>
      <c r="J1729" t="s">
        <v>4688</v>
      </c>
      <c r="K1729" t="s">
        <v>4689</v>
      </c>
      <c r="L1729" t="s">
        <v>101</v>
      </c>
      <c r="M1729" t="s">
        <v>2760</v>
      </c>
      <c r="N1729" t="s">
        <v>146</v>
      </c>
      <c r="O1729" t="s">
        <v>3767</v>
      </c>
      <c r="P1729" t="s">
        <v>296</v>
      </c>
      <c r="Q1729" t="s">
        <v>20</v>
      </c>
      <c r="R1729" t="s">
        <v>20</v>
      </c>
      <c r="S1729" t="s">
        <v>20</v>
      </c>
    </row>
    <row r="1730" spans="1:19" hidden="1" x14ac:dyDescent="0.45">
      <c r="A1730" t="s">
        <v>518</v>
      </c>
      <c r="B1730" t="s">
        <v>10707</v>
      </c>
      <c r="C1730" t="s">
        <v>1787</v>
      </c>
      <c r="D1730" t="s">
        <v>1788</v>
      </c>
      <c r="E1730" t="s">
        <v>57</v>
      </c>
      <c r="F1730" t="s">
        <v>4263</v>
      </c>
      <c r="G1730" t="s">
        <v>23</v>
      </c>
      <c r="H1730" t="s">
        <v>1789</v>
      </c>
      <c r="I1730" t="s">
        <v>1790</v>
      </c>
      <c r="J1730" t="s">
        <v>1791</v>
      </c>
      <c r="K1730" t="s">
        <v>1792</v>
      </c>
      <c r="L1730" t="s">
        <v>43</v>
      </c>
      <c r="M1730" t="s">
        <v>6932</v>
      </c>
      <c r="N1730" t="s">
        <v>62</v>
      </c>
      <c r="O1730" t="s">
        <v>3767</v>
      </c>
      <c r="P1730" t="s">
        <v>7506</v>
      </c>
      <c r="Q1730" t="s">
        <v>20</v>
      </c>
      <c r="R1730" t="s">
        <v>20</v>
      </c>
      <c r="S1730" t="s">
        <v>20</v>
      </c>
    </row>
    <row r="1731" spans="1:19" hidden="1" x14ac:dyDescent="0.45">
      <c r="A1731" t="s">
        <v>173</v>
      </c>
      <c r="B1731" t="s">
        <v>14041</v>
      </c>
      <c r="C1731" t="s">
        <v>2902</v>
      </c>
      <c r="D1731" t="s">
        <v>2903</v>
      </c>
      <c r="E1731" t="s">
        <v>38</v>
      </c>
      <c r="F1731" t="s">
        <v>3062</v>
      </c>
      <c r="G1731" t="s">
        <v>23</v>
      </c>
      <c r="H1731" t="s">
        <v>14042</v>
      </c>
      <c r="I1731" t="s">
        <v>14043</v>
      </c>
      <c r="J1731" t="s">
        <v>14044</v>
      </c>
      <c r="K1731" t="s">
        <v>14045</v>
      </c>
      <c r="L1731" t="s">
        <v>8094</v>
      </c>
      <c r="M1731" t="s">
        <v>2760</v>
      </c>
      <c r="N1731" t="s">
        <v>146</v>
      </c>
      <c r="O1731" t="s">
        <v>3767</v>
      </c>
      <c r="P1731" t="s">
        <v>8094</v>
      </c>
      <c r="Q1731" t="s">
        <v>20</v>
      </c>
      <c r="R1731" t="s">
        <v>20</v>
      </c>
      <c r="S1731" t="s">
        <v>20</v>
      </c>
    </row>
    <row r="1732" spans="1:19" hidden="1" x14ac:dyDescent="0.45">
      <c r="A1732" t="s">
        <v>809</v>
      </c>
      <c r="B1732" t="s">
        <v>14046</v>
      </c>
      <c r="C1732" t="s">
        <v>2074</v>
      </c>
      <c r="D1732" t="s">
        <v>2075</v>
      </c>
      <c r="E1732" t="s">
        <v>57</v>
      </c>
      <c r="F1732" t="s">
        <v>2795</v>
      </c>
      <c r="G1732" t="s">
        <v>23</v>
      </c>
      <c r="H1732" t="s">
        <v>2076</v>
      </c>
      <c r="I1732" t="s">
        <v>2077</v>
      </c>
      <c r="J1732" t="s">
        <v>2078</v>
      </c>
      <c r="K1732" t="s">
        <v>2079</v>
      </c>
      <c r="L1732" t="s">
        <v>8094</v>
      </c>
      <c r="M1732" t="s">
        <v>3840</v>
      </c>
      <c r="N1732" t="s">
        <v>62</v>
      </c>
      <c r="O1732" t="s">
        <v>3767</v>
      </c>
      <c r="P1732" t="s">
        <v>8094</v>
      </c>
      <c r="Q1732" t="s">
        <v>20</v>
      </c>
      <c r="R1732" t="s">
        <v>20</v>
      </c>
      <c r="S1732" t="s">
        <v>20</v>
      </c>
    </row>
    <row r="1733" spans="1:19" hidden="1" x14ac:dyDescent="0.45">
      <c r="A1733" t="s">
        <v>715</v>
      </c>
      <c r="B1733" t="s">
        <v>3973</v>
      </c>
      <c r="C1733" t="s">
        <v>3974</v>
      </c>
      <c r="D1733" t="s">
        <v>3975</v>
      </c>
      <c r="E1733" t="s">
        <v>2487</v>
      </c>
      <c r="F1733" t="s">
        <v>3062</v>
      </c>
      <c r="G1733" t="s">
        <v>23</v>
      </c>
      <c r="H1733" t="s">
        <v>3976</v>
      </c>
      <c r="I1733" t="s">
        <v>3977</v>
      </c>
      <c r="J1733" t="s">
        <v>3978</v>
      </c>
      <c r="K1733" t="s">
        <v>3979</v>
      </c>
      <c r="L1733" t="s">
        <v>118</v>
      </c>
      <c r="M1733" t="s">
        <v>102</v>
      </c>
      <c r="N1733" t="s">
        <v>146</v>
      </c>
      <c r="O1733" t="s">
        <v>3767</v>
      </c>
      <c r="P1733" t="s">
        <v>296</v>
      </c>
      <c r="Q1733" t="s">
        <v>20</v>
      </c>
      <c r="R1733" t="s">
        <v>20</v>
      </c>
      <c r="S1733" t="s">
        <v>20</v>
      </c>
    </row>
    <row r="1734" spans="1:19" hidden="1" x14ac:dyDescent="0.45">
      <c r="A1734" t="s">
        <v>239</v>
      </c>
      <c r="B1734" t="s">
        <v>3634</v>
      </c>
      <c r="C1734" t="s">
        <v>2010</v>
      </c>
      <c r="D1734" t="s">
        <v>2011</v>
      </c>
      <c r="E1734" t="s">
        <v>38</v>
      </c>
      <c r="F1734" t="s">
        <v>3182</v>
      </c>
      <c r="G1734" t="s">
        <v>23</v>
      </c>
      <c r="H1734" t="s">
        <v>3635</v>
      </c>
      <c r="I1734" t="s">
        <v>3636</v>
      </c>
      <c r="J1734" t="s">
        <v>3637</v>
      </c>
      <c r="K1734" t="s">
        <v>3638</v>
      </c>
      <c r="L1734" t="s">
        <v>168</v>
      </c>
      <c r="M1734" t="s">
        <v>132</v>
      </c>
      <c r="N1734" t="s">
        <v>33</v>
      </c>
      <c r="O1734" t="s">
        <v>3767</v>
      </c>
      <c r="P1734" t="s">
        <v>6522</v>
      </c>
      <c r="Q1734" t="s">
        <v>20</v>
      </c>
      <c r="R1734" t="s">
        <v>20</v>
      </c>
      <c r="S1734" t="s">
        <v>20</v>
      </c>
    </row>
    <row r="1735" spans="1:19" x14ac:dyDescent="0.45">
      <c r="A1735" t="s">
        <v>71</v>
      </c>
      <c r="B1735" t="s">
        <v>6717</v>
      </c>
      <c r="C1735" t="s">
        <v>1656</v>
      </c>
      <c r="D1735" t="s">
        <v>1657</v>
      </c>
      <c r="E1735" t="s">
        <v>38</v>
      </c>
      <c r="F1735" t="s">
        <v>2785</v>
      </c>
      <c r="G1735" t="s">
        <v>23</v>
      </c>
      <c r="H1735" t="s">
        <v>1658</v>
      </c>
      <c r="I1735" t="s">
        <v>1659</v>
      </c>
      <c r="J1735" t="s">
        <v>1660</v>
      </c>
      <c r="K1735" t="s">
        <v>946</v>
      </c>
      <c r="L1735" t="s">
        <v>53</v>
      </c>
      <c r="M1735" t="s">
        <v>2760</v>
      </c>
      <c r="N1735" t="s">
        <v>146</v>
      </c>
      <c r="O1735" t="s">
        <v>3767</v>
      </c>
      <c r="P1735" t="s">
        <v>290</v>
      </c>
      <c r="Q1735" t="s">
        <v>20</v>
      </c>
      <c r="R1735" t="s">
        <v>20</v>
      </c>
      <c r="S1735" t="s">
        <v>20</v>
      </c>
    </row>
    <row r="1736" spans="1:19" x14ac:dyDescent="0.45">
      <c r="A1736" t="s">
        <v>802</v>
      </c>
      <c r="B1736" t="s">
        <v>12342</v>
      </c>
      <c r="C1736" t="s">
        <v>1741</v>
      </c>
      <c r="D1736" t="s">
        <v>1742</v>
      </c>
      <c r="E1736" t="s">
        <v>38</v>
      </c>
      <c r="F1736" t="s">
        <v>2755</v>
      </c>
      <c r="G1736" t="s">
        <v>23</v>
      </c>
      <c r="H1736" t="s">
        <v>11849</v>
      </c>
      <c r="I1736" t="s">
        <v>11850</v>
      </c>
      <c r="J1736" t="s">
        <v>11851</v>
      </c>
      <c r="K1736" t="s">
        <v>11852</v>
      </c>
      <c r="L1736" t="s">
        <v>6524</v>
      </c>
      <c r="M1736" t="s">
        <v>2760</v>
      </c>
      <c r="N1736" t="s">
        <v>146</v>
      </c>
      <c r="O1736" t="s">
        <v>3767</v>
      </c>
      <c r="P1736" t="s">
        <v>8377</v>
      </c>
      <c r="Q1736" t="s">
        <v>20</v>
      </c>
      <c r="R1736" t="s">
        <v>20</v>
      </c>
      <c r="S1736" t="s">
        <v>11853</v>
      </c>
    </row>
    <row r="1737" spans="1:19" x14ac:dyDescent="0.45">
      <c r="A1737" t="s">
        <v>187</v>
      </c>
      <c r="B1737" t="s">
        <v>10149</v>
      </c>
      <c r="C1737" t="s">
        <v>3050</v>
      </c>
      <c r="D1737" t="s">
        <v>3051</v>
      </c>
      <c r="E1737" t="s">
        <v>21</v>
      </c>
      <c r="F1737" t="s">
        <v>2722</v>
      </c>
      <c r="G1737" t="s">
        <v>23</v>
      </c>
      <c r="H1737" t="s">
        <v>10150</v>
      </c>
      <c r="I1737" t="s">
        <v>10151</v>
      </c>
      <c r="J1737" t="s">
        <v>10152</v>
      </c>
      <c r="K1737" t="s">
        <v>10153</v>
      </c>
      <c r="L1737" t="s">
        <v>9126</v>
      </c>
      <c r="M1737" t="s">
        <v>3145</v>
      </c>
      <c r="N1737" t="s">
        <v>2727</v>
      </c>
      <c r="O1737" t="s">
        <v>3767</v>
      </c>
      <c r="P1737" t="s">
        <v>3998</v>
      </c>
      <c r="Q1737" t="s">
        <v>20</v>
      </c>
      <c r="R1737" t="s">
        <v>20</v>
      </c>
      <c r="S1737" t="s">
        <v>20</v>
      </c>
    </row>
    <row r="1738" spans="1:19" x14ac:dyDescent="0.45">
      <c r="A1738" t="s">
        <v>518</v>
      </c>
      <c r="B1738" t="s">
        <v>10650</v>
      </c>
      <c r="C1738" t="s">
        <v>1470</v>
      </c>
      <c r="D1738" t="s">
        <v>1471</v>
      </c>
      <c r="E1738" t="s">
        <v>57</v>
      </c>
      <c r="F1738" t="s">
        <v>2795</v>
      </c>
      <c r="G1738" t="s">
        <v>23</v>
      </c>
      <c r="H1738" t="s">
        <v>1472</v>
      </c>
      <c r="I1738" t="s">
        <v>1473</v>
      </c>
      <c r="J1738" t="s">
        <v>1474</v>
      </c>
      <c r="K1738" t="s">
        <v>1475</v>
      </c>
      <c r="L1738" t="s">
        <v>43</v>
      </c>
      <c r="M1738" t="s">
        <v>32</v>
      </c>
      <c r="N1738" t="s">
        <v>62</v>
      </c>
      <c r="O1738" t="s">
        <v>3767</v>
      </c>
      <c r="P1738" t="s">
        <v>7506</v>
      </c>
      <c r="Q1738" t="s">
        <v>20</v>
      </c>
      <c r="R1738" t="s">
        <v>20</v>
      </c>
      <c r="S1738" t="s">
        <v>20</v>
      </c>
    </row>
    <row r="1739" spans="1:19" x14ac:dyDescent="0.45">
      <c r="A1739" t="s">
        <v>3096</v>
      </c>
      <c r="B1739" t="s">
        <v>10180</v>
      </c>
      <c r="C1739" t="s">
        <v>3299</v>
      </c>
      <c r="D1739" t="s">
        <v>3300</v>
      </c>
      <c r="E1739" t="s">
        <v>21</v>
      </c>
      <c r="F1739" t="s">
        <v>14685</v>
      </c>
      <c r="G1739" t="s">
        <v>23</v>
      </c>
      <c r="H1739" t="s">
        <v>10181</v>
      </c>
      <c r="I1739" t="s">
        <v>10182</v>
      </c>
      <c r="J1739" t="s">
        <v>10183</v>
      </c>
      <c r="K1739" t="s">
        <v>10184</v>
      </c>
      <c r="L1739" t="s">
        <v>6522</v>
      </c>
      <c r="M1739" t="s">
        <v>3105</v>
      </c>
      <c r="N1739" t="s">
        <v>1224</v>
      </c>
      <c r="O1739" t="s">
        <v>3767</v>
      </c>
      <c r="P1739" t="s">
        <v>6522</v>
      </c>
      <c r="Q1739" t="s">
        <v>20</v>
      </c>
      <c r="R1739" t="s">
        <v>20</v>
      </c>
      <c r="S1739" t="s">
        <v>20</v>
      </c>
    </row>
    <row r="1740" spans="1:19" x14ac:dyDescent="0.45">
      <c r="A1740" t="s">
        <v>173</v>
      </c>
      <c r="B1740" t="s">
        <v>8541</v>
      </c>
      <c r="C1740" t="s">
        <v>1354</v>
      </c>
      <c r="D1740" t="s">
        <v>1355</v>
      </c>
      <c r="E1740" t="s">
        <v>38</v>
      </c>
      <c r="F1740" t="s">
        <v>3954</v>
      </c>
      <c r="G1740" t="s">
        <v>23</v>
      </c>
      <c r="H1740" t="s">
        <v>8542</v>
      </c>
      <c r="I1740" t="s">
        <v>8543</v>
      </c>
      <c r="J1740" t="s">
        <v>8544</v>
      </c>
      <c r="K1740" t="s">
        <v>8545</v>
      </c>
      <c r="L1740" t="s">
        <v>290</v>
      </c>
      <c r="M1740" t="s">
        <v>2760</v>
      </c>
      <c r="N1740" t="s">
        <v>3831</v>
      </c>
      <c r="O1740" t="s">
        <v>3767</v>
      </c>
      <c r="P1740" t="s">
        <v>290</v>
      </c>
      <c r="Q1740" t="s">
        <v>20</v>
      </c>
      <c r="R1740" t="s">
        <v>20</v>
      </c>
      <c r="S1740" t="s">
        <v>8546</v>
      </c>
    </row>
    <row r="1741" spans="1:19" x14ac:dyDescent="0.45">
      <c r="A1741" t="s">
        <v>3096</v>
      </c>
      <c r="B1741" t="s">
        <v>13341</v>
      </c>
      <c r="C1741" t="s">
        <v>3212</v>
      </c>
      <c r="D1741" t="s">
        <v>3213</v>
      </c>
      <c r="E1741" t="s">
        <v>38</v>
      </c>
      <c r="F1741" t="s">
        <v>2748</v>
      </c>
      <c r="G1741" t="s">
        <v>23</v>
      </c>
      <c r="H1741" t="s">
        <v>13342</v>
      </c>
      <c r="I1741" t="s">
        <v>13343</v>
      </c>
      <c r="J1741" t="s">
        <v>13344</v>
      </c>
      <c r="K1741" t="s">
        <v>13345</v>
      </c>
      <c r="L1741" t="s">
        <v>6524</v>
      </c>
      <c r="M1741" t="s">
        <v>3105</v>
      </c>
      <c r="N1741" t="s">
        <v>1224</v>
      </c>
      <c r="O1741" t="s">
        <v>3767</v>
      </c>
      <c r="P1741" t="s">
        <v>6524</v>
      </c>
      <c r="Q1741" t="s">
        <v>20</v>
      </c>
      <c r="R1741" t="s">
        <v>20</v>
      </c>
      <c r="S1741" t="s">
        <v>20</v>
      </c>
    </row>
    <row r="1742" spans="1:19" x14ac:dyDescent="0.45">
      <c r="A1742" t="s">
        <v>81</v>
      </c>
      <c r="B1742" t="s">
        <v>4735</v>
      </c>
      <c r="C1742" t="s">
        <v>978</v>
      </c>
      <c r="D1742" t="s">
        <v>979</v>
      </c>
      <c r="E1742" t="s">
        <v>4208</v>
      </c>
      <c r="F1742" t="s">
        <v>2785</v>
      </c>
      <c r="G1742" t="s">
        <v>23</v>
      </c>
      <c r="H1742" t="s">
        <v>4736</v>
      </c>
      <c r="I1742" t="s">
        <v>4737</v>
      </c>
      <c r="J1742" t="s">
        <v>4738</v>
      </c>
      <c r="K1742" t="s">
        <v>4739</v>
      </c>
      <c r="L1742" t="s">
        <v>635</v>
      </c>
      <c r="M1742" t="s">
        <v>2760</v>
      </c>
      <c r="N1742" t="s">
        <v>2727</v>
      </c>
      <c r="O1742" t="s">
        <v>3767</v>
      </c>
      <c r="P1742" t="s">
        <v>296</v>
      </c>
      <c r="Q1742" t="s">
        <v>20</v>
      </c>
      <c r="R1742" t="s">
        <v>20</v>
      </c>
      <c r="S1742" t="s">
        <v>20</v>
      </c>
    </row>
    <row r="1743" spans="1:19" x14ac:dyDescent="0.45">
      <c r="A1743" t="s">
        <v>715</v>
      </c>
      <c r="B1743" t="s">
        <v>14248</v>
      </c>
      <c r="C1743" t="s">
        <v>984</v>
      </c>
      <c r="D1743" t="s">
        <v>985</v>
      </c>
      <c r="E1743" t="s">
        <v>57</v>
      </c>
      <c r="F1743" t="s">
        <v>2795</v>
      </c>
      <c r="G1743" t="s">
        <v>23</v>
      </c>
      <c r="H1743" t="s">
        <v>2141</v>
      </c>
      <c r="I1743" t="s">
        <v>2142</v>
      </c>
      <c r="J1743" t="s">
        <v>2143</v>
      </c>
      <c r="K1743" t="s">
        <v>2144</v>
      </c>
      <c r="L1743" t="s">
        <v>6525</v>
      </c>
      <c r="M1743" t="s">
        <v>102</v>
      </c>
      <c r="N1743" t="s">
        <v>62</v>
      </c>
      <c r="O1743" t="s">
        <v>3767</v>
      </c>
      <c r="P1743" t="s">
        <v>6525</v>
      </c>
      <c r="Q1743" t="s">
        <v>20</v>
      </c>
      <c r="R1743" t="s">
        <v>20</v>
      </c>
      <c r="S1743" t="s">
        <v>20</v>
      </c>
    </row>
    <row r="1744" spans="1:19" x14ac:dyDescent="0.45">
      <c r="A1744" t="s">
        <v>26</v>
      </c>
      <c r="B1744" t="s">
        <v>8124</v>
      </c>
      <c r="C1744" t="s">
        <v>1839</v>
      </c>
      <c r="D1744" t="s">
        <v>1840</v>
      </c>
      <c r="E1744" t="s">
        <v>21</v>
      </c>
      <c r="F1744" t="s">
        <v>2787</v>
      </c>
      <c r="G1744" t="s">
        <v>23</v>
      </c>
      <c r="H1744" t="s">
        <v>8125</v>
      </c>
      <c r="I1744" t="s">
        <v>8126</v>
      </c>
      <c r="J1744" t="s">
        <v>8127</v>
      </c>
      <c r="K1744" t="s">
        <v>8128</v>
      </c>
      <c r="L1744" t="s">
        <v>3998</v>
      </c>
      <c r="M1744" t="s">
        <v>2760</v>
      </c>
      <c r="N1744" t="s">
        <v>2727</v>
      </c>
      <c r="O1744" t="s">
        <v>3767</v>
      </c>
      <c r="P1744" t="s">
        <v>902</v>
      </c>
      <c r="Q1744" t="s">
        <v>20</v>
      </c>
      <c r="R1744" t="s">
        <v>20</v>
      </c>
      <c r="S1744" t="s">
        <v>20</v>
      </c>
    </row>
    <row r="1745" spans="1:19" x14ac:dyDescent="0.45">
      <c r="A1745" t="s">
        <v>535</v>
      </c>
      <c r="B1745" t="s">
        <v>14254</v>
      </c>
      <c r="C1745" t="s">
        <v>4024</v>
      </c>
      <c r="D1745" t="s">
        <v>4025</v>
      </c>
      <c r="E1745" t="s">
        <v>38</v>
      </c>
      <c r="F1745" t="s">
        <v>14686</v>
      </c>
      <c r="G1745" t="s">
        <v>23</v>
      </c>
      <c r="H1745" t="s">
        <v>12209</v>
      </c>
      <c r="I1745" t="s">
        <v>12210</v>
      </c>
      <c r="J1745" t="s">
        <v>12883</v>
      </c>
      <c r="K1745" t="s">
        <v>12884</v>
      </c>
      <c r="L1745" t="s">
        <v>3418</v>
      </c>
      <c r="M1745" t="s">
        <v>5379</v>
      </c>
      <c r="N1745" t="s">
        <v>3831</v>
      </c>
      <c r="O1745" t="s">
        <v>3767</v>
      </c>
      <c r="P1745" t="s">
        <v>8094</v>
      </c>
      <c r="Q1745" t="s">
        <v>20</v>
      </c>
      <c r="R1745" t="s">
        <v>20</v>
      </c>
      <c r="S1745" t="s">
        <v>12211</v>
      </c>
    </row>
    <row r="1746" spans="1:19" x14ac:dyDescent="0.45">
      <c r="A1746" t="s">
        <v>4482</v>
      </c>
      <c r="B1746" t="s">
        <v>4483</v>
      </c>
      <c r="C1746" t="s">
        <v>4484</v>
      </c>
      <c r="D1746" t="s">
        <v>4485</v>
      </c>
      <c r="E1746" t="s">
        <v>38</v>
      </c>
      <c r="F1746" t="s">
        <v>2785</v>
      </c>
      <c r="G1746" t="s">
        <v>23</v>
      </c>
      <c r="H1746" t="s">
        <v>4486</v>
      </c>
      <c r="I1746" t="s">
        <v>4487</v>
      </c>
      <c r="J1746" t="s">
        <v>4488</v>
      </c>
      <c r="K1746" t="s">
        <v>4489</v>
      </c>
      <c r="L1746" t="s">
        <v>131</v>
      </c>
      <c r="M1746" t="s">
        <v>2760</v>
      </c>
      <c r="N1746" t="s">
        <v>62</v>
      </c>
      <c r="O1746" t="s">
        <v>3767</v>
      </c>
      <c r="P1746" t="s">
        <v>131</v>
      </c>
      <c r="Q1746" t="s">
        <v>20</v>
      </c>
      <c r="R1746" t="s">
        <v>20</v>
      </c>
      <c r="S1746" t="s">
        <v>20</v>
      </c>
    </row>
    <row r="1747" spans="1:19" x14ac:dyDescent="0.45">
      <c r="A1747" t="s">
        <v>535</v>
      </c>
      <c r="B1747" t="s">
        <v>12977</v>
      </c>
      <c r="C1747" t="s">
        <v>798</v>
      </c>
      <c r="D1747" t="s">
        <v>799</v>
      </c>
      <c r="E1747" t="s">
        <v>38</v>
      </c>
      <c r="F1747" t="s">
        <v>10537</v>
      </c>
      <c r="G1747" t="s">
        <v>23</v>
      </c>
      <c r="H1747" t="s">
        <v>9025</v>
      </c>
      <c r="I1747" t="s">
        <v>9280</v>
      </c>
      <c r="J1747" t="s">
        <v>9281</v>
      </c>
      <c r="K1747" t="s">
        <v>9282</v>
      </c>
      <c r="L1747" t="s">
        <v>3998</v>
      </c>
      <c r="M1747" t="s">
        <v>2760</v>
      </c>
      <c r="N1747" t="s">
        <v>45</v>
      </c>
      <c r="O1747" t="s">
        <v>3767</v>
      </c>
      <c r="P1747" t="s">
        <v>2769</v>
      </c>
      <c r="Q1747" t="s">
        <v>20</v>
      </c>
      <c r="R1747" t="s">
        <v>20</v>
      </c>
      <c r="S1747" t="s">
        <v>12269</v>
      </c>
    </row>
    <row r="1748" spans="1:19" x14ac:dyDescent="0.45">
      <c r="A1748" t="s">
        <v>12382</v>
      </c>
      <c r="B1748" t="s">
        <v>3459</v>
      </c>
      <c r="C1748" t="s">
        <v>2653</v>
      </c>
      <c r="D1748" t="s">
        <v>2654</v>
      </c>
      <c r="E1748" t="s">
        <v>38</v>
      </c>
      <c r="F1748" t="s">
        <v>3460</v>
      </c>
      <c r="G1748" t="s">
        <v>23</v>
      </c>
      <c r="H1748" t="s">
        <v>3461</v>
      </c>
      <c r="I1748" t="s">
        <v>3462</v>
      </c>
      <c r="J1748" t="s">
        <v>3463</v>
      </c>
      <c r="K1748" t="s">
        <v>3464</v>
      </c>
      <c r="L1748" t="s">
        <v>677</v>
      </c>
      <c r="M1748" t="s">
        <v>136</v>
      </c>
      <c r="N1748" t="s">
        <v>1224</v>
      </c>
      <c r="O1748" t="s">
        <v>4798</v>
      </c>
      <c r="P1748" t="s">
        <v>677</v>
      </c>
      <c r="Q1748" t="s">
        <v>20</v>
      </c>
      <c r="R1748" t="s">
        <v>4799</v>
      </c>
      <c r="S1748" t="s">
        <v>20</v>
      </c>
    </row>
    <row r="1749" spans="1:19" x14ac:dyDescent="0.45">
      <c r="A1749" t="s">
        <v>2861</v>
      </c>
      <c r="B1749" t="s">
        <v>14687</v>
      </c>
      <c r="C1749" t="s">
        <v>9429</v>
      </c>
      <c r="D1749" t="s">
        <v>5996</v>
      </c>
      <c r="E1749" t="s">
        <v>38</v>
      </c>
      <c r="F1749" t="s">
        <v>5397</v>
      </c>
      <c r="G1749" t="s">
        <v>23</v>
      </c>
      <c r="H1749" t="s">
        <v>14688</v>
      </c>
      <c r="I1749" t="s">
        <v>14689</v>
      </c>
      <c r="J1749" t="s">
        <v>14690</v>
      </c>
      <c r="K1749" t="s">
        <v>14691</v>
      </c>
      <c r="L1749" t="s">
        <v>9683</v>
      </c>
      <c r="M1749" t="s">
        <v>32</v>
      </c>
      <c r="N1749" t="s">
        <v>3407</v>
      </c>
      <c r="O1749" t="s">
        <v>4798</v>
      </c>
      <c r="P1749" t="s">
        <v>6525</v>
      </c>
      <c r="Q1749" t="s">
        <v>20</v>
      </c>
      <c r="R1749" t="s">
        <v>4799</v>
      </c>
      <c r="S1749" t="s">
        <v>20</v>
      </c>
    </row>
    <row r="1750" spans="1:19" x14ac:dyDescent="0.45">
      <c r="A1750" t="s">
        <v>6679</v>
      </c>
      <c r="B1750" t="s">
        <v>12978</v>
      </c>
      <c r="C1750" t="s">
        <v>12979</v>
      </c>
      <c r="D1750" t="s">
        <v>6213</v>
      </c>
      <c r="E1750" t="s">
        <v>38</v>
      </c>
      <c r="F1750" t="s">
        <v>2787</v>
      </c>
      <c r="G1750" t="s">
        <v>23</v>
      </c>
      <c r="H1750" t="s">
        <v>12980</v>
      </c>
      <c r="I1750" t="s">
        <v>12981</v>
      </c>
      <c r="J1750" t="s">
        <v>12982</v>
      </c>
      <c r="K1750" t="s">
        <v>12983</v>
      </c>
      <c r="L1750" t="s">
        <v>6527</v>
      </c>
      <c r="M1750" t="s">
        <v>2981</v>
      </c>
      <c r="N1750" t="s">
        <v>2809</v>
      </c>
      <c r="O1750" t="s">
        <v>4798</v>
      </c>
      <c r="P1750" t="s">
        <v>6527</v>
      </c>
      <c r="Q1750" t="s">
        <v>20</v>
      </c>
      <c r="R1750" t="s">
        <v>4799</v>
      </c>
      <c r="S1750" t="s">
        <v>20</v>
      </c>
    </row>
    <row r="1751" spans="1:19" x14ac:dyDescent="0.45">
      <c r="A1751" t="s">
        <v>12382</v>
      </c>
      <c r="B1751" t="s">
        <v>5363</v>
      </c>
      <c r="C1751" t="s">
        <v>2169</v>
      </c>
      <c r="D1751" t="s">
        <v>2170</v>
      </c>
      <c r="E1751" t="s">
        <v>38</v>
      </c>
      <c r="F1751" t="s">
        <v>5364</v>
      </c>
      <c r="G1751" t="s">
        <v>23</v>
      </c>
      <c r="H1751" t="s">
        <v>5365</v>
      </c>
      <c r="I1751" t="s">
        <v>5366</v>
      </c>
      <c r="J1751" t="s">
        <v>5367</v>
      </c>
      <c r="K1751" t="s">
        <v>5368</v>
      </c>
      <c r="L1751" t="s">
        <v>53</v>
      </c>
      <c r="M1751" t="s">
        <v>136</v>
      </c>
      <c r="N1751" t="s">
        <v>33</v>
      </c>
      <c r="O1751" t="s">
        <v>4798</v>
      </c>
      <c r="P1751" t="s">
        <v>168</v>
      </c>
      <c r="Q1751" t="s">
        <v>20</v>
      </c>
      <c r="R1751" t="s">
        <v>4799</v>
      </c>
      <c r="S1751" t="s">
        <v>20</v>
      </c>
    </row>
    <row r="1752" spans="1:19" x14ac:dyDescent="0.45">
      <c r="A1752" t="s">
        <v>5243</v>
      </c>
      <c r="B1752" t="s">
        <v>5244</v>
      </c>
      <c r="C1752" t="s">
        <v>5245</v>
      </c>
      <c r="D1752" t="s">
        <v>5246</v>
      </c>
      <c r="E1752" t="s">
        <v>21</v>
      </c>
      <c r="F1752" t="s">
        <v>2787</v>
      </c>
      <c r="G1752" t="s">
        <v>23</v>
      </c>
      <c r="H1752" t="s">
        <v>5247</v>
      </c>
      <c r="I1752" t="s">
        <v>5248</v>
      </c>
      <c r="J1752" t="s">
        <v>5249</v>
      </c>
      <c r="K1752" t="s">
        <v>5250</v>
      </c>
      <c r="L1752" t="s">
        <v>194</v>
      </c>
      <c r="M1752" t="s">
        <v>2100</v>
      </c>
      <c r="N1752" t="s">
        <v>1224</v>
      </c>
      <c r="O1752" t="s">
        <v>4798</v>
      </c>
      <c r="P1752" t="s">
        <v>194</v>
      </c>
      <c r="Q1752" t="s">
        <v>20</v>
      </c>
      <c r="R1752" t="s">
        <v>4799</v>
      </c>
      <c r="S1752" t="s">
        <v>20</v>
      </c>
    </row>
    <row r="1753" spans="1:19" x14ac:dyDescent="0.45">
      <c r="A1753" t="s">
        <v>5243</v>
      </c>
      <c r="B1753" t="s">
        <v>6672</v>
      </c>
      <c r="C1753" t="s">
        <v>5245</v>
      </c>
      <c r="D1753" t="s">
        <v>5246</v>
      </c>
      <c r="E1753" t="s">
        <v>38</v>
      </c>
      <c r="F1753" t="s">
        <v>2785</v>
      </c>
      <c r="G1753" t="s">
        <v>23</v>
      </c>
      <c r="H1753" t="s">
        <v>6673</v>
      </c>
      <c r="I1753" t="s">
        <v>6529</v>
      </c>
      <c r="J1753" t="s">
        <v>6674</v>
      </c>
      <c r="K1753" t="s">
        <v>6675</v>
      </c>
      <c r="L1753" t="s">
        <v>3418</v>
      </c>
      <c r="M1753" t="s">
        <v>112</v>
      </c>
      <c r="N1753" t="s">
        <v>113</v>
      </c>
      <c r="O1753" t="s">
        <v>4798</v>
      </c>
      <c r="P1753" t="s">
        <v>6521</v>
      </c>
      <c r="Q1753" t="s">
        <v>20</v>
      </c>
      <c r="R1753" t="s">
        <v>4799</v>
      </c>
      <c r="S1753" t="s">
        <v>20</v>
      </c>
    </row>
    <row r="1754" spans="1:19" x14ac:dyDescent="0.45">
      <c r="A1754" t="s">
        <v>12382</v>
      </c>
      <c r="B1754" t="s">
        <v>5188</v>
      </c>
      <c r="C1754" t="s">
        <v>494</v>
      </c>
      <c r="D1754" t="s">
        <v>495</v>
      </c>
      <c r="E1754" t="s">
        <v>38</v>
      </c>
      <c r="F1754" t="s">
        <v>2863</v>
      </c>
      <c r="G1754" t="s">
        <v>23</v>
      </c>
      <c r="H1754" t="s">
        <v>5189</v>
      </c>
      <c r="I1754" t="s">
        <v>5190</v>
      </c>
      <c r="J1754" t="s">
        <v>5191</v>
      </c>
      <c r="K1754" t="s">
        <v>5192</v>
      </c>
      <c r="L1754" t="s">
        <v>53</v>
      </c>
      <c r="M1754" t="s">
        <v>136</v>
      </c>
      <c r="N1754" t="s">
        <v>33</v>
      </c>
      <c r="O1754" t="s">
        <v>4798</v>
      </c>
      <c r="P1754" t="s">
        <v>168</v>
      </c>
      <c r="Q1754" t="s">
        <v>20</v>
      </c>
      <c r="R1754" t="s">
        <v>4799</v>
      </c>
      <c r="S1754" t="s">
        <v>20</v>
      </c>
    </row>
    <row r="1755" spans="1:19" x14ac:dyDescent="0.45">
      <c r="A1755" t="s">
        <v>6679</v>
      </c>
      <c r="B1755" t="s">
        <v>8676</v>
      </c>
      <c r="C1755" t="s">
        <v>8677</v>
      </c>
      <c r="D1755" t="s">
        <v>5457</v>
      </c>
      <c r="E1755" t="s">
        <v>21</v>
      </c>
      <c r="F1755" t="s">
        <v>2722</v>
      </c>
      <c r="G1755" t="s">
        <v>23</v>
      </c>
      <c r="H1755" t="s">
        <v>8678</v>
      </c>
      <c r="I1755" t="s">
        <v>8679</v>
      </c>
      <c r="J1755" t="s">
        <v>8680</v>
      </c>
      <c r="K1755" t="s">
        <v>8681</v>
      </c>
      <c r="L1755" t="s">
        <v>290</v>
      </c>
      <c r="M1755" t="s">
        <v>112</v>
      </c>
      <c r="N1755" t="s">
        <v>146</v>
      </c>
      <c r="O1755" t="s">
        <v>4798</v>
      </c>
      <c r="P1755" t="s">
        <v>290</v>
      </c>
      <c r="Q1755" t="s">
        <v>20</v>
      </c>
      <c r="R1755" t="s">
        <v>4799</v>
      </c>
      <c r="S1755" t="s">
        <v>20</v>
      </c>
    </row>
    <row r="1756" spans="1:19" x14ac:dyDescent="0.45">
      <c r="A1756" t="s">
        <v>261</v>
      </c>
      <c r="B1756" t="s">
        <v>12350</v>
      </c>
      <c r="C1756" t="s">
        <v>954</v>
      </c>
      <c r="D1756" t="s">
        <v>955</v>
      </c>
      <c r="E1756" t="s">
        <v>38</v>
      </c>
      <c r="F1756" t="s">
        <v>2785</v>
      </c>
      <c r="G1756" t="s">
        <v>23</v>
      </c>
      <c r="H1756" t="s">
        <v>8936</v>
      </c>
      <c r="I1756" t="s">
        <v>9199</v>
      </c>
      <c r="J1756" t="s">
        <v>9200</v>
      </c>
      <c r="K1756" t="s">
        <v>9201</v>
      </c>
      <c r="L1756" t="s">
        <v>2769</v>
      </c>
      <c r="M1756" t="s">
        <v>112</v>
      </c>
      <c r="N1756" t="s">
        <v>33</v>
      </c>
      <c r="O1756" t="s">
        <v>4798</v>
      </c>
      <c r="P1756" t="s">
        <v>6513</v>
      </c>
      <c r="Q1756" t="s">
        <v>20</v>
      </c>
      <c r="R1756" t="s">
        <v>4799</v>
      </c>
      <c r="S1756" t="s">
        <v>20</v>
      </c>
    </row>
    <row r="1757" spans="1:19" x14ac:dyDescent="0.45">
      <c r="A1757" t="s">
        <v>261</v>
      </c>
      <c r="B1757" t="s">
        <v>9324</v>
      </c>
      <c r="C1757" t="s">
        <v>954</v>
      </c>
      <c r="D1757" t="s">
        <v>955</v>
      </c>
      <c r="E1757" t="s">
        <v>38</v>
      </c>
      <c r="F1757" t="s">
        <v>2785</v>
      </c>
      <c r="G1757" t="s">
        <v>23</v>
      </c>
      <c r="H1757" t="s">
        <v>9015</v>
      </c>
      <c r="I1757" t="s">
        <v>9325</v>
      </c>
      <c r="J1757" t="s">
        <v>9326</v>
      </c>
      <c r="K1757" t="s">
        <v>9327</v>
      </c>
      <c r="L1757" t="s">
        <v>9126</v>
      </c>
      <c r="M1757" t="s">
        <v>112</v>
      </c>
      <c r="N1757" t="s">
        <v>33</v>
      </c>
      <c r="O1757" t="s">
        <v>4798</v>
      </c>
      <c r="P1757" t="s">
        <v>6523</v>
      </c>
      <c r="Q1757" t="s">
        <v>20</v>
      </c>
      <c r="R1757" t="s">
        <v>4799</v>
      </c>
      <c r="S1757" t="s">
        <v>20</v>
      </c>
    </row>
    <row r="1758" spans="1:19" x14ac:dyDescent="0.45">
      <c r="A1758" t="s">
        <v>2278</v>
      </c>
      <c r="B1758" t="s">
        <v>11869</v>
      </c>
      <c r="C1758" t="s">
        <v>10608</v>
      </c>
      <c r="D1758" t="s">
        <v>6019</v>
      </c>
      <c r="E1758" t="s">
        <v>21</v>
      </c>
      <c r="F1758" t="s">
        <v>2787</v>
      </c>
      <c r="G1758" t="s">
        <v>23</v>
      </c>
      <c r="H1758" t="s">
        <v>11870</v>
      </c>
      <c r="I1758" t="s">
        <v>11871</v>
      </c>
      <c r="J1758" t="s">
        <v>11872</v>
      </c>
      <c r="K1758" t="s">
        <v>11873</v>
      </c>
      <c r="L1758" t="s">
        <v>8109</v>
      </c>
      <c r="M1758" t="s">
        <v>2100</v>
      </c>
      <c r="N1758" t="s">
        <v>678</v>
      </c>
      <c r="O1758" t="s">
        <v>4798</v>
      </c>
      <c r="P1758" t="s">
        <v>8377</v>
      </c>
      <c r="Q1758" t="s">
        <v>20</v>
      </c>
      <c r="R1758" t="s">
        <v>4799</v>
      </c>
      <c r="S1758" t="s">
        <v>20</v>
      </c>
    </row>
    <row r="1759" spans="1:19" x14ac:dyDescent="0.45">
      <c r="A1759" t="s">
        <v>12382</v>
      </c>
      <c r="B1759" t="s">
        <v>8857</v>
      </c>
      <c r="C1759" t="s">
        <v>3139</v>
      </c>
      <c r="D1759" t="s">
        <v>3140</v>
      </c>
      <c r="E1759" t="s">
        <v>38</v>
      </c>
      <c r="F1759" t="s">
        <v>2787</v>
      </c>
      <c r="G1759" t="s">
        <v>23</v>
      </c>
      <c r="H1759" t="s">
        <v>8858</v>
      </c>
      <c r="I1759" t="s">
        <v>8859</v>
      </c>
      <c r="J1759" t="s">
        <v>8860</v>
      </c>
      <c r="K1759" t="s">
        <v>8861</v>
      </c>
      <c r="L1759" t="s">
        <v>902</v>
      </c>
      <c r="M1759" t="s">
        <v>2981</v>
      </c>
      <c r="N1759" t="s">
        <v>3696</v>
      </c>
      <c r="O1759" t="s">
        <v>4798</v>
      </c>
      <c r="P1759" t="s">
        <v>902</v>
      </c>
      <c r="Q1759" t="s">
        <v>20</v>
      </c>
      <c r="R1759" t="s">
        <v>4799</v>
      </c>
      <c r="S1759" t="s">
        <v>2935</v>
      </c>
    </row>
    <row r="1760" spans="1:19" x14ac:dyDescent="0.45">
      <c r="A1760" t="s">
        <v>6989</v>
      </c>
      <c r="B1760" t="s">
        <v>8862</v>
      </c>
      <c r="C1760" t="s">
        <v>2064</v>
      </c>
      <c r="D1760" t="s">
        <v>2065</v>
      </c>
      <c r="E1760" t="s">
        <v>21</v>
      </c>
      <c r="F1760" t="s">
        <v>2722</v>
      </c>
      <c r="G1760" t="s">
        <v>23</v>
      </c>
      <c r="H1760" t="s">
        <v>8863</v>
      </c>
      <c r="I1760" t="s">
        <v>8864</v>
      </c>
      <c r="J1760" t="s">
        <v>8865</v>
      </c>
      <c r="K1760" t="s">
        <v>8866</v>
      </c>
      <c r="L1760" t="s">
        <v>2330</v>
      </c>
      <c r="M1760" t="s">
        <v>1223</v>
      </c>
      <c r="N1760" t="s">
        <v>25</v>
      </c>
      <c r="O1760" t="s">
        <v>4798</v>
      </c>
      <c r="P1760" t="s">
        <v>722</v>
      </c>
      <c r="Q1760" t="s">
        <v>20</v>
      </c>
      <c r="R1760" t="s">
        <v>8867</v>
      </c>
      <c r="S1760" t="s">
        <v>20</v>
      </c>
    </row>
    <row r="1761" spans="1:19" x14ac:dyDescent="0.45">
      <c r="A1761" t="s">
        <v>6989</v>
      </c>
      <c r="B1761" t="s">
        <v>6763</v>
      </c>
      <c r="C1761" t="s">
        <v>2064</v>
      </c>
      <c r="D1761" t="s">
        <v>2065</v>
      </c>
      <c r="E1761" t="s">
        <v>38</v>
      </c>
      <c r="F1761" t="s">
        <v>6534</v>
      </c>
      <c r="G1761" t="s">
        <v>23</v>
      </c>
      <c r="H1761" t="s">
        <v>2066</v>
      </c>
      <c r="I1761" t="s">
        <v>2067</v>
      </c>
      <c r="J1761" t="s">
        <v>2068</v>
      </c>
      <c r="K1761" t="s">
        <v>2069</v>
      </c>
      <c r="L1761" t="s">
        <v>168</v>
      </c>
      <c r="M1761" t="s">
        <v>112</v>
      </c>
      <c r="N1761" t="s">
        <v>33</v>
      </c>
      <c r="O1761" t="s">
        <v>4798</v>
      </c>
      <c r="P1761" t="s">
        <v>290</v>
      </c>
      <c r="Q1761" t="s">
        <v>20</v>
      </c>
      <c r="R1761" t="s">
        <v>4799</v>
      </c>
      <c r="S1761" t="s">
        <v>20</v>
      </c>
    </row>
    <row r="1762" spans="1:19" x14ac:dyDescent="0.45">
      <c r="A1762" t="s">
        <v>6989</v>
      </c>
      <c r="B1762" t="s">
        <v>8726</v>
      </c>
      <c r="C1762" t="s">
        <v>2064</v>
      </c>
      <c r="D1762" t="s">
        <v>2065</v>
      </c>
      <c r="E1762" t="s">
        <v>38</v>
      </c>
      <c r="F1762" t="s">
        <v>8147</v>
      </c>
      <c r="G1762" t="s">
        <v>23</v>
      </c>
      <c r="H1762" t="s">
        <v>8727</v>
      </c>
      <c r="I1762" t="s">
        <v>8728</v>
      </c>
      <c r="J1762" t="s">
        <v>8729</v>
      </c>
      <c r="K1762" t="s">
        <v>8730</v>
      </c>
      <c r="L1762" t="s">
        <v>722</v>
      </c>
      <c r="M1762" t="s">
        <v>112</v>
      </c>
      <c r="N1762" t="s">
        <v>113</v>
      </c>
      <c r="O1762" t="s">
        <v>4798</v>
      </c>
      <c r="P1762" t="s">
        <v>722</v>
      </c>
      <c r="Q1762" t="s">
        <v>20</v>
      </c>
      <c r="R1762" t="s">
        <v>4799</v>
      </c>
      <c r="S1762" t="s">
        <v>20</v>
      </c>
    </row>
    <row r="1763" spans="1:19" x14ac:dyDescent="0.45">
      <c r="A1763" t="s">
        <v>6989</v>
      </c>
      <c r="B1763" t="s">
        <v>8638</v>
      </c>
      <c r="C1763" t="s">
        <v>2064</v>
      </c>
      <c r="D1763" t="s">
        <v>2065</v>
      </c>
      <c r="E1763" t="s">
        <v>38</v>
      </c>
      <c r="F1763" t="s">
        <v>3568</v>
      </c>
      <c r="G1763" t="s">
        <v>23</v>
      </c>
      <c r="H1763" t="s">
        <v>8639</v>
      </c>
      <c r="I1763" t="s">
        <v>8640</v>
      </c>
      <c r="J1763" t="s">
        <v>8641</v>
      </c>
      <c r="K1763" t="s">
        <v>8642</v>
      </c>
      <c r="L1763" t="s">
        <v>5398</v>
      </c>
      <c r="M1763" t="s">
        <v>1223</v>
      </c>
      <c r="N1763" t="s">
        <v>1224</v>
      </c>
      <c r="O1763" t="s">
        <v>4798</v>
      </c>
      <c r="P1763" t="s">
        <v>5398</v>
      </c>
      <c r="Q1763" t="s">
        <v>20</v>
      </c>
      <c r="R1763" t="s">
        <v>4799</v>
      </c>
      <c r="S1763" t="s">
        <v>20</v>
      </c>
    </row>
    <row r="1764" spans="1:19" x14ac:dyDescent="0.45">
      <c r="A1764" t="s">
        <v>3026</v>
      </c>
      <c r="B1764" t="s">
        <v>12020</v>
      </c>
      <c r="C1764" t="s">
        <v>8783</v>
      </c>
      <c r="D1764" t="s">
        <v>6295</v>
      </c>
      <c r="E1764" t="s">
        <v>21</v>
      </c>
      <c r="F1764" t="s">
        <v>2722</v>
      </c>
      <c r="G1764" t="s">
        <v>23</v>
      </c>
      <c r="H1764" t="s">
        <v>12021</v>
      </c>
      <c r="I1764" t="s">
        <v>12022</v>
      </c>
      <c r="J1764" t="s">
        <v>12023</v>
      </c>
      <c r="K1764" t="s">
        <v>12024</v>
      </c>
      <c r="L1764" t="s">
        <v>8109</v>
      </c>
      <c r="M1764" t="s">
        <v>8788</v>
      </c>
      <c r="N1764" t="s">
        <v>137</v>
      </c>
      <c r="O1764" t="s">
        <v>4798</v>
      </c>
      <c r="P1764" t="s">
        <v>8109</v>
      </c>
      <c r="Q1764" t="s">
        <v>20</v>
      </c>
      <c r="R1764" t="s">
        <v>4799</v>
      </c>
      <c r="S1764" t="s">
        <v>138</v>
      </c>
    </row>
    <row r="1765" spans="1:19" x14ac:dyDescent="0.45">
      <c r="A1765" t="s">
        <v>2561</v>
      </c>
      <c r="B1765" t="s">
        <v>20</v>
      </c>
      <c r="C1765" t="s">
        <v>4902</v>
      </c>
      <c r="D1765" t="s">
        <v>4903</v>
      </c>
      <c r="E1765" t="s">
        <v>21</v>
      </c>
      <c r="F1765" t="s">
        <v>2722</v>
      </c>
      <c r="G1765" t="s">
        <v>23</v>
      </c>
      <c r="H1765" t="s">
        <v>4904</v>
      </c>
      <c r="I1765" t="s">
        <v>4905</v>
      </c>
      <c r="J1765" t="s">
        <v>4906</v>
      </c>
      <c r="K1765" t="s">
        <v>4907</v>
      </c>
      <c r="L1765" t="s">
        <v>677</v>
      </c>
      <c r="M1765" t="s">
        <v>1223</v>
      </c>
      <c r="N1765" t="s">
        <v>678</v>
      </c>
      <c r="O1765" t="s">
        <v>4798</v>
      </c>
      <c r="P1765" t="s">
        <v>161</v>
      </c>
      <c r="Q1765" t="s">
        <v>20</v>
      </c>
      <c r="R1765" t="s">
        <v>4799</v>
      </c>
      <c r="S1765" t="s">
        <v>20</v>
      </c>
    </row>
    <row r="1766" spans="1:19" x14ac:dyDescent="0.45">
      <c r="A1766" t="s">
        <v>104</v>
      </c>
      <c r="B1766" t="s">
        <v>10725</v>
      </c>
      <c r="C1766" t="s">
        <v>3020</v>
      </c>
      <c r="D1766" t="s">
        <v>3021</v>
      </c>
      <c r="E1766" t="s">
        <v>38</v>
      </c>
      <c r="F1766" t="s">
        <v>2863</v>
      </c>
      <c r="G1766" t="s">
        <v>23</v>
      </c>
      <c r="H1766" t="s">
        <v>10726</v>
      </c>
      <c r="I1766" t="s">
        <v>10727</v>
      </c>
      <c r="J1766" t="s">
        <v>10728</v>
      </c>
      <c r="K1766" t="s">
        <v>10729</v>
      </c>
      <c r="L1766" t="s">
        <v>3418</v>
      </c>
      <c r="M1766" t="s">
        <v>112</v>
      </c>
      <c r="N1766" t="s">
        <v>62</v>
      </c>
      <c r="O1766" t="s">
        <v>4798</v>
      </c>
      <c r="P1766" t="s">
        <v>2769</v>
      </c>
      <c r="Q1766" t="s">
        <v>20</v>
      </c>
      <c r="R1766" t="s">
        <v>4799</v>
      </c>
      <c r="S1766" t="s">
        <v>20</v>
      </c>
    </row>
    <row r="1767" spans="1:19" x14ac:dyDescent="0.45">
      <c r="A1767" t="s">
        <v>104</v>
      </c>
      <c r="B1767" t="s">
        <v>3019</v>
      </c>
      <c r="C1767" t="s">
        <v>3020</v>
      </c>
      <c r="D1767" t="s">
        <v>3021</v>
      </c>
      <c r="E1767" t="s">
        <v>38</v>
      </c>
      <c r="F1767" t="s">
        <v>2985</v>
      </c>
      <c r="G1767" t="s">
        <v>23</v>
      </c>
      <c r="H1767" t="s">
        <v>3022</v>
      </c>
      <c r="I1767" t="s">
        <v>3023</v>
      </c>
      <c r="J1767" t="s">
        <v>3024</v>
      </c>
      <c r="K1767" t="s">
        <v>3025</v>
      </c>
      <c r="L1767" t="s">
        <v>6525</v>
      </c>
      <c r="M1767" t="s">
        <v>132</v>
      </c>
      <c r="N1767" t="s">
        <v>9484</v>
      </c>
      <c r="O1767" t="s">
        <v>4798</v>
      </c>
      <c r="P1767" t="s">
        <v>6523</v>
      </c>
      <c r="Q1767" t="s">
        <v>20</v>
      </c>
      <c r="R1767" t="s">
        <v>4799</v>
      </c>
      <c r="S1767" t="s">
        <v>11853</v>
      </c>
    </row>
    <row r="1768" spans="1:19" x14ac:dyDescent="0.45">
      <c r="A1768" t="s">
        <v>12382</v>
      </c>
      <c r="B1768" t="s">
        <v>5230</v>
      </c>
      <c r="C1768" t="s">
        <v>1545</v>
      </c>
      <c r="D1768" t="s">
        <v>1546</v>
      </c>
      <c r="E1768" t="s">
        <v>38</v>
      </c>
      <c r="F1768" t="s">
        <v>3182</v>
      </c>
      <c r="G1768" t="s">
        <v>23</v>
      </c>
      <c r="H1768" t="s">
        <v>5231</v>
      </c>
      <c r="I1768" t="s">
        <v>5232</v>
      </c>
      <c r="J1768" t="s">
        <v>5233</v>
      </c>
      <c r="K1768" t="s">
        <v>5234</v>
      </c>
      <c r="L1768" t="s">
        <v>161</v>
      </c>
      <c r="M1768" t="s">
        <v>136</v>
      </c>
      <c r="N1768" t="s">
        <v>33</v>
      </c>
      <c r="O1768" t="s">
        <v>4798</v>
      </c>
      <c r="P1768" t="s">
        <v>131</v>
      </c>
      <c r="Q1768" t="s">
        <v>20</v>
      </c>
      <c r="R1768" t="s">
        <v>4799</v>
      </c>
      <c r="S1768" t="s">
        <v>20</v>
      </c>
    </row>
    <row r="1769" spans="1:19" x14ac:dyDescent="0.45">
      <c r="A1769" t="s">
        <v>12382</v>
      </c>
      <c r="B1769" t="s">
        <v>5342</v>
      </c>
      <c r="C1769" t="s">
        <v>1545</v>
      </c>
      <c r="D1769" t="s">
        <v>1546</v>
      </c>
      <c r="E1769" t="s">
        <v>21</v>
      </c>
      <c r="F1769" t="s">
        <v>2722</v>
      </c>
      <c r="G1769" t="s">
        <v>23</v>
      </c>
      <c r="H1769" t="s">
        <v>5343</v>
      </c>
      <c r="I1769" t="s">
        <v>5344</v>
      </c>
      <c r="J1769" t="s">
        <v>5345</v>
      </c>
      <c r="K1769" t="s">
        <v>5346</v>
      </c>
      <c r="L1769" t="s">
        <v>194</v>
      </c>
      <c r="M1769" t="s">
        <v>2864</v>
      </c>
      <c r="N1769" t="s">
        <v>137</v>
      </c>
      <c r="O1769" t="s">
        <v>4798</v>
      </c>
      <c r="P1769" t="s">
        <v>168</v>
      </c>
      <c r="Q1769" t="s">
        <v>20</v>
      </c>
      <c r="R1769" t="s">
        <v>4799</v>
      </c>
      <c r="S1769" t="s">
        <v>138</v>
      </c>
    </row>
    <row r="1770" spans="1:19" x14ac:dyDescent="0.45">
      <c r="A1770" t="s">
        <v>2278</v>
      </c>
      <c r="B1770" t="s">
        <v>2960</v>
      </c>
      <c r="C1770" t="s">
        <v>2961</v>
      </c>
      <c r="D1770" t="s">
        <v>2962</v>
      </c>
      <c r="E1770" t="s">
        <v>29</v>
      </c>
      <c r="F1770" t="s">
        <v>2904</v>
      </c>
      <c r="G1770" t="s">
        <v>23</v>
      </c>
      <c r="H1770" t="s">
        <v>2963</v>
      </c>
      <c r="I1770" t="s">
        <v>2964</v>
      </c>
      <c r="J1770" t="s">
        <v>2965</v>
      </c>
      <c r="K1770" t="s">
        <v>2966</v>
      </c>
      <c r="L1770" t="s">
        <v>902</v>
      </c>
      <c r="M1770" t="s">
        <v>112</v>
      </c>
      <c r="N1770" t="s">
        <v>62</v>
      </c>
      <c r="O1770" t="s">
        <v>4798</v>
      </c>
      <c r="P1770" t="s">
        <v>902</v>
      </c>
      <c r="Q1770" t="s">
        <v>20</v>
      </c>
      <c r="R1770" t="s">
        <v>4799</v>
      </c>
      <c r="S1770" t="s">
        <v>20</v>
      </c>
    </row>
    <row r="1771" spans="1:19" x14ac:dyDescent="0.45">
      <c r="A1771" t="s">
        <v>2278</v>
      </c>
      <c r="B1771" t="s">
        <v>4884</v>
      </c>
      <c r="C1771" t="s">
        <v>2961</v>
      </c>
      <c r="D1771" t="s">
        <v>2962</v>
      </c>
      <c r="E1771" t="s">
        <v>38</v>
      </c>
      <c r="F1771" t="s">
        <v>2722</v>
      </c>
      <c r="G1771" t="s">
        <v>23</v>
      </c>
      <c r="H1771" t="s">
        <v>4885</v>
      </c>
      <c r="I1771" t="s">
        <v>4886</v>
      </c>
      <c r="J1771" t="s">
        <v>4887</v>
      </c>
      <c r="K1771" t="s">
        <v>4888</v>
      </c>
      <c r="L1771" t="s">
        <v>168</v>
      </c>
      <c r="M1771" t="s">
        <v>4889</v>
      </c>
      <c r="N1771" t="s">
        <v>2727</v>
      </c>
      <c r="O1771" t="s">
        <v>4798</v>
      </c>
      <c r="P1771" t="s">
        <v>161</v>
      </c>
      <c r="Q1771" t="s">
        <v>20</v>
      </c>
      <c r="R1771" t="s">
        <v>4799</v>
      </c>
      <c r="S1771" t="s">
        <v>20</v>
      </c>
    </row>
    <row r="1772" spans="1:19" x14ac:dyDescent="0.45">
      <c r="A1772" t="s">
        <v>2278</v>
      </c>
      <c r="B1772" t="s">
        <v>14692</v>
      </c>
      <c r="C1772" t="s">
        <v>2961</v>
      </c>
      <c r="D1772" t="s">
        <v>2962</v>
      </c>
      <c r="E1772" t="s">
        <v>21</v>
      </c>
      <c r="F1772" t="s">
        <v>2722</v>
      </c>
      <c r="G1772" t="s">
        <v>23</v>
      </c>
      <c r="H1772" t="s">
        <v>14693</v>
      </c>
      <c r="I1772" t="s">
        <v>14694</v>
      </c>
      <c r="J1772" t="s">
        <v>14695</v>
      </c>
      <c r="K1772" t="s">
        <v>14696</v>
      </c>
      <c r="L1772" t="s">
        <v>6525</v>
      </c>
      <c r="M1772" t="s">
        <v>3145</v>
      </c>
      <c r="N1772" t="s">
        <v>1224</v>
      </c>
      <c r="O1772" t="s">
        <v>4798</v>
      </c>
      <c r="P1772" t="s">
        <v>6525</v>
      </c>
      <c r="Q1772" t="s">
        <v>20</v>
      </c>
      <c r="R1772" t="s">
        <v>4799</v>
      </c>
      <c r="S1772" t="s">
        <v>20</v>
      </c>
    </row>
    <row r="1773" spans="1:19" x14ac:dyDescent="0.45">
      <c r="A1773" t="s">
        <v>1598</v>
      </c>
      <c r="B1773" t="s">
        <v>20</v>
      </c>
      <c r="C1773" t="s">
        <v>5261</v>
      </c>
      <c r="D1773" t="s">
        <v>5262</v>
      </c>
      <c r="E1773" t="s">
        <v>38</v>
      </c>
      <c r="F1773" t="s">
        <v>2787</v>
      </c>
      <c r="G1773" t="s">
        <v>23</v>
      </c>
      <c r="H1773" t="s">
        <v>5263</v>
      </c>
      <c r="I1773" t="s">
        <v>5264</v>
      </c>
      <c r="J1773" t="s">
        <v>5265</v>
      </c>
      <c r="K1773" t="s">
        <v>5266</v>
      </c>
      <c r="L1773" t="s">
        <v>118</v>
      </c>
      <c r="M1773" t="s">
        <v>2100</v>
      </c>
      <c r="N1773" t="s">
        <v>119</v>
      </c>
      <c r="O1773" t="s">
        <v>4798</v>
      </c>
      <c r="P1773" t="s">
        <v>43</v>
      </c>
      <c r="Q1773" t="s">
        <v>20</v>
      </c>
      <c r="R1773" t="s">
        <v>4799</v>
      </c>
      <c r="S1773" t="s">
        <v>4901</v>
      </c>
    </row>
    <row r="1774" spans="1:19" x14ac:dyDescent="0.45">
      <c r="A1774" t="s">
        <v>4877</v>
      </c>
      <c r="B1774" t="s">
        <v>20</v>
      </c>
      <c r="C1774" t="s">
        <v>4879</v>
      </c>
      <c r="D1774" t="s">
        <v>4880</v>
      </c>
      <c r="E1774" t="s">
        <v>38</v>
      </c>
      <c r="F1774" t="s">
        <v>2787</v>
      </c>
      <c r="G1774" t="s">
        <v>23</v>
      </c>
      <c r="H1774" t="s">
        <v>14697</v>
      </c>
      <c r="I1774" t="s">
        <v>14399</v>
      </c>
      <c r="J1774" t="s">
        <v>14698</v>
      </c>
      <c r="K1774" t="s">
        <v>14699</v>
      </c>
      <c r="L1774" t="s">
        <v>6525</v>
      </c>
      <c r="M1774" t="s">
        <v>2981</v>
      </c>
      <c r="N1774" t="s">
        <v>678</v>
      </c>
      <c r="O1774" t="s">
        <v>4798</v>
      </c>
      <c r="P1774" t="s">
        <v>6525</v>
      </c>
      <c r="Q1774" t="s">
        <v>20</v>
      </c>
      <c r="R1774" t="s">
        <v>4799</v>
      </c>
      <c r="S1774" t="s">
        <v>20</v>
      </c>
    </row>
    <row r="1775" spans="1:19" x14ac:dyDescent="0.45">
      <c r="A1775" t="s">
        <v>2664</v>
      </c>
      <c r="B1775" t="s">
        <v>10242</v>
      </c>
      <c r="C1775" t="s">
        <v>9448</v>
      </c>
      <c r="D1775" t="s">
        <v>6152</v>
      </c>
      <c r="E1775" t="s">
        <v>38</v>
      </c>
      <c r="F1775" t="s">
        <v>2785</v>
      </c>
      <c r="G1775" t="s">
        <v>23</v>
      </c>
      <c r="H1775" t="s">
        <v>10243</v>
      </c>
      <c r="I1775" t="s">
        <v>10244</v>
      </c>
      <c r="J1775" t="s">
        <v>10245</v>
      </c>
      <c r="K1775" t="s">
        <v>10246</v>
      </c>
      <c r="L1775" t="s">
        <v>6522</v>
      </c>
      <c r="M1775" t="s">
        <v>112</v>
      </c>
      <c r="N1775" t="s">
        <v>113</v>
      </c>
      <c r="O1775" t="s">
        <v>4798</v>
      </c>
      <c r="P1775" t="s">
        <v>6522</v>
      </c>
      <c r="Q1775" t="s">
        <v>20</v>
      </c>
      <c r="R1775" t="s">
        <v>4799</v>
      </c>
      <c r="S1775" t="s">
        <v>20</v>
      </c>
    </row>
    <row r="1776" spans="1:19" x14ac:dyDescent="0.45">
      <c r="A1776" t="s">
        <v>2664</v>
      </c>
      <c r="B1776" t="s">
        <v>9447</v>
      </c>
      <c r="C1776" t="s">
        <v>9448</v>
      </c>
      <c r="D1776" t="s">
        <v>6152</v>
      </c>
      <c r="E1776" t="s">
        <v>38</v>
      </c>
      <c r="F1776" t="s">
        <v>2785</v>
      </c>
      <c r="G1776" t="s">
        <v>23</v>
      </c>
      <c r="H1776" t="s">
        <v>9449</v>
      </c>
      <c r="I1776" t="s">
        <v>9450</v>
      </c>
      <c r="J1776" t="s">
        <v>9451</v>
      </c>
      <c r="K1776" t="s">
        <v>9452</v>
      </c>
      <c r="L1776" t="s">
        <v>6513</v>
      </c>
      <c r="M1776" t="s">
        <v>112</v>
      </c>
      <c r="N1776" t="s">
        <v>113</v>
      </c>
      <c r="O1776" t="s">
        <v>4798</v>
      </c>
      <c r="P1776" t="s">
        <v>6523</v>
      </c>
      <c r="Q1776" t="s">
        <v>20</v>
      </c>
      <c r="R1776" t="s">
        <v>4799</v>
      </c>
      <c r="S1776" t="s">
        <v>9316</v>
      </c>
    </row>
    <row r="1777" spans="1:19" x14ac:dyDescent="0.45">
      <c r="A1777" t="s">
        <v>2278</v>
      </c>
      <c r="B1777" t="s">
        <v>5094</v>
      </c>
      <c r="C1777" t="s">
        <v>5095</v>
      </c>
      <c r="D1777" t="s">
        <v>5096</v>
      </c>
      <c r="E1777" t="s">
        <v>38</v>
      </c>
      <c r="F1777" t="s">
        <v>2787</v>
      </c>
      <c r="G1777" t="s">
        <v>23</v>
      </c>
      <c r="H1777" t="s">
        <v>5097</v>
      </c>
      <c r="I1777" t="s">
        <v>5098</v>
      </c>
      <c r="J1777" t="s">
        <v>5099</v>
      </c>
      <c r="K1777" t="s">
        <v>5100</v>
      </c>
      <c r="L1777" t="s">
        <v>677</v>
      </c>
      <c r="M1777" t="s">
        <v>2981</v>
      </c>
      <c r="N1777" t="s">
        <v>678</v>
      </c>
      <c r="O1777" t="s">
        <v>4798</v>
      </c>
      <c r="P1777" t="s">
        <v>161</v>
      </c>
      <c r="Q1777" t="s">
        <v>20</v>
      </c>
      <c r="R1777" t="s">
        <v>4799</v>
      </c>
      <c r="S1777" t="s">
        <v>20</v>
      </c>
    </row>
    <row r="1778" spans="1:19" x14ac:dyDescent="0.45">
      <c r="A1778" t="s">
        <v>12382</v>
      </c>
      <c r="B1778" t="s">
        <v>5267</v>
      </c>
      <c r="C1778" t="s">
        <v>4791</v>
      </c>
      <c r="D1778" t="s">
        <v>4792</v>
      </c>
      <c r="E1778" t="s">
        <v>21</v>
      </c>
      <c r="F1778" t="s">
        <v>3062</v>
      </c>
      <c r="G1778" t="s">
        <v>23</v>
      </c>
      <c r="H1778" t="s">
        <v>5268</v>
      </c>
      <c r="I1778" t="s">
        <v>5269</v>
      </c>
      <c r="J1778" t="s">
        <v>5270</v>
      </c>
      <c r="K1778" t="s">
        <v>5271</v>
      </c>
      <c r="L1778" t="s">
        <v>168</v>
      </c>
      <c r="M1778" t="s">
        <v>136</v>
      </c>
      <c r="N1778" t="s">
        <v>2727</v>
      </c>
      <c r="O1778" t="s">
        <v>4798</v>
      </c>
      <c r="P1778" t="s">
        <v>131</v>
      </c>
      <c r="Q1778" t="s">
        <v>20</v>
      </c>
      <c r="R1778" t="s">
        <v>4799</v>
      </c>
      <c r="S1778" t="s">
        <v>20</v>
      </c>
    </row>
    <row r="1779" spans="1:19" x14ac:dyDescent="0.45">
      <c r="A1779" t="s">
        <v>6764</v>
      </c>
      <c r="B1779" t="s">
        <v>6765</v>
      </c>
      <c r="C1779" t="s">
        <v>6766</v>
      </c>
      <c r="D1779" t="s">
        <v>5946</v>
      </c>
      <c r="E1779" t="s">
        <v>38</v>
      </c>
      <c r="F1779" t="s">
        <v>2785</v>
      </c>
      <c r="G1779" t="s">
        <v>23</v>
      </c>
      <c r="H1779" t="s">
        <v>6498</v>
      </c>
      <c r="I1779" t="s">
        <v>6767</v>
      </c>
      <c r="J1779" t="s">
        <v>6768</v>
      </c>
      <c r="K1779" t="s">
        <v>6769</v>
      </c>
      <c r="L1779" t="s">
        <v>43</v>
      </c>
      <c r="M1779" t="s">
        <v>112</v>
      </c>
      <c r="N1779" t="s">
        <v>113</v>
      </c>
      <c r="O1779" t="s">
        <v>4798</v>
      </c>
      <c r="P1779" t="s">
        <v>290</v>
      </c>
      <c r="Q1779" t="s">
        <v>20</v>
      </c>
      <c r="R1779" t="s">
        <v>4799</v>
      </c>
      <c r="S1779" t="s">
        <v>20</v>
      </c>
    </row>
    <row r="1780" spans="1:19" x14ac:dyDescent="0.45">
      <c r="A1780" t="s">
        <v>395</v>
      </c>
      <c r="B1780" t="s">
        <v>6676</v>
      </c>
      <c r="C1780" t="s">
        <v>5030</v>
      </c>
      <c r="D1780" t="s">
        <v>5031</v>
      </c>
      <c r="E1780" t="s">
        <v>21</v>
      </c>
      <c r="F1780" t="s">
        <v>2787</v>
      </c>
      <c r="G1780" t="s">
        <v>23</v>
      </c>
      <c r="H1780" t="s">
        <v>6478</v>
      </c>
      <c r="I1780" t="s">
        <v>6541</v>
      </c>
      <c r="J1780" t="s">
        <v>6677</v>
      </c>
      <c r="K1780" t="s">
        <v>6678</v>
      </c>
      <c r="L1780" t="s">
        <v>43</v>
      </c>
      <c r="M1780" t="s">
        <v>2981</v>
      </c>
      <c r="N1780" t="s">
        <v>3407</v>
      </c>
      <c r="O1780" t="s">
        <v>4798</v>
      </c>
      <c r="P1780" t="s">
        <v>6875</v>
      </c>
      <c r="Q1780" t="s">
        <v>20</v>
      </c>
      <c r="R1780" t="s">
        <v>4799</v>
      </c>
      <c r="S1780" t="s">
        <v>20</v>
      </c>
    </row>
    <row r="1781" spans="1:19" x14ac:dyDescent="0.45">
      <c r="A1781" t="s">
        <v>12382</v>
      </c>
      <c r="B1781" t="s">
        <v>5087</v>
      </c>
      <c r="C1781" t="s">
        <v>5088</v>
      </c>
      <c r="D1781" t="s">
        <v>5089</v>
      </c>
      <c r="E1781" t="s">
        <v>38</v>
      </c>
      <c r="F1781" t="s">
        <v>2831</v>
      </c>
      <c r="G1781" t="s">
        <v>23</v>
      </c>
      <c r="H1781" t="s">
        <v>5090</v>
      </c>
      <c r="I1781" t="s">
        <v>5091</v>
      </c>
      <c r="J1781" t="s">
        <v>5092</v>
      </c>
      <c r="K1781" t="s">
        <v>5093</v>
      </c>
      <c r="L1781" t="s">
        <v>53</v>
      </c>
      <c r="M1781" t="s">
        <v>136</v>
      </c>
      <c r="N1781" t="s">
        <v>33</v>
      </c>
      <c r="O1781" t="s">
        <v>4798</v>
      </c>
      <c r="P1781" t="s">
        <v>168</v>
      </c>
      <c r="Q1781" t="s">
        <v>20</v>
      </c>
      <c r="R1781" t="s">
        <v>4799</v>
      </c>
      <c r="S1781" t="s">
        <v>20</v>
      </c>
    </row>
    <row r="1782" spans="1:19" x14ac:dyDescent="0.45">
      <c r="A1782" t="s">
        <v>261</v>
      </c>
      <c r="B1782" t="s">
        <v>14047</v>
      </c>
      <c r="C1782" t="s">
        <v>2676</v>
      </c>
      <c r="D1782" t="s">
        <v>2677</v>
      </c>
      <c r="E1782" t="s">
        <v>21</v>
      </c>
      <c r="F1782" t="s">
        <v>2722</v>
      </c>
      <c r="G1782" t="s">
        <v>23</v>
      </c>
      <c r="H1782" t="s">
        <v>14048</v>
      </c>
      <c r="I1782" t="s">
        <v>14049</v>
      </c>
      <c r="J1782" t="s">
        <v>14050</v>
      </c>
      <c r="K1782" t="s">
        <v>14051</v>
      </c>
      <c r="L1782" t="s">
        <v>3998</v>
      </c>
      <c r="M1782" t="s">
        <v>12446</v>
      </c>
      <c r="N1782" t="s">
        <v>137</v>
      </c>
      <c r="O1782" t="s">
        <v>4798</v>
      </c>
      <c r="P1782" t="s">
        <v>3998</v>
      </c>
      <c r="Q1782" t="s">
        <v>20</v>
      </c>
      <c r="R1782" t="s">
        <v>4799</v>
      </c>
      <c r="S1782" t="s">
        <v>138</v>
      </c>
    </row>
    <row r="1783" spans="1:19" x14ac:dyDescent="0.45">
      <c r="A1783" t="s">
        <v>12382</v>
      </c>
      <c r="B1783" t="s">
        <v>13400</v>
      </c>
      <c r="C1783" t="s">
        <v>1205</v>
      </c>
      <c r="D1783" t="s">
        <v>1206</v>
      </c>
      <c r="E1783" t="s">
        <v>38</v>
      </c>
      <c r="F1783" t="s">
        <v>2787</v>
      </c>
      <c r="G1783" t="s">
        <v>23</v>
      </c>
      <c r="H1783" t="s">
        <v>13401</v>
      </c>
      <c r="I1783" t="s">
        <v>13402</v>
      </c>
      <c r="J1783" t="s">
        <v>13403</v>
      </c>
      <c r="K1783" t="s">
        <v>13404</v>
      </c>
      <c r="L1783" t="s">
        <v>6524</v>
      </c>
      <c r="M1783" t="s">
        <v>136</v>
      </c>
      <c r="N1783" t="s">
        <v>33</v>
      </c>
      <c r="O1783" t="s">
        <v>4798</v>
      </c>
      <c r="P1783" t="s">
        <v>6524</v>
      </c>
      <c r="Q1783" t="s">
        <v>20</v>
      </c>
      <c r="R1783" t="s">
        <v>4799</v>
      </c>
      <c r="S1783" t="s">
        <v>20</v>
      </c>
    </row>
    <row r="1784" spans="1:19" x14ac:dyDescent="0.45">
      <c r="A1784" t="s">
        <v>2278</v>
      </c>
      <c r="B1784" t="s">
        <v>8885</v>
      </c>
      <c r="C1784" t="s">
        <v>2279</v>
      </c>
      <c r="D1784" t="s">
        <v>2280</v>
      </c>
      <c r="E1784" t="s">
        <v>38</v>
      </c>
      <c r="F1784" t="s">
        <v>2948</v>
      </c>
      <c r="G1784" t="s">
        <v>23</v>
      </c>
      <c r="H1784" t="s">
        <v>2281</v>
      </c>
      <c r="I1784" t="s">
        <v>2282</v>
      </c>
      <c r="J1784" t="s">
        <v>2283</v>
      </c>
      <c r="K1784" t="s">
        <v>613</v>
      </c>
      <c r="L1784" t="s">
        <v>902</v>
      </c>
      <c r="M1784" t="s">
        <v>112</v>
      </c>
      <c r="N1784" t="s">
        <v>62</v>
      </c>
      <c r="O1784" t="s">
        <v>4798</v>
      </c>
      <c r="P1784" t="s">
        <v>902</v>
      </c>
      <c r="Q1784" t="s">
        <v>20</v>
      </c>
      <c r="R1784" t="s">
        <v>4799</v>
      </c>
      <c r="S1784" t="s">
        <v>20</v>
      </c>
    </row>
    <row r="1785" spans="1:19" x14ac:dyDescent="0.45">
      <c r="A1785" t="s">
        <v>6989</v>
      </c>
      <c r="B1785" t="s">
        <v>6730</v>
      </c>
      <c r="C1785" t="s">
        <v>3246</v>
      </c>
      <c r="D1785" t="s">
        <v>3247</v>
      </c>
      <c r="E1785" t="s">
        <v>38</v>
      </c>
      <c r="F1785" t="s">
        <v>2948</v>
      </c>
      <c r="G1785" t="s">
        <v>23</v>
      </c>
      <c r="H1785" t="s">
        <v>6731</v>
      </c>
      <c r="I1785" t="s">
        <v>6732</v>
      </c>
      <c r="J1785" t="s">
        <v>6733</v>
      </c>
      <c r="K1785" t="s">
        <v>6734</v>
      </c>
      <c r="L1785" t="s">
        <v>902</v>
      </c>
      <c r="M1785" t="s">
        <v>112</v>
      </c>
      <c r="N1785" t="s">
        <v>146</v>
      </c>
      <c r="O1785" t="s">
        <v>4798</v>
      </c>
      <c r="P1785" t="s">
        <v>290</v>
      </c>
      <c r="Q1785" t="s">
        <v>20</v>
      </c>
      <c r="R1785" t="s">
        <v>4799</v>
      </c>
      <c r="S1785" t="s">
        <v>20</v>
      </c>
    </row>
    <row r="1786" spans="1:19" x14ac:dyDescent="0.45">
      <c r="A1786" t="s">
        <v>6989</v>
      </c>
      <c r="B1786" t="s">
        <v>3245</v>
      </c>
      <c r="C1786" t="s">
        <v>3246</v>
      </c>
      <c r="D1786" t="s">
        <v>3247</v>
      </c>
      <c r="E1786" t="s">
        <v>38</v>
      </c>
      <c r="F1786" t="s">
        <v>2722</v>
      </c>
      <c r="G1786" t="s">
        <v>23</v>
      </c>
      <c r="H1786" t="s">
        <v>3248</v>
      </c>
      <c r="I1786" t="s">
        <v>3249</v>
      </c>
      <c r="J1786" t="s">
        <v>3250</v>
      </c>
      <c r="K1786" t="s">
        <v>3251</v>
      </c>
      <c r="L1786" t="s">
        <v>161</v>
      </c>
      <c r="M1786" t="s">
        <v>1223</v>
      </c>
      <c r="N1786" t="s">
        <v>33</v>
      </c>
      <c r="O1786" t="s">
        <v>4798</v>
      </c>
      <c r="P1786" t="s">
        <v>722</v>
      </c>
      <c r="Q1786" t="s">
        <v>20</v>
      </c>
      <c r="R1786" t="s">
        <v>4799</v>
      </c>
      <c r="S1786" t="s">
        <v>20</v>
      </c>
    </row>
    <row r="1787" spans="1:19" x14ac:dyDescent="0.45">
      <c r="A1787" t="s">
        <v>4056</v>
      </c>
      <c r="B1787" t="s">
        <v>10709</v>
      </c>
      <c r="C1787" t="s">
        <v>4058</v>
      </c>
      <c r="D1787" t="s">
        <v>4059</v>
      </c>
      <c r="E1787" t="s">
        <v>38</v>
      </c>
      <c r="F1787" t="s">
        <v>2831</v>
      </c>
      <c r="G1787" t="s">
        <v>23</v>
      </c>
      <c r="H1787" t="s">
        <v>10710</v>
      </c>
      <c r="I1787" t="s">
        <v>10711</v>
      </c>
      <c r="J1787" t="s">
        <v>10712</v>
      </c>
      <c r="K1787" t="s">
        <v>10713</v>
      </c>
      <c r="L1787" t="s">
        <v>2769</v>
      </c>
      <c r="M1787" t="s">
        <v>44</v>
      </c>
      <c r="N1787" t="s">
        <v>3815</v>
      </c>
      <c r="O1787" t="s">
        <v>4798</v>
      </c>
      <c r="P1787" t="s">
        <v>2769</v>
      </c>
      <c r="Q1787" t="s">
        <v>20</v>
      </c>
      <c r="R1787" t="s">
        <v>4799</v>
      </c>
      <c r="S1787" t="s">
        <v>20</v>
      </c>
    </row>
    <row r="1788" spans="1:19" x14ac:dyDescent="0.45">
      <c r="A1788" t="s">
        <v>12382</v>
      </c>
      <c r="B1788" t="s">
        <v>13346</v>
      </c>
      <c r="C1788" t="s">
        <v>1283</v>
      </c>
      <c r="D1788" t="s">
        <v>1284</v>
      </c>
      <c r="E1788" t="s">
        <v>38</v>
      </c>
      <c r="F1788" t="s">
        <v>2787</v>
      </c>
      <c r="G1788" t="s">
        <v>23</v>
      </c>
      <c r="H1788" t="s">
        <v>13347</v>
      </c>
      <c r="I1788" t="s">
        <v>13348</v>
      </c>
      <c r="J1788" t="s">
        <v>13349</v>
      </c>
      <c r="K1788" t="s">
        <v>13350</v>
      </c>
      <c r="L1788" t="s">
        <v>6524</v>
      </c>
      <c r="M1788" t="s">
        <v>136</v>
      </c>
      <c r="N1788" t="s">
        <v>33</v>
      </c>
      <c r="O1788" t="s">
        <v>4798</v>
      </c>
      <c r="P1788" t="s">
        <v>6524</v>
      </c>
      <c r="Q1788" t="s">
        <v>20</v>
      </c>
      <c r="R1788" t="s">
        <v>4799</v>
      </c>
      <c r="S1788" t="s">
        <v>20</v>
      </c>
    </row>
    <row r="1789" spans="1:19" x14ac:dyDescent="0.45">
      <c r="A1789" t="s">
        <v>12382</v>
      </c>
      <c r="B1789" t="s">
        <v>4839</v>
      </c>
      <c r="C1789" t="s">
        <v>1283</v>
      </c>
      <c r="D1789" t="s">
        <v>1284</v>
      </c>
      <c r="E1789" t="s">
        <v>38</v>
      </c>
      <c r="F1789" t="s">
        <v>2787</v>
      </c>
      <c r="G1789" t="s">
        <v>23</v>
      </c>
      <c r="H1789" t="s">
        <v>4840</v>
      </c>
      <c r="I1789" t="s">
        <v>4841</v>
      </c>
      <c r="J1789" t="s">
        <v>4842</v>
      </c>
      <c r="K1789" t="s">
        <v>4843</v>
      </c>
      <c r="L1789" t="s">
        <v>53</v>
      </c>
      <c r="M1789" t="s">
        <v>136</v>
      </c>
      <c r="N1789" t="s">
        <v>33</v>
      </c>
      <c r="O1789" t="s">
        <v>4798</v>
      </c>
      <c r="P1789" t="s">
        <v>168</v>
      </c>
      <c r="Q1789" t="s">
        <v>20</v>
      </c>
      <c r="R1789" t="s">
        <v>4844</v>
      </c>
      <c r="S1789" t="s">
        <v>20</v>
      </c>
    </row>
    <row r="1790" spans="1:19" x14ac:dyDescent="0.45">
      <c r="A1790" t="s">
        <v>358</v>
      </c>
      <c r="B1790" t="s">
        <v>12300</v>
      </c>
      <c r="C1790" t="s">
        <v>887</v>
      </c>
      <c r="D1790" t="s">
        <v>888</v>
      </c>
      <c r="E1790" t="s">
        <v>38</v>
      </c>
      <c r="F1790" t="s">
        <v>3182</v>
      </c>
      <c r="G1790" t="s">
        <v>23</v>
      </c>
      <c r="H1790" t="s">
        <v>7977</v>
      </c>
      <c r="I1790" t="s">
        <v>7978</v>
      </c>
      <c r="J1790" t="s">
        <v>7979</v>
      </c>
      <c r="K1790" t="s">
        <v>7980</v>
      </c>
      <c r="L1790" t="s">
        <v>6533</v>
      </c>
      <c r="M1790" t="s">
        <v>112</v>
      </c>
      <c r="N1790" t="s">
        <v>146</v>
      </c>
      <c r="O1790" t="s">
        <v>4798</v>
      </c>
      <c r="P1790" t="s">
        <v>6524</v>
      </c>
      <c r="Q1790" t="s">
        <v>20</v>
      </c>
      <c r="R1790" t="s">
        <v>4799</v>
      </c>
      <c r="S1790" t="s">
        <v>20</v>
      </c>
    </row>
    <row r="1791" spans="1:19" x14ac:dyDescent="0.45">
      <c r="A1791" t="s">
        <v>2278</v>
      </c>
      <c r="B1791" t="s">
        <v>4941</v>
      </c>
      <c r="C1791" t="s">
        <v>3650</v>
      </c>
      <c r="D1791" t="s">
        <v>3651</v>
      </c>
      <c r="E1791" t="s">
        <v>21</v>
      </c>
      <c r="F1791" t="s">
        <v>3766</v>
      </c>
      <c r="G1791" t="s">
        <v>23</v>
      </c>
      <c r="H1791" t="s">
        <v>4942</v>
      </c>
      <c r="I1791" t="s">
        <v>4943</v>
      </c>
      <c r="J1791" t="s">
        <v>4944</v>
      </c>
      <c r="K1791" t="s">
        <v>4945</v>
      </c>
      <c r="L1791" t="s">
        <v>895</v>
      </c>
      <c r="M1791" t="s">
        <v>4946</v>
      </c>
      <c r="N1791" t="s">
        <v>137</v>
      </c>
      <c r="O1791" t="s">
        <v>4798</v>
      </c>
      <c r="P1791" t="s">
        <v>895</v>
      </c>
      <c r="Q1791" t="s">
        <v>20</v>
      </c>
      <c r="R1791" t="s">
        <v>4799</v>
      </c>
      <c r="S1791" t="s">
        <v>138</v>
      </c>
    </row>
    <row r="1792" spans="1:19" x14ac:dyDescent="0.45">
      <c r="A1792" t="s">
        <v>314</v>
      </c>
      <c r="B1792" t="s">
        <v>20</v>
      </c>
      <c r="C1792" t="s">
        <v>315</v>
      </c>
      <c r="D1792" t="s">
        <v>316</v>
      </c>
      <c r="E1792" t="s">
        <v>38</v>
      </c>
      <c r="F1792" t="s">
        <v>2722</v>
      </c>
      <c r="G1792" t="s">
        <v>23</v>
      </c>
      <c r="H1792" t="s">
        <v>3085</v>
      </c>
      <c r="I1792" t="s">
        <v>3086</v>
      </c>
      <c r="J1792" t="s">
        <v>3087</v>
      </c>
      <c r="K1792" t="s">
        <v>3088</v>
      </c>
      <c r="L1792" t="s">
        <v>3418</v>
      </c>
      <c r="M1792" t="s">
        <v>1223</v>
      </c>
      <c r="N1792" t="s">
        <v>678</v>
      </c>
      <c r="O1792" t="s">
        <v>4798</v>
      </c>
      <c r="P1792" t="s">
        <v>9570</v>
      </c>
      <c r="Q1792" t="s">
        <v>20</v>
      </c>
      <c r="R1792" t="s">
        <v>4799</v>
      </c>
      <c r="S1792" t="s">
        <v>20</v>
      </c>
    </row>
    <row r="1793" spans="1:19" x14ac:dyDescent="0.45">
      <c r="A1793" t="s">
        <v>4482</v>
      </c>
      <c r="B1793" t="s">
        <v>8844</v>
      </c>
      <c r="C1793" t="s">
        <v>8845</v>
      </c>
      <c r="D1793" t="s">
        <v>8846</v>
      </c>
      <c r="E1793" t="s">
        <v>21</v>
      </c>
      <c r="F1793" t="s">
        <v>2787</v>
      </c>
      <c r="G1793" t="s">
        <v>23</v>
      </c>
      <c r="H1793" t="s">
        <v>8847</v>
      </c>
      <c r="I1793" t="s">
        <v>8848</v>
      </c>
      <c r="J1793" t="s">
        <v>8849</v>
      </c>
      <c r="K1793" t="s">
        <v>8850</v>
      </c>
      <c r="L1793" t="s">
        <v>290</v>
      </c>
      <c r="M1793" t="s">
        <v>2100</v>
      </c>
      <c r="N1793" t="s">
        <v>33</v>
      </c>
      <c r="O1793" t="s">
        <v>4798</v>
      </c>
      <c r="P1793" t="s">
        <v>722</v>
      </c>
      <c r="Q1793" t="s">
        <v>20</v>
      </c>
      <c r="R1793" t="s">
        <v>4799</v>
      </c>
      <c r="S1793" t="s">
        <v>20</v>
      </c>
    </row>
    <row r="1794" spans="1:19" x14ac:dyDescent="0.45">
      <c r="A1794" t="s">
        <v>133</v>
      </c>
      <c r="B1794" t="s">
        <v>12035</v>
      </c>
      <c r="C1794" t="s">
        <v>12013</v>
      </c>
      <c r="D1794" t="s">
        <v>6179</v>
      </c>
      <c r="E1794" t="s">
        <v>21</v>
      </c>
      <c r="F1794" t="s">
        <v>2773</v>
      </c>
      <c r="G1794" t="s">
        <v>23</v>
      </c>
      <c r="H1794" t="s">
        <v>12036</v>
      </c>
      <c r="I1794" t="s">
        <v>12037</v>
      </c>
      <c r="J1794" t="s">
        <v>12038</v>
      </c>
      <c r="K1794" t="s">
        <v>12039</v>
      </c>
      <c r="L1794" t="s">
        <v>8109</v>
      </c>
      <c r="M1794" t="s">
        <v>2100</v>
      </c>
      <c r="N1794" t="s">
        <v>1224</v>
      </c>
      <c r="O1794" t="s">
        <v>4798</v>
      </c>
      <c r="P1794" t="s">
        <v>8109</v>
      </c>
      <c r="Q1794" t="s">
        <v>20</v>
      </c>
      <c r="R1794" t="s">
        <v>4799</v>
      </c>
      <c r="S1794" t="s">
        <v>20</v>
      </c>
    </row>
    <row r="1795" spans="1:19" x14ac:dyDescent="0.45">
      <c r="A1795" t="s">
        <v>12382</v>
      </c>
      <c r="B1795" t="s">
        <v>4872</v>
      </c>
      <c r="C1795" t="s">
        <v>4587</v>
      </c>
      <c r="D1795" t="s">
        <v>4588</v>
      </c>
      <c r="E1795" t="s">
        <v>21</v>
      </c>
      <c r="F1795" t="s">
        <v>2904</v>
      </c>
      <c r="G1795" t="s">
        <v>23</v>
      </c>
      <c r="H1795" t="s">
        <v>4873</v>
      </c>
      <c r="I1795" t="s">
        <v>4874</v>
      </c>
      <c r="J1795" t="s">
        <v>4875</v>
      </c>
      <c r="K1795" t="s">
        <v>4876</v>
      </c>
      <c r="L1795" t="s">
        <v>101</v>
      </c>
      <c r="M1795" t="s">
        <v>136</v>
      </c>
      <c r="N1795" t="s">
        <v>678</v>
      </c>
      <c r="O1795" t="s">
        <v>4798</v>
      </c>
      <c r="P1795" t="s">
        <v>101</v>
      </c>
      <c r="Q1795" t="s">
        <v>20</v>
      </c>
      <c r="R1795" t="s">
        <v>4799</v>
      </c>
      <c r="S1795" t="s">
        <v>20</v>
      </c>
    </row>
    <row r="1796" spans="1:19" x14ac:dyDescent="0.45">
      <c r="A1796" t="s">
        <v>12382</v>
      </c>
      <c r="B1796" t="s">
        <v>13351</v>
      </c>
      <c r="C1796" t="s">
        <v>4587</v>
      </c>
      <c r="D1796" t="s">
        <v>4588</v>
      </c>
      <c r="E1796" t="s">
        <v>38</v>
      </c>
      <c r="F1796" t="s">
        <v>2904</v>
      </c>
      <c r="G1796" t="s">
        <v>23</v>
      </c>
      <c r="H1796" t="s">
        <v>13352</v>
      </c>
      <c r="I1796" t="s">
        <v>13353</v>
      </c>
      <c r="J1796" t="s">
        <v>13354</v>
      </c>
      <c r="K1796" t="s">
        <v>13355</v>
      </c>
      <c r="L1796" t="s">
        <v>6524</v>
      </c>
      <c r="M1796" t="s">
        <v>136</v>
      </c>
      <c r="N1796" t="s">
        <v>33</v>
      </c>
      <c r="O1796" t="s">
        <v>4798</v>
      </c>
      <c r="P1796" t="s">
        <v>6524</v>
      </c>
      <c r="Q1796" t="s">
        <v>20</v>
      </c>
      <c r="R1796" t="s">
        <v>4799</v>
      </c>
      <c r="S1796" t="s">
        <v>20</v>
      </c>
    </row>
    <row r="1797" spans="1:19" x14ac:dyDescent="0.45">
      <c r="A1797" t="s">
        <v>3120</v>
      </c>
      <c r="B1797" t="s">
        <v>4913</v>
      </c>
      <c r="C1797" t="s">
        <v>3122</v>
      </c>
      <c r="D1797" t="s">
        <v>3123</v>
      </c>
      <c r="E1797" t="s">
        <v>21</v>
      </c>
      <c r="F1797" t="s">
        <v>2722</v>
      </c>
      <c r="G1797" t="s">
        <v>23</v>
      </c>
      <c r="H1797" t="s">
        <v>4914</v>
      </c>
      <c r="I1797" t="s">
        <v>4915</v>
      </c>
      <c r="J1797" t="s">
        <v>4916</v>
      </c>
      <c r="K1797" t="s">
        <v>4917</v>
      </c>
      <c r="L1797" t="s">
        <v>147</v>
      </c>
      <c r="M1797" t="s">
        <v>1223</v>
      </c>
      <c r="N1797" t="s">
        <v>1224</v>
      </c>
      <c r="O1797" t="s">
        <v>4798</v>
      </c>
      <c r="P1797" t="s">
        <v>147</v>
      </c>
      <c r="Q1797" t="s">
        <v>20</v>
      </c>
      <c r="R1797" t="s">
        <v>4799</v>
      </c>
      <c r="S1797" t="s">
        <v>4918</v>
      </c>
    </row>
    <row r="1798" spans="1:19" x14ac:dyDescent="0.45">
      <c r="A1798" t="s">
        <v>261</v>
      </c>
      <c r="B1798" t="s">
        <v>20</v>
      </c>
      <c r="C1798" t="s">
        <v>5176</v>
      </c>
      <c r="D1798" t="s">
        <v>5177</v>
      </c>
      <c r="E1798" t="s">
        <v>21</v>
      </c>
      <c r="F1798" t="s">
        <v>14272</v>
      </c>
      <c r="G1798" t="s">
        <v>23</v>
      </c>
      <c r="H1798" t="s">
        <v>12442</v>
      </c>
      <c r="I1798" t="s">
        <v>12443</v>
      </c>
      <c r="J1798" t="s">
        <v>12444</v>
      </c>
      <c r="K1798" t="s">
        <v>12445</v>
      </c>
      <c r="L1798" t="s">
        <v>6533</v>
      </c>
      <c r="M1798" t="s">
        <v>12446</v>
      </c>
      <c r="N1798" t="s">
        <v>146</v>
      </c>
      <c r="O1798" t="s">
        <v>4798</v>
      </c>
      <c r="P1798" t="s">
        <v>6525</v>
      </c>
      <c r="Q1798" t="s">
        <v>20</v>
      </c>
      <c r="R1798" t="s">
        <v>4799</v>
      </c>
      <c r="S1798" t="s">
        <v>14281</v>
      </c>
    </row>
    <row r="1799" spans="1:19" x14ac:dyDescent="0.45">
      <c r="A1799" t="s">
        <v>2278</v>
      </c>
      <c r="B1799" t="s">
        <v>8766</v>
      </c>
      <c r="C1799" t="s">
        <v>5182</v>
      </c>
      <c r="D1799" t="s">
        <v>5183</v>
      </c>
      <c r="E1799" t="s">
        <v>21</v>
      </c>
      <c r="F1799" t="s">
        <v>2787</v>
      </c>
      <c r="G1799" t="s">
        <v>23</v>
      </c>
      <c r="H1799" t="s">
        <v>8767</v>
      </c>
      <c r="I1799" t="s">
        <v>8768</v>
      </c>
      <c r="J1799" t="s">
        <v>8769</v>
      </c>
      <c r="K1799" t="s">
        <v>8770</v>
      </c>
      <c r="L1799" t="s">
        <v>290</v>
      </c>
      <c r="M1799" t="s">
        <v>2981</v>
      </c>
      <c r="N1799" t="s">
        <v>137</v>
      </c>
      <c r="O1799" t="s">
        <v>4798</v>
      </c>
      <c r="P1799" t="s">
        <v>290</v>
      </c>
      <c r="Q1799" t="s">
        <v>20</v>
      </c>
      <c r="R1799" t="s">
        <v>4799</v>
      </c>
      <c r="S1799" t="s">
        <v>138</v>
      </c>
    </row>
    <row r="1800" spans="1:19" x14ac:dyDescent="0.45">
      <c r="A1800" t="s">
        <v>2278</v>
      </c>
      <c r="B1800" t="s">
        <v>20</v>
      </c>
      <c r="C1800" t="s">
        <v>5182</v>
      </c>
      <c r="D1800" t="s">
        <v>5183</v>
      </c>
      <c r="E1800" t="s">
        <v>38</v>
      </c>
      <c r="F1800" t="s">
        <v>2787</v>
      </c>
      <c r="G1800" t="s">
        <v>23</v>
      </c>
      <c r="H1800" t="s">
        <v>5184</v>
      </c>
      <c r="I1800" t="s">
        <v>5185</v>
      </c>
      <c r="J1800" t="s">
        <v>5186</v>
      </c>
      <c r="K1800" t="s">
        <v>5187</v>
      </c>
      <c r="L1800" t="s">
        <v>677</v>
      </c>
      <c r="M1800" t="s">
        <v>2981</v>
      </c>
      <c r="N1800" t="s">
        <v>678</v>
      </c>
      <c r="O1800" t="s">
        <v>4798</v>
      </c>
      <c r="P1800" t="s">
        <v>161</v>
      </c>
      <c r="Q1800" t="s">
        <v>20</v>
      </c>
      <c r="R1800" t="s">
        <v>4799</v>
      </c>
      <c r="S1800" t="s">
        <v>20</v>
      </c>
    </row>
    <row r="1801" spans="1:19" x14ac:dyDescent="0.45">
      <c r="A1801" t="s">
        <v>6679</v>
      </c>
      <c r="B1801" t="s">
        <v>9510</v>
      </c>
      <c r="C1801" t="s">
        <v>9511</v>
      </c>
      <c r="D1801" t="s">
        <v>5952</v>
      </c>
      <c r="E1801" t="s">
        <v>38</v>
      </c>
      <c r="F1801" t="s">
        <v>2787</v>
      </c>
      <c r="G1801" t="s">
        <v>23</v>
      </c>
      <c r="H1801" t="s">
        <v>9512</v>
      </c>
      <c r="I1801" t="s">
        <v>9513</v>
      </c>
      <c r="J1801" t="s">
        <v>9514</v>
      </c>
      <c r="K1801" t="s">
        <v>9515</v>
      </c>
      <c r="L1801" t="s">
        <v>9126</v>
      </c>
      <c r="M1801" t="s">
        <v>2100</v>
      </c>
      <c r="N1801" t="s">
        <v>3696</v>
      </c>
      <c r="O1801" t="s">
        <v>4798</v>
      </c>
      <c r="P1801" t="s">
        <v>6523</v>
      </c>
      <c r="Q1801" t="s">
        <v>20</v>
      </c>
      <c r="R1801" t="s">
        <v>4799</v>
      </c>
      <c r="S1801" t="s">
        <v>2935</v>
      </c>
    </row>
    <row r="1802" spans="1:19" x14ac:dyDescent="0.45">
      <c r="A1802" t="s">
        <v>12382</v>
      </c>
      <c r="B1802" t="s">
        <v>13356</v>
      </c>
      <c r="C1802" t="s">
        <v>1066</v>
      </c>
      <c r="D1802" t="s">
        <v>1067</v>
      </c>
      <c r="E1802" t="s">
        <v>38</v>
      </c>
      <c r="F1802" t="s">
        <v>3062</v>
      </c>
      <c r="G1802" t="s">
        <v>23</v>
      </c>
      <c r="H1802" t="s">
        <v>13357</v>
      </c>
      <c r="I1802" t="s">
        <v>13358</v>
      </c>
      <c r="J1802" t="s">
        <v>13359</v>
      </c>
      <c r="K1802" t="s">
        <v>13360</v>
      </c>
      <c r="L1802" t="s">
        <v>6524</v>
      </c>
      <c r="M1802" t="s">
        <v>136</v>
      </c>
      <c r="N1802" t="s">
        <v>33</v>
      </c>
      <c r="O1802" t="s">
        <v>4798</v>
      </c>
      <c r="P1802" t="s">
        <v>6524</v>
      </c>
      <c r="Q1802" t="s">
        <v>20</v>
      </c>
      <c r="R1802" t="s">
        <v>4799</v>
      </c>
      <c r="S1802" t="s">
        <v>20</v>
      </c>
    </row>
    <row r="1803" spans="1:19" x14ac:dyDescent="0.45">
      <c r="A1803" t="s">
        <v>12382</v>
      </c>
      <c r="B1803" t="s">
        <v>5204</v>
      </c>
      <c r="C1803" t="s">
        <v>912</v>
      </c>
      <c r="D1803" t="s">
        <v>913</v>
      </c>
      <c r="E1803" t="s">
        <v>29</v>
      </c>
      <c r="F1803" t="s">
        <v>2948</v>
      </c>
      <c r="G1803" t="s">
        <v>23</v>
      </c>
      <c r="H1803" t="s">
        <v>5205</v>
      </c>
      <c r="I1803" t="s">
        <v>5206</v>
      </c>
      <c r="J1803" t="s">
        <v>5207</v>
      </c>
      <c r="K1803" t="s">
        <v>5208</v>
      </c>
      <c r="L1803" t="s">
        <v>118</v>
      </c>
      <c r="M1803" t="s">
        <v>136</v>
      </c>
      <c r="N1803" t="s">
        <v>33</v>
      </c>
      <c r="O1803" t="s">
        <v>4798</v>
      </c>
      <c r="P1803" t="s">
        <v>214</v>
      </c>
      <c r="Q1803" t="s">
        <v>20</v>
      </c>
      <c r="R1803" t="s">
        <v>4799</v>
      </c>
      <c r="S1803" t="s">
        <v>20</v>
      </c>
    </row>
    <row r="1804" spans="1:19" x14ac:dyDescent="0.45">
      <c r="A1804" t="s">
        <v>12382</v>
      </c>
      <c r="B1804" t="s">
        <v>4952</v>
      </c>
      <c r="C1804" t="s">
        <v>4953</v>
      </c>
      <c r="D1804" t="s">
        <v>4954</v>
      </c>
      <c r="E1804" t="s">
        <v>38</v>
      </c>
      <c r="F1804" t="s">
        <v>4955</v>
      </c>
      <c r="G1804" t="s">
        <v>23</v>
      </c>
      <c r="H1804" t="s">
        <v>4956</v>
      </c>
      <c r="I1804" t="s">
        <v>4957</v>
      </c>
      <c r="J1804" t="s">
        <v>4958</v>
      </c>
      <c r="K1804" t="s">
        <v>4959</v>
      </c>
      <c r="L1804" t="s">
        <v>635</v>
      </c>
      <c r="M1804" t="s">
        <v>136</v>
      </c>
      <c r="N1804" t="s">
        <v>33</v>
      </c>
      <c r="O1804" t="s">
        <v>4798</v>
      </c>
      <c r="P1804" t="s">
        <v>635</v>
      </c>
      <c r="Q1804" t="s">
        <v>20</v>
      </c>
      <c r="R1804" t="s">
        <v>4799</v>
      </c>
      <c r="S1804" t="s">
        <v>20</v>
      </c>
    </row>
    <row r="1805" spans="1:19" x14ac:dyDescent="0.45">
      <c r="A1805" t="s">
        <v>563</v>
      </c>
      <c r="B1805" t="s">
        <v>3644</v>
      </c>
      <c r="C1805" t="s">
        <v>564</v>
      </c>
      <c r="D1805" t="s">
        <v>565</v>
      </c>
      <c r="E1805" t="s">
        <v>38</v>
      </c>
      <c r="F1805" t="s">
        <v>2787</v>
      </c>
      <c r="G1805" t="s">
        <v>23</v>
      </c>
      <c r="H1805" t="s">
        <v>3645</v>
      </c>
      <c r="I1805" t="s">
        <v>3646</v>
      </c>
      <c r="J1805" t="s">
        <v>3647</v>
      </c>
      <c r="K1805" t="s">
        <v>3648</v>
      </c>
      <c r="L1805" t="s">
        <v>53</v>
      </c>
      <c r="M1805" t="s">
        <v>2981</v>
      </c>
      <c r="N1805" t="s">
        <v>9484</v>
      </c>
      <c r="O1805" t="s">
        <v>4798</v>
      </c>
      <c r="P1805" t="s">
        <v>6524</v>
      </c>
      <c r="Q1805" t="s">
        <v>20</v>
      </c>
      <c r="R1805" t="s">
        <v>4799</v>
      </c>
      <c r="S1805" t="s">
        <v>11853</v>
      </c>
    </row>
    <row r="1806" spans="1:19" x14ac:dyDescent="0.45">
      <c r="A1806" t="s">
        <v>563</v>
      </c>
      <c r="B1806" t="s">
        <v>20</v>
      </c>
      <c r="C1806" t="s">
        <v>564</v>
      </c>
      <c r="D1806" t="s">
        <v>565</v>
      </c>
      <c r="E1806" t="s">
        <v>38</v>
      </c>
      <c r="F1806" t="s">
        <v>3076</v>
      </c>
      <c r="G1806" t="s">
        <v>23</v>
      </c>
      <c r="H1806" t="s">
        <v>12247</v>
      </c>
      <c r="I1806" t="s">
        <v>12248</v>
      </c>
      <c r="J1806" t="s">
        <v>12249</v>
      </c>
      <c r="K1806" t="s">
        <v>12250</v>
      </c>
      <c r="L1806" t="s">
        <v>8377</v>
      </c>
      <c r="M1806" t="s">
        <v>112</v>
      </c>
      <c r="N1806" t="s">
        <v>9484</v>
      </c>
      <c r="O1806" t="s">
        <v>4798</v>
      </c>
      <c r="P1806" t="s">
        <v>6527</v>
      </c>
      <c r="Q1806" t="s">
        <v>20</v>
      </c>
      <c r="R1806" t="s">
        <v>4799</v>
      </c>
      <c r="S1806" t="s">
        <v>11853</v>
      </c>
    </row>
    <row r="1807" spans="1:19" x14ac:dyDescent="0.45">
      <c r="A1807" t="s">
        <v>505</v>
      </c>
      <c r="B1807" t="s">
        <v>20</v>
      </c>
      <c r="C1807" t="s">
        <v>506</v>
      </c>
      <c r="D1807" t="s">
        <v>507</v>
      </c>
      <c r="E1807" t="s">
        <v>38</v>
      </c>
      <c r="F1807" t="s">
        <v>2992</v>
      </c>
      <c r="G1807" t="s">
        <v>23</v>
      </c>
      <c r="H1807" t="s">
        <v>12893</v>
      </c>
      <c r="I1807" t="s">
        <v>12894</v>
      </c>
      <c r="J1807" t="s">
        <v>12895</v>
      </c>
      <c r="K1807" t="s">
        <v>12896</v>
      </c>
      <c r="L1807" t="s">
        <v>6533</v>
      </c>
      <c r="M1807" t="s">
        <v>112</v>
      </c>
      <c r="N1807" t="s">
        <v>195</v>
      </c>
      <c r="O1807" t="s">
        <v>4798</v>
      </c>
      <c r="P1807" t="s">
        <v>6524</v>
      </c>
      <c r="Q1807" t="s">
        <v>20</v>
      </c>
      <c r="R1807" t="s">
        <v>4799</v>
      </c>
      <c r="S1807" t="s">
        <v>12897</v>
      </c>
    </row>
    <row r="1808" spans="1:19" x14ac:dyDescent="0.45">
      <c r="A1808" t="s">
        <v>173</v>
      </c>
      <c r="B1808" t="s">
        <v>12411</v>
      </c>
      <c r="C1808" t="s">
        <v>207</v>
      </c>
      <c r="D1808" t="s">
        <v>208</v>
      </c>
      <c r="E1808" t="s">
        <v>38</v>
      </c>
      <c r="F1808" t="s">
        <v>4263</v>
      </c>
      <c r="G1808" t="s">
        <v>23</v>
      </c>
      <c r="H1808" t="s">
        <v>7434</v>
      </c>
      <c r="I1808" t="s">
        <v>7435</v>
      </c>
      <c r="J1808" t="s">
        <v>7436</v>
      </c>
      <c r="K1808" t="s">
        <v>7437</v>
      </c>
      <c r="L1808" t="s">
        <v>3998</v>
      </c>
      <c r="M1808" t="s">
        <v>102</v>
      </c>
      <c r="N1808" t="s">
        <v>33</v>
      </c>
      <c r="O1808" t="s">
        <v>4798</v>
      </c>
      <c r="P1808" t="s">
        <v>6524</v>
      </c>
      <c r="Q1808" t="s">
        <v>20</v>
      </c>
      <c r="R1808" t="s">
        <v>4799</v>
      </c>
      <c r="S1808" t="s">
        <v>20</v>
      </c>
    </row>
    <row r="1809" spans="1:19" x14ac:dyDescent="0.45">
      <c r="A1809" t="s">
        <v>173</v>
      </c>
      <c r="B1809" t="s">
        <v>12400</v>
      </c>
      <c r="C1809" t="s">
        <v>207</v>
      </c>
      <c r="D1809" t="s">
        <v>208</v>
      </c>
      <c r="E1809" t="s">
        <v>2487</v>
      </c>
      <c r="F1809" t="s">
        <v>12401</v>
      </c>
      <c r="G1809" t="s">
        <v>23</v>
      </c>
      <c r="H1809" t="s">
        <v>7869</v>
      </c>
      <c r="I1809" t="s">
        <v>7870</v>
      </c>
      <c r="J1809" t="s">
        <v>7871</v>
      </c>
      <c r="K1809" t="s">
        <v>7872</v>
      </c>
      <c r="L1809" t="s">
        <v>3998</v>
      </c>
      <c r="M1809" t="s">
        <v>102</v>
      </c>
      <c r="N1809" t="s">
        <v>33</v>
      </c>
      <c r="O1809" t="s">
        <v>4798</v>
      </c>
      <c r="P1809" t="s">
        <v>7506</v>
      </c>
      <c r="Q1809" t="s">
        <v>20</v>
      </c>
      <c r="R1809" t="s">
        <v>4799</v>
      </c>
      <c r="S1809" t="s">
        <v>20</v>
      </c>
    </row>
    <row r="1810" spans="1:19" x14ac:dyDescent="0.45">
      <c r="A1810" t="s">
        <v>505</v>
      </c>
      <c r="B1810" t="s">
        <v>9766</v>
      </c>
      <c r="C1810" t="s">
        <v>2480</v>
      </c>
      <c r="D1810" t="s">
        <v>2481</v>
      </c>
      <c r="E1810" t="s">
        <v>38</v>
      </c>
      <c r="F1810" t="s">
        <v>2795</v>
      </c>
      <c r="G1810" t="s">
        <v>23</v>
      </c>
      <c r="H1810" t="s">
        <v>2482</v>
      </c>
      <c r="I1810" t="s">
        <v>2483</v>
      </c>
      <c r="J1810" t="s">
        <v>2484</v>
      </c>
      <c r="K1810" t="s">
        <v>1666</v>
      </c>
      <c r="L1810" t="s">
        <v>8109</v>
      </c>
      <c r="M1810" t="s">
        <v>112</v>
      </c>
      <c r="N1810" t="s">
        <v>195</v>
      </c>
      <c r="O1810" t="s">
        <v>4798</v>
      </c>
      <c r="P1810" t="s">
        <v>6522</v>
      </c>
      <c r="Q1810" t="s">
        <v>20</v>
      </c>
      <c r="R1810" t="s">
        <v>4799</v>
      </c>
      <c r="S1810" t="s">
        <v>20</v>
      </c>
    </row>
    <row r="1811" spans="1:19" x14ac:dyDescent="0.45">
      <c r="A1811" t="s">
        <v>592</v>
      </c>
      <c r="B1811" t="s">
        <v>20</v>
      </c>
      <c r="C1811" t="s">
        <v>3711</v>
      </c>
      <c r="D1811" t="s">
        <v>3712</v>
      </c>
      <c r="E1811" t="s">
        <v>38</v>
      </c>
      <c r="F1811" t="s">
        <v>2785</v>
      </c>
      <c r="G1811" t="s">
        <v>23</v>
      </c>
      <c r="H1811" t="s">
        <v>8349</v>
      </c>
      <c r="I1811" t="s">
        <v>8350</v>
      </c>
      <c r="J1811" t="s">
        <v>8351</v>
      </c>
      <c r="K1811" t="s">
        <v>8352</v>
      </c>
      <c r="L1811" t="s">
        <v>7506</v>
      </c>
      <c r="M1811" t="s">
        <v>1498</v>
      </c>
      <c r="N1811" t="s">
        <v>119</v>
      </c>
      <c r="O1811" t="s">
        <v>4798</v>
      </c>
      <c r="P1811" t="s">
        <v>8377</v>
      </c>
      <c r="Q1811" t="s">
        <v>20</v>
      </c>
      <c r="R1811" t="s">
        <v>4799</v>
      </c>
      <c r="S1811" t="s">
        <v>8185</v>
      </c>
    </row>
    <row r="1812" spans="1:19" x14ac:dyDescent="0.45">
      <c r="A1812" t="s">
        <v>6989</v>
      </c>
      <c r="B1812" t="s">
        <v>3483</v>
      </c>
      <c r="C1812" t="s">
        <v>2640</v>
      </c>
      <c r="D1812" t="s">
        <v>2641</v>
      </c>
      <c r="E1812" t="s">
        <v>38</v>
      </c>
      <c r="F1812" t="s">
        <v>2722</v>
      </c>
      <c r="G1812" t="s">
        <v>23</v>
      </c>
      <c r="H1812" t="s">
        <v>3484</v>
      </c>
      <c r="I1812" t="s">
        <v>3485</v>
      </c>
      <c r="J1812" t="s">
        <v>3486</v>
      </c>
      <c r="K1812" t="s">
        <v>3487</v>
      </c>
      <c r="L1812" t="s">
        <v>209</v>
      </c>
      <c r="M1812" t="s">
        <v>1223</v>
      </c>
      <c r="N1812" t="s">
        <v>1224</v>
      </c>
      <c r="O1812" t="s">
        <v>4798</v>
      </c>
      <c r="P1812" t="s">
        <v>161</v>
      </c>
      <c r="Q1812" t="s">
        <v>20</v>
      </c>
      <c r="R1812" t="s">
        <v>4799</v>
      </c>
      <c r="S1812" t="s">
        <v>20</v>
      </c>
    </row>
    <row r="1813" spans="1:19" x14ac:dyDescent="0.45">
      <c r="A1813" t="s">
        <v>6989</v>
      </c>
      <c r="B1813" t="s">
        <v>9462</v>
      </c>
      <c r="C1813" t="s">
        <v>2640</v>
      </c>
      <c r="D1813" t="s">
        <v>2641</v>
      </c>
      <c r="E1813" t="s">
        <v>21</v>
      </c>
      <c r="F1813" t="s">
        <v>9463</v>
      </c>
      <c r="G1813" t="s">
        <v>23</v>
      </c>
      <c r="H1813" t="s">
        <v>9464</v>
      </c>
      <c r="I1813" t="s">
        <v>9056</v>
      </c>
      <c r="J1813" t="s">
        <v>9465</v>
      </c>
      <c r="K1813" t="s">
        <v>9466</v>
      </c>
      <c r="L1813" t="s">
        <v>6513</v>
      </c>
      <c r="M1813" t="s">
        <v>112</v>
      </c>
      <c r="N1813" t="s">
        <v>1224</v>
      </c>
      <c r="O1813" t="s">
        <v>4798</v>
      </c>
      <c r="P1813" t="s">
        <v>6513</v>
      </c>
      <c r="Q1813" t="s">
        <v>20</v>
      </c>
      <c r="R1813" t="s">
        <v>4799</v>
      </c>
      <c r="S1813" t="s">
        <v>20</v>
      </c>
    </row>
    <row r="1814" spans="1:19" x14ac:dyDescent="0.45">
      <c r="A1814" t="s">
        <v>6989</v>
      </c>
      <c r="B1814" t="s">
        <v>4936</v>
      </c>
      <c r="C1814" t="s">
        <v>2414</v>
      </c>
      <c r="D1814" t="s">
        <v>2415</v>
      </c>
      <c r="E1814" t="s">
        <v>38</v>
      </c>
      <c r="F1814" t="s">
        <v>2787</v>
      </c>
      <c r="G1814" t="s">
        <v>23</v>
      </c>
      <c r="H1814" t="s">
        <v>4937</v>
      </c>
      <c r="I1814" t="s">
        <v>4938</v>
      </c>
      <c r="J1814" t="s">
        <v>4939</v>
      </c>
      <c r="K1814" t="s">
        <v>4940</v>
      </c>
      <c r="L1814" t="s">
        <v>895</v>
      </c>
      <c r="M1814" t="s">
        <v>112</v>
      </c>
      <c r="N1814" t="s">
        <v>33</v>
      </c>
      <c r="O1814" t="s">
        <v>4798</v>
      </c>
      <c r="P1814" t="s">
        <v>895</v>
      </c>
      <c r="Q1814" t="s">
        <v>20</v>
      </c>
      <c r="R1814" t="s">
        <v>4799</v>
      </c>
      <c r="S1814" t="s">
        <v>20</v>
      </c>
    </row>
    <row r="1815" spans="1:19" x14ac:dyDescent="0.45">
      <c r="A1815" t="s">
        <v>104</v>
      </c>
      <c r="B1815" t="s">
        <v>20</v>
      </c>
      <c r="C1815" t="s">
        <v>8272</v>
      </c>
      <c r="D1815" t="s">
        <v>6063</v>
      </c>
      <c r="E1815" t="s">
        <v>38</v>
      </c>
      <c r="F1815" t="s">
        <v>14700</v>
      </c>
      <c r="G1815" t="s">
        <v>23</v>
      </c>
      <c r="H1815" t="s">
        <v>8622</v>
      </c>
      <c r="I1815" t="s">
        <v>8623</v>
      </c>
      <c r="J1815" t="s">
        <v>8624</v>
      </c>
      <c r="K1815" t="s">
        <v>8625</v>
      </c>
      <c r="L1815" t="s">
        <v>6875</v>
      </c>
      <c r="M1815" t="s">
        <v>2953</v>
      </c>
      <c r="N1815" t="s">
        <v>119</v>
      </c>
      <c r="O1815" t="s">
        <v>4798</v>
      </c>
      <c r="P1815" t="s">
        <v>6521</v>
      </c>
      <c r="Q1815" t="s">
        <v>20</v>
      </c>
      <c r="R1815" t="s">
        <v>9516</v>
      </c>
      <c r="S1815" t="s">
        <v>8626</v>
      </c>
    </row>
    <row r="1816" spans="1:19" x14ac:dyDescent="0.45">
      <c r="A1816" t="s">
        <v>211</v>
      </c>
      <c r="B1816" t="s">
        <v>8358</v>
      </c>
      <c r="C1816" t="s">
        <v>2176</v>
      </c>
      <c r="D1816" t="s">
        <v>2177</v>
      </c>
      <c r="E1816" t="s">
        <v>38</v>
      </c>
      <c r="F1816" t="s">
        <v>2948</v>
      </c>
      <c r="G1816" t="s">
        <v>23</v>
      </c>
      <c r="H1816" t="s">
        <v>8359</v>
      </c>
      <c r="I1816" t="s">
        <v>8360</v>
      </c>
      <c r="J1816" t="s">
        <v>8361</v>
      </c>
      <c r="K1816" t="s">
        <v>8362</v>
      </c>
      <c r="L1816" t="s">
        <v>6513</v>
      </c>
      <c r="M1816" t="s">
        <v>2953</v>
      </c>
      <c r="N1816" t="s">
        <v>33</v>
      </c>
      <c r="O1816" t="s">
        <v>4798</v>
      </c>
      <c r="P1816" t="s">
        <v>290</v>
      </c>
      <c r="Q1816" t="s">
        <v>20</v>
      </c>
      <c r="R1816" t="s">
        <v>4799</v>
      </c>
      <c r="S1816" t="s">
        <v>20</v>
      </c>
    </row>
    <row r="1817" spans="1:19" x14ac:dyDescent="0.45">
      <c r="A1817" t="s">
        <v>1016</v>
      </c>
      <c r="B1817" t="s">
        <v>20</v>
      </c>
      <c r="C1817" t="s">
        <v>9603</v>
      </c>
      <c r="D1817" t="s">
        <v>6361</v>
      </c>
      <c r="E1817" t="s">
        <v>38</v>
      </c>
      <c r="F1817" t="s">
        <v>2948</v>
      </c>
      <c r="G1817" t="s">
        <v>23</v>
      </c>
      <c r="H1817" t="s">
        <v>9553</v>
      </c>
      <c r="I1817" t="s">
        <v>9604</v>
      </c>
      <c r="J1817" t="s">
        <v>9605</v>
      </c>
      <c r="K1817" t="s">
        <v>9606</v>
      </c>
      <c r="L1817" t="s">
        <v>3418</v>
      </c>
      <c r="M1817" t="s">
        <v>132</v>
      </c>
      <c r="N1817" t="s">
        <v>195</v>
      </c>
      <c r="O1817" t="s">
        <v>4798</v>
      </c>
      <c r="P1817" t="s">
        <v>8094</v>
      </c>
      <c r="Q1817" t="s">
        <v>20</v>
      </c>
      <c r="R1817" t="s">
        <v>4799</v>
      </c>
      <c r="S1817" t="s">
        <v>10294</v>
      </c>
    </row>
    <row r="1818" spans="1:19" x14ac:dyDescent="0.45">
      <c r="A1818" t="s">
        <v>35</v>
      </c>
      <c r="B1818" t="s">
        <v>20</v>
      </c>
      <c r="C1818" t="s">
        <v>36</v>
      </c>
      <c r="D1818" t="s">
        <v>37</v>
      </c>
      <c r="E1818" t="s">
        <v>21</v>
      </c>
      <c r="F1818" t="s">
        <v>2722</v>
      </c>
      <c r="G1818" t="s">
        <v>23</v>
      </c>
      <c r="H1818" t="s">
        <v>4849</v>
      </c>
      <c r="I1818" t="s">
        <v>4850</v>
      </c>
      <c r="J1818" t="s">
        <v>4851</v>
      </c>
      <c r="K1818" t="s">
        <v>4852</v>
      </c>
      <c r="L1818" t="s">
        <v>209</v>
      </c>
      <c r="M1818" t="s">
        <v>1223</v>
      </c>
      <c r="N1818" t="s">
        <v>678</v>
      </c>
      <c r="O1818" t="s">
        <v>4798</v>
      </c>
      <c r="P1818" t="s">
        <v>209</v>
      </c>
      <c r="Q1818" t="s">
        <v>20</v>
      </c>
      <c r="R1818" t="s">
        <v>4799</v>
      </c>
      <c r="S1818" t="s">
        <v>20</v>
      </c>
    </row>
    <row r="1819" spans="1:19" x14ac:dyDescent="0.45">
      <c r="A1819" t="s">
        <v>35</v>
      </c>
      <c r="B1819" t="s">
        <v>12402</v>
      </c>
      <c r="C1819" t="s">
        <v>36</v>
      </c>
      <c r="D1819" t="s">
        <v>37</v>
      </c>
      <c r="E1819" t="s">
        <v>38</v>
      </c>
      <c r="F1819" t="s">
        <v>2904</v>
      </c>
      <c r="G1819" t="s">
        <v>23</v>
      </c>
      <c r="H1819" t="s">
        <v>39</v>
      </c>
      <c r="I1819" t="s">
        <v>40</v>
      </c>
      <c r="J1819" t="s">
        <v>41</v>
      </c>
      <c r="K1819" t="s">
        <v>42</v>
      </c>
      <c r="L1819" t="s">
        <v>2769</v>
      </c>
      <c r="M1819" t="s">
        <v>44</v>
      </c>
      <c r="N1819" t="s">
        <v>119</v>
      </c>
      <c r="O1819" t="s">
        <v>4798</v>
      </c>
      <c r="P1819" t="s">
        <v>6527</v>
      </c>
      <c r="Q1819" t="s">
        <v>20</v>
      </c>
      <c r="R1819" t="s">
        <v>4799</v>
      </c>
      <c r="S1819" t="s">
        <v>4972</v>
      </c>
    </row>
    <row r="1820" spans="1:19" x14ac:dyDescent="0.45">
      <c r="A1820" t="s">
        <v>35</v>
      </c>
      <c r="B1820" t="s">
        <v>20</v>
      </c>
      <c r="C1820" t="s">
        <v>36</v>
      </c>
      <c r="D1820" t="s">
        <v>37</v>
      </c>
      <c r="E1820" t="s">
        <v>38</v>
      </c>
      <c r="F1820" t="s">
        <v>2785</v>
      </c>
      <c r="G1820" t="s">
        <v>23</v>
      </c>
      <c r="H1820" t="s">
        <v>10025</v>
      </c>
      <c r="I1820" t="s">
        <v>10026</v>
      </c>
      <c r="J1820" t="s">
        <v>10027</v>
      </c>
      <c r="K1820" t="s">
        <v>10028</v>
      </c>
      <c r="L1820" t="s">
        <v>6522</v>
      </c>
      <c r="M1820" t="s">
        <v>3632</v>
      </c>
      <c r="N1820" t="s">
        <v>119</v>
      </c>
      <c r="O1820" t="s">
        <v>4798</v>
      </c>
      <c r="P1820" t="s">
        <v>6527</v>
      </c>
      <c r="Q1820" t="s">
        <v>20</v>
      </c>
      <c r="R1820" t="s">
        <v>4799</v>
      </c>
      <c r="S1820" t="s">
        <v>20</v>
      </c>
    </row>
    <row r="1821" spans="1:19" x14ac:dyDescent="0.45">
      <c r="A1821" t="s">
        <v>729</v>
      </c>
      <c r="B1821" t="s">
        <v>10088</v>
      </c>
      <c r="C1821" t="s">
        <v>730</v>
      </c>
      <c r="D1821" t="s">
        <v>731</v>
      </c>
      <c r="E1821" t="s">
        <v>21</v>
      </c>
      <c r="F1821" t="s">
        <v>2787</v>
      </c>
      <c r="G1821" t="s">
        <v>23</v>
      </c>
      <c r="H1821" t="s">
        <v>10089</v>
      </c>
      <c r="I1821" t="s">
        <v>10090</v>
      </c>
      <c r="J1821" t="s">
        <v>10091</v>
      </c>
      <c r="K1821" t="s">
        <v>10092</v>
      </c>
      <c r="L1821" t="s">
        <v>2769</v>
      </c>
      <c r="M1821" t="s">
        <v>2100</v>
      </c>
      <c r="N1821" t="s">
        <v>33</v>
      </c>
      <c r="O1821" t="s">
        <v>4798</v>
      </c>
      <c r="P1821" t="s">
        <v>2769</v>
      </c>
      <c r="Q1821" t="s">
        <v>20</v>
      </c>
      <c r="R1821" t="s">
        <v>4799</v>
      </c>
      <c r="S1821" t="s">
        <v>2935</v>
      </c>
    </row>
    <row r="1822" spans="1:19" x14ac:dyDescent="0.45">
      <c r="A1822" t="s">
        <v>211</v>
      </c>
      <c r="B1822" t="s">
        <v>11226</v>
      </c>
      <c r="C1822" t="s">
        <v>636</v>
      </c>
      <c r="D1822" t="s">
        <v>637</v>
      </c>
      <c r="E1822" t="s">
        <v>38</v>
      </c>
      <c r="F1822" t="s">
        <v>4041</v>
      </c>
      <c r="G1822" t="s">
        <v>23</v>
      </c>
      <c r="H1822" t="s">
        <v>1829</v>
      </c>
      <c r="I1822" t="s">
        <v>1830</v>
      </c>
      <c r="J1822" t="s">
        <v>1831</v>
      </c>
      <c r="K1822" t="s">
        <v>1832</v>
      </c>
      <c r="L1822" t="s">
        <v>43</v>
      </c>
      <c r="M1822" t="s">
        <v>112</v>
      </c>
      <c r="N1822" t="s">
        <v>33</v>
      </c>
      <c r="O1822" t="s">
        <v>4798</v>
      </c>
      <c r="P1822" t="s">
        <v>635</v>
      </c>
      <c r="Q1822" t="s">
        <v>20</v>
      </c>
      <c r="R1822" t="s">
        <v>4799</v>
      </c>
      <c r="S1822" t="s">
        <v>20</v>
      </c>
    </row>
    <row r="1823" spans="1:19" x14ac:dyDescent="0.45">
      <c r="A1823" t="s">
        <v>239</v>
      </c>
      <c r="B1823" t="s">
        <v>2865</v>
      </c>
      <c r="C1823" t="s">
        <v>2866</v>
      </c>
      <c r="D1823" t="s">
        <v>2867</v>
      </c>
      <c r="E1823" t="s">
        <v>38</v>
      </c>
      <c r="F1823" t="s">
        <v>2785</v>
      </c>
      <c r="G1823" t="s">
        <v>23</v>
      </c>
      <c r="H1823" t="s">
        <v>2868</v>
      </c>
      <c r="I1823" t="s">
        <v>2869</v>
      </c>
      <c r="J1823" t="s">
        <v>2870</v>
      </c>
      <c r="K1823" t="s">
        <v>2871</v>
      </c>
      <c r="L1823" t="s">
        <v>6533</v>
      </c>
      <c r="M1823" t="s">
        <v>132</v>
      </c>
      <c r="N1823" t="s">
        <v>9484</v>
      </c>
      <c r="O1823" t="s">
        <v>4798</v>
      </c>
      <c r="P1823" t="s">
        <v>6527</v>
      </c>
      <c r="Q1823" t="s">
        <v>20</v>
      </c>
      <c r="R1823" t="s">
        <v>4799</v>
      </c>
      <c r="S1823" t="s">
        <v>20</v>
      </c>
    </row>
    <row r="1824" spans="1:19" x14ac:dyDescent="0.45">
      <c r="A1824" t="s">
        <v>362</v>
      </c>
      <c r="B1824" t="s">
        <v>14052</v>
      </c>
      <c r="C1824" t="s">
        <v>4324</v>
      </c>
      <c r="D1824" t="s">
        <v>4325</v>
      </c>
      <c r="E1824" t="s">
        <v>57</v>
      </c>
      <c r="F1824" t="s">
        <v>2795</v>
      </c>
      <c r="G1824" t="s">
        <v>23</v>
      </c>
      <c r="H1824" t="s">
        <v>7882</v>
      </c>
      <c r="I1824" t="s">
        <v>7883</v>
      </c>
      <c r="J1824" t="s">
        <v>7884</v>
      </c>
      <c r="K1824" t="s">
        <v>7885</v>
      </c>
      <c r="L1824" t="s">
        <v>8094</v>
      </c>
      <c r="M1824" t="s">
        <v>32</v>
      </c>
      <c r="N1824" t="s">
        <v>62</v>
      </c>
      <c r="O1824" t="s">
        <v>4798</v>
      </c>
      <c r="P1824" t="s">
        <v>8094</v>
      </c>
      <c r="Q1824" t="s">
        <v>20</v>
      </c>
      <c r="R1824" t="s">
        <v>4799</v>
      </c>
      <c r="S1824" t="s">
        <v>20</v>
      </c>
    </row>
    <row r="1825" spans="1:19" x14ac:dyDescent="0.45">
      <c r="A1825" t="s">
        <v>563</v>
      </c>
      <c r="B1825" t="s">
        <v>10625</v>
      </c>
      <c r="C1825" t="s">
        <v>3683</v>
      </c>
      <c r="D1825" t="s">
        <v>3684</v>
      </c>
      <c r="E1825" t="s">
        <v>38</v>
      </c>
      <c r="F1825" t="s">
        <v>2863</v>
      </c>
      <c r="G1825" t="s">
        <v>23</v>
      </c>
      <c r="H1825" t="s">
        <v>3685</v>
      </c>
      <c r="I1825" t="s">
        <v>3686</v>
      </c>
      <c r="J1825" t="s">
        <v>3687</v>
      </c>
      <c r="K1825" t="s">
        <v>3688</v>
      </c>
      <c r="L1825" t="s">
        <v>8377</v>
      </c>
      <c r="M1825" t="s">
        <v>44</v>
      </c>
      <c r="N1825" t="s">
        <v>9484</v>
      </c>
      <c r="O1825" t="s">
        <v>4798</v>
      </c>
      <c r="P1825" t="s">
        <v>6527</v>
      </c>
      <c r="Q1825" t="s">
        <v>20</v>
      </c>
      <c r="R1825" t="s">
        <v>4799</v>
      </c>
      <c r="S1825" t="s">
        <v>20</v>
      </c>
    </row>
    <row r="1826" spans="1:19" x14ac:dyDescent="0.45">
      <c r="A1826" t="s">
        <v>379</v>
      </c>
      <c r="B1826" t="s">
        <v>11197</v>
      </c>
      <c r="C1826" t="s">
        <v>3293</v>
      </c>
      <c r="D1826" t="s">
        <v>3294</v>
      </c>
      <c r="E1826" t="s">
        <v>29</v>
      </c>
      <c r="F1826" t="s">
        <v>13361</v>
      </c>
      <c r="G1826" t="s">
        <v>23</v>
      </c>
      <c r="H1826" t="s">
        <v>9955</v>
      </c>
      <c r="I1826" t="s">
        <v>9956</v>
      </c>
      <c r="J1826" t="s">
        <v>10824</v>
      </c>
      <c r="K1826" t="s">
        <v>10825</v>
      </c>
      <c r="L1826" t="s">
        <v>3998</v>
      </c>
      <c r="M1826" t="s">
        <v>32</v>
      </c>
      <c r="N1826" t="s">
        <v>33</v>
      </c>
      <c r="O1826" t="s">
        <v>4798</v>
      </c>
      <c r="P1826" t="s">
        <v>6522</v>
      </c>
      <c r="Q1826" t="s">
        <v>20</v>
      </c>
      <c r="R1826" t="s">
        <v>4799</v>
      </c>
      <c r="S1826" t="s">
        <v>20</v>
      </c>
    </row>
    <row r="1827" spans="1:19" x14ac:dyDescent="0.45">
      <c r="A1827" t="s">
        <v>379</v>
      </c>
      <c r="B1827" t="s">
        <v>20</v>
      </c>
      <c r="C1827" t="s">
        <v>3293</v>
      </c>
      <c r="D1827" t="s">
        <v>3294</v>
      </c>
      <c r="E1827" t="s">
        <v>38</v>
      </c>
      <c r="F1827" t="s">
        <v>22</v>
      </c>
      <c r="G1827" t="s">
        <v>23</v>
      </c>
      <c r="H1827" t="s">
        <v>6661</v>
      </c>
      <c r="I1827" t="s">
        <v>6662</v>
      </c>
      <c r="J1827" t="s">
        <v>6663</v>
      </c>
      <c r="K1827" t="s">
        <v>6664</v>
      </c>
      <c r="L1827" t="s">
        <v>290</v>
      </c>
      <c r="M1827" t="s">
        <v>112</v>
      </c>
      <c r="N1827" t="s">
        <v>33</v>
      </c>
      <c r="O1827" t="s">
        <v>4798</v>
      </c>
      <c r="P1827" t="s">
        <v>902</v>
      </c>
      <c r="Q1827" t="s">
        <v>20</v>
      </c>
      <c r="R1827" t="s">
        <v>4799</v>
      </c>
      <c r="S1827" t="s">
        <v>9332</v>
      </c>
    </row>
    <row r="1828" spans="1:19" x14ac:dyDescent="0.45">
      <c r="A1828" t="s">
        <v>173</v>
      </c>
      <c r="B1828" t="s">
        <v>8660</v>
      </c>
      <c r="C1828" t="s">
        <v>885</v>
      </c>
      <c r="D1828" t="s">
        <v>886</v>
      </c>
      <c r="E1828" t="s">
        <v>21</v>
      </c>
      <c r="F1828" t="s">
        <v>2722</v>
      </c>
      <c r="G1828" t="s">
        <v>23</v>
      </c>
      <c r="H1828" t="s">
        <v>8661</v>
      </c>
      <c r="I1828" t="s">
        <v>8662</v>
      </c>
      <c r="J1828" t="s">
        <v>8663</v>
      </c>
      <c r="K1828" t="s">
        <v>8664</v>
      </c>
      <c r="L1828" t="s">
        <v>2330</v>
      </c>
      <c r="M1828" t="s">
        <v>3145</v>
      </c>
      <c r="N1828" t="s">
        <v>3407</v>
      </c>
      <c r="O1828" t="s">
        <v>4798</v>
      </c>
      <c r="P1828" t="s">
        <v>2330</v>
      </c>
      <c r="Q1828" t="s">
        <v>20</v>
      </c>
      <c r="R1828" t="s">
        <v>4799</v>
      </c>
      <c r="S1828" t="s">
        <v>20</v>
      </c>
    </row>
    <row r="1829" spans="1:19" x14ac:dyDescent="0.45">
      <c r="A1829" t="s">
        <v>173</v>
      </c>
      <c r="B1829" t="s">
        <v>14701</v>
      </c>
      <c r="C1829" t="s">
        <v>885</v>
      </c>
      <c r="D1829" t="s">
        <v>886</v>
      </c>
      <c r="E1829" t="s">
        <v>38</v>
      </c>
      <c r="F1829" t="s">
        <v>2785</v>
      </c>
      <c r="G1829" t="s">
        <v>23</v>
      </c>
      <c r="H1829" t="s">
        <v>14702</v>
      </c>
      <c r="I1829" t="s">
        <v>14703</v>
      </c>
      <c r="J1829" t="s">
        <v>14704</v>
      </c>
      <c r="K1829" t="s">
        <v>14705</v>
      </c>
      <c r="L1829" t="s">
        <v>6525</v>
      </c>
      <c r="M1829" t="s">
        <v>2953</v>
      </c>
      <c r="N1829" t="s">
        <v>146</v>
      </c>
      <c r="O1829" t="s">
        <v>4798</v>
      </c>
      <c r="P1829" t="s">
        <v>6525</v>
      </c>
      <c r="Q1829" t="s">
        <v>20</v>
      </c>
      <c r="R1829" t="s">
        <v>4799</v>
      </c>
      <c r="S1829" t="s">
        <v>20</v>
      </c>
    </row>
    <row r="1830" spans="1:19" x14ac:dyDescent="0.45">
      <c r="A1830" t="s">
        <v>358</v>
      </c>
      <c r="B1830" t="s">
        <v>12989</v>
      </c>
      <c r="C1830" t="s">
        <v>6601</v>
      </c>
      <c r="D1830" t="s">
        <v>5914</v>
      </c>
      <c r="E1830" t="s">
        <v>57</v>
      </c>
      <c r="F1830" t="s">
        <v>3891</v>
      </c>
      <c r="G1830" t="s">
        <v>23</v>
      </c>
      <c r="H1830" t="s">
        <v>6495</v>
      </c>
      <c r="I1830" t="s">
        <v>6602</v>
      </c>
      <c r="J1830" t="s">
        <v>6603</v>
      </c>
      <c r="K1830" t="s">
        <v>6604</v>
      </c>
      <c r="L1830" t="s">
        <v>722</v>
      </c>
      <c r="M1830" t="s">
        <v>112</v>
      </c>
      <c r="N1830" t="s">
        <v>146</v>
      </c>
      <c r="O1830" t="s">
        <v>4798</v>
      </c>
      <c r="P1830" t="s">
        <v>6524</v>
      </c>
      <c r="Q1830" t="s">
        <v>20</v>
      </c>
      <c r="R1830" t="s">
        <v>4799</v>
      </c>
      <c r="S1830" t="s">
        <v>20</v>
      </c>
    </row>
    <row r="1831" spans="1:19" x14ac:dyDescent="0.45">
      <c r="A1831" t="s">
        <v>358</v>
      </c>
      <c r="B1831" t="s">
        <v>12344</v>
      </c>
      <c r="C1831" t="s">
        <v>6601</v>
      </c>
      <c r="D1831" t="s">
        <v>5914</v>
      </c>
      <c r="E1831" t="s">
        <v>21</v>
      </c>
      <c r="F1831" t="s">
        <v>2787</v>
      </c>
      <c r="G1831" t="s">
        <v>23</v>
      </c>
      <c r="H1831" t="s">
        <v>11858</v>
      </c>
      <c r="I1831" t="s">
        <v>11859</v>
      </c>
      <c r="J1831" t="s">
        <v>11860</v>
      </c>
      <c r="K1831" t="s">
        <v>11861</v>
      </c>
      <c r="L1831" t="s">
        <v>8109</v>
      </c>
      <c r="M1831" t="s">
        <v>112</v>
      </c>
      <c r="N1831" t="s">
        <v>146</v>
      </c>
      <c r="O1831" t="s">
        <v>4798</v>
      </c>
      <c r="P1831" t="s">
        <v>8377</v>
      </c>
      <c r="Q1831" t="s">
        <v>20</v>
      </c>
      <c r="R1831" t="s">
        <v>4799</v>
      </c>
      <c r="S1831" t="s">
        <v>11892</v>
      </c>
    </row>
    <row r="1832" spans="1:19" x14ac:dyDescent="0.45">
      <c r="A1832" t="s">
        <v>85</v>
      </c>
      <c r="B1832" t="s">
        <v>12363</v>
      </c>
      <c r="C1832" t="s">
        <v>2616</v>
      </c>
      <c r="D1832" t="s">
        <v>2617</v>
      </c>
      <c r="E1832" t="s">
        <v>21</v>
      </c>
      <c r="F1832" t="s">
        <v>2773</v>
      </c>
      <c r="G1832" t="s">
        <v>23</v>
      </c>
      <c r="H1832" t="s">
        <v>12364</v>
      </c>
      <c r="I1832" t="s">
        <v>12365</v>
      </c>
      <c r="J1832" t="s">
        <v>12366</v>
      </c>
      <c r="K1832" t="s">
        <v>12367</v>
      </c>
      <c r="L1832" t="s">
        <v>8377</v>
      </c>
      <c r="M1832" t="s">
        <v>2100</v>
      </c>
      <c r="N1832" t="s">
        <v>1224</v>
      </c>
      <c r="O1832" t="s">
        <v>4798</v>
      </c>
      <c r="P1832" t="s">
        <v>8377</v>
      </c>
      <c r="Q1832" t="s">
        <v>20</v>
      </c>
      <c r="R1832" t="s">
        <v>4799</v>
      </c>
      <c r="S1832" t="s">
        <v>20</v>
      </c>
    </row>
    <row r="1833" spans="1:19" x14ac:dyDescent="0.45">
      <c r="A1833" t="s">
        <v>379</v>
      </c>
      <c r="B1833" t="s">
        <v>11204</v>
      </c>
      <c r="C1833" t="s">
        <v>2147</v>
      </c>
      <c r="D1833" t="s">
        <v>2148</v>
      </c>
      <c r="E1833" t="s">
        <v>38</v>
      </c>
      <c r="F1833" t="s">
        <v>2948</v>
      </c>
      <c r="G1833" t="s">
        <v>23</v>
      </c>
      <c r="H1833" t="s">
        <v>7174</v>
      </c>
      <c r="I1833" t="s">
        <v>7175</v>
      </c>
      <c r="J1833" t="s">
        <v>7176</v>
      </c>
      <c r="K1833" t="s">
        <v>7177</v>
      </c>
      <c r="L1833" t="s">
        <v>6523</v>
      </c>
      <c r="M1833" t="s">
        <v>112</v>
      </c>
      <c r="N1833" t="s">
        <v>33</v>
      </c>
      <c r="O1833" t="s">
        <v>4798</v>
      </c>
      <c r="P1833" t="s">
        <v>902</v>
      </c>
      <c r="Q1833" t="s">
        <v>20</v>
      </c>
      <c r="R1833" t="s">
        <v>4799</v>
      </c>
      <c r="S1833" t="s">
        <v>20</v>
      </c>
    </row>
    <row r="1834" spans="1:19" x14ac:dyDescent="0.45">
      <c r="A1834" t="s">
        <v>94</v>
      </c>
      <c r="B1834" t="s">
        <v>11212</v>
      </c>
      <c r="C1834" t="s">
        <v>1035</v>
      </c>
      <c r="D1834" t="s">
        <v>1036</v>
      </c>
      <c r="E1834" t="s">
        <v>38</v>
      </c>
      <c r="F1834" t="s">
        <v>2948</v>
      </c>
      <c r="G1834" t="s">
        <v>23</v>
      </c>
      <c r="H1834" t="s">
        <v>6483</v>
      </c>
      <c r="I1834" t="s">
        <v>6590</v>
      </c>
      <c r="J1834" t="s">
        <v>6605</v>
      </c>
      <c r="K1834" t="s">
        <v>6606</v>
      </c>
      <c r="L1834" t="s">
        <v>6513</v>
      </c>
      <c r="M1834" t="s">
        <v>112</v>
      </c>
      <c r="N1834" t="s">
        <v>33</v>
      </c>
      <c r="O1834" t="s">
        <v>4798</v>
      </c>
      <c r="P1834" t="s">
        <v>43</v>
      </c>
      <c r="Q1834" t="s">
        <v>20</v>
      </c>
      <c r="R1834" t="s">
        <v>4799</v>
      </c>
      <c r="S1834" t="s">
        <v>20</v>
      </c>
    </row>
    <row r="1835" spans="1:19" x14ac:dyDescent="0.45">
      <c r="A1835" t="s">
        <v>269</v>
      </c>
      <c r="B1835" t="s">
        <v>6735</v>
      </c>
      <c r="C1835" t="s">
        <v>1482</v>
      </c>
      <c r="D1835" t="s">
        <v>1483</v>
      </c>
      <c r="E1835" t="s">
        <v>57</v>
      </c>
      <c r="F1835" t="s">
        <v>3891</v>
      </c>
      <c r="G1835" t="s">
        <v>23</v>
      </c>
      <c r="H1835" t="s">
        <v>1484</v>
      </c>
      <c r="I1835" t="s">
        <v>1485</v>
      </c>
      <c r="J1835" t="s">
        <v>1486</v>
      </c>
      <c r="K1835" t="s">
        <v>1487</v>
      </c>
      <c r="L1835" t="s">
        <v>43</v>
      </c>
      <c r="M1835" t="s">
        <v>112</v>
      </c>
      <c r="N1835" t="s">
        <v>146</v>
      </c>
      <c r="O1835" t="s">
        <v>4798</v>
      </c>
      <c r="P1835" t="s">
        <v>290</v>
      </c>
      <c r="Q1835" t="s">
        <v>20</v>
      </c>
      <c r="R1835" t="s">
        <v>4799</v>
      </c>
      <c r="S1835" t="s">
        <v>20</v>
      </c>
    </row>
    <row r="1836" spans="1:19" x14ac:dyDescent="0.45">
      <c r="A1836" t="s">
        <v>104</v>
      </c>
      <c r="B1836" t="s">
        <v>12403</v>
      </c>
      <c r="C1836" t="s">
        <v>7178</v>
      </c>
      <c r="D1836" t="s">
        <v>5695</v>
      </c>
      <c r="E1836" t="s">
        <v>38</v>
      </c>
      <c r="F1836" t="s">
        <v>2985</v>
      </c>
      <c r="G1836" t="s">
        <v>23</v>
      </c>
      <c r="H1836" t="s">
        <v>7179</v>
      </c>
      <c r="I1836" t="s">
        <v>7180</v>
      </c>
      <c r="J1836" t="s">
        <v>7181</v>
      </c>
      <c r="K1836" t="s">
        <v>7182</v>
      </c>
      <c r="L1836" t="s">
        <v>7506</v>
      </c>
      <c r="M1836" t="s">
        <v>2953</v>
      </c>
      <c r="N1836" t="s">
        <v>9484</v>
      </c>
      <c r="O1836" t="s">
        <v>4798</v>
      </c>
      <c r="P1836" t="s">
        <v>6527</v>
      </c>
      <c r="Q1836" t="s">
        <v>20</v>
      </c>
      <c r="R1836" t="s">
        <v>4799</v>
      </c>
      <c r="S1836" t="s">
        <v>20</v>
      </c>
    </row>
    <row r="1837" spans="1:19" x14ac:dyDescent="0.45">
      <c r="A1837" t="s">
        <v>2761</v>
      </c>
      <c r="B1837" t="s">
        <v>5315</v>
      </c>
      <c r="C1837" t="s">
        <v>2763</v>
      </c>
      <c r="D1837" t="s">
        <v>2764</v>
      </c>
      <c r="E1837" t="s">
        <v>21</v>
      </c>
      <c r="F1837" t="s">
        <v>2722</v>
      </c>
      <c r="G1837" t="s">
        <v>23</v>
      </c>
      <c r="H1837" t="s">
        <v>5316</v>
      </c>
      <c r="I1837" t="s">
        <v>5317</v>
      </c>
      <c r="J1837" t="s">
        <v>5318</v>
      </c>
      <c r="K1837" t="s">
        <v>5319</v>
      </c>
      <c r="L1837" t="s">
        <v>1125</v>
      </c>
      <c r="M1837" t="s">
        <v>1223</v>
      </c>
      <c r="N1837" t="s">
        <v>678</v>
      </c>
      <c r="O1837" t="s">
        <v>4798</v>
      </c>
      <c r="P1837" t="s">
        <v>1125</v>
      </c>
      <c r="Q1837" t="s">
        <v>20</v>
      </c>
      <c r="R1837" t="s">
        <v>4799</v>
      </c>
      <c r="S1837" t="s">
        <v>20</v>
      </c>
    </row>
    <row r="1838" spans="1:19" x14ac:dyDescent="0.45">
      <c r="A1838" t="s">
        <v>2761</v>
      </c>
      <c r="B1838" t="s">
        <v>13362</v>
      </c>
      <c r="C1838" t="s">
        <v>2763</v>
      </c>
      <c r="D1838" t="s">
        <v>2764</v>
      </c>
      <c r="E1838" t="s">
        <v>21</v>
      </c>
      <c r="F1838" t="s">
        <v>2722</v>
      </c>
      <c r="G1838" t="s">
        <v>23</v>
      </c>
      <c r="H1838" t="s">
        <v>13363</v>
      </c>
      <c r="I1838" t="s">
        <v>13364</v>
      </c>
      <c r="J1838" t="s">
        <v>13365</v>
      </c>
      <c r="K1838" t="s">
        <v>13366</v>
      </c>
      <c r="L1838" t="s">
        <v>6524</v>
      </c>
      <c r="M1838" t="s">
        <v>3145</v>
      </c>
      <c r="N1838" t="s">
        <v>2809</v>
      </c>
      <c r="O1838" t="s">
        <v>4798</v>
      </c>
      <c r="P1838" t="s">
        <v>3998</v>
      </c>
      <c r="Q1838" t="s">
        <v>20</v>
      </c>
      <c r="R1838" t="s">
        <v>4799</v>
      </c>
      <c r="S1838" t="s">
        <v>20</v>
      </c>
    </row>
    <row r="1839" spans="1:19" x14ac:dyDescent="0.45">
      <c r="A1839" t="s">
        <v>94</v>
      </c>
      <c r="B1839" t="s">
        <v>11222</v>
      </c>
      <c r="C1839" t="s">
        <v>95</v>
      </c>
      <c r="D1839" t="s">
        <v>96</v>
      </c>
      <c r="E1839" t="s">
        <v>38</v>
      </c>
      <c r="F1839" t="s">
        <v>2948</v>
      </c>
      <c r="G1839" t="s">
        <v>23</v>
      </c>
      <c r="H1839" t="s">
        <v>6492</v>
      </c>
      <c r="I1839" t="s">
        <v>6607</v>
      </c>
      <c r="J1839" t="s">
        <v>6608</v>
      </c>
      <c r="K1839" t="s">
        <v>6609</v>
      </c>
      <c r="L1839" t="s">
        <v>722</v>
      </c>
      <c r="M1839" t="s">
        <v>112</v>
      </c>
      <c r="N1839" t="s">
        <v>33</v>
      </c>
      <c r="O1839" t="s">
        <v>4798</v>
      </c>
      <c r="P1839" t="s">
        <v>43</v>
      </c>
      <c r="Q1839" t="s">
        <v>20</v>
      </c>
      <c r="R1839" t="s">
        <v>4799</v>
      </c>
      <c r="S1839" t="s">
        <v>20</v>
      </c>
    </row>
    <row r="1840" spans="1:19" x14ac:dyDescent="0.45">
      <c r="A1840" t="s">
        <v>508</v>
      </c>
      <c r="B1840" t="s">
        <v>6770</v>
      </c>
      <c r="C1840" t="s">
        <v>586</v>
      </c>
      <c r="D1840" t="s">
        <v>587</v>
      </c>
      <c r="E1840" t="s">
        <v>38</v>
      </c>
      <c r="F1840" t="s">
        <v>14706</v>
      </c>
      <c r="G1840" t="s">
        <v>23</v>
      </c>
      <c r="H1840" t="s">
        <v>2579</v>
      </c>
      <c r="I1840" t="s">
        <v>2580</v>
      </c>
      <c r="J1840" t="s">
        <v>2581</v>
      </c>
      <c r="K1840" t="s">
        <v>1716</v>
      </c>
      <c r="L1840" t="s">
        <v>168</v>
      </c>
      <c r="M1840" t="s">
        <v>112</v>
      </c>
      <c r="N1840" t="s">
        <v>146</v>
      </c>
      <c r="O1840" t="s">
        <v>4798</v>
      </c>
      <c r="P1840" t="s">
        <v>290</v>
      </c>
      <c r="Q1840" t="s">
        <v>20</v>
      </c>
      <c r="R1840" t="s">
        <v>4799</v>
      </c>
      <c r="S1840" t="s">
        <v>2582</v>
      </c>
    </row>
    <row r="1841" spans="1:19" x14ac:dyDescent="0.45">
      <c r="A1841" t="s">
        <v>525</v>
      </c>
      <c r="B1841" t="s">
        <v>10237</v>
      </c>
      <c r="C1841" t="s">
        <v>1055</v>
      </c>
      <c r="D1841" t="s">
        <v>1056</v>
      </c>
      <c r="E1841" t="s">
        <v>38</v>
      </c>
      <c r="F1841" t="s">
        <v>2904</v>
      </c>
      <c r="G1841" t="s">
        <v>23</v>
      </c>
      <c r="H1841" t="s">
        <v>10238</v>
      </c>
      <c r="I1841" t="s">
        <v>10239</v>
      </c>
      <c r="J1841" t="s">
        <v>10240</v>
      </c>
      <c r="K1841" t="s">
        <v>10241</v>
      </c>
      <c r="L1841" t="s">
        <v>6522</v>
      </c>
      <c r="M1841" t="s">
        <v>112</v>
      </c>
      <c r="N1841" t="s">
        <v>195</v>
      </c>
      <c r="O1841" t="s">
        <v>4798</v>
      </c>
      <c r="P1841" t="s">
        <v>6522</v>
      </c>
      <c r="Q1841" t="s">
        <v>20</v>
      </c>
      <c r="R1841" t="s">
        <v>4799</v>
      </c>
      <c r="S1841" t="s">
        <v>20</v>
      </c>
    </row>
    <row r="1842" spans="1:19" x14ac:dyDescent="0.45">
      <c r="A1842" t="s">
        <v>525</v>
      </c>
      <c r="B1842" t="s">
        <v>9468</v>
      </c>
      <c r="C1842" t="s">
        <v>1055</v>
      </c>
      <c r="D1842" t="s">
        <v>1056</v>
      </c>
      <c r="E1842" t="s">
        <v>38</v>
      </c>
      <c r="F1842" t="s">
        <v>2904</v>
      </c>
      <c r="G1842" t="s">
        <v>23</v>
      </c>
      <c r="H1842" t="s">
        <v>9469</v>
      </c>
      <c r="I1842" t="s">
        <v>9470</v>
      </c>
      <c r="J1842" t="s">
        <v>9471</v>
      </c>
      <c r="K1842" t="s">
        <v>9472</v>
      </c>
      <c r="L1842" t="s">
        <v>6513</v>
      </c>
      <c r="M1842" t="s">
        <v>112</v>
      </c>
      <c r="N1842" t="s">
        <v>3407</v>
      </c>
      <c r="O1842" t="s">
        <v>4798</v>
      </c>
      <c r="P1842" t="s">
        <v>6513</v>
      </c>
      <c r="Q1842" t="s">
        <v>20</v>
      </c>
      <c r="R1842" t="s">
        <v>4799</v>
      </c>
      <c r="S1842" t="s">
        <v>20</v>
      </c>
    </row>
    <row r="1843" spans="1:19" x14ac:dyDescent="0.45">
      <c r="A1843" t="s">
        <v>26</v>
      </c>
      <c r="B1843" t="s">
        <v>8336</v>
      </c>
      <c r="C1843" t="s">
        <v>2518</v>
      </c>
      <c r="D1843" t="s">
        <v>2519</v>
      </c>
      <c r="E1843" t="s">
        <v>38</v>
      </c>
      <c r="F1843" t="s">
        <v>14295</v>
      </c>
      <c r="G1843" t="s">
        <v>23</v>
      </c>
      <c r="H1843" t="s">
        <v>8337</v>
      </c>
      <c r="I1843" t="s">
        <v>7072</v>
      </c>
      <c r="J1843" t="s">
        <v>8338</v>
      </c>
      <c r="K1843" t="s">
        <v>8339</v>
      </c>
      <c r="L1843" t="s">
        <v>8109</v>
      </c>
      <c r="M1843" t="s">
        <v>205</v>
      </c>
      <c r="N1843" t="s">
        <v>33</v>
      </c>
      <c r="O1843" t="s">
        <v>4798</v>
      </c>
      <c r="P1843" t="s">
        <v>7506</v>
      </c>
      <c r="Q1843" t="s">
        <v>20</v>
      </c>
      <c r="R1843" t="s">
        <v>4799</v>
      </c>
      <c r="S1843" t="s">
        <v>9333</v>
      </c>
    </row>
    <row r="1844" spans="1:19" x14ac:dyDescent="0.45">
      <c r="A1844" t="s">
        <v>358</v>
      </c>
      <c r="B1844" t="s">
        <v>12990</v>
      </c>
      <c r="C1844" t="s">
        <v>2214</v>
      </c>
      <c r="D1844" t="s">
        <v>2215</v>
      </c>
      <c r="E1844" t="s">
        <v>38</v>
      </c>
      <c r="F1844" t="s">
        <v>2795</v>
      </c>
      <c r="G1844" t="s">
        <v>23</v>
      </c>
      <c r="H1844" t="s">
        <v>2216</v>
      </c>
      <c r="I1844" t="s">
        <v>2217</v>
      </c>
      <c r="J1844" t="s">
        <v>2218</v>
      </c>
      <c r="K1844" t="s">
        <v>2219</v>
      </c>
      <c r="L1844" t="s">
        <v>101</v>
      </c>
      <c r="M1844" t="s">
        <v>112</v>
      </c>
      <c r="N1844" t="s">
        <v>146</v>
      </c>
      <c r="O1844" t="s">
        <v>4798</v>
      </c>
      <c r="P1844" t="s">
        <v>6524</v>
      </c>
      <c r="Q1844" t="s">
        <v>20</v>
      </c>
      <c r="R1844" t="s">
        <v>4799</v>
      </c>
      <c r="S1844" t="s">
        <v>20</v>
      </c>
    </row>
    <row r="1845" spans="1:19" x14ac:dyDescent="0.45">
      <c r="A1845" t="s">
        <v>535</v>
      </c>
      <c r="B1845" t="s">
        <v>5374</v>
      </c>
      <c r="C1845" t="s">
        <v>536</v>
      </c>
      <c r="D1845" t="s">
        <v>537</v>
      </c>
      <c r="E1845" t="s">
        <v>38</v>
      </c>
      <c r="F1845" t="s">
        <v>2785</v>
      </c>
      <c r="G1845" t="s">
        <v>23</v>
      </c>
      <c r="H1845" t="s">
        <v>5375</v>
      </c>
      <c r="I1845" t="s">
        <v>5376</v>
      </c>
      <c r="J1845" t="s">
        <v>5377</v>
      </c>
      <c r="K1845" t="s">
        <v>5378</v>
      </c>
      <c r="L1845" t="s">
        <v>147</v>
      </c>
      <c r="M1845" t="s">
        <v>5379</v>
      </c>
      <c r="N1845" t="s">
        <v>3389</v>
      </c>
      <c r="O1845" t="s">
        <v>4798</v>
      </c>
      <c r="P1845" t="s">
        <v>147</v>
      </c>
      <c r="Q1845" t="s">
        <v>20</v>
      </c>
      <c r="R1845" t="s">
        <v>4799</v>
      </c>
      <c r="S1845" t="s">
        <v>20</v>
      </c>
    </row>
    <row r="1846" spans="1:19" x14ac:dyDescent="0.45">
      <c r="A1846" t="s">
        <v>26</v>
      </c>
      <c r="B1846" t="s">
        <v>8670</v>
      </c>
      <c r="C1846" t="s">
        <v>2291</v>
      </c>
      <c r="D1846" t="s">
        <v>2292</v>
      </c>
      <c r="E1846" t="s">
        <v>38</v>
      </c>
      <c r="F1846" t="s">
        <v>2904</v>
      </c>
      <c r="G1846" t="s">
        <v>23</v>
      </c>
      <c r="H1846" t="s">
        <v>8671</v>
      </c>
      <c r="I1846" t="s">
        <v>8672</v>
      </c>
      <c r="J1846" t="s">
        <v>8673</v>
      </c>
      <c r="K1846" t="s">
        <v>8674</v>
      </c>
      <c r="L1846" t="s">
        <v>6521</v>
      </c>
      <c r="M1846" t="s">
        <v>112</v>
      </c>
      <c r="N1846" t="s">
        <v>195</v>
      </c>
      <c r="O1846" t="s">
        <v>4798</v>
      </c>
      <c r="P1846" t="s">
        <v>722</v>
      </c>
      <c r="Q1846" t="s">
        <v>20</v>
      </c>
      <c r="R1846" t="s">
        <v>4799</v>
      </c>
      <c r="S1846" t="s">
        <v>20</v>
      </c>
    </row>
    <row r="1847" spans="1:19" x14ac:dyDescent="0.45">
      <c r="A1847" t="s">
        <v>4482</v>
      </c>
      <c r="B1847" t="s">
        <v>13367</v>
      </c>
      <c r="C1847" t="s">
        <v>8606</v>
      </c>
      <c r="D1847" t="s">
        <v>5589</v>
      </c>
      <c r="E1847" t="s">
        <v>38</v>
      </c>
      <c r="F1847" t="s">
        <v>2722</v>
      </c>
      <c r="G1847" t="s">
        <v>23</v>
      </c>
      <c r="H1847" t="s">
        <v>10309</v>
      </c>
      <c r="I1847" t="s">
        <v>10310</v>
      </c>
      <c r="J1847" t="s">
        <v>10762</v>
      </c>
      <c r="K1847" t="s">
        <v>10763</v>
      </c>
      <c r="L1847" t="s">
        <v>10764</v>
      </c>
      <c r="M1847" t="s">
        <v>112</v>
      </c>
      <c r="N1847" t="s">
        <v>33</v>
      </c>
      <c r="O1847" t="s">
        <v>4798</v>
      </c>
      <c r="P1847" t="s">
        <v>7506</v>
      </c>
      <c r="Q1847" t="s">
        <v>20</v>
      </c>
      <c r="R1847" t="s">
        <v>4799</v>
      </c>
      <c r="S1847" t="s">
        <v>20</v>
      </c>
    </row>
    <row r="1848" spans="1:19" x14ac:dyDescent="0.45">
      <c r="A1848" t="s">
        <v>4482</v>
      </c>
      <c r="B1848" t="s">
        <v>8605</v>
      </c>
      <c r="C1848" t="s">
        <v>8606</v>
      </c>
      <c r="D1848" t="s">
        <v>5589</v>
      </c>
      <c r="E1848" t="s">
        <v>38</v>
      </c>
      <c r="F1848" t="s">
        <v>3062</v>
      </c>
      <c r="G1848" t="s">
        <v>23</v>
      </c>
      <c r="H1848" t="s">
        <v>8607</v>
      </c>
      <c r="I1848" t="s">
        <v>8608</v>
      </c>
      <c r="J1848" t="s">
        <v>8609</v>
      </c>
      <c r="K1848" t="s">
        <v>8610</v>
      </c>
      <c r="L1848" t="s">
        <v>5398</v>
      </c>
      <c r="M1848" t="s">
        <v>112</v>
      </c>
      <c r="N1848" t="s">
        <v>113</v>
      </c>
      <c r="O1848" t="s">
        <v>4798</v>
      </c>
      <c r="P1848" t="s">
        <v>5398</v>
      </c>
      <c r="Q1848" t="s">
        <v>20</v>
      </c>
      <c r="R1848" t="s">
        <v>4799</v>
      </c>
      <c r="S1848" t="s">
        <v>20</v>
      </c>
    </row>
    <row r="1849" spans="1:19" x14ac:dyDescent="0.45">
      <c r="A1849" t="s">
        <v>276</v>
      </c>
      <c r="B1849" t="s">
        <v>10141</v>
      </c>
      <c r="C1849" t="s">
        <v>4084</v>
      </c>
      <c r="D1849" t="s">
        <v>4085</v>
      </c>
      <c r="E1849" t="s">
        <v>38</v>
      </c>
      <c r="F1849" t="s">
        <v>2755</v>
      </c>
      <c r="G1849" t="s">
        <v>23</v>
      </c>
      <c r="H1849" t="s">
        <v>8985</v>
      </c>
      <c r="I1849" t="s">
        <v>9575</v>
      </c>
      <c r="J1849" t="s">
        <v>9576</v>
      </c>
      <c r="K1849" t="s">
        <v>9577</v>
      </c>
      <c r="L1849" t="s">
        <v>6523</v>
      </c>
      <c r="M1849" t="s">
        <v>10142</v>
      </c>
      <c r="N1849" t="s">
        <v>33</v>
      </c>
      <c r="O1849" t="s">
        <v>4798</v>
      </c>
      <c r="P1849" t="s">
        <v>6522</v>
      </c>
      <c r="Q1849" t="s">
        <v>20</v>
      </c>
      <c r="R1849" t="s">
        <v>4799</v>
      </c>
      <c r="S1849" t="s">
        <v>20</v>
      </c>
    </row>
    <row r="1850" spans="1:19" x14ac:dyDescent="0.45">
      <c r="A1850" t="s">
        <v>869</v>
      </c>
      <c r="B1850" t="s">
        <v>2754</v>
      </c>
      <c r="C1850" t="s">
        <v>2249</v>
      </c>
      <c r="D1850" t="s">
        <v>2250</v>
      </c>
      <c r="E1850" t="s">
        <v>38</v>
      </c>
      <c r="F1850" t="s">
        <v>2755</v>
      </c>
      <c r="G1850" t="s">
        <v>23</v>
      </c>
      <c r="H1850" t="s">
        <v>2756</v>
      </c>
      <c r="I1850" t="s">
        <v>2757</v>
      </c>
      <c r="J1850" t="s">
        <v>2758</v>
      </c>
      <c r="K1850" t="s">
        <v>2759</v>
      </c>
      <c r="L1850" t="s">
        <v>9126</v>
      </c>
      <c r="M1850" t="s">
        <v>112</v>
      </c>
      <c r="N1850" t="s">
        <v>33</v>
      </c>
      <c r="O1850" t="s">
        <v>4798</v>
      </c>
      <c r="P1850" t="s">
        <v>194</v>
      </c>
      <c r="Q1850" t="s">
        <v>20</v>
      </c>
      <c r="R1850" t="s">
        <v>4799</v>
      </c>
      <c r="S1850" t="s">
        <v>20</v>
      </c>
    </row>
    <row r="1851" spans="1:19" x14ac:dyDescent="0.45">
      <c r="A1851" t="s">
        <v>869</v>
      </c>
      <c r="B1851" t="s">
        <v>8737</v>
      </c>
      <c r="C1851" t="s">
        <v>2249</v>
      </c>
      <c r="D1851" t="s">
        <v>2250</v>
      </c>
      <c r="E1851" t="s">
        <v>38</v>
      </c>
      <c r="F1851" t="s">
        <v>2755</v>
      </c>
      <c r="G1851" t="s">
        <v>23</v>
      </c>
      <c r="H1851" t="s">
        <v>8738</v>
      </c>
      <c r="I1851" t="s">
        <v>8739</v>
      </c>
      <c r="J1851" t="s">
        <v>8740</v>
      </c>
      <c r="K1851" t="s">
        <v>8741</v>
      </c>
      <c r="L1851" t="s">
        <v>6875</v>
      </c>
      <c r="M1851" t="s">
        <v>538</v>
      </c>
      <c r="N1851" t="s">
        <v>119</v>
      </c>
      <c r="O1851" t="s">
        <v>4798</v>
      </c>
      <c r="P1851" t="s">
        <v>5398</v>
      </c>
      <c r="Q1851" t="s">
        <v>20</v>
      </c>
      <c r="R1851" t="s">
        <v>4799</v>
      </c>
      <c r="S1851" t="s">
        <v>20</v>
      </c>
    </row>
    <row r="1852" spans="1:19" x14ac:dyDescent="0.45">
      <c r="A1852" t="s">
        <v>114</v>
      </c>
      <c r="B1852" t="s">
        <v>3393</v>
      </c>
      <c r="C1852" t="s">
        <v>3394</v>
      </c>
      <c r="D1852" t="s">
        <v>3395</v>
      </c>
      <c r="E1852" t="s">
        <v>38</v>
      </c>
      <c r="F1852" t="s">
        <v>2787</v>
      </c>
      <c r="G1852" t="s">
        <v>23</v>
      </c>
      <c r="H1852" t="s">
        <v>3396</v>
      </c>
      <c r="I1852" t="s">
        <v>3397</v>
      </c>
      <c r="J1852" t="s">
        <v>3398</v>
      </c>
      <c r="K1852" t="s">
        <v>3399</v>
      </c>
      <c r="L1852" t="s">
        <v>296</v>
      </c>
      <c r="M1852" t="s">
        <v>2100</v>
      </c>
      <c r="N1852" t="s">
        <v>9484</v>
      </c>
      <c r="O1852" t="s">
        <v>4798</v>
      </c>
      <c r="P1852" t="s">
        <v>6513</v>
      </c>
      <c r="Q1852" t="s">
        <v>20</v>
      </c>
      <c r="R1852" t="s">
        <v>4799</v>
      </c>
      <c r="S1852" t="s">
        <v>20</v>
      </c>
    </row>
    <row r="1853" spans="1:19" x14ac:dyDescent="0.45">
      <c r="A1853" t="s">
        <v>79</v>
      </c>
      <c r="B1853" t="s">
        <v>6771</v>
      </c>
      <c r="C1853" t="s">
        <v>1883</v>
      </c>
      <c r="D1853" t="s">
        <v>1884</v>
      </c>
      <c r="E1853" t="s">
        <v>38</v>
      </c>
      <c r="F1853" t="s">
        <v>2785</v>
      </c>
      <c r="G1853" t="s">
        <v>23</v>
      </c>
      <c r="H1853" t="s">
        <v>1885</v>
      </c>
      <c r="I1853" t="s">
        <v>1886</v>
      </c>
      <c r="J1853" t="s">
        <v>1887</v>
      </c>
      <c r="K1853" t="s">
        <v>1888</v>
      </c>
      <c r="L1853" t="s">
        <v>635</v>
      </c>
      <c r="M1853" t="s">
        <v>112</v>
      </c>
      <c r="N1853" t="s">
        <v>113</v>
      </c>
      <c r="O1853" t="s">
        <v>4798</v>
      </c>
      <c r="P1853" t="s">
        <v>290</v>
      </c>
      <c r="Q1853" t="s">
        <v>20</v>
      </c>
      <c r="R1853" t="s">
        <v>4799</v>
      </c>
      <c r="S1853" t="s">
        <v>20</v>
      </c>
    </row>
    <row r="1854" spans="1:19" x14ac:dyDescent="0.45">
      <c r="A1854" t="s">
        <v>26</v>
      </c>
      <c r="B1854" t="s">
        <v>3528</v>
      </c>
      <c r="C1854" t="s">
        <v>1476</v>
      </c>
      <c r="D1854" t="s">
        <v>1477</v>
      </c>
      <c r="E1854" t="s">
        <v>38</v>
      </c>
      <c r="F1854" t="s">
        <v>2785</v>
      </c>
      <c r="G1854" t="s">
        <v>23</v>
      </c>
      <c r="H1854" t="s">
        <v>3529</v>
      </c>
      <c r="I1854" t="s">
        <v>3530</v>
      </c>
      <c r="J1854" t="s">
        <v>3531</v>
      </c>
      <c r="K1854" t="s">
        <v>3532</v>
      </c>
      <c r="L1854" t="s">
        <v>6522</v>
      </c>
      <c r="M1854" t="s">
        <v>538</v>
      </c>
      <c r="N1854" t="s">
        <v>33</v>
      </c>
      <c r="O1854" t="s">
        <v>4798</v>
      </c>
      <c r="P1854" t="s">
        <v>2330</v>
      </c>
      <c r="Q1854" t="s">
        <v>20</v>
      </c>
      <c r="R1854" t="s">
        <v>4799</v>
      </c>
      <c r="S1854" t="s">
        <v>9333</v>
      </c>
    </row>
    <row r="1855" spans="1:19" x14ac:dyDescent="0.45">
      <c r="A1855" t="s">
        <v>239</v>
      </c>
      <c r="B1855" t="s">
        <v>5156</v>
      </c>
      <c r="C1855" t="s">
        <v>4176</v>
      </c>
      <c r="D1855" t="s">
        <v>4177</v>
      </c>
      <c r="E1855" t="s">
        <v>21</v>
      </c>
      <c r="F1855" t="s">
        <v>2722</v>
      </c>
      <c r="G1855" t="s">
        <v>23</v>
      </c>
      <c r="H1855" t="s">
        <v>5157</v>
      </c>
      <c r="I1855" t="s">
        <v>5158</v>
      </c>
      <c r="J1855" t="s">
        <v>5159</v>
      </c>
      <c r="K1855" t="s">
        <v>5160</v>
      </c>
      <c r="L1855" t="s">
        <v>677</v>
      </c>
      <c r="M1855" t="s">
        <v>1223</v>
      </c>
      <c r="N1855" t="s">
        <v>2858</v>
      </c>
      <c r="O1855" t="s">
        <v>4798</v>
      </c>
      <c r="P1855" t="s">
        <v>161</v>
      </c>
      <c r="Q1855" t="s">
        <v>20</v>
      </c>
      <c r="R1855" t="s">
        <v>4799</v>
      </c>
      <c r="S1855" t="s">
        <v>20</v>
      </c>
    </row>
    <row r="1856" spans="1:19" x14ac:dyDescent="0.45">
      <c r="A1856" t="s">
        <v>54</v>
      </c>
      <c r="B1856" t="s">
        <v>9799</v>
      </c>
      <c r="C1856" t="s">
        <v>1781</v>
      </c>
      <c r="D1856" t="s">
        <v>1782</v>
      </c>
      <c r="E1856" t="s">
        <v>38</v>
      </c>
      <c r="F1856" t="s">
        <v>2831</v>
      </c>
      <c r="G1856" t="s">
        <v>23</v>
      </c>
      <c r="H1856" t="s">
        <v>7128</v>
      </c>
      <c r="I1856" t="s">
        <v>7129</v>
      </c>
      <c r="J1856" t="s">
        <v>7130</v>
      </c>
      <c r="K1856" t="s">
        <v>7131</v>
      </c>
      <c r="L1856" t="s">
        <v>6513</v>
      </c>
      <c r="M1856" t="s">
        <v>112</v>
      </c>
      <c r="N1856" t="s">
        <v>113</v>
      </c>
      <c r="O1856" t="s">
        <v>4798</v>
      </c>
      <c r="P1856" t="s">
        <v>6522</v>
      </c>
      <c r="Q1856" t="s">
        <v>20</v>
      </c>
      <c r="R1856" t="s">
        <v>4799</v>
      </c>
      <c r="S1856" t="s">
        <v>9334</v>
      </c>
    </row>
    <row r="1857" spans="1:19" x14ac:dyDescent="0.45">
      <c r="A1857" t="s">
        <v>379</v>
      </c>
      <c r="B1857" t="s">
        <v>12991</v>
      </c>
      <c r="C1857" t="s">
        <v>4316</v>
      </c>
      <c r="D1857" t="s">
        <v>4317</v>
      </c>
      <c r="E1857" t="s">
        <v>29</v>
      </c>
      <c r="F1857" t="s">
        <v>12992</v>
      </c>
      <c r="G1857" t="s">
        <v>23</v>
      </c>
      <c r="H1857" t="s">
        <v>10466</v>
      </c>
      <c r="I1857" t="s">
        <v>10467</v>
      </c>
      <c r="J1857" t="s">
        <v>10468</v>
      </c>
      <c r="K1857" t="s">
        <v>10469</v>
      </c>
      <c r="L1857" t="s">
        <v>2769</v>
      </c>
      <c r="M1857" t="s">
        <v>102</v>
      </c>
      <c r="N1857" t="s">
        <v>33</v>
      </c>
      <c r="O1857" t="s">
        <v>4798</v>
      </c>
      <c r="P1857" t="s">
        <v>7506</v>
      </c>
      <c r="Q1857" t="s">
        <v>20</v>
      </c>
      <c r="R1857" t="s">
        <v>4799</v>
      </c>
      <c r="S1857" t="s">
        <v>20</v>
      </c>
    </row>
    <row r="1858" spans="1:19" x14ac:dyDescent="0.45">
      <c r="A1858" t="s">
        <v>525</v>
      </c>
      <c r="B1858" t="s">
        <v>12993</v>
      </c>
      <c r="C1858" t="s">
        <v>595</v>
      </c>
      <c r="D1858" t="s">
        <v>596</v>
      </c>
      <c r="E1858" t="s">
        <v>38</v>
      </c>
      <c r="F1858" t="s">
        <v>2722</v>
      </c>
      <c r="G1858" t="s">
        <v>23</v>
      </c>
      <c r="H1858" t="s">
        <v>12994</v>
      </c>
      <c r="I1858" t="s">
        <v>12995</v>
      </c>
      <c r="J1858" t="s">
        <v>12996</v>
      </c>
      <c r="K1858" t="s">
        <v>12997</v>
      </c>
      <c r="L1858" t="s">
        <v>3418</v>
      </c>
      <c r="M1858" t="s">
        <v>112</v>
      </c>
      <c r="N1858" t="s">
        <v>195</v>
      </c>
      <c r="O1858" t="s">
        <v>4798</v>
      </c>
      <c r="P1858" t="s">
        <v>6527</v>
      </c>
      <c r="Q1858" t="s">
        <v>20</v>
      </c>
      <c r="R1858" t="s">
        <v>4799</v>
      </c>
      <c r="S1858" t="s">
        <v>20</v>
      </c>
    </row>
    <row r="1859" spans="1:19" x14ac:dyDescent="0.45">
      <c r="A1859" t="s">
        <v>46</v>
      </c>
      <c r="B1859" t="s">
        <v>14060</v>
      </c>
      <c r="C1859" t="s">
        <v>1414</v>
      </c>
      <c r="D1859" t="s">
        <v>1415</v>
      </c>
      <c r="E1859" t="s">
        <v>38</v>
      </c>
      <c r="F1859" t="s">
        <v>2722</v>
      </c>
      <c r="G1859" t="s">
        <v>23</v>
      </c>
      <c r="H1859" t="s">
        <v>14061</v>
      </c>
      <c r="I1859" t="s">
        <v>14062</v>
      </c>
      <c r="J1859" t="s">
        <v>14063</v>
      </c>
      <c r="K1859" t="s">
        <v>14064</v>
      </c>
      <c r="L1859" t="s">
        <v>3998</v>
      </c>
      <c r="M1859" t="s">
        <v>112</v>
      </c>
      <c r="N1859" t="s">
        <v>10634</v>
      </c>
      <c r="O1859" t="s">
        <v>4798</v>
      </c>
      <c r="P1859" t="s">
        <v>3998</v>
      </c>
      <c r="Q1859" t="s">
        <v>20</v>
      </c>
      <c r="R1859" t="s">
        <v>4799</v>
      </c>
      <c r="S1859" t="s">
        <v>20</v>
      </c>
    </row>
    <row r="1860" spans="1:19" x14ac:dyDescent="0.45">
      <c r="A1860" t="s">
        <v>19</v>
      </c>
      <c r="B1860" t="s">
        <v>5003</v>
      </c>
      <c r="C1860" t="s">
        <v>4476</v>
      </c>
      <c r="D1860" t="s">
        <v>4477</v>
      </c>
      <c r="E1860" t="s">
        <v>38</v>
      </c>
      <c r="F1860" t="s">
        <v>2713</v>
      </c>
      <c r="G1860" t="s">
        <v>23</v>
      </c>
      <c r="H1860" t="s">
        <v>5004</v>
      </c>
      <c r="I1860" t="s">
        <v>5005</v>
      </c>
      <c r="J1860" t="s">
        <v>5006</v>
      </c>
      <c r="K1860" t="s">
        <v>5007</v>
      </c>
      <c r="L1860" t="s">
        <v>53</v>
      </c>
      <c r="M1860" t="s">
        <v>112</v>
      </c>
      <c r="N1860" t="s">
        <v>33</v>
      </c>
      <c r="O1860" t="s">
        <v>4798</v>
      </c>
      <c r="P1860" t="s">
        <v>290</v>
      </c>
      <c r="Q1860" t="s">
        <v>20</v>
      </c>
      <c r="R1860" t="s">
        <v>4799</v>
      </c>
      <c r="S1860" t="s">
        <v>20</v>
      </c>
    </row>
    <row r="1861" spans="1:19" x14ac:dyDescent="0.45">
      <c r="A1861" t="s">
        <v>572</v>
      </c>
      <c r="B1861" t="s">
        <v>9517</v>
      </c>
      <c r="C1861" t="s">
        <v>1398</v>
      </c>
      <c r="D1861" t="s">
        <v>1399</v>
      </c>
      <c r="E1861" t="s">
        <v>38</v>
      </c>
      <c r="F1861" t="s">
        <v>4071</v>
      </c>
      <c r="G1861" t="s">
        <v>23</v>
      </c>
      <c r="H1861" t="s">
        <v>9518</v>
      </c>
      <c r="I1861" t="s">
        <v>9519</v>
      </c>
      <c r="J1861" t="s">
        <v>9520</v>
      </c>
      <c r="K1861" t="s">
        <v>9521</v>
      </c>
      <c r="L1861" t="s">
        <v>6513</v>
      </c>
      <c r="M1861" t="s">
        <v>112</v>
      </c>
      <c r="N1861" t="s">
        <v>1224</v>
      </c>
      <c r="O1861" t="s">
        <v>4798</v>
      </c>
      <c r="P1861" t="s">
        <v>6513</v>
      </c>
      <c r="Q1861" t="s">
        <v>20</v>
      </c>
      <c r="R1861" t="s">
        <v>4799</v>
      </c>
      <c r="S1861" t="s">
        <v>20</v>
      </c>
    </row>
    <row r="1862" spans="1:19" x14ac:dyDescent="0.45">
      <c r="A1862" t="s">
        <v>114</v>
      </c>
      <c r="B1862" t="s">
        <v>20</v>
      </c>
      <c r="C1862" t="s">
        <v>115</v>
      </c>
      <c r="D1862" t="s">
        <v>116</v>
      </c>
      <c r="E1862" t="s">
        <v>29</v>
      </c>
      <c r="F1862" t="s">
        <v>3062</v>
      </c>
      <c r="G1862" t="s">
        <v>23</v>
      </c>
      <c r="H1862" t="s">
        <v>3155</v>
      </c>
      <c r="I1862" t="s">
        <v>3156</v>
      </c>
      <c r="J1862" t="s">
        <v>3157</v>
      </c>
      <c r="K1862" t="s">
        <v>3158</v>
      </c>
      <c r="L1862" t="s">
        <v>2769</v>
      </c>
      <c r="M1862" t="s">
        <v>32</v>
      </c>
      <c r="N1862" t="s">
        <v>9484</v>
      </c>
      <c r="O1862" t="s">
        <v>4798</v>
      </c>
      <c r="P1862" t="s">
        <v>8377</v>
      </c>
      <c r="Q1862" t="s">
        <v>20</v>
      </c>
      <c r="R1862" t="s">
        <v>4799</v>
      </c>
      <c r="S1862" t="s">
        <v>20</v>
      </c>
    </row>
    <row r="1863" spans="1:19" x14ac:dyDescent="0.45">
      <c r="A1863" t="s">
        <v>211</v>
      </c>
      <c r="B1863" t="s">
        <v>14707</v>
      </c>
      <c r="C1863" t="s">
        <v>2466</v>
      </c>
      <c r="D1863" t="s">
        <v>2467</v>
      </c>
      <c r="E1863" t="s">
        <v>38</v>
      </c>
      <c r="F1863" t="s">
        <v>2755</v>
      </c>
      <c r="G1863" t="s">
        <v>23</v>
      </c>
      <c r="H1863" t="s">
        <v>12491</v>
      </c>
      <c r="I1863" t="s">
        <v>12492</v>
      </c>
      <c r="J1863" t="s">
        <v>12493</v>
      </c>
      <c r="K1863" t="s">
        <v>12494</v>
      </c>
      <c r="L1863" t="s">
        <v>3418</v>
      </c>
      <c r="M1863" t="s">
        <v>112</v>
      </c>
      <c r="N1863" t="s">
        <v>146</v>
      </c>
      <c r="O1863" t="s">
        <v>4798</v>
      </c>
      <c r="P1863" t="s">
        <v>6525</v>
      </c>
      <c r="Q1863" t="s">
        <v>20</v>
      </c>
      <c r="R1863" t="s">
        <v>4799</v>
      </c>
      <c r="S1863" t="s">
        <v>20</v>
      </c>
    </row>
    <row r="1864" spans="1:19" x14ac:dyDescent="0.45">
      <c r="A1864" t="s">
        <v>1308</v>
      </c>
      <c r="B1864" t="s">
        <v>3639</v>
      </c>
      <c r="C1864" t="s">
        <v>1309</v>
      </c>
      <c r="D1864" t="s">
        <v>1310</v>
      </c>
      <c r="E1864" t="s">
        <v>21</v>
      </c>
      <c r="F1864" t="s">
        <v>2722</v>
      </c>
      <c r="G1864" t="s">
        <v>23</v>
      </c>
      <c r="H1864" t="s">
        <v>3640</v>
      </c>
      <c r="I1864" t="s">
        <v>3641</v>
      </c>
      <c r="J1864" t="s">
        <v>3642</v>
      </c>
      <c r="K1864" t="s">
        <v>3643</v>
      </c>
      <c r="L1864" t="s">
        <v>3998</v>
      </c>
      <c r="M1864" t="s">
        <v>1223</v>
      </c>
      <c r="N1864" t="s">
        <v>33</v>
      </c>
      <c r="O1864" t="s">
        <v>4798</v>
      </c>
      <c r="P1864" t="s">
        <v>53</v>
      </c>
      <c r="Q1864" t="s">
        <v>20</v>
      </c>
      <c r="R1864" t="s">
        <v>4799</v>
      </c>
      <c r="S1864" t="s">
        <v>9316</v>
      </c>
    </row>
    <row r="1865" spans="1:19" x14ac:dyDescent="0.45">
      <c r="A1865" t="s">
        <v>2700</v>
      </c>
      <c r="B1865" t="s">
        <v>13368</v>
      </c>
      <c r="C1865" t="s">
        <v>2701</v>
      </c>
      <c r="D1865" t="s">
        <v>2702</v>
      </c>
      <c r="E1865" t="s">
        <v>21</v>
      </c>
      <c r="F1865" t="s">
        <v>2722</v>
      </c>
      <c r="G1865" t="s">
        <v>23</v>
      </c>
      <c r="H1865" t="s">
        <v>13369</v>
      </c>
      <c r="I1865" t="s">
        <v>13370</v>
      </c>
      <c r="J1865" t="s">
        <v>13371</v>
      </c>
      <c r="K1865" t="s">
        <v>13372</v>
      </c>
      <c r="L1865" t="s">
        <v>6524</v>
      </c>
      <c r="M1865" t="s">
        <v>3145</v>
      </c>
      <c r="N1865" t="s">
        <v>2809</v>
      </c>
      <c r="O1865" t="s">
        <v>4798</v>
      </c>
      <c r="P1865" t="s">
        <v>3998</v>
      </c>
      <c r="Q1865" t="s">
        <v>20</v>
      </c>
      <c r="R1865" t="s">
        <v>4799</v>
      </c>
      <c r="S1865" t="s">
        <v>20</v>
      </c>
    </row>
    <row r="1866" spans="1:19" x14ac:dyDescent="0.45">
      <c r="A1866" t="s">
        <v>139</v>
      </c>
      <c r="B1866" t="s">
        <v>9389</v>
      </c>
      <c r="C1866" t="s">
        <v>577</v>
      </c>
      <c r="D1866" t="s">
        <v>578</v>
      </c>
      <c r="E1866" t="s">
        <v>21</v>
      </c>
      <c r="F1866" t="s">
        <v>2722</v>
      </c>
      <c r="G1866" t="s">
        <v>23</v>
      </c>
      <c r="H1866" t="s">
        <v>8914</v>
      </c>
      <c r="I1866" t="s">
        <v>9390</v>
      </c>
      <c r="J1866" t="s">
        <v>9391</v>
      </c>
      <c r="K1866" t="s">
        <v>9392</v>
      </c>
      <c r="L1866" t="s">
        <v>6521</v>
      </c>
      <c r="M1866" t="s">
        <v>3145</v>
      </c>
      <c r="N1866" t="s">
        <v>33</v>
      </c>
      <c r="O1866" t="s">
        <v>4798</v>
      </c>
      <c r="P1866" t="s">
        <v>6521</v>
      </c>
      <c r="Q1866" t="s">
        <v>20</v>
      </c>
      <c r="R1866" t="s">
        <v>4799</v>
      </c>
      <c r="S1866" t="s">
        <v>20</v>
      </c>
    </row>
    <row r="1867" spans="1:19" x14ac:dyDescent="0.45">
      <c r="A1867" t="s">
        <v>35</v>
      </c>
      <c r="B1867" t="s">
        <v>9812</v>
      </c>
      <c r="C1867" t="s">
        <v>1868</v>
      </c>
      <c r="D1867" t="s">
        <v>1869</v>
      </c>
      <c r="E1867" t="s">
        <v>38</v>
      </c>
      <c r="F1867" t="s">
        <v>2948</v>
      </c>
      <c r="G1867" t="s">
        <v>23</v>
      </c>
      <c r="H1867" t="s">
        <v>1870</v>
      </c>
      <c r="I1867" t="s">
        <v>1725</v>
      </c>
      <c r="J1867" t="s">
        <v>1871</v>
      </c>
      <c r="K1867" t="s">
        <v>1872</v>
      </c>
      <c r="L1867" t="s">
        <v>194</v>
      </c>
      <c r="M1867" t="s">
        <v>112</v>
      </c>
      <c r="N1867" t="s">
        <v>33</v>
      </c>
      <c r="O1867" t="s">
        <v>4798</v>
      </c>
      <c r="P1867" t="s">
        <v>5398</v>
      </c>
      <c r="Q1867" t="s">
        <v>20</v>
      </c>
      <c r="R1867" t="s">
        <v>4799</v>
      </c>
      <c r="S1867" t="s">
        <v>9813</v>
      </c>
    </row>
    <row r="1868" spans="1:19" x14ac:dyDescent="0.45">
      <c r="A1868" t="s">
        <v>572</v>
      </c>
      <c r="B1868" t="s">
        <v>6668</v>
      </c>
      <c r="C1868" t="s">
        <v>2407</v>
      </c>
      <c r="D1868" t="s">
        <v>2408</v>
      </c>
      <c r="E1868" t="s">
        <v>38</v>
      </c>
      <c r="F1868" t="s">
        <v>2722</v>
      </c>
      <c r="G1868" t="s">
        <v>23</v>
      </c>
      <c r="H1868" t="s">
        <v>6456</v>
      </c>
      <c r="I1868" t="s">
        <v>6669</v>
      </c>
      <c r="J1868" t="s">
        <v>6670</v>
      </c>
      <c r="K1868" t="s">
        <v>6671</v>
      </c>
      <c r="L1868" t="s">
        <v>6521</v>
      </c>
      <c r="M1868" t="s">
        <v>112</v>
      </c>
      <c r="N1868" t="s">
        <v>113</v>
      </c>
      <c r="O1868" t="s">
        <v>4798</v>
      </c>
      <c r="P1868" t="s">
        <v>6521</v>
      </c>
      <c r="Q1868" t="s">
        <v>20</v>
      </c>
      <c r="R1868" t="s">
        <v>4799</v>
      </c>
      <c r="S1868" t="s">
        <v>20</v>
      </c>
    </row>
    <row r="1869" spans="1:19" x14ac:dyDescent="0.45">
      <c r="A1869" t="s">
        <v>572</v>
      </c>
      <c r="B1869" t="s">
        <v>8856</v>
      </c>
      <c r="C1869" t="s">
        <v>2407</v>
      </c>
      <c r="D1869" t="s">
        <v>2408</v>
      </c>
      <c r="E1869" t="s">
        <v>38</v>
      </c>
      <c r="F1869" t="s">
        <v>3076</v>
      </c>
      <c r="G1869" t="s">
        <v>23</v>
      </c>
      <c r="H1869" t="s">
        <v>2409</v>
      </c>
      <c r="I1869" t="s">
        <v>2410</v>
      </c>
      <c r="J1869" t="s">
        <v>2411</v>
      </c>
      <c r="K1869" t="s">
        <v>2412</v>
      </c>
      <c r="L1869" t="s">
        <v>6523</v>
      </c>
      <c r="M1869" t="s">
        <v>32</v>
      </c>
      <c r="N1869" t="s">
        <v>33</v>
      </c>
      <c r="O1869" t="s">
        <v>4798</v>
      </c>
      <c r="P1869" t="s">
        <v>722</v>
      </c>
      <c r="Q1869" t="s">
        <v>20</v>
      </c>
      <c r="R1869" t="s">
        <v>4799</v>
      </c>
      <c r="S1869" t="s">
        <v>20</v>
      </c>
    </row>
    <row r="1870" spans="1:19" x14ac:dyDescent="0.45">
      <c r="A1870" t="s">
        <v>943</v>
      </c>
      <c r="B1870" t="s">
        <v>12998</v>
      </c>
      <c r="C1870" t="s">
        <v>2562</v>
      </c>
      <c r="D1870" t="s">
        <v>2563</v>
      </c>
      <c r="E1870" t="s">
        <v>38</v>
      </c>
      <c r="F1870" t="s">
        <v>12999</v>
      </c>
      <c r="G1870" t="s">
        <v>23</v>
      </c>
      <c r="H1870" t="s">
        <v>2564</v>
      </c>
      <c r="I1870" t="s">
        <v>2565</v>
      </c>
      <c r="J1870" t="s">
        <v>2566</v>
      </c>
      <c r="K1870" t="s">
        <v>2567</v>
      </c>
      <c r="L1870" t="s">
        <v>31</v>
      </c>
      <c r="M1870" t="s">
        <v>538</v>
      </c>
      <c r="N1870" t="s">
        <v>119</v>
      </c>
      <c r="O1870" t="s">
        <v>4798</v>
      </c>
      <c r="P1870" t="s">
        <v>6524</v>
      </c>
      <c r="Q1870" t="s">
        <v>20</v>
      </c>
      <c r="R1870" t="s">
        <v>4799</v>
      </c>
      <c r="S1870" t="s">
        <v>2568</v>
      </c>
    </row>
    <row r="1871" spans="1:19" x14ac:dyDescent="0.45">
      <c r="A1871" t="s">
        <v>943</v>
      </c>
      <c r="B1871" t="s">
        <v>13423</v>
      </c>
      <c r="C1871" t="s">
        <v>2562</v>
      </c>
      <c r="D1871" t="s">
        <v>2563</v>
      </c>
      <c r="E1871" t="s">
        <v>38</v>
      </c>
      <c r="F1871" t="s">
        <v>2722</v>
      </c>
      <c r="G1871" t="s">
        <v>23</v>
      </c>
      <c r="H1871" t="s">
        <v>13424</v>
      </c>
      <c r="I1871" t="s">
        <v>13425</v>
      </c>
      <c r="J1871" t="s">
        <v>13426</v>
      </c>
      <c r="K1871" t="s">
        <v>13427</v>
      </c>
      <c r="L1871" t="s">
        <v>6524</v>
      </c>
      <c r="M1871" t="s">
        <v>3145</v>
      </c>
      <c r="N1871" t="s">
        <v>2858</v>
      </c>
      <c r="O1871" t="s">
        <v>4798</v>
      </c>
      <c r="P1871" t="s">
        <v>6524</v>
      </c>
      <c r="Q1871" t="s">
        <v>20</v>
      </c>
      <c r="R1871" t="s">
        <v>4799</v>
      </c>
      <c r="S1871" t="s">
        <v>20</v>
      </c>
    </row>
    <row r="1872" spans="1:19" x14ac:dyDescent="0.45">
      <c r="A1872" t="s">
        <v>1016</v>
      </c>
      <c r="B1872" t="s">
        <v>3560</v>
      </c>
      <c r="C1872" t="s">
        <v>3114</v>
      </c>
      <c r="D1872" t="s">
        <v>3115</v>
      </c>
      <c r="E1872" t="s">
        <v>38</v>
      </c>
      <c r="F1872" t="s">
        <v>2785</v>
      </c>
      <c r="G1872" t="s">
        <v>23</v>
      </c>
      <c r="H1872" t="s">
        <v>3561</v>
      </c>
      <c r="I1872" t="s">
        <v>3562</v>
      </c>
      <c r="J1872" t="s">
        <v>3563</v>
      </c>
      <c r="K1872" t="s">
        <v>3564</v>
      </c>
      <c r="L1872" t="s">
        <v>902</v>
      </c>
      <c r="M1872" t="s">
        <v>132</v>
      </c>
      <c r="N1872" t="s">
        <v>195</v>
      </c>
      <c r="O1872" t="s">
        <v>4798</v>
      </c>
      <c r="P1872" t="s">
        <v>290</v>
      </c>
      <c r="Q1872" t="s">
        <v>20</v>
      </c>
      <c r="R1872" t="s">
        <v>4799</v>
      </c>
      <c r="S1872" t="s">
        <v>20</v>
      </c>
    </row>
    <row r="1873" spans="1:19" x14ac:dyDescent="0.45">
      <c r="A1873" t="s">
        <v>85</v>
      </c>
      <c r="B1873" t="s">
        <v>9752</v>
      </c>
      <c r="C1873" t="s">
        <v>488</v>
      </c>
      <c r="D1873" t="s">
        <v>489</v>
      </c>
      <c r="E1873" t="s">
        <v>29</v>
      </c>
      <c r="F1873" t="s">
        <v>2722</v>
      </c>
      <c r="G1873" t="s">
        <v>23</v>
      </c>
      <c r="H1873" t="s">
        <v>8997</v>
      </c>
      <c r="I1873" t="s">
        <v>9753</v>
      </c>
      <c r="J1873" t="s">
        <v>9754</v>
      </c>
      <c r="K1873" t="s">
        <v>9755</v>
      </c>
      <c r="L1873" t="s">
        <v>2769</v>
      </c>
      <c r="M1873" t="s">
        <v>112</v>
      </c>
      <c r="N1873" t="s">
        <v>146</v>
      </c>
      <c r="O1873" t="s">
        <v>4798</v>
      </c>
      <c r="P1873" t="s">
        <v>6523</v>
      </c>
      <c r="Q1873" t="s">
        <v>20</v>
      </c>
      <c r="R1873" t="s">
        <v>4799</v>
      </c>
      <c r="S1873" t="s">
        <v>20</v>
      </c>
    </row>
    <row r="1874" spans="1:19" x14ac:dyDescent="0.45">
      <c r="A1874" t="s">
        <v>446</v>
      </c>
      <c r="B1874" t="s">
        <v>4306</v>
      </c>
      <c r="C1874" t="s">
        <v>575</v>
      </c>
      <c r="D1874" t="s">
        <v>576</v>
      </c>
      <c r="E1874" t="s">
        <v>29</v>
      </c>
      <c r="F1874" t="s">
        <v>2722</v>
      </c>
      <c r="G1874" t="s">
        <v>23</v>
      </c>
      <c r="H1874" t="s">
        <v>4307</v>
      </c>
      <c r="I1874" t="s">
        <v>4308</v>
      </c>
      <c r="J1874" t="s">
        <v>4309</v>
      </c>
      <c r="K1874" t="s">
        <v>4310</v>
      </c>
      <c r="L1874" t="s">
        <v>168</v>
      </c>
      <c r="M1874" t="s">
        <v>3145</v>
      </c>
      <c r="N1874" t="s">
        <v>3815</v>
      </c>
      <c r="O1874" t="s">
        <v>4798</v>
      </c>
      <c r="P1874" t="s">
        <v>296</v>
      </c>
      <c r="Q1874" t="s">
        <v>20</v>
      </c>
      <c r="R1874" t="s">
        <v>5142</v>
      </c>
      <c r="S1874" t="s">
        <v>20</v>
      </c>
    </row>
    <row r="1875" spans="1:19" x14ac:dyDescent="0.45">
      <c r="A1875" t="s">
        <v>446</v>
      </c>
      <c r="B1875" t="s">
        <v>10743</v>
      </c>
      <c r="C1875" t="s">
        <v>575</v>
      </c>
      <c r="D1875" t="s">
        <v>576</v>
      </c>
      <c r="E1875" t="s">
        <v>117</v>
      </c>
      <c r="F1875" t="s">
        <v>14708</v>
      </c>
      <c r="G1875" t="s">
        <v>23</v>
      </c>
      <c r="H1875" t="s">
        <v>8399</v>
      </c>
      <c r="I1875" t="s">
        <v>8400</v>
      </c>
      <c r="J1875" t="s">
        <v>8401</v>
      </c>
      <c r="K1875" t="s">
        <v>8402</v>
      </c>
      <c r="L1875" t="s">
        <v>6525</v>
      </c>
      <c r="M1875" t="s">
        <v>112</v>
      </c>
      <c r="N1875" t="s">
        <v>33</v>
      </c>
      <c r="O1875" t="s">
        <v>4798</v>
      </c>
      <c r="P1875" t="s">
        <v>2769</v>
      </c>
      <c r="Q1875" t="s">
        <v>20</v>
      </c>
      <c r="R1875" t="s">
        <v>4799</v>
      </c>
      <c r="S1875" t="s">
        <v>8119</v>
      </c>
    </row>
    <row r="1876" spans="1:19" x14ac:dyDescent="0.45">
      <c r="A1876" t="s">
        <v>261</v>
      </c>
      <c r="B1876" t="s">
        <v>5391</v>
      </c>
      <c r="C1876" t="s">
        <v>2354</v>
      </c>
      <c r="D1876" t="s">
        <v>2355</v>
      </c>
      <c r="E1876" t="s">
        <v>21</v>
      </c>
      <c r="F1876" t="s">
        <v>3062</v>
      </c>
      <c r="G1876" t="s">
        <v>23</v>
      </c>
      <c r="H1876" t="s">
        <v>5392</v>
      </c>
      <c r="I1876" t="s">
        <v>5393</v>
      </c>
      <c r="J1876" t="s">
        <v>5394</v>
      </c>
      <c r="K1876" t="s">
        <v>5395</v>
      </c>
      <c r="L1876" t="s">
        <v>168</v>
      </c>
      <c r="M1876" t="s">
        <v>1223</v>
      </c>
      <c r="N1876" t="s">
        <v>2727</v>
      </c>
      <c r="O1876" t="s">
        <v>4798</v>
      </c>
      <c r="P1876" t="s">
        <v>2413</v>
      </c>
      <c r="Q1876" t="s">
        <v>20</v>
      </c>
      <c r="R1876" t="s">
        <v>4799</v>
      </c>
      <c r="S1876" t="s">
        <v>20</v>
      </c>
    </row>
    <row r="1877" spans="1:19" x14ac:dyDescent="0.45">
      <c r="A1877" t="s">
        <v>46</v>
      </c>
      <c r="B1877" t="s">
        <v>10259</v>
      </c>
      <c r="C1877" t="s">
        <v>889</v>
      </c>
      <c r="D1877" t="s">
        <v>890</v>
      </c>
      <c r="E1877" t="s">
        <v>57</v>
      </c>
      <c r="F1877" t="s">
        <v>2795</v>
      </c>
      <c r="G1877" t="s">
        <v>23</v>
      </c>
      <c r="H1877" t="s">
        <v>891</v>
      </c>
      <c r="I1877" t="s">
        <v>892</v>
      </c>
      <c r="J1877" t="s">
        <v>893</v>
      </c>
      <c r="K1877" t="s">
        <v>894</v>
      </c>
      <c r="L1877" t="s">
        <v>6523</v>
      </c>
      <c r="M1877" t="s">
        <v>538</v>
      </c>
      <c r="N1877" t="s">
        <v>119</v>
      </c>
      <c r="O1877" t="s">
        <v>4798</v>
      </c>
      <c r="P1877" t="s">
        <v>2769</v>
      </c>
      <c r="Q1877" t="s">
        <v>20</v>
      </c>
      <c r="R1877" t="s">
        <v>4799</v>
      </c>
      <c r="S1877" t="s">
        <v>4901</v>
      </c>
    </row>
    <row r="1878" spans="1:19" x14ac:dyDescent="0.45">
      <c r="A1878" t="s">
        <v>81</v>
      </c>
      <c r="B1878" t="s">
        <v>8808</v>
      </c>
      <c r="C1878" t="s">
        <v>770</v>
      </c>
      <c r="D1878" t="s">
        <v>771</v>
      </c>
      <c r="E1878" t="s">
        <v>38</v>
      </c>
      <c r="F1878" t="s">
        <v>2985</v>
      </c>
      <c r="G1878" t="s">
        <v>23</v>
      </c>
      <c r="H1878" t="s">
        <v>8809</v>
      </c>
      <c r="I1878" t="s">
        <v>6922</v>
      </c>
      <c r="J1878" t="s">
        <v>8810</v>
      </c>
      <c r="K1878" t="s">
        <v>8811</v>
      </c>
      <c r="L1878" t="s">
        <v>290</v>
      </c>
      <c r="M1878" t="s">
        <v>112</v>
      </c>
      <c r="N1878" t="s">
        <v>1224</v>
      </c>
      <c r="O1878" t="s">
        <v>4798</v>
      </c>
      <c r="P1878" t="s">
        <v>290</v>
      </c>
      <c r="Q1878" t="s">
        <v>20</v>
      </c>
      <c r="R1878" t="s">
        <v>4799</v>
      </c>
      <c r="S1878" t="s">
        <v>20</v>
      </c>
    </row>
    <row r="1879" spans="1:19" x14ac:dyDescent="0.45">
      <c r="A1879" t="s">
        <v>802</v>
      </c>
      <c r="B1879" t="s">
        <v>10575</v>
      </c>
      <c r="C1879" t="s">
        <v>2638</v>
      </c>
      <c r="D1879" t="s">
        <v>2639</v>
      </c>
      <c r="E1879" t="s">
        <v>21</v>
      </c>
      <c r="F1879" t="s">
        <v>2722</v>
      </c>
      <c r="G1879" t="s">
        <v>23</v>
      </c>
      <c r="H1879" t="s">
        <v>10576</v>
      </c>
      <c r="I1879" t="s">
        <v>10354</v>
      </c>
      <c r="J1879" t="s">
        <v>10577</v>
      </c>
      <c r="K1879" t="s">
        <v>10578</v>
      </c>
      <c r="L1879" t="s">
        <v>2769</v>
      </c>
      <c r="M1879" t="s">
        <v>112</v>
      </c>
      <c r="N1879" t="s">
        <v>33</v>
      </c>
      <c r="O1879" t="s">
        <v>4798</v>
      </c>
      <c r="P1879" t="s">
        <v>7506</v>
      </c>
      <c r="Q1879" t="s">
        <v>20</v>
      </c>
      <c r="R1879" t="s">
        <v>4799</v>
      </c>
      <c r="S1879" t="s">
        <v>20</v>
      </c>
    </row>
    <row r="1880" spans="1:19" x14ac:dyDescent="0.45">
      <c r="A1880" t="s">
        <v>94</v>
      </c>
      <c r="B1880" t="s">
        <v>11208</v>
      </c>
      <c r="C1880" t="s">
        <v>1532</v>
      </c>
      <c r="D1880" t="s">
        <v>1533</v>
      </c>
      <c r="E1880" t="s">
        <v>38</v>
      </c>
      <c r="F1880" t="s">
        <v>14296</v>
      </c>
      <c r="G1880" t="s">
        <v>23</v>
      </c>
      <c r="H1880" t="s">
        <v>8999</v>
      </c>
      <c r="I1880" t="s">
        <v>9556</v>
      </c>
      <c r="J1880" t="s">
        <v>10856</v>
      </c>
      <c r="K1880" t="s">
        <v>10857</v>
      </c>
      <c r="L1880" t="s">
        <v>7506</v>
      </c>
      <c r="M1880" t="s">
        <v>3632</v>
      </c>
      <c r="N1880" t="s">
        <v>33</v>
      </c>
      <c r="O1880" t="s">
        <v>4798</v>
      </c>
      <c r="P1880" t="s">
        <v>6523</v>
      </c>
      <c r="Q1880" t="s">
        <v>20</v>
      </c>
      <c r="R1880" t="s">
        <v>4799</v>
      </c>
      <c r="S1880" t="s">
        <v>20</v>
      </c>
    </row>
    <row r="1881" spans="1:19" x14ac:dyDescent="0.45">
      <c r="A1881" t="s">
        <v>809</v>
      </c>
      <c r="B1881" t="s">
        <v>20</v>
      </c>
      <c r="C1881" t="s">
        <v>2402</v>
      </c>
      <c r="D1881" t="s">
        <v>2403</v>
      </c>
      <c r="E1881" t="s">
        <v>38</v>
      </c>
      <c r="F1881" t="s">
        <v>14709</v>
      </c>
      <c r="G1881" t="s">
        <v>23</v>
      </c>
      <c r="H1881" t="s">
        <v>9933</v>
      </c>
      <c r="I1881" t="s">
        <v>9934</v>
      </c>
      <c r="J1881" t="s">
        <v>10885</v>
      </c>
      <c r="K1881" t="s">
        <v>10886</v>
      </c>
      <c r="L1881" t="s">
        <v>6533</v>
      </c>
      <c r="M1881" t="s">
        <v>32</v>
      </c>
      <c r="N1881" t="s">
        <v>33</v>
      </c>
      <c r="O1881" t="s">
        <v>4798</v>
      </c>
      <c r="P1881" t="s">
        <v>2769</v>
      </c>
      <c r="Q1881" t="s">
        <v>20</v>
      </c>
      <c r="R1881" t="s">
        <v>4799</v>
      </c>
      <c r="S1881" t="s">
        <v>11853</v>
      </c>
    </row>
    <row r="1882" spans="1:19" x14ac:dyDescent="0.45">
      <c r="A1882" t="s">
        <v>809</v>
      </c>
      <c r="B1882" t="s">
        <v>10720</v>
      </c>
      <c r="C1882" t="s">
        <v>2402</v>
      </c>
      <c r="D1882" t="s">
        <v>2403</v>
      </c>
      <c r="E1882" t="s">
        <v>38</v>
      </c>
      <c r="F1882" t="s">
        <v>2722</v>
      </c>
      <c r="G1882" t="s">
        <v>23</v>
      </c>
      <c r="H1882" t="s">
        <v>10721</v>
      </c>
      <c r="I1882" t="s">
        <v>10722</v>
      </c>
      <c r="J1882" t="s">
        <v>10723</v>
      </c>
      <c r="K1882" t="s">
        <v>10724</v>
      </c>
      <c r="L1882" t="s">
        <v>7506</v>
      </c>
      <c r="M1882" t="s">
        <v>112</v>
      </c>
      <c r="N1882" t="s">
        <v>146</v>
      </c>
      <c r="O1882" t="s">
        <v>4798</v>
      </c>
      <c r="P1882" t="s">
        <v>2769</v>
      </c>
      <c r="Q1882" t="s">
        <v>20</v>
      </c>
      <c r="R1882" t="s">
        <v>4799</v>
      </c>
      <c r="S1882" t="s">
        <v>20</v>
      </c>
    </row>
    <row r="1883" spans="1:19" x14ac:dyDescent="0.45">
      <c r="A1883" t="s">
        <v>809</v>
      </c>
      <c r="B1883" t="s">
        <v>10101</v>
      </c>
      <c r="C1883" t="s">
        <v>2402</v>
      </c>
      <c r="D1883" t="s">
        <v>2403</v>
      </c>
      <c r="E1883" t="s">
        <v>21</v>
      </c>
      <c r="F1883" t="s">
        <v>2722</v>
      </c>
      <c r="G1883" t="s">
        <v>23</v>
      </c>
      <c r="H1883" t="s">
        <v>10102</v>
      </c>
      <c r="I1883" t="s">
        <v>10103</v>
      </c>
      <c r="J1883" t="s">
        <v>10104</v>
      </c>
      <c r="K1883" t="s">
        <v>10105</v>
      </c>
      <c r="L1883" t="s">
        <v>9126</v>
      </c>
      <c r="M1883" t="s">
        <v>3145</v>
      </c>
      <c r="N1883" t="s">
        <v>33</v>
      </c>
      <c r="O1883" t="s">
        <v>4798</v>
      </c>
      <c r="P1883" t="s">
        <v>2769</v>
      </c>
      <c r="Q1883" t="s">
        <v>20</v>
      </c>
      <c r="R1883" t="s">
        <v>4799</v>
      </c>
      <c r="S1883" t="s">
        <v>20</v>
      </c>
    </row>
    <row r="1884" spans="1:19" x14ac:dyDescent="0.45">
      <c r="A1884" t="s">
        <v>81</v>
      </c>
      <c r="B1884" t="s">
        <v>20</v>
      </c>
      <c r="C1884" t="s">
        <v>1845</v>
      </c>
      <c r="D1884" t="s">
        <v>1846</v>
      </c>
      <c r="E1884" t="s">
        <v>38</v>
      </c>
      <c r="F1884" t="s">
        <v>2904</v>
      </c>
      <c r="G1884" t="s">
        <v>23</v>
      </c>
      <c r="H1884" t="s">
        <v>8977</v>
      </c>
      <c r="I1884" t="s">
        <v>9335</v>
      </c>
      <c r="J1884" t="s">
        <v>9336</v>
      </c>
      <c r="K1884" t="s">
        <v>9337</v>
      </c>
      <c r="L1884" t="s">
        <v>6513</v>
      </c>
      <c r="M1884" t="s">
        <v>112</v>
      </c>
      <c r="N1884" t="s">
        <v>33</v>
      </c>
      <c r="O1884" t="s">
        <v>4798</v>
      </c>
      <c r="P1884" t="s">
        <v>6513</v>
      </c>
      <c r="Q1884" t="s">
        <v>20</v>
      </c>
      <c r="R1884" t="s">
        <v>4799</v>
      </c>
      <c r="S1884" t="s">
        <v>9333</v>
      </c>
    </row>
    <row r="1885" spans="1:19" x14ac:dyDescent="0.45">
      <c r="A1885" t="s">
        <v>310</v>
      </c>
      <c r="B1885" t="s">
        <v>3181</v>
      </c>
      <c r="C1885" t="s">
        <v>311</v>
      </c>
      <c r="D1885" t="s">
        <v>312</v>
      </c>
      <c r="E1885" t="s">
        <v>38</v>
      </c>
      <c r="F1885" t="s">
        <v>3182</v>
      </c>
      <c r="G1885" t="s">
        <v>23</v>
      </c>
      <c r="H1885" t="s">
        <v>3183</v>
      </c>
      <c r="I1885" t="s">
        <v>3184</v>
      </c>
      <c r="J1885" t="s">
        <v>3185</v>
      </c>
      <c r="K1885" t="s">
        <v>2385</v>
      </c>
      <c r="L1885" t="s">
        <v>31</v>
      </c>
      <c r="M1885" t="s">
        <v>32</v>
      </c>
      <c r="N1885" t="s">
        <v>33</v>
      </c>
      <c r="O1885" t="s">
        <v>4798</v>
      </c>
      <c r="P1885" t="s">
        <v>6522</v>
      </c>
      <c r="Q1885" t="s">
        <v>20</v>
      </c>
      <c r="R1885" t="s">
        <v>4799</v>
      </c>
      <c r="S1885" t="s">
        <v>9797</v>
      </c>
    </row>
    <row r="1886" spans="1:19" x14ac:dyDescent="0.45">
      <c r="A1886" t="s">
        <v>379</v>
      </c>
      <c r="B1886" t="s">
        <v>11228</v>
      </c>
      <c r="C1886" t="s">
        <v>1332</v>
      </c>
      <c r="D1886" t="s">
        <v>1333</v>
      </c>
      <c r="E1886" t="s">
        <v>38</v>
      </c>
      <c r="F1886" t="s">
        <v>2948</v>
      </c>
      <c r="G1886" t="s">
        <v>23</v>
      </c>
      <c r="H1886" t="s">
        <v>9968</v>
      </c>
      <c r="I1886" t="s">
        <v>9969</v>
      </c>
      <c r="J1886" t="s">
        <v>11171</v>
      </c>
      <c r="K1886" t="s">
        <v>11172</v>
      </c>
      <c r="L1886" t="s">
        <v>8109</v>
      </c>
      <c r="M1886" t="s">
        <v>102</v>
      </c>
      <c r="N1886" t="s">
        <v>33</v>
      </c>
      <c r="O1886" t="s">
        <v>4798</v>
      </c>
      <c r="P1886" t="s">
        <v>6522</v>
      </c>
      <c r="Q1886" t="s">
        <v>20</v>
      </c>
      <c r="R1886" t="s">
        <v>4799</v>
      </c>
      <c r="S1886" t="s">
        <v>20</v>
      </c>
    </row>
    <row r="1887" spans="1:19" x14ac:dyDescent="0.45">
      <c r="A1887" t="s">
        <v>1016</v>
      </c>
      <c r="B1887" t="s">
        <v>20</v>
      </c>
      <c r="C1887" t="s">
        <v>1954</v>
      </c>
      <c r="D1887" t="s">
        <v>1955</v>
      </c>
      <c r="E1887" t="s">
        <v>38</v>
      </c>
      <c r="F1887" t="s">
        <v>2785</v>
      </c>
      <c r="G1887" t="s">
        <v>23</v>
      </c>
      <c r="H1887" t="s">
        <v>8250</v>
      </c>
      <c r="I1887" t="s">
        <v>8251</v>
      </c>
      <c r="J1887" t="s">
        <v>8252</v>
      </c>
      <c r="K1887" t="s">
        <v>8253</v>
      </c>
      <c r="L1887" t="s">
        <v>6533</v>
      </c>
      <c r="M1887" t="s">
        <v>132</v>
      </c>
      <c r="N1887" t="s">
        <v>195</v>
      </c>
      <c r="O1887" t="s">
        <v>4798</v>
      </c>
      <c r="P1887" t="s">
        <v>3998</v>
      </c>
      <c r="Q1887" t="s">
        <v>20</v>
      </c>
      <c r="R1887" t="s">
        <v>4799</v>
      </c>
      <c r="S1887" t="s">
        <v>8119</v>
      </c>
    </row>
    <row r="1888" spans="1:19" x14ac:dyDescent="0.45">
      <c r="A1888" t="s">
        <v>1016</v>
      </c>
      <c r="B1888" t="s">
        <v>8239</v>
      </c>
      <c r="C1888" t="s">
        <v>1954</v>
      </c>
      <c r="D1888" t="s">
        <v>1955</v>
      </c>
      <c r="E1888" t="s">
        <v>38</v>
      </c>
      <c r="F1888" t="s">
        <v>3182</v>
      </c>
      <c r="G1888" t="s">
        <v>23</v>
      </c>
      <c r="H1888" t="s">
        <v>1956</v>
      </c>
      <c r="I1888" t="s">
        <v>1957</v>
      </c>
      <c r="J1888" t="s">
        <v>1958</v>
      </c>
      <c r="K1888" t="s">
        <v>1959</v>
      </c>
      <c r="L1888" t="s">
        <v>3418</v>
      </c>
      <c r="M1888" t="s">
        <v>132</v>
      </c>
      <c r="N1888" t="s">
        <v>195</v>
      </c>
      <c r="O1888" t="s">
        <v>4798</v>
      </c>
      <c r="P1888" t="s">
        <v>3998</v>
      </c>
      <c r="Q1888" t="s">
        <v>20</v>
      </c>
      <c r="R1888" t="s">
        <v>4799</v>
      </c>
      <c r="S1888" t="s">
        <v>11853</v>
      </c>
    </row>
    <row r="1889" spans="1:19" x14ac:dyDescent="0.45">
      <c r="A1889" t="s">
        <v>104</v>
      </c>
      <c r="B1889" t="s">
        <v>20</v>
      </c>
      <c r="C1889" t="s">
        <v>180</v>
      </c>
      <c r="D1889" t="s">
        <v>181</v>
      </c>
      <c r="E1889" t="s">
        <v>38</v>
      </c>
      <c r="F1889" t="s">
        <v>2755</v>
      </c>
      <c r="G1889" t="s">
        <v>23</v>
      </c>
      <c r="H1889" t="s">
        <v>11807</v>
      </c>
      <c r="I1889" t="s">
        <v>11808</v>
      </c>
      <c r="J1889" t="s">
        <v>11809</v>
      </c>
      <c r="K1889" t="s">
        <v>11810</v>
      </c>
      <c r="L1889" t="s">
        <v>3418</v>
      </c>
      <c r="M1889" t="s">
        <v>2953</v>
      </c>
      <c r="N1889" t="s">
        <v>33</v>
      </c>
      <c r="O1889" t="s">
        <v>4798</v>
      </c>
      <c r="P1889" t="s">
        <v>3998</v>
      </c>
      <c r="Q1889" t="s">
        <v>20</v>
      </c>
      <c r="R1889" t="s">
        <v>4799</v>
      </c>
      <c r="S1889" t="s">
        <v>13049</v>
      </c>
    </row>
    <row r="1890" spans="1:19" x14ac:dyDescent="0.45">
      <c r="A1890" t="s">
        <v>261</v>
      </c>
      <c r="B1890" t="s">
        <v>3128</v>
      </c>
      <c r="C1890" t="s">
        <v>2391</v>
      </c>
      <c r="D1890" t="s">
        <v>2392</v>
      </c>
      <c r="E1890" t="s">
        <v>21</v>
      </c>
      <c r="F1890" t="s">
        <v>2904</v>
      </c>
      <c r="G1890" t="s">
        <v>23</v>
      </c>
      <c r="H1890" t="s">
        <v>3129</v>
      </c>
      <c r="I1890" t="s">
        <v>3130</v>
      </c>
      <c r="J1890" t="s">
        <v>3131</v>
      </c>
      <c r="K1890" t="s">
        <v>3132</v>
      </c>
      <c r="L1890" t="s">
        <v>2769</v>
      </c>
      <c r="M1890" t="s">
        <v>112</v>
      </c>
      <c r="N1890" t="s">
        <v>33</v>
      </c>
      <c r="O1890" t="s">
        <v>4798</v>
      </c>
      <c r="P1890" t="s">
        <v>194</v>
      </c>
      <c r="Q1890" t="s">
        <v>20</v>
      </c>
      <c r="R1890" t="s">
        <v>4799</v>
      </c>
      <c r="S1890" t="s">
        <v>20</v>
      </c>
    </row>
    <row r="1891" spans="1:19" x14ac:dyDescent="0.45">
      <c r="A1891" t="s">
        <v>508</v>
      </c>
      <c r="B1891" t="s">
        <v>10744</v>
      </c>
      <c r="C1891" t="s">
        <v>509</v>
      </c>
      <c r="D1891" t="s">
        <v>510</v>
      </c>
      <c r="E1891" t="s">
        <v>38</v>
      </c>
      <c r="F1891" t="s">
        <v>2722</v>
      </c>
      <c r="G1891" t="s">
        <v>23</v>
      </c>
      <c r="H1891" t="s">
        <v>10745</v>
      </c>
      <c r="I1891" t="s">
        <v>10746</v>
      </c>
      <c r="J1891" t="s">
        <v>10747</v>
      </c>
      <c r="K1891" t="s">
        <v>10748</v>
      </c>
      <c r="L1891" t="s">
        <v>8109</v>
      </c>
      <c r="M1891" t="s">
        <v>112</v>
      </c>
      <c r="N1891" t="s">
        <v>195</v>
      </c>
      <c r="O1891" t="s">
        <v>4798</v>
      </c>
      <c r="P1891" t="s">
        <v>2769</v>
      </c>
      <c r="Q1891" t="s">
        <v>20</v>
      </c>
      <c r="R1891" t="s">
        <v>4799</v>
      </c>
      <c r="S1891" t="s">
        <v>20</v>
      </c>
    </row>
    <row r="1892" spans="1:19" x14ac:dyDescent="0.45">
      <c r="A1892" t="s">
        <v>1598</v>
      </c>
      <c r="B1892" t="s">
        <v>8627</v>
      </c>
      <c r="C1892" t="s">
        <v>6890</v>
      </c>
      <c r="D1892" t="s">
        <v>6052</v>
      </c>
      <c r="E1892" t="s">
        <v>21</v>
      </c>
      <c r="F1892" t="s">
        <v>2787</v>
      </c>
      <c r="G1892" t="s">
        <v>23</v>
      </c>
      <c r="H1892" t="s">
        <v>8628</v>
      </c>
      <c r="I1892" t="s">
        <v>8629</v>
      </c>
      <c r="J1892" t="s">
        <v>8630</v>
      </c>
      <c r="K1892" t="s">
        <v>8631</v>
      </c>
      <c r="L1892" t="s">
        <v>5398</v>
      </c>
      <c r="M1892" t="s">
        <v>2981</v>
      </c>
      <c r="N1892" t="s">
        <v>137</v>
      </c>
      <c r="O1892" t="s">
        <v>4798</v>
      </c>
      <c r="P1892" t="s">
        <v>5398</v>
      </c>
      <c r="Q1892" t="s">
        <v>20</v>
      </c>
      <c r="R1892" t="s">
        <v>4799</v>
      </c>
      <c r="S1892" t="s">
        <v>138</v>
      </c>
    </row>
    <row r="1893" spans="1:19" x14ac:dyDescent="0.45">
      <c r="A1893" t="s">
        <v>592</v>
      </c>
      <c r="B1893" t="s">
        <v>8378</v>
      </c>
      <c r="C1893" t="s">
        <v>1708</v>
      </c>
      <c r="D1893" t="s">
        <v>1709</v>
      </c>
      <c r="E1893" t="s">
        <v>38</v>
      </c>
      <c r="F1893" t="s">
        <v>2948</v>
      </c>
      <c r="G1893" t="s">
        <v>23</v>
      </c>
      <c r="H1893" t="s">
        <v>2262</v>
      </c>
      <c r="I1893" t="s">
        <v>2263</v>
      </c>
      <c r="J1893" t="s">
        <v>2264</v>
      </c>
      <c r="K1893" t="s">
        <v>2265</v>
      </c>
      <c r="L1893" t="s">
        <v>194</v>
      </c>
      <c r="M1893" t="s">
        <v>6532</v>
      </c>
      <c r="N1893" t="s">
        <v>119</v>
      </c>
      <c r="O1893" t="s">
        <v>4798</v>
      </c>
      <c r="P1893" t="s">
        <v>2769</v>
      </c>
      <c r="Q1893" t="s">
        <v>20</v>
      </c>
      <c r="R1893" t="s">
        <v>4799</v>
      </c>
      <c r="S1893" t="s">
        <v>4901</v>
      </c>
    </row>
    <row r="1894" spans="1:19" x14ac:dyDescent="0.45">
      <c r="A1894" t="s">
        <v>71</v>
      </c>
      <c r="B1894" t="s">
        <v>13000</v>
      </c>
      <c r="C1894" t="s">
        <v>1109</v>
      </c>
      <c r="D1894" t="s">
        <v>1110</v>
      </c>
      <c r="E1894" t="s">
        <v>38</v>
      </c>
      <c r="F1894" t="s">
        <v>2948</v>
      </c>
      <c r="G1894" t="s">
        <v>23</v>
      </c>
      <c r="H1894" t="s">
        <v>1111</v>
      </c>
      <c r="I1894" t="s">
        <v>1112</v>
      </c>
      <c r="J1894" t="s">
        <v>1113</v>
      </c>
      <c r="K1894" t="s">
        <v>1114</v>
      </c>
      <c r="L1894" t="s">
        <v>168</v>
      </c>
      <c r="M1894" t="s">
        <v>112</v>
      </c>
      <c r="N1894" t="s">
        <v>33</v>
      </c>
      <c r="O1894" t="s">
        <v>4798</v>
      </c>
      <c r="P1894" t="s">
        <v>194</v>
      </c>
      <c r="Q1894" t="s">
        <v>20</v>
      </c>
      <c r="R1894" t="s">
        <v>4799</v>
      </c>
      <c r="S1894" t="s">
        <v>10072</v>
      </c>
    </row>
    <row r="1895" spans="1:19" x14ac:dyDescent="0.45">
      <c r="A1895" t="s">
        <v>71</v>
      </c>
      <c r="B1895" t="s">
        <v>20</v>
      </c>
      <c r="C1895" t="s">
        <v>1109</v>
      </c>
      <c r="D1895" t="s">
        <v>1110</v>
      </c>
      <c r="E1895" t="s">
        <v>21</v>
      </c>
      <c r="F1895" t="s">
        <v>3062</v>
      </c>
      <c r="G1895" t="s">
        <v>23</v>
      </c>
      <c r="H1895" t="s">
        <v>8940</v>
      </c>
      <c r="I1895" t="s">
        <v>9300</v>
      </c>
      <c r="J1895" t="s">
        <v>9301</v>
      </c>
      <c r="K1895" t="s">
        <v>9302</v>
      </c>
      <c r="L1895" t="s">
        <v>3998</v>
      </c>
      <c r="M1895" t="s">
        <v>3145</v>
      </c>
      <c r="N1895" t="s">
        <v>33</v>
      </c>
      <c r="O1895" t="s">
        <v>4798</v>
      </c>
      <c r="P1895" t="s">
        <v>6513</v>
      </c>
      <c r="Q1895" t="s">
        <v>20</v>
      </c>
      <c r="R1895" t="s">
        <v>4799</v>
      </c>
      <c r="S1895" t="s">
        <v>10302</v>
      </c>
    </row>
    <row r="1896" spans="1:19" x14ac:dyDescent="0.45">
      <c r="A1896" t="s">
        <v>6989</v>
      </c>
      <c r="B1896" t="s">
        <v>10272</v>
      </c>
      <c r="C1896" t="s">
        <v>850</v>
      </c>
      <c r="D1896" t="s">
        <v>851</v>
      </c>
      <c r="E1896" t="s">
        <v>38</v>
      </c>
      <c r="F1896" t="s">
        <v>14256</v>
      </c>
      <c r="G1896" t="s">
        <v>23</v>
      </c>
      <c r="H1896" t="s">
        <v>10273</v>
      </c>
      <c r="I1896" t="s">
        <v>10274</v>
      </c>
      <c r="J1896" t="s">
        <v>10275</v>
      </c>
      <c r="K1896" t="s">
        <v>10276</v>
      </c>
      <c r="L1896" t="s">
        <v>6522</v>
      </c>
      <c r="M1896" t="s">
        <v>112</v>
      </c>
      <c r="N1896" t="s">
        <v>2809</v>
      </c>
      <c r="O1896" t="s">
        <v>4798</v>
      </c>
      <c r="P1896" t="s">
        <v>6522</v>
      </c>
      <c r="Q1896" t="s">
        <v>20</v>
      </c>
      <c r="R1896" t="s">
        <v>4799</v>
      </c>
      <c r="S1896" t="s">
        <v>20</v>
      </c>
    </row>
    <row r="1897" spans="1:19" x14ac:dyDescent="0.45">
      <c r="A1897" t="s">
        <v>6989</v>
      </c>
      <c r="B1897" t="s">
        <v>9473</v>
      </c>
      <c r="C1897" t="s">
        <v>850</v>
      </c>
      <c r="D1897" t="s">
        <v>851</v>
      </c>
      <c r="E1897" t="s">
        <v>38</v>
      </c>
      <c r="F1897" t="s">
        <v>6528</v>
      </c>
      <c r="G1897" t="s">
        <v>23</v>
      </c>
      <c r="H1897" t="s">
        <v>9474</v>
      </c>
      <c r="I1897" t="s">
        <v>9475</v>
      </c>
      <c r="J1897" t="s">
        <v>9476</v>
      </c>
      <c r="K1897" t="s">
        <v>9477</v>
      </c>
      <c r="L1897" t="s">
        <v>6521</v>
      </c>
      <c r="M1897" t="s">
        <v>112</v>
      </c>
      <c r="N1897" t="s">
        <v>146</v>
      </c>
      <c r="O1897" t="s">
        <v>4798</v>
      </c>
      <c r="P1897" t="s">
        <v>6521</v>
      </c>
      <c r="Q1897" t="s">
        <v>20</v>
      </c>
      <c r="R1897" t="s">
        <v>4799</v>
      </c>
      <c r="S1897" t="s">
        <v>20</v>
      </c>
    </row>
    <row r="1898" spans="1:19" x14ac:dyDescent="0.45">
      <c r="A1898" t="s">
        <v>1016</v>
      </c>
      <c r="B1898" t="s">
        <v>6685</v>
      </c>
      <c r="C1898" t="s">
        <v>1017</v>
      </c>
      <c r="D1898" t="s">
        <v>1018</v>
      </c>
      <c r="E1898" t="s">
        <v>29</v>
      </c>
      <c r="F1898" t="s">
        <v>3182</v>
      </c>
      <c r="G1898" t="s">
        <v>23</v>
      </c>
      <c r="H1898" t="s">
        <v>1019</v>
      </c>
      <c r="I1898" t="s">
        <v>1020</v>
      </c>
      <c r="J1898" t="s">
        <v>1021</v>
      </c>
      <c r="K1898" t="s">
        <v>1022</v>
      </c>
      <c r="L1898" t="s">
        <v>31</v>
      </c>
      <c r="M1898" t="s">
        <v>112</v>
      </c>
      <c r="N1898" t="s">
        <v>33</v>
      </c>
      <c r="O1898" t="s">
        <v>4798</v>
      </c>
      <c r="P1898" t="s">
        <v>5398</v>
      </c>
      <c r="Q1898" t="s">
        <v>20</v>
      </c>
      <c r="R1898" t="s">
        <v>4799</v>
      </c>
      <c r="S1898" t="s">
        <v>20</v>
      </c>
    </row>
    <row r="1899" spans="1:19" x14ac:dyDescent="0.45">
      <c r="A1899" t="s">
        <v>715</v>
      </c>
      <c r="B1899" t="s">
        <v>3354</v>
      </c>
      <c r="C1899" t="s">
        <v>970</v>
      </c>
      <c r="D1899" t="s">
        <v>971</v>
      </c>
      <c r="E1899" t="s">
        <v>38</v>
      </c>
      <c r="F1899" t="s">
        <v>3355</v>
      </c>
      <c r="G1899" t="s">
        <v>23</v>
      </c>
      <c r="H1899" t="s">
        <v>3356</v>
      </c>
      <c r="I1899" t="s">
        <v>3357</v>
      </c>
      <c r="J1899" t="s">
        <v>3358</v>
      </c>
      <c r="K1899" t="s">
        <v>3359</v>
      </c>
      <c r="L1899" t="s">
        <v>168</v>
      </c>
      <c r="M1899" t="s">
        <v>112</v>
      </c>
      <c r="N1899" t="s">
        <v>33</v>
      </c>
      <c r="O1899" t="s">
        <v>4798</v>
      </c>
      <c r="P1899" t="s">
        <v>635</v>
      </c>
      <c r="Q1899" t="s">
        <v>20</v>
      </c>
      <c r="R1899" t="s">
        <v>4799</v>
      </c>
      <c r="S1899" t="s">
        <v>8119</v>
      </c>
    </row>
    <row r="1900" spans="1:19" x14ac:dyDescent="0.45">
      <c r="A1900" t="s">
        <v>715</v>
      </c>
      <c r="B1900" t="s">
        <v>5037</v>
      </c>
      <c r="C1900" t="s">
        <v>970</v>
      </c>
      <c r="D1900" t="s">
        <v>971</v>
      </c>
      <c r="E1900" t="s">
        <v>38</v>
      </c>
      <c r="F1900" t="s">
        <v>2787</v>
      </c>
      <c r="G1900" t="s">
        <v>23</v>
      </c>
      <c r="H1900" t="s">
        <v>5038</v>
      </c>
      <c r="I1900" t="s">
        <v>5039</v>
      </c>
      <c r="J1900" t="s">
        <v>5040</v>
      </c>
      <c r="K1900" t="s">
        <v>5041</v>
      </c>
      <c r="L1900" t="s">
        <v>147</v>
      </c>
      <c r="M1900" t="s">
        <v>2100</v>
      </c>
      <c r="N1900" t="s">
        <v>3389</v>
      </c>
      <c r="O1900" t="s">
        <v>4798</v>
      </c>
      <c r="P1900" t="s">
        <v>147</v>
      </c>
      <c r="Q1900" t="s">
        <v>20</v>
      </c>
      <c r="R1900" t="s">
        <v>4799</v>
      </c>
      <c r="S1900" t="s">
        <v>20</v>
      </c>
    </row>
    <row r="1901" spans="1:19" x14ac:dyDescent="0.45">
      <c r="A1901" t="s">
        <v>715</v>
      </c>
      <c r="B1901" t="s">
        <v>8689</v>
      </c>
      <c r="C1901" t="s">
        <v>970</v>
      </c>
      <c r="D1901" t="s">
        <v>971</v>
      </c>
      <c r="E1901" t="s">
        <v>38</v>
      </c>
      <c r="F1901" t="s">
        <v>2722</v>
      </c>
      <c r="G1901" t="s">
        <v>23</v>
      </c>
      <c r="H1901" t="s">
        <v>8690</v>
      </c>
      <c r="I1901" t="s">
        <v>8691</v>
      </c>
      <c r="J1901" t="s">
        <v>8692</v>
      </c>
      <c r="K1901" t="s">
        <v>8693</v>
      </c>
      <c r="L1901" t="s">
        <v>722</v>
      </c>
      <c r="M1901" t="s">
        <v>112</v>
      </c>
      <c r="N1901" t="s">
        <v>113</v>
      </c>
      <c r="O1901" t="s">
        <v>4798</v>
      </c>
      <c r="P1901" t="s">
        <v>722</v>
      </c>
      <c r="Q1901" t="s">
        <v>20</v>
      </c>
      <c r="R1901" t="s">
        <v>4799</v>
      </c>
      <c r="S1901" t="s">
        <v>20</v>
      </c>
    </row>
    <row r="1902" spans="1:19" x14ac:dyDescent="0.45">
      <c r="A1902" t="s">
        <v>310</v>
      </c>
      <c r="B1902" t="s">
        <v>6686</v>
      </c>
      <c r="C1902" t="s">
        <v>713</v>
      </c>
      <c r="D1902" t="s">
        <v>714</v>
      </c>
      <c r="E1902" t="s">
        <v>38</v>
      </c>
      <c r="F1902" t="s">
        <v>2713</v>
      </c>
      <c r="G1902" t="s">
        <v>23</v>
      </c>
      <c r="H1902" t="s">
        <v>2714</v>
      </c>
      <c r="I1902" t="s">
        <v>2715</v>
      </c>
      <c r="J1902" t="s">
        <v>2716</v>
      </c>
      <c r="K1902" t="s">
        <v>2717</v>
      </c>
      <c r="L1902" t="s">
        <v>209</v>
      </c>
      <c r="M1902" t="s">
        <v>44</v>
      </c>
      <c r="N1902" t="s">
        <v>33</v>
      </c>
      <c r="O1902" t="s">
        <v>4798</v>
      </c>
      <c r="P1902" t="s">
        <v>8377</v>
      </c>
      <c r="Q1902" t="s">
        <v>20</v>
      </c>
      <c r="R1902" t="s">
        <v>4799</v>
      </c>
      <c r="S1902" t="s">
        <v>9333</v>
      </c>
    </row>
    <row r="1903" spans="1:19" x14ac:dyDescent="0.45">
      <c r="A1903" t="s">
        <v>535</v>
      </c>
      <c r="B1903" t="s">
        <v>3277</v>
      </c>
      <c r="C1903" t="s">
        <v>2998</v>
      </c>
      <c r="D1903" t="s">
        <v>2999</v>
      </c>
      <c r="E1903" t="s">
        <v>38</v>
      </c>
      <c r="F1903" t="s">
        <v>14316</v>
      </c>
      <c r="G1903" t="s">
        <v>23</v>
      </c>
      <c r="H1903" t="s">
        <v>3278</v>
      </c>
      <c r="I1903" t="s">
        <v>3279</v>
      </c>
      <c r="J1903" t="s">
        <v>3280</v>
      </c>
      <c r="K1903" t="s">
        <v>3281</v>
      </c>
      <c r="L1903" t="s">
        <v>20</v>
      </c>
      <c r="M1903" t="s">
        <v>132</v>
      </c>
      <c r="N1903" t="s">
        <v>9484</v>
      </c>
      <c r="O1903" t="s">
        <v>4798</v>
      </c>
      <c r="P1903" t="s">
        <v>6521</v>
      </c>
      <c r="Q1903" t="s">
        <v>20</v>
      </c>
      <c r="R1903" t="s">
        <v>4799</v>
      </c>
      <c r="S1903" t="s">
        <v>20</v>
      </c>
    </row>
    <row r="1904" spans="1:19" x14ac:dyDescent="0.45">
      <c r="A1904" t="s">
        <v>535</v>
      </c>
      <c r="B1904" t="s">
        <v>12404</v>
      </c>
      <c r="C1904" t="s">
        <v>2998</v>
      </c>
      <c r="D1904" t="s">
        <v>2999</v>
      </c>
      <c r="E1904" t="s">
        <v>38</v>
      </c>
      <c r="F1904" t="s">
        <v>2904</v>
      </c>
      <c r="G1904" t="s">
        <v>23</v>
      </c>
      <c r="H1904" t="s">
        <v>10413</v>
      </c>
      <c r="I1904" t="s">
        <v>10414</v>
      </c>
      <c r="J1904" t="s">
        <v>10415</v>
      </c>
      <c r="K1904" t="s">
        <v>10416</v>
      </c>
      <c r="L1904" t="s">
        <v>6527</v>
      </c>
      <c r="M1904" t="s">
        <v>5379</v>
      </c>
      <c r="N1904" t="s">
        <v>9484</v>
      </c>
      <c r="O1904" t="s">
        <v>4798</v>
      </c>
      <c r="P1904" t="s">
        <v>8377</v>
      </c>
      <c r="Q1904" t="s">
        <v>20</v>
      </c>
      <c r="R1904" t="s">
        <v>4799</v>
      </c>
      <c r="S1904" t="s">
        <v>20</v>
      </c>
    </row>
    <row r="1905" spans="1:19" x14ac:dyDescent="0.45">
      <c r="A1905" t="s">
        <v>379</v>
      </c>
      <c r="B1905" t="s">
        <v>11210</v>
      </c>
      <c r="C1905" t="s">
        <v>1930</v>
      </c>
      <c r="D1905" t="s">
        <v>1931</v>
      </c>
      <c r="E1905" t="s">
        <v>38</v>
      </c>
      <c r="F1905" t="s">
        <v>2831</v>
      </c>
      <c r="G1905" t="s">
        <v>23</v>
      </c>
      <c r="H1905" t="s">
        <v>9031</v>
      </c>
      <c r="I1905" t="s">
        <v>9557</v>
      </c>
      <c r="J1905" t="s">
        <v>10874</v>
      </c>
      <c r="K1905" t="s">
        <v>10875</v>
      </c>
      <c r="L1905" t="s">
        <v>3998</v>
      </c>
      <c r="M1905" t="s">
        <v>32</v>
      </c>
      <c r="N1905" t="s">
        <v>33</v>
      </c>
      <c r="O1905" t="s">
        <v>4798</v>
      </c>
      <c r="P1905" t="s">
        <v>6523</v>
      </c>
      <c r="Q1905" t="s">
        <v>20</v>
      </c>
      <c r="R1905" t="s">
        <v>4799</v>
      </c>
      <c r="S1905" t="s">
        <v>20</v>
      </c>
    </row>
    <row r="1906" spans="1:19" x14ac:dyDescent="0.45">
      <c r="A1906" t="s">
        <v>1308</v>
      </c>
      <c r="B1906" t="s">
        <v>13450</v>
      </c>
      <c r="C1906" t="s">
        <v>10003</v>
      </c>
      <c r="D1906" t="s">
        <v>1461</v>
      </c>
      <c r="E1906" t="s">
        <v>38</v>
      </c>
      <c r="F1906" t="s">
        <v>2948</v>
      </c>
      <c r="G1906" t="s">
        <v>23</v>
      </c>
      <c r="H1906" t="s">
        <v>10470</v>
      </c>
      <c r="I1906" t="s">
        <v>10471</v>
      </c>
      <c r="J1906" t="s">
        <v>10472</v>
      </c>
      <c r="K1906" t="s">
        <v>10473</v>
      </c>
      <c r="L1906" t="s">
        <v>3418</v>
      </c>
      <c r="M1906" t="s">
        <v>112</v>
      </c>
      <c r="N1906" t="s">
        <v>195</v>
      </c>
      <c r="O1906" t="s">
        <v>4798</v>
      </c>
      <c r="P1906" t="s">
        <v>3998</v>
      </c>
      <c r="Q1906" t="s">
        <v>20</v>
      </c>
      <c r="R1906" t="s">
        <v>4799</v>
      </c>
      <c r="S1906" t="s">
        <v>20</v>
      </c>
    </row>
    <row r="1907" spans="1:19" x14ac:dyDescent="0.45">
      <c r="A1907" t="s">
        <v>505</v>
      </c>
      <c r="B1907" t="s">
        <v>20</v>
      </c>
      <c r="C1907" t="s">
        <v>6624</v>
      </c>
      <c r="D1907" t="s">
        <v>5690</v>
      </c>
      <c r="E1907" t="s">
        <v>21</v>
      </c>
      <c r="F1907" t="s">
        <v>2722</v>
      </c>
      <c r="G1907" t="s">
        <v>23</v>
      </c>
      <c r="H1907" t="s">
        <v>9538</v>
      </c>
      <c r="I1907" t="s">
        <v>9643</v>
      </c>
      <c r="J1907" t="s">
        <v>9644</v>
      </c>
      <c r="K1907" t="s">
        <v>9645</v>
      </c>
      <c r="L1907" t="s">
        <v>8377</v>
      </c>
      <c r="M1907" t="s">
        <v>112</v>
      </c>
      <c r="N1907" t="s">
        <v>195</v>
      </c>
      <c r="O1907" t="s">
        <v>4798</v>
      </c>
      <c r="P1907" t="s">
        <v>6524</v>
      </c>
      <c r="Q1907" t="s">
        <v>20</v>
      </c>
      <c r="R1907" t="s">
        <v>4799</v>
      </c>
      <c r="S1907" t="s">
        <v>9796</v>
      </c>
    </row>
    <row r="1908" spans="1:19" x14ac:dyDescent="0.45">
      <c r="A1908" t="s">
        <v>715</v>
      </c>
      <c r="B1908" t="s">
        <v>20</v>
      </c>
      <c r="C1908" t="s">
        <v>4459</v>
      </c>
      <c r="D1908" t="s">
        <v>4460</v>
      </c>
      <c r="E1908" t="s">
        <v>21</v>
      </c>
      <c r="F1908" t="s">
        <v>2722</v>
      </c>
      <c r="G1908" t="s">
        <v>23</v>
      </c>
      <c r="H1908" t="s">
        <v>8840</v>
      </c>
      <c r="I1908" t="s">
        <v>8841</v>
      </c>
      <c r="J1908" t="s">
        <v>8842</v>
      </c>
      <c r="K1908" t="s">
        <v>8843</v>
      </c>
      <c r="L1908" t="s">
        <v>5398</v>
      </c>
      <c r="M1908" t="s">
        <v>102</v>
      </c>
      <c r="N1908" t="s">
        <v>678</v>
      </c>
      <c r="O1908" t="s">
        <v>4798</v>
      </c>
      <c r="P1908" t="s">
        <v>5398</v>
      </c>
      <c r="Q1908" t="s">
        <v>20</v>
      </c>
      <c r="R1908" t="s">
        <v>4799</v>
      </c>
      <c r="S1908" t="s">
        <v>20</v>
      </c>
    </row>
    <row r="1909" spans="1:19" x14ac:dyDescent="0.45">
      <c r="A1909" t="s">
        <v>85</v>
      </c>
      <c r="B1909" t="s">
        <v>14053</v>
      </c>
      <c r="C1909" t="s">
        <v>2504</v>
      </c>
      <c r="D1909" t="s">
        <v>2505</v>
      </c>
      <c r="E1909" t="s">
        <v>57</v>
      </c>
      <c r="F1909" t="s">
        <v>4263</v>
      </c>
      <c r="G1909" t="s">
        <v>23</v>
      </c>
      <c r="H1909" t="s">
        <v>2506</v>
      </c>
      <c r="I1909" t="s">
        <v>2507</v>
      </c>
      <c r="J1909" t="s">
        <v>2508</v>
      </c>
      <c r="K1909" t="s">
        <v>2509</v>
      </c>
      <c r="L1909" t="s">
        <v>43</v>
      </c>
      <c r="M1909" t="s">
        <v>112</v>
      </c>
      <c r="N1909" t="s">
        <v>146</v>
      </c>
      <c r="O1909" t="s">
        <v>4798</v>
      </c>
      <c r="P1909" t="s">
        <v>8094</v>
      </c>
      <c r="Q1909" t="s">
        <v>20</v>
      </c>
      <c r="R1909" t="s">
        <v>4799</v>
      </c>
      <c r="S1909" t="s">
        <v>20</v>
      </c>
    </row>
    <row r="1910" spans="1:19" x14ac:dyDescent="0.45">
      <c r="A1910" t="s">
        <v>71</v>
      </c>
      <c r="B1910" t="s">
        <v>8296</v>
      </c>
      <c r="C1910" t="s">
        <v>3453</v>
      </c>
      <c r="D1910" t="s">
        <v>3454</v>
      </c>
      <c r="E1910" t="s">
        <v>38</v>
      </c>
      <c r="F1910" t="s">
        <v>2785</v>
      </c>
      <c r="G1910" t="s">
        <v>23</v>
      </c>
      <c r="H1910" t="s">
        <v>8297</v>
      </c>
      <c r="I1910" t="s">
        <v>8298</v>
      </c>
      <c r="J1910" t="s">
        <v>8299</v>
      </c>
      <c r="K1910" t="s">
        <v>8300</v>
      </c>
      <c r="L1910" t="s">
        <v>6521</v>
      </c>
      <c r="M1910" t="s">
        <v>112</v>
      </c>
      <c r="N1910" t="s">
        <v>33</v>
      </c>
      <c r="O1910" t="s">
        <v>4798</v>
      </c>
      <c r="P1910" t="s">
        <v>5398</v>
      </c>
      <c r="Q1910" t="s">
        <v>20</v>
      </c>
      <c r="R1910" t="s">
        <v>4799</v>
      </c>
      <c r="S1910" t="s">
        <v>20</v>
      </c>
    </row>
    <row r="1911" spans="1:19" x14ac:dyDescent="0.45">
      <c r="A1911" t="s">
        <v>3096</v>
      </c>
      <c r="B1911" t="s">
        <v>5111</v>
      </c>
      <c r="C1911" t="s">
        <v>3098</v>
      </c>
      <c r="D1911" t="s">
        <v>3099</v>
      </c>
      <c r="E1911" t="s">
        <v>38</v>
      </c>
      <c r="F1911" t="s">
        <v>3568</v>
      </c>
      <c r="G1911" t="s">
        <v>23</v>
      </c>
      <c r="H1911" t="s">
        <v>5112</v>
      </c>
      <c r="I1911" t="s">
        <v>5113</v>
      </c>
      <c r="J1911" t="s">
        <v>5114</v>
      </c>
      <c r="K1911" t="s">
        <v>5115</v>
      </c>
      <c r="L1911" t="s">
        <v>2413</v>
      </c>
      <c r="M1911" t="s">
        <v>3105</v>
      </c>
      <c r="N1911" t="s">
        <v>1224</v>
      </c>
      <c r="O1911" t="s">
        <v>4798</v>
      </c>
      <c r="P1911" t="s">
        <v>2413</v>
      </c>
      <c r="Q1911" t="s">
        <v>20</v>
      </c>
      <c r="R1911" t="s">
        <v>4799</v>
      </c>
      <c r="S1911" t="s">
        <v>20</v>
      </c>
    </row>
    <row r="1912" spans="1:19" x14ac:dyDescent="0.45">
      <c r="A1912" t="s">
        <v>3096</v>
      </c>
      <c r="B1912" t="s">
        <v>3348</v>
      </c>
      <c r="C1912" t="s">
        <v>3098</v>
      </c>
      <c r="D1912" t="s">
        <v>3099</v>
      </c>
      <c r="E1912" t="s">
        <v>38</v>
      </c>
      <c r="F1912" t="s">
        <v>2787</v>
      </c>
      <c r="G1912" t="s">
        <v>23</v>
      </c>
      <c r="H1912" t="s">
        <v>3349</v>
      </c>
      <c r="I1912" t="s">
        <v>3350</v>
      </c>
      <c r="J1912" t="s">
        <v>3351</v>
      </c>
      <c r="K1912" t="s">
        <v>3352</v>
      </c>
      <c r="L1912" t="s">
        <v>118</v>
      </c>
      <c r="M1912" t="s">
        <v>112</v>
      </c>
      <c r="N1912" t="s">
        <v>119</v>
      </c>
      <c r="O1912" t="s">
        <v>4798</v>
      </c>
      <c r="P1912" t="s">
        <v>2769</v>
      </c>
      <c r="Q1912" t="s">
        <v>20</v>
      </c>
      <c r="R1912" t="s">
        <v>4799</v>
      </c>
      <c r="S1912" t="s">
        <v>4901</v>
      </c>
    </row>
    <row r="1913" spans="1:19" x14ac:dyDescent="0.45">
      <c r="A1913" t="s">
        <v>3096</v>
      </c>
      <c r="B1913" t="s">
        <v>8649</v>
      </c>
      <c r="C1913" t="s">
        <v>3098</v>
      </c>
      <c r="D1913" t="s">
        <v>3099</v>
      </c>
      <c r="E1913" t="s">
        <v>21</v>
      </c>
      <c r="F1913" t="s">
        <v>14317</v>
      </c>
      <c r="G1913" t="s">
        <v>23</v>
      </c>
      <c r="H1913" t="s">
        <v>8650</v>
      </c>
      <c r="I1913" t="s">
        <v>8651</v>
      </c>
      <c r="J1913" t="s">
        <v>8652</v>
      </c>
      <c r="K1913" t="s">
        <v>8653</v>
      </c>
      <c r="L1913" t="s">
        <v>902</v>
      </c>
      <c r="M1913" t="s">
        <v>3105</v>
      </c>
      <c r="N1913" t="s">
        <v>1224</v>
      </c>
      <c r="O1913" t="s">
        <v>4798</v>
      </c>
      <c r="P1913" t="s">
        <v>902</v>
      </c>
      <c r="Q1913" t="s">
        <v>20</v>
      </c>
      <c r="R1913" t="s">
        <v>4799</v>
      </c>
      <c r="S1913" t="s">
        <v>8654</v>
      </c>
    </row>
    <row r="1914" spans="1:19" x14ac:dyDescent="0.45">
      <c r="A1914" t="s">
        <v>3902</v>
      </c>
      <c r="B1914" t="s">
        <v>10730</v>
      </c>
      <c r="C1914" t="s">
        <v>4352</v>
      </c>
      <c r="D1914" t="s">
        <v>4353</v>
      </c>
      <c r="E1914" t="s">
        <v>21</v>
      </c>
      <c r="F1914" t="s">
        <v>10537</v>
      </c>
      <c r="G1914" t="s">
        <v>23</v>
      </c>
      <c r="H1914" t="s">
        <v>10731</v>
      </c>
      <c r="I1914" t="s">
        <v>10732</v>
      </c>
      <c r="J1914" t="s">
        <v>10733</v>
      </c>
      <c r="K1914" t="s">
        <v>10734</v>
      </c>
      <c r="L1914" t="s">
        <v>2769</v>
      </c>
      <c r="M1914" t="s">
        <v>1223</v>
      </c>
      <c r="N1914" t="s">
        <v>2809</v>
      </c>
      <c r="O1914" t="s">
        <v>4798</v>
      </c>
      <c r="P1914" t="s">
        <v>2769</v>
      </c>
      <c r="Q1914" t="s">
        <v>20</v>
      </c>
      <c r="R1914" t="s">
        <v>4799</v>
      </c>
      <c r="S1914" t="s">
        <v>20</v>
      </c>
    </row>
    <row r="1915" spans="1:19" x14ac:dyDescent="0.45">
      <c r="A1915" t="s">
        <v>3902</v>
      </c>
      <c r="B1915" t="s">
        <v>10265</v>
      </c>
      <c r="C1915" t="s">
        <v>4352</v>
      </c>
      <c r="D1915" t="s">
        <v>4353</v>
      </c>
      <c r="E1915" t="s">
        <v>21</v>
      </c>
      <c r="F1915" t="s">
        <v>2722</v>
      </c>
      <c r="G1915" t="s">
        <v>23</v>
      </c>
      <c r="H1915" t="s">
        <v>9531</v>
      </c>
      <c r="I1915" t="s">
        <v>9582</v>
      </c>
      <c r="J1915" t="s">
        <v>9583</v>
      </c>
      <c r="K1915" t="s">
        <v>9584</v>
      </c>
      <c r="L1915" t="s">
        <v>2769</v>
      </c>
      <c r="M1915" t="s">
        <v>112</v>
      </c>
      <c r="N1915" t="s">
        <v>1224</v>
      </c>
      <c r="O1915" t="s">
        <v>4798</v>
      </c>
      <c r="P1915" t="s">
        <v>2769</v>
      </c>
      <c r="Q1915" t="s">
        <v>20</v>
      </c>
      <c r="R1915" t="s">
        <v>11666</v>
      </c>
      <c r="S1915" t="s">
        <v>4901</v>
      </c>
    </row>
    <row r="1916" spans="1:19" x14ac:dyDescent="0.45">
      <c r="A1916" t="s">
        <v>3902</v>
      </c>
      <c r="B1916" t="s">
        <v>5150</v>
      </c>
      <c r="C1916" t="s">
        <v>4352</v>
      </c>
      <c r="D1916" t="s">
        <v>4353</v>
      </c>
      <c r="E1916" t="s">
        <v>21</v>
      </c>
      <c r="F1916" t="s">
        <v>2722</v>
      </c>
      <c r="G1916" t="s">
        <v>23</v>
      </c>
      <c r="H1916" t="s">
        <v>5151</v>
      </c>
      <c r="I1916" t="s">
        <v>5152</v>
      </c>
      <c r="J1916" t="s">
        <v>5153</v>
      </c>
      <c r="K1916" t="s">
        <v>5154</v>
      </c>
      <c r="L1916" t="s">
        <v>1605</v>
      </c>
      <c r="M1916" t="s">
        <v>1223</v>
      </c>
      <c r="N1916" t="s">
        <v>1224</v>
      </c>
      <c r="O1916" t="s">
        <v>4798</v>
      </c>
      <c r="P1916" t="s">
        <v>1605</v>
      </c>
      <c r="Q1916" t="s">
        <v>20</v>
      </c>
      <c r="R1916" t="s">
        <v>4799</v>
      </c>
      <c r="S1916" t="s">
        <v>5155</v>
      </c>
    </row>
    <row r="1917" spans="1:19" x14ac:dyDescent="0.45">
      <c r="A1917" t="s">
        <v>3902</v>
      </c>
      <c r="B1917" t="s">
        <v>20</v>
      </c>
      <c r="C1917" t="s">
        <v>4352</v>
      </c>
      <c r="D1917" t="s">
        <v>4353</v>
      </c>
      <c r="E1917" t="s">
        <v>38</v>
      </c>
      <c r="F1917" t="s">
        <v>2985</v>
      </c>
      <c r="G1917" t="s">
        <v>23</v>
      </c>
      <c r="H1917" t="s">
        <v>7468</v>
      </c>
      <c r="I1917" t="s">
        <v>7469</v>
      </c>
      <c r="J1917" t="s">
        <v>7470</v>
      </c>
      <c r="K1917" t="s">
        <v>7471</v>
      </c>
      <c r="L1917" t="s">
        <v>5398</v>
      </c>
      <c r="M1917" t="s">
        <v>7472</v>
      </c>
      <c r="N1917" t="s">
        <v>119</v>
      </c>
      <c r="O1917" t="s">
        <v>4798</v>
      </c>
      <c r="P1917" t="s">
        <v>8377</v>
      </c>
      <c r="Q1917" t="s">
        <v>20</v>
      </c>
      <c r="R1917" t="s">
        <v>4799</v>
      </c>
      <c r="S1917" t="s">
        <v>4901</v>
      </c>
    </row>
    <row r="1918" spans="1:19" x14ac:dyDescent="0.45">
      <c r="A1918" t="s">
        <v>1613</v>
      </c>
      <c r="B1918" t="s">
        <v>14054</v>
      </c>
      <c r="C1918" t="s">
        <v>1805</v>
      </c>
      <c r="D1918" t="s">
        <v>1806</v>
      </c>
      <c r="E1918" t="s">
        <v>38</v>
      </c>
      <c r="F1918" t="s">
        <v>2787</v>
      </c>
      <c r="G1918" t="s">
        <v>23</v>
      </c>
      <c r="H1918" t="s">
        <v>6860</v>
      </c>
      <c r="I1918" t="s">
        <v>6861</v>
      </c>
      <c r="J1918" t="s">
        <v>9349</v>
      </c>
      <c r="K1918" t="s">
        <v>9350</v>
      </c>
      <c r="L1918" t="s">
        <v>474</v>
      </c>
      <c r="M1918" t="s">
        <v>112</v>
      </c>
      <c r="N1918" t="s">
        <v>195</v>
      </c>
      <c r="O1918" t="s">
        <v>4798</v>
      </c>
      <c r="P1918" t="s">
        <v>3998</v>
      </c>
      <c r="Q1918" t="s">
        <v>20</v>
      </c>
      <c r="R1918" t="s">
        <v>4799</v>
      </c>
      <c r="S1918" t="s">
        <v>9351</v>
      </c>
    </row>
    <row r="1919" spans="1:19" x14ac:dyDescent="0.45">
      <c r="A1919" t="s">
        <v>269</v>
      </c>
      <c r="B1919" t="s">
        <v>4908</v>
      </c>
      <c r="C1919" t="s">
        <v>1526</v>
      </c>
      <c r="D1919" t="s">
        <v>1527</v>
      </c>
      <c r="E1919" t="s">
        <v>21</v>
      </c>
      <c r="F1919" t="s">
        <v>2785</v>
      </c>
      <c r="G1919" t="s">
        <v>23</v>
      </c>
      <c r="H1919" t="s">
        <v>4909</v>
      </c>
      <c r="I1919" t="s">
        <v>4910</v>
      </c>
      <c r="J1919" t="s">
        <v>4911</v>
      </c>
      <c r="K1919" t="s">
        <v>4912</v>
      </c>
      <c r="L1919" t="s">
        <v>194</v>
      </c>
      <c r="M1919" t="s">
        <v>112</v>
      </c>
      <c r="N1919" t="s">
        <v>146</v>
      </c>
      <c r="O1919" t="s">
        <v>4798</v>
      </c>
      <c r="P1919" t="s">
        <v>194</v>
      </c>
      <c r="Q1919" t="s">
        <v>20</v>
      </c>
      <c r="R1919" t="s">
        <v>4799</v>
      </c>
      <c r="S1919" t="s">
        <v>20</v>
      </c>
    </row>
    <row r="1920" spans="1:19" x14ac:dyDescent="0.45">
      <c r="A1920" t="s">
        <v>358</v>
      </c>
      <c r="B1920" t="s">
        <v>20</v>
      </c>
      <c r="C1920" t="s">
        <v>1264</v>
      </c>
      <c r="D1920" t="s">
        <v>1265</v>
      </c>
      <c r="E1920" t="s">
        <v>21</v>
      </c>
      <c r="F1920" t="s">
        <v>2787</v>
      </c>
      <c r="G1920" t="s">
        <v>23</v>
      </c>
      <c r="H1920" t="s">
        <v>12026</v>
      </c>
      <c r="I1920" t="s">
        <v>12027</v>
      </c>
      <c r="J1920" t="s">
        <v>12028</v>
      </c>
      <c r="K1920" t="s">
        <v>12029</v>
      </c>
      <c r="L1920" t="s">
        <v>8109</v>
      </c>
      <c r="M1920" t="s">
        <v>2100</v>
      </c>
      <c r="N1920" t="s">
        <v>678</v>
      </c>
      <c r="O1920" t="s">
        <v>4798</v>
      </c>
      <c r="P1920" t="s">
        <v>8109</v>
      </c>
      <c r="Q1920" t="s">
        <v>20</v>
      </c>
      <c r="R1920" t="s">
        <v>4799</v>
      </c>
      <c r="S1920" t="s">
        <v>20</v>
      </c>
    </row>
    <row r="1921" spans="1:19" x14ac:dyDescent="0.45">
      <c r="A1921" t="s">
        <v>1308</v>
      </c>
      <c r="B1921" t="s">
        <v>20</v>
      </c>
      <c r="C1921" t="s">
        <v>2810</v>
      </c>
      <c r="D1921" t="s">
        <v>2811</v>
      </c>
      <c r="E1921" t="s">
        <v>38</v>
      </c>
      <c r="F1921" t="s">
        <v>14710</v>
      </c>
      <c r="G1921" t="s">
        <v>23</v>
      </c>
      <c r="H1921" t="s">
        <v>2812</v>
      </c>
      <c r="I1921" t="s">
        <v>2813</v>
      </c>
      <c r="J1921" t="s">
        <v>2814</v>
      </c>
      <c r="K1921" t="s">
        <v>2815</v>
      </c>
      <c r="L1921" t="s">
        <v>2769</v>
      </c>
      <c r="M1921" t="s">
        <v>1311</v>
      </c>
      <c r="N1921" t="s">
        <v>33</v>
      </c>
      <c r="O1921" t="s">
        <v>4798</v>
      </c>
      <c r="P1921" t="s">
        <v>6522</v>
      </c>
      <c r="Q1921" t="s">
        <v>20</v>
      </c>
      <c r="R1921" t="s">
        <v>4799</v>
      </c>
      <c r="S1921" t="s">
        <v>2816</v>
      </c>
    </row>
    <row r="1922" spans="1:19" x14ac:dyDescent="0.45">
      <c r="A1922" t="s">
        <v>1308</v>
      </c>
      <c r="B1922" t="s">
        <v>11658</v>
      </c>
      <c r="C1922" t="s">
        <v>2810</v>
      </c>
      <c r="D1922" t="s">
        <v>2811</v>
      </c>
      <c r="E1922" t="s">
        <v>38</v>
      </c>
      <c r="F1922" t="s">
        <v>2948</v>
      </c>
      <c r="G1922" t="s">
        <v>23</v>
      </c>
      <c r="H1922" t="s">
        <v>10399</v>
      </c>
      <c r="I1922" t="s">
        <v>10400</v>
      </c>
      <c r="J1922" t="s">
        <v>10401</v>
      </c>
      <c r="K1922" t="s">
        <v>10402</v>
      </c>
      <c r="L1922" t="s">
        <v>3418</v>
      </c>
      <c r="M1922" t="s">
        <v>112</v>
      </c>
      <c r="N1922" t="s">
        <v>195</v>
      </c>
      <c r="O1922" t="s">
        <v>4798</v>
      </c>
      <c r="P1922" t="s">
        <v>6527</v>
      </c>
      <c r="Q1922" t="s">
        <v>20</v>
      </c>
      <c r="R1922" t="s">
        <v>4799</v>
      </c>
      <c r="S1922" t="s">
        <v>20</v>
      </c>
    </row>
    <row r="1923" spans="1:19" x14ac:dyDescent="0.45">
      <c r="A1923" t="s">
        <v>511</v>
      </c>
      <c r="B1923" t="s">
        <v>9674</v>
      </c>
      <c r="C1923" t="s">
        <v>2884</v>
      </c>
      <c r="D1923" t="s">
        <v>2885</v>
      </c>
      <c r="E1923" t="s">
        <v>29</v>
      </c>
      <c r="F1923" t="s">
        <v>14068</v>
      </c>
      <c r="G1923" t="s">
        <v>23</v>
      </c>
      <c r="H1923" t="s">
        <v>8240</v>
      </c>
      <c r="I1923" t="s">
        <v>8241</v>
      </c>
      <c r="J1923" t="s">
        <v>8242</v>
      </c>
      <c r="K1923" t="s">
        <v>8243</v>
      </c>
      <c r="L1923" t="s">
        <v>722</v>
      </c>
      <c r="M1923" t="s">
        <v>3105</v>
      </c>
      <c r="N1923" t="s">
        <v>33</v>
      </c>
      <c r="O1923" t="s">
        <v>4798</v>
      </c>
      <c r="P1923" t="s">
        <v>8377</v>
      </c>
      <c r="Q1923" t="s">
        <v>20</v>
      </c>
      <c r="R1923" t="s">
        <v>4799</v>
      </c>
      <c r="S1923" t="s">
        <v>8104</v>
      </c>
    </row>
    <row r="1924" spans="1:19" x14ac:dyDescent="0.45">
      <c r="A1924" t="s">
        <v>54</v>
      </c>
      <c r="B1924" t="s">
        <v>13939</v>
      </c>
      <c r="C1924" t="s">
        <v>1213</v>
      </c>
      <c r="D1924" t="s">
        <v>1214</v>
      </c>
      <c r="E1924" t="s">
        <v>21</v>
      </c>
      <c r="F1924" t="s">
        <v>2722</v>
      </c>
      <c r="G1924" t="s">
        <v>23</v>
      </c>
      <c r="H1924" t="s">
        <v>13940</v>
      </c>
      <c r="I1924" t="s">
        <v>13941</v>
      </c>
      <c r="J1924" t="s">
        <v>13942</v>
      </c>
      <c r="K1924" t="s">
        <v>13943</v>
      </c>
      <c r="L1924" t="s">
        <v>9683</v>
      </c>
      <c r="M1924" t="s">
        <v>3145</v>
      </c>
      <c r="N1924" t="s">
        <v>33</v>
      </c>
      <c r="O1924" t="s">
        <v>4798</v>
      </c>
      <c r="P1924" t="s">
        <v>8094</v>
      </c>
      <c r="Q1924" t="s">
        <v>20</v>
      </c>
      <c r="R1924" t="s">
        <v>4799</v>
      </c>
      <c r="S1924" t="s">
        <v>20</v>
      </c>
    </row>
    <row r="1925" spans="1:19" x14ac:dyDescent="0.45">
      <c r="A1925" t="s">
        <v>54</v>
      </c>
      <c r="B1925" t="s">
        <v>9478</v>
      </c>
      <c r="C1925" t="s">
        <v>1213</v>
      </c>
      <c r="D1925" t="s">
        <v>1214</v>
      </c>
      <c r="E1925" t="s">
        <v>38</v>
      </c>
      <c r="F1925" t="s">
        <v>2863</v>
      </c>
      <c r="G1925" t="s">
        <v>23</v>
      </c>
      <c r="H1925" t="s">
        <v>8332</v>
      </c>
      <c r="I1925" t="s">
        <v>8333</v>
      </c>
      <c r="J1925" t="s">
        <v>8334</v>
      </c>
      <c r="K1925" t="s">
        <v>8335</v>
      </c>
      <c r="L1925" t="s">
        <v>6521</v>
      </c>
      <c r="M1925" t="s">
        <v>112</v>
      </c>
      <c r="N1925" t="s">
        <v>113</v>
      </c>
      <c r="O1925" t="s">
        <v>4798</v>
      </c>
      <c r="P1925" t="s">
        <v>6513</v>
      </c>
      <c r="Q1925" t="s">
        <v>20</v>
      </c>
      <c r="R1925" t="s">
        <v>4799</v>
      </c>
      <c r="S1925" t="s">
        <v>8185</v>
      </c>
    </row>
    <row r="1926" spans="1:19" x14ac:dyDescent="0.45">
      <c r="A1926" t="s">
        <v>1043</v>
      </c>
      <c r="B1926" t="s">
        <v>4830</v>
      </c>
      <c r="C1926" t="s">
        <v>2852</v>
      </c>
      <c r="D1926" t="s">
        <v>2853</v>
      </c>
      <c r="E1926" t="s">
        <v>21</v>
      </c>
      <c r="F1926" t="s">
        <v>2722</v>
      </c>
      <c r="G1926" t="s">
        <v>23</v>
      </c>
      <c r="H1926" t="s">
        <v>4831</v>
      </c>
      <c r="I1926" t="s">
        <v>4832</v>
      </c>
      <c r="J1926" t="s">
        <v>4833</v>
      </c>
      <c r="K1926" t="s">
        <v>4834</v>
      </c>
      <c r="L1926" t="s">
        <v>722</v>
      </c>
      <c r="M1926" t="s">
        <v>1223</v>
      </c>
      <c r="N1926" t="s">
        <v>2727</v>
      </c>
      <c r="O1926" t="s">
        <v>4798</v>
      </c>
      <c r="P1926" t="s">
        <v>168</v>
      </c>
      <c r="Q1926" t="s">
        <v>20</v>
      </c>
      <c r="R1926" t="s">
        <v>4799</v>
      </c>
      <c r="S1926" t="s">
        <v>20</v>
      </c>
    </row>
    <row r="1927" spans="1:19" x14ac:dyDescent="0.45">
      <c r="A1927" t="s">
        <v>1043</v>
      </c>
      <c r="B1927" t="s">
        <v>4858</v>
      </c>
      <c r="C1927" t="s">
        <v>2852</v>
      </c>
      <c r="D1927" t="s">
        <v>2853</v>
      </c>
      <c r="E1927" t="s">
        <v>21</v>
      </c>
      <c r="F1927" t="s">
        <v>2722</v>
      </c>
      <c r="G1927" t="s">
        <v>23</v>
      </c>
      <c r="H1927" t="s">
        <v>4859</v>
      </c>
      <c r="I1927" t="s">
        <v>4860</v>
      </c>
      <c r="J1927" t="s">
        <v>4861</v>
      </c>
      <c r="K1927" t="s">
        <v>4862</v>
      </c>
      <c r="L1927" t="s">
        <v>168</v>
      </c>
      <c r="M1927" t="s">
        <v>1223</v>
      </c>
      <c r="N1927" t="s">
        <v>2727</v>
      </c>
      <c r="O1927" t="s">
        <v>4798</v>
      </c>
      <c r="P1927" t="s">
        <v>214</v>
      </c>
      <c r="Q1927" t="s">
        <v>20</v>
      </c>
      <c r="R1927" t="s">
        <v>4799</v>
      </c>
      <c r="S1927" t="s">
        <v>14055</v>
      </c>
    </row>
    <row r="1928" spans="1:19" x14ac:dyDescent="0.45">
      <c r="A1928" t="s">
        <v>1043</v>
      </c>
      <c r="B1928" t="s">
        <v>5256</v>
      </c>
      <c r="C1928" t="s">
        <v>2852</v>
      </c>
      <c r="D1928" t="s">
        <v>2853</v>
      </c>
      <c r="E1928" t="s">
        <v>21</v>
      </c>
      <c r="F1928" t="s">
        <v>2755</v>
      </c>
      <c r="G1928" t="s">
        <v>23</v>
      </c>
      <c r="H1928" t="s">
        <v>5257</v>
      </c>
      <c r="I1928" t="s">
        <v>5258</v>
      </c>
      <c r="J1928" t="s">
        <v>5259</v>
      </c>
      <c r="K1928" t="s">
        <v>5260</v>
      </c>
      <c r="L1928" t="s">
        <v>635</v>
      </c>
      <c r="M1928" t="s">
        <v>1223</v>
      </c>
      <c r="N1928" t="s">
        <v>3407</v>
      </c>
      <c r="O1928" t="s">
        <v>4798</v>
      </c>
      <c r="P1928" t="s">
        <v>111</v>
      </c>
      <c r="Q1928" t="s">
        <v>20</v>
      </c>
      <c r="R1928" t="s">
        <v>4799</v>
      </c>
      <c r="S1928" t="s">
        <v>14055</v>
      </c>
    </row>
    <row r="1929" spans="1:19" x14ac:dyDescent="0.45">
      <c r="A1929" t="s">
        <v>379</v>
      </c>
      <c r="B1929" t="s">
        <v>11202</v>
      </c>
      <c r="C1929" t="s">
        <v>1063</v>
      </c>
      <c r="D1929" t="s">
        <v>1064</v>
      </c>
      <c r="E1929" t="s">
        <v>38</v>
      </c>
      <c r="F1929" t="s">
        <v>3062</v>
      </c>
      <c r="G1929" t="s">
        <v>23</v>
      </c>
      <c r="H1929" t="s">
        <v>9919</v>
      </c>
      <c r="I1929" t="s">
        <v>9920</v>
      </c>
      <c r="J1929" t="s">
        <v>10788</v>
      </c>
      <c r="K1929" t="s">
        <v>10789</v>
      </c>
      <c r="L1929" t="s">
        <v>8109</v>
      </c>
      <c r="M1929" t="s">
        <v>32</v>
      </c>
      <c r="N1929" t="s">
        <v>33</v>
      </c>
      <c r="O1929" t="s">
        <v>4798</v>
      </c>
      <c r="P1929" t="s">
        <v>6522</v>
      </c>
      <c r="Q1929" t="s">
        <v>20</v>
      </c>
      <c r="R1929" t="s">
        <v>4799</v>
      </c>
      <c r="S1929" t="s">
        <v>20</v>
      </c>
    </row>
    <row r="1930" spans="1:19" x14ac:dyDescent="0.45">
      <c r="A1930" t="s">
        <v>379</v>
      </c>
      <c r="B1930" t="s">
        <v>11200</v>
      </c>
      <c r="C1930" t="s">
        <v>1063</v>
      </c>
      <c r="D1930" t="s">
        <v>1064</v>
      </c>
      <c r="E1930" t="s">
        <v>57</v>
      </c>
      <c r="F1930" t="s">
        <v>2837</v>
      </c>
      <c r="G1930" t="s">
        <v>23</v>
      </c>
      <c r="H1930" t="s">
        <v>8922</v>
      </c>
      <c r="I1930" t="s">
        <v>9149</v>
      </c>
      <c r="J1930" t="s">
        <v>9150</v>
      </c>
      <c r="K1930" t="s">
        <v>9151</v>
      </c>
      <c r="L1930" t="s">
        <v>8109</v>
      </c>
      <c r="M1930" t="s">
        <v>102</v>
      </c>
      <c r="N1930" t="s">
        <v>33</v>
      </c>
      <c r="O1930" t="s">
        <v>4798</v>
      </c>
      <c r="P1930" t="s">
        <v>6521</v>
      </c>
      <c r="Q1930" t="s">
        <v>20</v>
      </c>
      <c r="R1930" t="s">
        <v>4799</v>
      </c>
      <c r="S1930" t="s">
        <v>20</v>
      </c>
    </row>
    <row r="1931" spans="1:19" x14ac:dyDescent="0.45">
      <c r="A1931" t="s">
        <v>379</v>
      </c>
      <c r="B1931" t="s">
        <v>11638</v>
      </c>
      <c r="C1931" t="s">
        <v>1063</v>
      </c>
      <c r="D1931" t="s">
        <v>1064</v>
      </c>
      <c r="E1931" t="s">
        <v>29</v>
      </c>
      <c r="F1931" t="s">
        <v>10112</v>
      </c>
      <c r="G1931" t="s">
        <v>23</v>
      </c>
      <c r="H1931" t="s">
        <v>11639</v>
      </c>
      <c r="I1931" t="s">
        <v>11640</v>
      </c>
      <c r="J1931" t="s">
        <v>11641</v>
      </c>
      <c r="K1931" t="s">
        <v>11642</v>
      </c>
      <c r="L1931" t="s">
        <v>3998</v>
      </c>
      <c r="M1931" t="s">
        <v>102</v>
      </c>
      <c r="N1931" t="s">
        <v>33</v>
      </c>
      <c r="O1931" t="s">
        <v>4798</v>
      </c>
      <c r="P1931" t="s">
        <v>8377</v>
      </c>
      <c r="Q1931" t="s">
        <v>20</v>
      </c>
      <c r="R1931" t="s">
        <v>4799</v>
      </c>
      <c r="S1931" t="s">
        <v>20</v>
      </c>
    </row>
    <row r="1932" spans="1:19" x14ac:dyDescent="0.45">
      <c r="A1932" t="s">
        <v>94</v>
      </c>
      <c r="B1932" t="s">
        <v>3199</v>
      </c>
      <c r="C1932" t="s">
        <v>1754</v>
      </c>
      <c r="D1932" t="s">
        <v>1755</v>
      </c>
      <c r="E1932" t="s">
        <v>38</v>
      </c>
      <c r="F1932" t="s">
        <v>2785</v>
      </c>
      <c r="G1932" t="s">
        <v>23</v>
      </c>
      <c r="H1932" t="s">
        <v>3200</v>
      </c>
      <c r="I1932" t="s">
        <v>3201</v>
      </c>
      <c r="J1932" t="s">
        <v>3202</v>
      </c>
      <c r="K1932" t="s">
        <v>3203</v>
      </c>
      <c r="L1932" t="s">
        <v>214</v>
      </c>
      <c r="M1932" t="s">
        <v>112</v>
      </c>
      <c r="N1932" t="s">
        <v>33</v>
      </c>
      <c r="O1932" t="s">
        <v>4798</v>
      </c>
      <c r="P1932" t="s">
        <v>101</v>
      </c>
      <c r="Q1932" t="s">
        <v>20</v>
      </c>
      <c r="R1932" t="s">
        <v>4799</v>
      </c>
      <c r="S1932" t="s">
        <v>8185</v>
      </c>
    </row>
    <row r="1933" spans="1:19" x14ac:dyDescent="0.45">
      <c r="A1933" t="s">
        <v>94</v>
      </c>
      <c r="B1933" t="s">
        <v>8835</v>
      </c>
      <c r="C1933" t="s">
        <v>1754</v>
      </c>
      <c r="D1933" t="s">
        <v>1755</v>
      </c>
      <c r="E1933" t="s">
        <v>21</v>
      </c>
      <c r="F1933" t="s">
        <v>2831</v>
      </c>
      <c r="G1933" t="s">
        <v>23</v>
      </c>
      <c r="H1933" t="s">
        <v>8836</v>
      </c>
      <c r="I1933" t="s">
        <v>8837</v>
      </c>
      <c r="J1933" t="s">
        <v>8838</v>
      </c>
      <c r="K1933" t="s">
        <v>8839</v>
      </c>
      <c r="L1933" t="s">
        <v>6521</v>
      </c>
      <c r="M1933" t="s">
        <v>112</v>
      </c>
      <c r="N1933" t="s">
        <v>146</v>
      </c>
      <c r="O1933" t="s">
        <v>4798</v>
      </c>
      <c r="P1933" t="s">
        <v>902</v>
      </c>
      <c r="Q1933" t="s">
        <v>20</v>
      </c>
      <c r="R1933" t="s">
        <v>4799</v>
      </c>
      <c r="S1933" t="s">
        <v>20</v>
      </c>
    </row>
    <row r="1934" spans="1:19" x14ac:dyDescent="0.45">
      <c r="A1934" t="s">
        <v>94</v>
      </c>
      <c r="B1934" t="s">
        <v>11225</v>
      </c>
      <c r="C1934" t="s">
        <v>1754</v>
      </c>
      <c r="D1934" t="s">
        <v>1755</v>
      </c>
      <c r="E1934" t="s">
        <v>38</v>
      </c>
      <c r="F1934" t="s">
        <v>2948</v>
      </c>
      <c r="G1934" t="s">
        <v>23</v>
      </c>
      <c r="H1934" t="s">
        <v>6487</v>
      </c>
      <c r="I1934" t="s">
        <v>6628</v>
      </c>
      <c r="J1934" t="s">
        <v>6629</v>
      </c>
      <c r="K1934" t="s">
        <v>6630</v>
      </c>
      <c r="L1934" t="s">
        <v>6523</v>
      </c>
      <c r="M1934" t="s">
        <v>112</v>
      </c>
      <c r="N1934" t="s">
        <v>33</v>
      </c>
      <c r="O1934" t="s">
        <v>4798</v>
      </c>
      <c r="P1934" t="s">
        <v>43</v>
      </c>
      <c r="Q1934" t="s">
        <v>20</v>
      </c>
      <c r="R1934" t="s">
        <v>4799</v>
      </c>
      <c r="S1934" t="s">
        <v>20</v>
      </c>
    </row>
    <row r="1935" spans="1:19" x14ac:dyDescent="0.45">
      <c r="A1935" t="s">
        <v>246</v>
      </c>
      <c r="B1935" t="s">
        <v>14056</v>
      </c>
      <c r="C1935" t="s">
        <v>879</v>
      </c>
      <c r="D1935" t="s">
        <v>880</v>
      </c>
      <c r="E1935" t="s">
        <v>38</v>
      </c>
      <c r="F1935" t="s">
        <v>2785</v>
      </c>
      <c r="G1935" t="s">
        <v>23</v>
      </c>
      <c r="H1935" t="s">
        <v>8981</v>
      </c>
      <c r="I1935" t="s">
        <v>9352</v>
      </c>
      <c r="J1935" t="s">
        <v>9353</v>
      </c>
      <c r="K1935" t="s">
        <v>9354</v>
      </c>
      <c r="L1935" t="s">
        <v>6533</v>
      </c>
      <c r="M1935" t="s">
        <v>112</v>
      </c>
      <c r="N1935" t="s">
        <v>195</v>
      </c>
      <c r="O1935" t="s">
        <v>4798</v>
      </c>
      <c r="P1935" t="s">
        <v>3998</v>
      </c>
      <c r="Q1935" t="s">
        <v>20</v>
      </c>
      <c r="R1935" t="s">
        <v>4799</v>
      </c>
      <c r="S1935" t="s">
        <v>9333</v>
      </c>
    </row>
    <row r="1936" spans="1:19" x14ac:dyDescent="0.45">
      <c r="A1936" t="s">
        <v>358</v>
      </c>
      <c r="B1936" t="s">
        <v>8755</v>
      </c>
      <c r="C1936" t="s">
        <v>1519</v>
      </c>
      <c r="D1936" t="s">
        <v>1520</v>
      </c>
      <c r="E1936" t="s">
        <v>38</v>
      </c>
      <c r="F1936" t="s">
        <v>2785</v>
      </c>
      <c r="G1936" t="s">
        <v>23</v>
      </c>
      <c r="H1936" t="s">
        <v>8756</v>
      </c>
      <c r="I1936" t="s">
        <v>8757</v>
      </c>
      <c r="J1936" t="s">
        <v>8758</v>
      </c>
      <c r="K1936" t="s">
        <v>8759</v>
      </c>
      <c r="L1936" t="s">
        <v>290</v>
      </c>
      <c r="M1936" t="s">
        <v>112</v>
      </c>
      <c r="N1936" t="s">
        <v>146</v>
      </c>
      <c r="O1936" t="s">
        <v>4798</v>
      </c>
      <c r="P1936" t="s">
        <v>902</v>
      </c>
      <c r="Q1936" t="s">
        <v>20</v>
      </c>
      <c r="R1936" t="s">
        <v>4799</v>
      </c>
      <c r="S1936" t="s">
        <v>20</v>
      </c>
    </row>
    <row r="1937" spans="1:19" x14ac:dyDescent="0.45">
      <c r="A1937" t="s">
        <v>358</v>
      </c>
      <c r="B1937" t="s">
        <v>13001</v>
      </c>
      <c r="C1937" t="s">
        <v>1519</v>
      </c>
      <c r="D1937" t="s">
        <v>1520</v>
      </c>
      <c r="E1937" t="s">
        <v>38</v>
      </c>
      <c r="F1937" t="s">
        <v>2795</v>
      </c>
      <c r="G1937" t="s">
        <v>23</v>
      </c>
      <c r="H1937" t="s">
        <v>1521</v>
      </c>
      <c r="I1937" t="s">
        <v>1522</v>
      </c>
      <c r="J1937" t="s">
        <v>1523</v>
      </c>
      <c r="K1937" t="s">
        <v>1524</v>
      </c>
      <c r="L1937" t="s">
        <v>101</v>
      </c>
      <c r="M1937" t="s">
        <v>112</v>
      </c>
      <c r="N1937" t="s">
        <v>146</v>
      </c>
      <c r="O1937" t="s">
        <v>4798</v>
      </c>
      <c r="P1937" t="s">
        <v>6524</v>
      </c>
      <c r="Q1937" t="s">
        <v>20</v>
      </c>
      <c r="R1937" t="s">
        <v>4799</v>
      </c>
      <c r="S1937" t="s">
        <v>20</v>
      </c>
    </row>
    <row r="1938" spans="1:19" x14ac:dyDescent="0.45">
      <c r="A1938" t="s">
        <v>592</v>
      </c>
      <c r="B1938" t="s">
        <v>20</v>
      </c>
      <c r="C1938" t="s">
        <v>2057</v>
      </c>
      <c r="D1938" t="s">
        <v>2058</v>
      </c>
      <c r="E1938" t="s">
        <v>38</v>
      </c>
      <c r="F1938" t="s">
        <v>9393</v>
      </c>
      <c r="G1938" t="s">
        <v>23</v>
      </c>
      <c r="H1938" t="s">
        <v>8916</v>
      </c>
      <c r="I1938" t="s">
        <v>9394</v>
      </c>
      <c r="J1938" t="s">
        <v>9395</v>
      </c>
      <c r="K1938" t="s">
        <v>9396</v>
      </c>
      <c r="L1938" t="s">
        <v>2769</v>
      </c>
      <c r="M1938" t="s">
        <v>6532</v>
      </c>
      <c r="N1938" t="s">
        <v>33</v>
      </c>
      <c r="O1938" t="s">
        <v>4798</v>
      </c>
      <c r="P1938" t="s">
        <v>6521</v>
      </c>
      <c r="Q1938" t="s">
        <v>20</v>
      </c>
      <c r="R1938" t="s">
        <v>11653</v>
      </c>
      <c r="S1938" t="s">
        <v>9397</v>
      </c>
    </row>
    <row r="1939" spans="1:19" x14ac:dyDescent="0.45">
      <c r="A1939" t="s">
        <v>335</v>
      </c>
      <c r="B1939" t="s">
        <v>6745</v>
      </c>
      <c r="C1939" t="s">
        <v>656</v>
      </c>
      <c r="D1939" t="s">
        <v>657</v>
      </c>
      <c r="E1939" t="s">
        <v>57</v>
      </c>
      <c r="F1939" t="s">
        <v>2755</v>
      </c>
      <c r="G1939" t="s">
        <v>23</v>
      </c>
      <c r="H1939" t="s">
        <v>658</v>
      </c>
      <c r="I1939" t="s">
        <v>659</v>
      </c>
      <c r="J1939" t="s">
        <v>660</v>
      </c>
      <c r="K1939" t="s">
        <v>661</v>
      </c>
      <c r="L1939" t="s">
        <v>118</v>
      </c>
      <c r="M1939" t="s">
        <v>112</v>
      </c>
      <c r="N1939" t="s">
        <v>146</v>
      </c>
      <c r="O1939" t="s">
        <v>4798</v>
      </c>
      <c r="P1939" t="s">
        <v>290</v>
      </c>
      <c r="Q1939" t="s">
        <v>20</v>
      </c>
      <c r="R1939" t="s">
        <v>4799</v>
      </c>
      <c r="S1939" t="s">
        <v>20</v>
      </c>
    </row>
    <row r="1940" spans="1:19" x14ac:dyDescent="0.45">
      <c r="A1940" t="s">
        <v>335</v>
      </c>
      <c r="B1940" t="s">
        <v>8617</v>
      </c>
      <c r="C1940" t="s">
        <v>656</v>
      </c>
      <c r="D1940" t="s">
        <v>657</v>
      </c>
      <c r="E1940" t="s">
        <v>38</v>
      </c>
      <c r="F1940" t="s">
        <v>2787</v>
      </c>
      <c r="G1940" t="s">
        <v>23</v>
      </c>
      <c r="H1940" t="s">
        <v>8618</v>
      </c>
      <c r="I1940" t="s">
        <v>8619</v>
      </c>
      <c r="J1940" t="s">
        <v>8620</v>
      </c>
      <c r="K1940" t="s">
        <v>8621</v>
      </c>
      <c r="L1940" t="s">
        <v>5398</v>
      </c>
      <c r="M1940" t="s">
        <v>2981</v>
      </c>
      <c r="N1940" t="s">
        <v>33</v>
      </c>
      <c r="O1940" t="s">
        <v>4798</v>
      </c>
      <c r="P1940" t="s">
        <v>5398</v>
      </c>
      <c r="Q1940" t="s">
        <v>20</v>
      </c>
      <c r="R1940" t="s">
        <v>4799</v>
      </c>
      <c r="S1940" t="s">
        <v>20</v>
      </c>
    </row>
    <row r="1941" spans="1:19" x14ac:dyDescent="0.45">
      <c r="A1941" t="s">
        <v>335</v>
      </c>
      <c r="B1941" t="s">
        <v>13373</v>
      </c>
      <c r="C1941" t="s">
        <v>656</v>
      </c>
      <c r="D1941" t="s">
        <v>657</v>
      </c>
      <c r="E1941" t="s">
        <v>38</v>
      </c>
      <c r="F1941" t="s">
        <v>2785</v>
      </c>
      <c r="G1941" t="s">
        <v>23</v>
      </c>
      <c r="H1941" t="s">
        <v>1081</v>
      </c>
      <c r="I1941" t="s">
        <v>1082</v>
      </c>
      <c r="J1941" t="s">
        <v>1083</v>
      </c>
      <c r="K1941" t="s">
        <v>1084</v>
      </c>
      <c r="L1941" t="s">
        <v>2769</v>
      </c>
      <c r="M1941" t="s">
        <v>32</v>
      </c>
      <c r="N1941" t="s">
        <v>33</v>
      </c>
      <c r="O1941" t="s">
        <v>4798</v>
      </c>
      <c r="P1941" t="s">
        <v>53</v>
      </c>
      <c r="Q1941" t="s">
        <v>20</v>
      </c>
      <c r="R1941" t="s">
        <v>4799</v>
      </c>
      <c r="S1941" t="s">
        <v>20</v>
      </c>
    </row>
    <row r="1942" spans="1:19" x14ac:dyDescent="0.45">
      <c r="A1942" t="s">
        <v>335</v>
      </c>
      <c r="B1942" t="s">
        <v>5081</v>
      </c>
      <c r="C1942" t="s">
        <v>656</v>
      </c>
      <c r="D1942" t="s">
        <v>657</v>
      </c>
      <c r="E1942" t="s">
        <v>38</v>
      </c>
      <c r="F1942" t="s">
        <v>2787</v>
      </c>
      <c r="G1942" t="s">
        <v>23</v>
      </c>
      <c r="H1942" t="s">
        <v>5082</v>
      </c>
      <c r="I1942" t="s">
        <v>5083</v>
      </c>
      <c r="J1942" t="s">
        <v>5084</v>
      </c>
      <c r="K1942" t="s">
        <v>5085</v>
      </c>
      <c r="L1942" t="s">
        <v>2413</v>
      </c>
      <c r="M1942" t="s">
        <v>2981</v>
      </c>
      <c r="N1942" t="s">
        <v>1224</v>
      </c>
      <c r="O1942" t="s">
        <v>4798</v>
      </c>
      <c r="P1942" t="s">
        <v>2413</v>
      </c>
      <c r="Q1942" t="s">
        <v>20</v>
      </c>
      <c r="R1942" t="s">
        <v>4799</v>
      </c>
      <c r="S1942" t="s">
        <v>5086</v>
      </c>
    </row>
    <row r="1943" spans="1:19" x14ac:dyDescent="0.45">
      <c r="A1943" t="s">
        <v>19</v>
      </c>
      <c r="B1943" t="s">
        <v>4853</v>
      </c>
      <c r="C1943" t="s">
        <v>1977</v>
      </c>
      <c r="D1943" t="s">
        <v>1978</v>
      </c>
      <c r="E1943" t="s">
        <v>21</v>
      </c>
      <c r="F1943" t="s">
        <v>2722</v>
      </c>
      <c r="G1943" t="s">
        <v>23</v>
      </c>
      <c r="H1943" t="s">
        <v>4854</v>
      </c>
      <c r="I1943" t="s">
        <v>4855</v>
      </c>
      <c r="J1943" t="s">
        <v>4856</v>
      </c>
      <c r="K1943" t="s">
        <v>4857</v>
      </c>
      <c r="L1943" t="s">
        <v>161</v>
      </c>
      <c r="M1943" t="s">
        <v>1223</v>
      </c>
      <c r="N1943" t="s">
        <v>1224</v>
      </c>
      <c r="O1943" t="s">
        <v>4798</v>
      </c>
      <c r="P1943" t="s">
        <v>161</v>
      </c>
      <c r="Q1943" t="s">
        <v>20</v>
      </c>
      <c r="R1943" t="s">
        <v>4799</v>
      </c>
      <c r="S1943" t="s">
        <v>20</v>
      </c>
    </row>
    <row r="1944" spans="1:19" x14ac:dyDescent="0.45">
      <c r="A1944" t="s">
        <v>1308</v>
      </c>
      <c r="B1944" t="s">
        <v>20</v>
      </c>
      <c r="C1944" t="s">
        <v>2228</v>
      </c>
      <c r="D1944" t="s">
        <v>2229</v>
      </c>
      <c r="E1944" t="s">
        <v>38</v>
      </c>
      <c r="F1944" t="s">
        <v>2948</v>
      </c>
      <c r="G1944" t="s">
        <v>23</v>
      </c>
      <c r="H1944" t="s">
        <v>10544</v>
      </c>
      <c r="I1944" t="s">
        <v>10545</v>
      </c>
      <c r="J1944" t="s">
        <v>10546</v>
      </c>
      <c r="K1944" t="s">
        <v>10547</v>
      </c>
      <c r="L1944" t="s">
        <v>6533</v>
      </c>
      <c r="M1944" t="s">
        <v>112</v>
      </c>
      <c r="N1944" t="s">
        <v>195</v>
      </c>
      <c r="O1944" t="s">
        <v>4798</v>
      </c>
      <c r="P1944" t="s">
        <v>3998</v>
      </c>
      <c r="Q1944" t="s">
        <v>20</v>
      </c>
      <c r="R1944" t="s">
        <v>4799</v>
      </c>
      <c r="S1944" t="s">
        <v>11630</v>
      </c>
    </row>
    <row r="1945" spans="1:19" x14ac:dyDescent="0.45">
      <c r="A1945" t="s">
        <v>1308</v>
      </c>
      <c r="B1945" t="s">
        <v>13451</v>
      </c>
      <c r="C1945" t="s">
        <v>2228</v>
      </c>
      <c r="D1945" t="s">
        <v>2229</v>
      </c>
      <c r="E1945" t="s">
        <v>38</v>
      </c>
      <c r="F1945" t="s">
        <v>2948</v>
      </c>
      <c r="G1945" t="s">
        <v>23</v>
      </c>
      <c r="H1945" t="s">
        <v>2230</v>
      </c>
      <c r="I1945" t="s">
        <v>2231</v>
      </c>
      <c r="J1945" t="s">
        <v>2232</v>
      </c>
      <c r="K1945" t="s">
        <v>245</v>
      </c>
      <c r="L1945" t="s">
        <v>6533</v>
      </c>
      <c r="M1945" t="s">
        <v>112</v>
      </c>
      <c r="N1945" t="s">
        <v>195</v>
      </c>
      <c r="O1945" t="s">
        <v>4798</v>
      </c>
      <c r="P1945" t="s">
        <v>3998</v>
      </c>
      <c r="Q1945" t="s">
        <v>20</v>
      </c>
      <c r="R1945" t="s">
        <v>4799</v>
      </c>
      <c r="S1945" t="s">
        <v>2233</v>
      </c>
    </row>
    <row r="1946" spans="1:19" x14ac:dyDescent="0.45">
      <c r="A1946" t="s">
        <v>19</v>
      </c>
      <c r="B1946" t="s">
        <v>20</v>
      </c>
      <c r="C1946" t="s">
        <v>1654</v>
      </c>
      <c r="D1946" t="s">
        <v>1655</v>
      </c>
      <c r="E1946" t="s">
        <v>38</v>
      </c>
      <c r="F1946" t="s">
        <v>3673</v>
      </c>
      <c r="G1946" t="s">
        <v>23</v>
      </c>
      <c r="H1946" t="s">
        <v>8925</v>
      </c>
      <c r="I1946" t="s">
        <v>9306</v>
      </c>
      <c r="J1946" t="s">
        <v>9307</v>
      </c>
      <c r="K1946" t="s">
        <v>9308</v>
      </c>
      <c r="L1946" t="s">
        <v>6521</v>
      </c>
      <c r="M1946" t="s">
        <v>297</v>
      </c>
      <c r="N1946" t="s">
        <v>33</v>
      </c>
      <c r="O1946" t="s">
        <v>4798</v>
      </c>
      <c r="P1946" t="s">
        <v>6521</v>
      </c>
      <c r="Q1946" t="s">
        <v>20</v>
      </c>
      <c r="R1946" t="s">
        <v>4799</v>
      </c>
      <c r="S1946" t="s">
        <v>10294</v>
      </c>
    </row>
    <row r="1947" spans="1:19" x14ac:dyDescent="0.45">
      <c r="A1947" t="s">
        <v>19</v>
      </c>
      <c r="B1947" t="s">
        <v>4816</v>
      </c>
      <c r="C1947" t="s">
        <v>1654</v>
      </c>
      <c r="D1947" t="s">
        <v>1655</v>
      </c>
      <c r="E1947" t="s">
        <v>29</v>
      </c>
      <c r="F1947" t="s">
        <v>2795</v>
      </c>
      <c r="G1947" t="s">
        <v>23</v>
      </c>
      <c r="H1947" t="s">
        <v>4817</v>
      </c>
      <c r="I1947" t="s">
        <v>4818</v>
      </c>
      <c r="J1947" t="s">
        <v>4819</v>
      </c>
      <c r="K1947" t="s">
        <v>4820</v>
      </c>
      <c r="L1947" t="s">
        <v>101</v>
      </c>
      <c r="M1947" t="s">
        <v>112</v>
      </c>
      <c r="N1947" t="s">
        <v>33</v>
      </c>
      <c r="O1947" t="s">
        <v>4798</v>
      </c>
      <c r="P1947" t="s">
        <v>53</v>
      </c>
      <c r="Q1947" t="s">
        <v>20</v>
      </c>
      <c r="R1947" t="s">
        <v>4799</v>
      </c>
      <c r="S1947" t="s">
        <v>20</v>
      </c>
    </row>
    <row r="1948" spans="1:19" x14ac:dyDescent="0.45">
      <c r="A1948" t="s">
        <v>173</v>
      </c>
      <c r="B1948" t="s">
        <v>3233</v>
      </c>
      <c r="C1948" t="s">
        <v>3234</v>
      </c>
      <c r="D1948" t="s">
        <v>3235</v>
      </c>
      <c r="E1948" t="s">
        <v>21</v>
      </c>
      <c r="F1948" t="s">
        <v>2948</v>
      </c>
      <c r="G1948" t="s">
        <v>23</v>
      </c>
      <c r="H1948" t="s">
        <v>3236</v>
      </c>
      <c r="I1948" t="s">
        <v>3237</v>
      </c>
      <c r="J1948" t="s">
        <v>3238</v>
      </c>
      <c r="K1948" t="s">
        <v>3239</v>
      </c>
      <c r="L1948" t="s">
        <v>1605</v>
      </c>
      <c r="M1948" t="s">
        <v>112</v>
      </c>
      <c r="N1948" t="s">
        <v>33</v>
      </c>
      <c r="O1948" t="s">
        <v>4798</v>
      </c>
      <c r="P1948" t="s">
        <v>6522</v>
      </c>
      <c r="Q1948" t="s">
        <v>20</v>
      </c>
      <c r="R1948" t="s">
        <v>4799</v>
      </c>
      <c r="S1948" t="s">
        <v>20</v>
      </c>
    </row>
    <row r="1949" spans="1:19" x14ac:dyDescent="0.45">
      <c r="A1949" t="s">
        <v>173</v>
      </c>
      <c r="B1949" t="s">
        <v>9355</v>
      </c>
      <c r="C1949" t="s">
        <v>3234</v>
      </c>
      <c r="D1949" t="s">
        <v>3235</v>
      </c>
      <c r="E1949" t="s">
        <v>38</v>
      </c>
      <c r="F1949" t="s">
        <v>2831</v>
      </c>
      <c r="G1949" t="s">
        <v>23</v>
      </c>
      <c r="H1949" t="s">
        <v>8915</v>
      </c>
      <c r="I1949" t="s">
        <v>9356</v>
      </c>
      <c r="J1949" t="s">
        <v>9357</v>
      </c>
      <c r="K1949" t="s">
        <v>9358</v>
      </c>
      <c r="L1949" t="s">
        <v>2769</v>
      </c>
      <c r="M1949" t="s">
        <v>2953</v>
      </c>
      <c r="N1949" t="s">
        <v>33</v>
      </c>
      <c r="O1949" t="s">
        <v>4798</v>
      </c>
      <c r="P1949" t="s">
        <v>6513</v>
      </c>
      <c r="Q1949" t="s">
        <v>20</v>
      </c>
      <c r="R1949" t="s">
        <v>4799</v>
      </c>
      <c r="S1949" t="s">
        <v>20</v>
      </c>
    </row>
    <row r="1950" spans="1:19" x14ac:dyDescent="0.45">
      <c r="A1950" t="s">
        <v>19</v>
      </c>
      <c r="B1950" t="s">
        <v>6772</v>
      </c>
      <c r="C1950" t="s">
        <v>3858</v>
      </c>
      <c r="D1950" t="s">
        <v>3859</v>
      </c>
      <c r="E1950" t="s">
        <v>38</v>
      </c>
      <c r="F1950" t="s">
        <v>2863</v>
      </c>
      <c r="G1950" t="s">
        <v>23</v>
      </c>
      <c r="H1950" t="s">
        <v>6773</v>
      </c>
      <c r="I1950" t="s">
        <v>6560</v>
      </c>
      <c r="J1950" t="s">
        <v>6774</v>
      </c>
      <c r="K1950" t="s">
        <v>6775</v>
      </c>
      <c r="L1950" t="s">
        <v>902</v>
      </c>
      <c r="M1950" t="s">
        <v>112</v>
      </c>
      <c r="N1950" t="s">
        <v>33</v>
      </c>
      <c r="O1950" t="s">
        <v>4798</v>
      </c>
      <c r="P1950" t="s">
        <v>290</v>
      </c>
      <c r="Q1950" t="s">
        <v>20</v>
      </c>
      <c r="R1950" t="s">
        <v>4799</v>
      </c>
      <c r="S1950" t="s">
        <v>20</v>
      </c>
    </row>
    <row r="1951" spans="1:19" x14ac:dyDescent="0.45">
      <c r="A1951" t="s">
        <v>269</v>
      </c>
      <c r="B1951" t="s">
        <v>14257</v>
      </c>
      <c r="C1951" t="s">
        <v>1552</v>
      </c>
      <c r="D1951" t="s">
        <v>1553</v>
      </c>
      <c r="E1951" t="s">
        <v>57</v>
      </c>
      <c r="F1951" t="s">
        <v>4263</v>
      </c>
      <c r="G1951" t="s">
        <v>23</v>
      </c>
      <c r="H1951" t="s">
        <v>14258</v>
      </c>
      <c r="I1951" t="s">
        <v>14259</v>
      </c>
      <c r="J1951" t="s">
        <v>14260</v>
      </c>
      <c r="K1951" t="s">
        <v>14261</v>
      </c>
      <c r="L1951" t="s">
        <v>3418</v>
      </c>
      <c r="M1951" t="s">
        <v>6932</v>
      </c>
      <c r="N1951" t="s">
        <v>62</v>
      </c>
      <c r="O1951" t="s">
        <v>4798</v>
      </c>
      <c r="P1951" t="s">
        <v>8094</v>
      </c>
      <c r="Q1951" t="s">
        <v>20</v>
      </c>
      <c r="R1951" t="s">
        <v>4799</v>
      </c>
      <c r="S1951" t="s">
        <v>20</v>
      </c>
    </row>
    <row r="1952" spans="1:19" x14ac:dyDescent="0.45">
      <c r="A1952" t="s">
        <v>139</v>
      </c>
      <c r="B1952" t="s">
        <v>9398</v>
      </c>
      <c r="C1952" t="s">
        <v>870</v>
      </c>
      <c r="D1952" t="s">
        <v>871</v>
      </c>
      <c r="E1952" t="s">
        <v>38</v>
      </c>
      <c r="F1952" t="s">
        <v>14321</v>
      </c>
      <c r="G1952" t="s">
        <v>23</v>
      </c>
      <c r="H1952" t="s">
        <v>6499</v>
      </c>
      <c r="I1952" t="s">
        <v>6538</v>
      </c>
      <c r="J1952" t="s">
        <v>7460</v>
      </c>
      <c r="K1952" t="s">
        <v>7461</v>
      </c>
      <c r="L1952" t="s">
        <v>6527</v>
      </c>
      <c r="M1952" t="s">
        <v>112</v>
      </c>
      <c r="N1952" t="s">
        <v>33</v>
      </c>
      <c r="O1952" t="s">
        <v>4798</v>
      </c>
      <c r="P1952" t="s">
        <v>43</v>
      </c>
      <c r="Q1952" t="s">
        <v>20</v>
      </c>
      <c r="R1952" t="s">
        <v>4799</v>
      </c>
      <c r="S1952" t="s">
        <v>7462</v>
      </c>
    </row>
    <row r="1953" spans="1:19" x14ac:dyDescent="0.45">
      <c r="A1953" t="s">
        <v>139</v>
      </c>
      <c r="B1953" t="s">
        <v>14057</v>
      </c>
      <c r="C1953" t="s">
        <v>870</v>
      </c>
      <c r="D1953" t="s">
        <v>871</v>
      </c>
      <c r="E1953" t="s">
        <v>57</v>
      </c>
      <c r="F1953" t="s">
        <v>3891</v>
      </c>
      <c r="G1953" t="s">
        <v>23</v>
      </c>
      <c r="H1953" t="s">
        <v>872</v>
      </c>
      <c r="I1953" t="s">
        <v>873</v>
      </c>
      <c r="J1953" t="s">
        <v>874</v>
      </c>
      <c r="K1953" t="s">
        <v>875</v>
      </c>
      <c r="L1953" t="s">
        <v>43</v>
      </c>
      <c r="M1953" t="s">
        <v>32</v>
      </c>
      <c r="N1953" t="s">
        <v>146</v>
      </c>
      <c r="O1953" t="s">
        <v>4798</v>
      </c>
      <c r="P1953" t="s">
        <v>8094</v>
      </c>
      <c r="Q1953" t="s">
        <v>20</v>
      </c>
      <c r="R1953" t="s">
        <v>4799</v>
      </c>
      <c r="S1953" t="s">
        <v>20</v>
      </c>
    </row>
    <row r="1954" spans="1:19" x14ac:dyDescent="0.45">
      <c r="A1954" t="s">
        <v>211</v>
      </c>
      <c r="B1954" t="s">
        <v>11223</v>
      </c>
      <c r="C1954" t="s">
        <v>2024</v>
      </c>
      <c r="D1954" t="s">
        <v>2025</v>
      </c>
      <c r="E1954" t="s">
        <v>38</v>
      </c>
      <c r="F1954" t="s">
        <v>3062</v>
      </c>
      <c r="G1954" t="s">
        <v>23</v>
      </c>
      <c r="H1954" t="s">
        <v>2165</v>
      </c>
      <c r="I1954" t="s">
        <v>2166</v>
      </c>
      <c r="J1954" t="s">
        <v>2167</v>
      </c>
      <c r="K1954" t="s">
        <v>2168</v>
      </c>
      <c r="L1954" t="s">
        <v>168</v>
      </c>
      <c r="M1954" t="s">
        <v>112</v>
      </c>
      <c r="N1954" t="s">
        <v>33</v>
      </c>
      <c r="O1954" t="s">
        <v>4798</v>
      </c>
      <c r="P1954" t="s">
        <v>635</v>
      </c>
      <c r="Q1954" t="s">
        <v>20</v>
      </c>
      <c r="R1954" t="s">
        <v>4799</v>
      </c>
      <c r="S1954" t="s">
        <v>20</v>
      </c>
    </row>
    <row r="1955" spans="1:19" x14ac:dyDescent="0.45">
      <c r="A1955" t="s">
        <v>94</v>
      </c>
      <c r="B1955" t="s">
        <v>11201</v>
      </c>
      <c r="C1955" t="s">
        <v>548</v>
      </c>
      <c r="D1955" t="s">
        <v>549</v>
      </c>
      <c r="E1955" t="s">
        <v>38</v>
      </c>
      <c r="F1955" t="s">
        <v>2948</v>
      </c>
      <c r="G1955" t="s">
        <v>23</v>
      </c>
      <c r="H1955" t="s">
        <v>6493</v>
      </c>
      <c r="I1955" t="s">
        <v>6634</v>
      </c>
      <c r="J1955" t="s">
        <v>6635</v>
      </c>
      <c r="K1955" t="s">
        <v>6636</v>
      </c>
      <c r="L1955" t="s">
        <v>722</v>
      </c>
      <c r="M1955" t="s">
        <v>112</v>
      </c>
      <c r="N1955" t="s">
        <v>33</v>
      </c>
      <c r="O1955" t="s">
        <v>4798</v>
      </c>
      <c r="P1955" t="s">
        <v>43</v>
      </c>
      <c r="Q1955" t="s">
        <v>20</v>
      </c>
      <c r="R1955" t="s">
        <v>4799</v>
      </c>
      <c r="S1955" t="s">
        <v>20</v>
      </c>
    </row>
    <row r="1956" spans="1:19" x14ac:dyDescent="0.45">
      <c r="A1956" t="s">
        <v>94</v>
      </c>
      <c r="B1956" t="s">
        <v>3447</v>
      </c>
      <c r="C1956" t="s">
        <v>548</v>
      </c>
      <c r="D1956" t="s">
        <v>549</v>
      </c>
      <c r="E1956" t="s">
        <v>38</v>
      </c>
      <c r="F1956" t="s">
        <v>13452</v>
      </c>
      <c r="G1956" t="s">
        <v>23</v>
      </c>
      <c r="H1956" t="s">
        <v>3448</v>
      </c>
      <c r="I1956" t="s">
        <v>3449</v>
      </c>
      <c r="J1956" t="s">
        <v>3450</v>
      </c>
      <c r="K1956" t="s">
        <v>3451</v>
      </c>
      <c r="L1956" t="s">
        <v>504</v>
      </c>
      <c r="M1956" t="s">
        <v>538</v>
      </c>
      <c r="N1956" t="s">
        <v>33</v>
      </c>
      <c r="O1956" t="s">
        <v>4798</v>
      </c>
      <c r="P1956" t="s">
        <v>101</v>
      </c>
      <c r="Q1956" t="s">
        <v>20</v>
      </c>
      <c r="R1956" t="s">
        <v>4799</v>
      </c>
      <c r="S1956" t="s">
        <v>20</v>
      </c>
    </row>
    <row r="1957" spans="1:19" x14ac:dyDescent="0.45">
      <c r="A1957" t="s">
        <v>1308</v>
      </c>
      <c r="B1957" t="s">
        <v>14069</v>
      </c>
      <c r="C1957" t="s">
        <v>6906</v>
      </c>
      <c r="D1957" t="s">
        <v>6289</v>
      </c>
      <c r="E1957" t="s">
        <v>38</v>
      </c>
      <c r="F1957" t="s">
        <v>2992</v>
      </c>
      <c r="G1957" t="s">
        <v>23</v>
      </c>
      <c r="H1957" t="s">
        <v>14070</v>
      </c>
      <c r="I1957" t="s">
        <v>14071</v>
      </c>
      <c r="J1957" t="s">
        <v>14072</v>
      </c>
      <c r="K1957" t="s">
        <v>14073</v>
      </c>
      <c r="L1957" t="s">
        <v>3418</v>
      </c>
      <c r="M1957" t="s">
        <v>112</v>
      </c>
      <c r="N1957" t="s">
        <v>195</v>
      </c>
      <c r="O1957" t="s">
        <v>4798</v>
      </c>
      <c r="P1957" t="s">
        <v>3998</v>
      </c>
      <c r="Q1957" t="s">
        <v>20</v>
      </c>
      <c r="R1957" t="s">
        <v>4799</v>
      </c>
      <c r="S1957" t="s">
        <v>20</v>
      </c>
    </row>
    <row r="1958" spans="1:19" x14ac:dyDescent="0.45">
      <c r="A1958" t="s">
        <v>515</v>
      </c>
      <c r="B1958" t="s">
        <v>12030</v>
      </c>
      <c r="C1958" t="s">
        <v>4669</v>
      </c>
      <c r="D1958" t="s">
        <v>4670</v>
      </c>
      <c r="E1958" t="s">
        <v>38</v>
      </c>
      <c r="F1958" t="s">
        <v>2948</v>
      </c>
      <c r="G1958" t="s">
        <v>23</v>
      </c>
      <c r="H1958" t="s">
        <v>12031</v>
      </c>
      <c r="I1958" t="s">
        <v>12032</v>
      </c>
      <c r="J1958" t="s">
        <v>12033</v>
      </c>
      <c r="K1958" t="s">
        <v>12034</v>
      </c>
      <c r="L1958" t="s">
        <v>6533</v>
      </c>
      <c r="M1958" t="s">
        <v>132</v>
      </c>
      <c r="N1958" t="s">
        <v>195</v>
      </c>
      <c r="O1958" t="s">
        <v>4798</v>
      </c>
      <c r="P1958" t="s">
        <v>8377</v>
      </c>
      <c r="Q1958" t="s">
        <v>20</v>
      </c>
      <c r="R1958" t="s">
        <v>4799</v>
      </c>
      <c r="S1958" t="s">
        <v>20</v>
      </c>
    </row>
    <row r="1959" spans="1:19" x14ac:dyDescent="0.45">
      <c r="A1959" t="s">
        <v>1855</v>
      </c>
      <c r="B1959" t="s">
        <v>12347</v>
      </c>
      <c r="C1959" t="s">
        <v>2272</v>
      </c>
      <c r="D1959" t="s">
        <v>2273</v>
      </c>
      <c r="E1959" t="s">
        <v>29</v>
      </c>
      <c r="F1959" t="s">
        <v>2785</v>
      </c>
      <c r="G1959" t="s">
        <v>23</v>
      </c>
      <c r="H1959" t="s">
        <v>11879</v>
      </c>
      <c r="I1959" t="s">
        <v>11880</v>
      </c>
      <c r="J1959" t="s">
        <v>11881</v>
      </c>
      <c r="K1959" t="s">
        <v>11882</v>
      </c>
      <c r="L1959" t="s">
        <v>6525</v>
      </c>
      <c r="M1959" t="s">
        <v>112</v>
      </c>
      <c r="N1959" t="s">
        <v>195</v>
      </c>
      <c r="O1959" t="s">
        <v>4798</v>
      </c>
      <c r="P1959" t="s">
        <v>8377</v>
      </c>
      <c r="Q1959" t="s">
        <v>20</v>
      </c>
      <c r="R1959" t="s">
        <v>4799</v>
      </c>
      <c r="S1959" t="s">
        <v>11883</v>
      </c>
    </row>
    <row r="1960" spans="1:19" x14ac:dyDescent="0.45">
      <c r="A1960" t="s">
        <v>1855</v>
      </c>
      <c r="B1960" t="s">
        <v>9773</v>
      </c>
      <c r="C1960" t="s">
        <v>2272</v>
      </c>
      <c r="D1960" t="s">
        <v>2273</v>
      </c>
      <c r="E1960" t="s">
        <v>38</v>
      </c>
      <c r="F1960" t="s">
        <v>2863</v>
      </c>
      <c r="G1960" t="s">
        <v>23</v>
      </c>
      <c r="H1960" t="s">
        <v>9774</v>
      </c>
      <c r="I1960" t="s">
        <v>9775</v>
      </c>
      <c r="J1960" t="s">
        <v>9776</v>
      </c>
      <c r="K1960" t="s">
        <v>9777</v>
      </c>
      <c r="L1960" t="s">
        <v>6523</v>
      </c>
      <c r="M1960" t="s">
        <v>112</v>
      </c>
      <c r="N1960" t="s">
        <v>113</v>
      </c>
      <c r="O1960" t="s">
        <v>4798</v>
      </c>
      <c r="P1960" t="s">
        <v>6523</v>
      </c>
      <c r="Q1960" t="s">
        <v>20</v>
      </c>
      <c r="R1960" t="s">
        <v>4799</v>
      </c>
      <c r="S1960" t="s">
        <v>20</v>
      </c>
    </row>
    <row r="1961" spans="1:19" x14ac:dyDescent="0.45">
      <c r="A1961" t="s">
        <v>1855</v>
      </c>
      <c r="B1961" t="s">
        <v>12348</v>
      </c>
      <c r="C1961" t="s">
        <v>2272</v>
      </c>
      <c r="D1961" t="s">
        <v>2273</v>
      </c>
      <c r="E1961" t="s">
        <v>38</v>
      </c>
      <c r="F1961" t="s">
        <v>3062</v>
      </c>
      <c r="G1961" t="s">
        <v>23</v>
      </c>
      <c r="H1961" t="s">
        <v>2274</v>
      </c>
      <c r="I1961" t="s">
        <v>2275</v>
      </c>
      <c r="J1961" t="s">
        <v>2276</v>
      </c>
      <c r="K1961" t="s">
        <v>2277</v>
      </c>
      <c r="L1961" t="s">
        <v>43</v>
      </c>
      <c r="M1961" t="s">
        <v>112</v>
      </c>
      <c r="N1961" t="s">
        <v>195</v>
      </c>
      <c r="O1961" t="s">
        <v>4798</v>
      </c>
      <c r="P1961" t="s">
        <v>8377</v>
      </c>
      <c r="Q1961" t="s">
        <v>20</v>
      </c>
      <c r="R1961" t="s">
        <v>4799</v>
      </c>
      <c r="S1961" t="s">
        <v>11853</v>
      </c>
    </row>
    <row r="1962" spans="1:19" x14ac:dyDescent="0.45">
      <c r="A1962" t="s">
        <v>211</v>
      </c>
      <c r="B1962" t="s">
        <v>11216</v>
      </c>
      <c r="C1962" t="s">
        <v>1908</v>
      </c>
      <c r="D1962" t="s">
        <v>1909</v>
      </c>
      <c r="E1962" t="s">
        <v>38</v>
      </c>
      <c r="F1962" t="s">
        <v>3062</v>
      </c>
      <c r="G1962" t="s">
        <v>23</v>
      </c>
      <c r="H1962" t="s">
        <v>2090</v>
      </c>
      <c r="I1962" t="s">
        <v>2091</v>
      </c>
      <c r="J1962" t="s">
        <v>2092</v>
      </c>
      <c r="K1962" t="s">
        <v>2093</v>
      </c>
      <c r="L1962" t="s">
        <v>168</v>
      </c>
      <c r="M1962" t="s">
        <v>112</v>
      </c>
      <c r="N1962" t="s">
        <v>33</v>
      </c>
      <c r="O1962" t="s">
        <v>4798</v>
      </c>
      <c r="P1962" t="s">
        <v>635</v>
      </c>
      <c r="Q1962" t="s">
        <v>20</v>
      </c>
      <c r="R1962" t="s">
        <v>4799</v>
      </c>
      <c r="S1962" t="s">
        <v>20</v>
      </c>
    </row>
    <row r="1963" spans="1:19" x14ac:dyDescent="0.45">
      <c r="A1963" t="s">
        <v>211</v>
      </c>
      <c r="B1963" t="s">
        <v>9479</v>
      </c>
      <c r="C1963" t="s">
        <v>1908</v>
      </c>
      <c r="D1963" t="s">
        <v>1909</v>
      </c>
      <c r="E1963" t="s">
        <v>38</v>
      </c>
      <c r="F1963" t="s">
        <v>2948</v>
      </c>
      <c r="G1963" t="s">
        <v>23</v>
      </c>
      <c r="H1963" t="s">
        <v>9480</v>
      </c>
      <c r="I1963" t="s">
        <v>9481</v>
      </c>
      <c r="J1963" t="s">
        <v>9482</v>
      </c>
      <c r="K1963" t="s">
        <v>9483</v>
      </c>
      <c r="L1963" t="s">
        <v>6523</v>
      </c>
      <c r="M1963" t="s">
        <v>2953</v>
      </c>
      <c r="N1963" t="s">
        <v>146</v>
      </c>
      <c r="O1963" t="s">
        <v>4798</v>
      </c>
      <c r="P1963" t="s">
        <v>6521</v>
      </c>
      <c r="Q1963" t="s">
        <v>20</v>
      </c>
      <c r="R1963" t="s">
        <v>4799</v>
      </c>
      <c r="S1963" t="s">
        <v>20</v>
      </c>
    </row>
    <row r="1964" spans="1:19" x14ac:dyDescent="0.45">
      <c r="A1964" t="s">
        <v>413</v>
      </c>
      <c r="B1964" t="s">
        <v>20</v>
      </c>
      <c r="C1964" t="s">
        <v>758</v>
      </c>
      <c r="D1964" t="s">
        <v>759</v>
      </c>
      <c r="E1964" t="s">
        <v>2487</v>
      </c>
      <c r="F1964" t="s">
        <v>11633</v>
      </c>
      <c r="G1964" t="s">
        <v>23</v>
      </c>
      <c r="H1964" t="s">
        <v>7456</v>
      </c>
      <c r="I1964" t="s">
        <v>7457</v>
      </c>
      <c r="J1964" t="s">
        <v>7458</v>
      </c>
      <c r="K1964" t="s">
        <v>7459</v>
      </c>
      <c r="L1964" t="s">
        <v>6521</v>
      </c>
      <c r="M1964" t="s">
        <v>112</v>
      </c>
      <c r="N1964" t="s">
        <v>119</v>
      </c>
      <c r="O1964" t="s">
        <v>4798</v>
      </c>
      <c r="P1964" t="s">
        <v>8377</v>
      </c>
      <c r="Q1964" t="s">
        <v>20</v>
      </c>
      <c r="R1964" t="s">
        <v>4799</v>
      </c>
      <c r="S1964" t="s">
        <v>20</v>
      </c>
    </row>
    <row r="1965" spans="1:19" x14ac:dyDescent="0.45">
      <c r="A1965" t="s">
        <v>413</v>
      </c>
      <c r="B1965" t="s">
        <v>6746</v>
      </c>
      <c r="C1965" t="s">
        <v>758</v>
      </c>
      <c r="D1965" t="s">
        <v>759</v>
      </c>
      <c r="E1965" t="s">
        <v>38</v>
      </c>
      <c r="F1965" t="s">
        <v>2795</v>
      </c>
      <c r="G1965" t="s">
        <v>23</v>
      </c>
      <c r="H1965" t="s">
        <v>760</v>
      </c>
      <c r="I1965" t="s">
        <v>761</v>
      </c>
      <c r="J1965" t="s">
        <v>762</v>
      </c>
      <c r="K1965" t="s">
        <v>763</v>
      </c>
      <c r="L1965" t="s">
        <v>290</v>
      </c>
      <c r="M1965" t="s">
        <v>2100</v>
      </c>
      <c r="N1965" t="s">
        <v>146</v>
      </c>
      <c r="O1965" t="s">
        <v>4798</v>
      </c>
      <c r="P1965" t="s">
        <v>290</v>
      </c>
      <c r="Q1965" t="s">
        <v>20</v>
      </c>
      <c r="R1965" t="s">
        <v>4799</v>
      </c>
      <c r="S1965" t="s">
        <v>20</v>
      </c>
    </row>
    <row r="1966" spans="1:19" x14ac:dyDescent="0.45">
      <c r="A1966" t="s">
        <v>413</v>
      </c>
      <c r="B1966" t="s">
        <v>12019</v>
      </c>
      <c r="C1966" t="s">
        <v>758</v>
      </c>
      <c r="D1966" t="s">
        <v>759</v>
      </c>
      <c r="E1966" t="s">
        <v>38</v>
      </c>
      <c r="F1966" t="s">
        <v>14711</v>
      </c>
      <c r="G1966" t="s">
        <v>23</v>
      </c>
      <c r="H1966" t="s">
        <v>9008</v>
      </c>
      <c r="I1966" t="s">
        <v>9069</v>
      </c>
      <c r="J1966" t="s">
        <v>9168</v>
      </c>
      <c r="K1966" t="s">
        <v>9169</v>
      </c>
      <c r="L1966" t="s">
        <v>7506</v>
      </c>
      <c r="M1966" t="s">
        <v>112</v>
      </c>
      <c r="N1966" t="s">
        <v>119</v>
      </c>
      <c r="O1966" t="s">
        <v>4798</v>
      </c>
      <c r="P1966" t="s">
        <v>8377</v>
      </c>
      <c r="Q1966" t="s">
        <v>20</v>
      </c>
      <c r="R1966" t="s">
        <v>4799</v>
      </c>
      <c r="S1966" t="s">
        <v>4901</v>
      </c>
    </row>
    <row r="1967" spans="1:19" x14ac:dyDescent="0.45">
      <c r="A1967" t="s">
        <v>921</v>
      </c>
      <c r="B1967" t="s">
        <v>20</v>
      </c>
      <c r="C1967" t="s">
        <v>922</v>
      </c>
      <c r="D1967" t="s">
        <v>923</v>
      </c>
      <c r="E1967" t="s">
        <v>38</v>
      </c>
      <c r="F1967" t="s">
        <v>2948</v>
      </c>
      <c r="G1967" t="s">
        <v>23</v>
      </c>
      <c r="H1967" t="s">
        <v>10528</v>
      </c>
      <c r="I1967" t="s">
        <v>10529</v>
      </c>
      <c r="J1967" t="s">
        <v>10530</v>
      </c>
      <c r="K1967" t="s">
        <v>10531</v>
      </c>
      <c r="L1967" t="s">
        <v>9155</v>
      </c>
      <c r="M1967" t="s">
        <v>112</v>
      </c>
      <c r="N1967" t="s">
        <v>33</v>
      </c>
      <c r="O1967" t="s">
        <v>4798</v>
      </c>
      <c r="P1967" t="s">
        <v>6524</v>
      </c>
      <c r="Q1967" t="s">
        <v>20</v>
      </c>
      <c r="R1967" t="s">
        <v>4799</v>
      </c>
      <c r="S1967" t="s">
        <v>11631</v>
      </c>
    </row>
    <row r="1968" spans="1:19" x14ac:dyDescent="0.45">
      <c r="A1968" t="s">
        <v>425</v>
      </c>
      <c r="B1968" t="s">
        <v>8771</v>
      </c>
      <c r="C1968" t="s">
        <v>643</v>
      </c>
      <c r="D1968" t="s">
        <v>644</v>
      </c>
      <c r="E1968" t="s">
        <v>38</v>
      </c>
      <c r="F1968" t="s">
        <v>2785</v>
      </c>
      <c r="G1968" t="s">
        <v>23</v>
      </c>
      <c r="H1968" t="s">
        <v>8772</v>
      </c>
      <c r="I1968" t="s">
        <v>8773</v>
      </c>
      <c r="J1968" t="s">
        <v>8774</v>
      </c>
      <c r="K1968" t="s">
        <v>8775</v>
      </c>
      <c r="L1968" t="s">
        <v>6875</v>
      </c>
      <c r="M1968" t="s">
        <v>132</v>
      </c>
      <c r="N1968" t="s">
        <v>195</v>
      </c>
      <c r="O1968" t="s">
        <v>4798</v>
      </c>
      <c r="P1968" t="s">
        <v>2330</v>
      </c>
      <c r="Q1968" t="s">
        <v>20</v>
      </c>
      <c r="R1968" t="s">
        <v>4799</v>
      </c>
      <c r="S1968" t="s">
        <v>20</v>
      </c>
    </row>
    <row r="1969" spans="1:19" x14ac:dyDescent="0.45">
      <c r="A1969" t="s">
        <v>943</v>
      </c>
      <c r="B1969" t="s">
        <v>10742</v>
      </c>
      <c r="C1969" t="s">
        <v>1690</v>
      </c>
      <c r="D1969" t="s">
        <v>1691</v>
      </c>
      <c r="E1969" t="s">
        <v>38</v>
      </c>
      <c r="F1969" t="s">
        <v>14318</v>
      </c>
      <c r="G1969" t="s">
        <v>23</v>
      </c>
      <c r="H1969" t="s">
        <v>1692</v>
      </c>
      <c r="I1969" t="s">
        <v>1693</v>
      </c>
      <c r="J1969" t="s">
        <v>1694</v>
      </c>
      <c r="K1969" t="s">
        <v>333</v>
      </c>
      <c r="L1969" t="s">
        <v>2769</v>
      </c>
      <c r="M1969" t="s">
        <v>538</v>
      </c>
      <c r="N1969" t="s">
        <v>33</v>
      </c>
      <c r="O1969" t="s">
        <v>4798</v>
      </c>
      <c r="P1969" t="s">
        <v>53</v>
      </c>
      <c r="Q1969" t="s">
        <v>20</v>
      </c>
      <c r="R1969" t="s">
        <v>4799</v>
      </c>
      <c r="S1969" t="s">
        <v>20</v>
      </c>
    </row>
    <row r="1970" spans="1:19" x14ac:dyDescent="0.45">
      <c r="A1970" t="s">
        <v>46</v>
      </c>
      <c r="B1970" t="s">
        <v>10714</v>
      </c>
      <c r="C1970" t="s">
        <v>1505</v>
      </c>
      <c r="D1970" t="s">
        <v>1506</v>
      </c>
      <c r="E1970" t="s">
        <v>57</v>
      </c>
      <c r="F1970" t="s">
        <v>4263</v>
      </c>
      <c r="G1970" t="s">
        <v>23</v>
      </c>
      <c r="H1970" t="s">
        <v>1507</v>
      </c>
      <c r="I1970" t="s">
        <v>1508</v>
      </c>
      <c r="J1970" t="s">
        <v>1509</v>
      </c>
      <c r="K1970" t="s">
        <v>1510</v>
      </c>
      <c r="L1970" t="s">
        <v>168</v>
      </c>
      <c r="M1970" t="s">
        <v>112</v>
      </c>
      <c r="N1970" t="s">
        <v>33</v>
      </c>
      <c r="O1970" t="s">
        <v>4798</v>
      </c>
      <c r="P1970" t="s">
        <v>168</v>
      </c>
      <c r="Q1970" t="s">
        <v>20</v>
      </c>
      <c r="R1970" t="s">
        <v>4799</v>
      </c>
      <c r="S1970" t="s">
        <v>20</v>
      </c>
    </row>
    <row r="1971" spans="1:19" x14ac:dyDescent="0.45">
      <c r="A1971" t="s">
        <v>94</v>
      </c>
      <c r="B1971" t="s">
        <v>11198</v>
      </c>
      <c r="C1971" t="s">
        <v>298</v>
      </c>
      <c r="D1971" t="s">
        <v>299</v>
      </c>
      <c r="E1971" t="s">
        <v>38</v>
      </c>
      <c r="F1971" t="s">
        <v>2863</v>
      </c>
      <c r="G1971" t="s">
        <v>23</v>
      </c>
      <c r="H1971" t="s">
        <v>8994</v>
      </c>
      <c r="I1971" t="s">
        <v>9562</v>
      </c>
      <c r="J1971" t="s">
        <v>10872</v>
      </c>
      <c r="K1971" t="s">
        <v>10873</v>
      </c>
      <c r="L1971" t="s">
        <v>3998</v>
      </c>
      <c r="M1971" t="s">
        <v>32</v>
      </c>
      <c r="N1971" t="s">
        <v>146</v>
      </c>
      <c r="O1971" t="s">
        <v>4798</v>
      </c>
      <c r="P1971" t="s">
        <v>6527</v>
      </c>
      <c r="Q1971" t="s">
        <v>20</v>
      </c>
      <c r="R1971" t="s">
        <v>4799</v>
      </c>
      <c r="S1971" t="s">
        <v>20</v>
      </c>
    </row>
    <row r="1972" spans="1:19" x14ac:dyDescent="0.45">
      <c r="A1972" t="s">
        <v>94</v>
      </c>
      <c r="B1972" t="s">
        <v>8129</v>
      </c>
      <c r="C1972" t="s">
        <v>298</v>
      </c>
      <c r="D1972" t="s">
        <v>299</v>
      </c>
      <c r="E1972" t="s">
        <v>38</v>
      </c>
      <c r="F1972" t="s">
        <v>2863</v>
      </c>
      <c r="G1972" t="s">
        <v>23</v>
      </c>
      <c r="H1972" t="s">
        <v>8130</v>
      </c>
      <c r="I1972" t="s">
        <v>8131</v>
      </c>
      <c r="J1972" t="s">
        <v>8132</v>
      </c>
      <c r="K1972" t="s">
        <v>8133</v>
      </c>
      <c r="L1972" t="s">
        <v>6875</v>
      </c>
      <c r="M1972" t="s">
        <v>112</v>
      </c>
      <c r="N1972" t="s">
        <v>33</v>
      </c>
      <c r="O1972" t="s">
        <v>4798</v>
      </c>
      <c r="P1972" t="s">
        <v>6521</v>
      </c>
      <c r="Q1972" t="s">
        <v>20</v>
      </c>
      <c r="R1972" t="s">
        <v>4799</v>
      </c>
      <c r="S1972" t="s">
        <v>9797</v>
      </c>
    </row>
    <row r="1973" spans="1:19" x14ac:dyDescent="0.45">
      <c r="A1973" t="s">
        <v>395</v>
      </c>
      <c r="B1973" t="s">
        <v>8824</v>
      </c>
      <c r="C1973" t="s">
        <v>3580</v>
      </c>
      <c r="D1973" t="s">
        <v>3581</v>
      </c>
      <c r="E1973" t="s">
        <v>38</v>
      </c>
      <c r="F1973" t="s">
        <v>3062</v>
      </c>
      <c r="G1973" t="s">
        <v>23</v>
      </c>
      <c r="H1973" t="s">
        <v>8825</v>
      </c>
      <c r="I1973" t="s">
        <v>8826</v>
      </c>
      <c r="J1973" t="s">
        <v>8827</v>
      </c>
      <c r="K1973" t="s">
        <v>7627</v>
      </c>
      <c r="L1973" t="s">
        <v>902</v>
      </c>
      <c r="M1973" t="s">
        <v>112</v>
      </c>
      <c r="N1973" t="s">
        <v>113</v>
      </c>
      <c r="O1973" t="s">
        <v>4798</v>
      </c>
      <c r="P1973" t="s">
        <v>5398</v>
      </c>
      <c r="Q1973" t="s">
        <v>20</v>
      </c>
      <c r="R1973" t="s">
        <v>4799</v>
      </c>
      <c r="S1973" t="s">
        <v>20</v>
      </c>
    </row>
    <row r="1974" spans="1:19" x14ac:dyDescent="0.45">
      <c r="A1974" t="s">
        <v>395</v>
      </c>
      <c r="B1974" t="s">
        <v>8803</v>
      </c>
      <c r="C1974" t="s">
        <v>3090</v>
      </c>
      <c r="D1974" t="s">
        <v>3091</v>
      </c>
      <c r="E1974" t="s">
        <v>38</v>
      </c>
      <c r="F1974" t="s">
        <v>2755</v>
      </c>
      <c r="G1974" t="s">
        <v>23</v>
      </c>
      <c r="H1974" t="s">
        <v>8804</v>
      </c>
      <c r="I1974" t="s">
        <v>8805</v>
      </c>
      <c r="J1974" t="s">
        <v>8806</v>
      </c>
      <c r="K1974" t="s">
        <v>8807</v>
      </c>
      <c r="L1974" t="s">
        <v>6513</v>
      </c>
      <c r="M1974" t="s">
        <v>112</v>
      </c>
      <c r="N1974" t="s">
        <v>195</v>
      </c>
      <c r="O1974" t="s">
        <v>4798</v>
      </c>
      <c r="P1974" t="s">
        <v>722</v>
      </c>
      <c r="Q1974" t="s">
        <v>20</v>
      </c>
      <c r="R1974" t="s">
        <v>4799</v>
      </c>
      <c r="S1974" t="s">
        <v>20</v>
      </c>
    </row>
    <row r="1975" spans="1:19" x14ac:dyDescent="0.45">
      <c r="A1975" t="s">
        <v>6881</v>
      </c>
      <c r="B1975" t="s">
        <v>9801</v>
      </c>
      <c r="C1975" t="s">
        <v>6882</v>
      </c>
      <c r="D1975" t="s">
        <v>5626</v>
      </c>
      <c r="E1975" t="s">
        <v>21</v>
      </c>
      <c r="F1975" t="s">
        <v>2722</v>
      </c>
      <c r="G1975" t="s">
        <v>23</v>
      </c>
      <c r="H1975" t="s">
        <v>6883</v>
      </c>
      <c r="I1975" t="s">
        <v>6884</v>
      </c>
      <c r="J1975" t="s">
        <v>9802</v>
      </c>
      <c r="K1975" t="s">
        <v>9803</v>
      </c>
      <c r="L1975" t="s">
        <v>6522</v>
      </c>
      <c r="M1975" t="s">
        <v>3145</v>
      </c>
      <c r="N1975" t="s">
        <v>2809</v>
      </c>
      <c r="O1975" t="s">
        <v>4798</v>
      </c>
      <c r="P1975" t="s">
        <v>6522</v>
      </c>
      <c r="Q1975" t="s">
        <v>20</v>
      </c>
      <c r="R1975" t="s">
        <v>4799</v>
      </c>
      <c r="S1975" t="s">
        <v>20</v>
      </c>
    </row>
    <row r="1976" spans="1:19" x14ac:dyDescent="0.45">
      <c r="A1976" t="s">
        <v>869</v>
      </c>
      <c r="B1976" t="s">
        <v>9800</v>
      </c>
      <c r="C1976" t="s">
        <v>1164</v>
      </c>
      <c r="D1976" t="s">
        <v>1165</v>
      </c>
      <c r="E1976" t="s">
        <v>38</v>
      </c>
      <c r="F1976" t="s">
        <v>3062</v>
      </c>
      <c r="G1976" t="s">
        <v>23</v>
      </c>
      <c r="H1976" t="s">
        <v>9540</v>
      </c>
      <c r="I1976" t="s">
        <v>9646</v>
      </c>
      <c r="J1976" t="s">
        <v>9647</v>
      </c>
      <c r="K1976" t="s">
        <v>9648</v>
      </c>
      <c r="L1976" t="s">
        <v>6522</v>
      </c>
      <c r="M1976" t="s">
        <v>112</v>
      </c>
      <c r="N1976" t="s">
        <v>146</v>
      </c>
      <c r="O1976" t="s">
        <v>4798</v>
      </c>
      <c r="P1976" t="s">
        <v>6522</v>
      </c>
      <c r="Q1976" t="s">
        <v>20</v>
      </c>
      <c r="R1976" t="s">
        <v>4799</v>
      </c>
      <c r="S1976" t="s">
        <v>9333</v>
      </c>
    </row>
    <row r="1977" spans="1:19" x14ac:dyDescent="0.45">
      <c r="A1977" t="s">
        <v>869</v>
      </c>
      <c r="B1977" t="s">
        <v>20</v>
      </c>
      <c r="C1977" t="s">
        <v>1164</v>
      </c>
      <c r="D1977" t="s">
        <v>1165</v>
      </c>
      <c r="E1977" t="s">
        <v>38</v>
      </c>
      <c r="F1977" t="s">
        <v>2787</v>
      </c>
      <c r="G1977" t="s">
        <v>23</v>
      </c>
      <c r="H1977" t="s">
        <v>5019</v>
      </c>
      <c r="I1977" t="s">
        <v>5020</v>
      </c>
      <c r="J1977" t="s">
        <v>5021</v>
      </c>
      <c r="K1977" t="s">
        <v>5022</v>
      </c>
      <c r="L1977" t="s">
        <v>53</v>
      </c>
      <c r="M1977" t="s">
        <v>2981</v>
      </c>
      <c r="N1977" t="s">
        <v>119</v>
      </c>
      <c r="O1977" t="s">
        <v>4798</v>
      </c>
      <c r="P1977" t="s">
        <v>43</v>
      </c>
      <c r="Q1977" t="s">
        <v>20</v>
      </c>
      <c r="R1977" t="s">
        <v>5023</v>
      </c>
      <c r="S1977" t="s">
        <v>4901</v>
      </c>
    </row>
    <row r="1978" spans="1:19" x14ac:dyDescent="0.45">
      <c r="A1978" t="s">
        <v>239</v>
      </c>
      <c r="B1978" t="s">
        <v>4809</v>
      </c>
      <c r="C1978" t="s">
        <v>4810</v>
      </c>
      <c r="D1978" t="s">
        <v>4811</v>
      </c>
      <c r="E1978" t="s">
        <v>38</v>
      </c>
      <c r="F1978" t="s">
        <v>2831</v>
      </c>
      <c r="G1978" t="s">
        <v>23</v>
      </c>
      <c r="H1978" t="s">
        <v>4812</v>
      </c>
      <c r="I1978" t="s">
        <v>4813</v>
      </c>
      <c r="J1978" t="s">
        <v>4814</v>
      </c>
      <c r="K1978" t="s">
        <v>4815</v>
      </c>
      <c r="L1978" t="s">
        <v>101</v>
      </c>
      <c r="M1978" t="s">
        <v>132</v>
      </c>
      <c r="N1978" t="s">
        <v>195</v>
      </c>
      <c r="O1978" t="s">
        <v>4798</v>
      </c>
      <c r="P1978" t="s">
        <v>131</v>
      </c>
      <c r="Q1978" t="s">
        <v>20</v>
      </c>
      <c r="R1978" t="s">
        <v>4799</v>
      </c>
      <c r="S1978" t="s">
        <v>20</v>
      </c>
    </row>
    <row r="1979" spans="1:19" x14ac:dyDescent="0.45">
      <c r="A1979" t="s">
        <v>310</v>
      </c>
      <c r="B1979" t="s">
        <v>20</v>
      </c>
      <c r="C1979" t="s">
        <v>816</v>
      </c>
      <c r="D1979" t="s">
        <v>817</v>
      </c>
      <c r="E1979" t="s">
        <v>38</v>
      </c>
      <c r="F1979" t="s">
        <v>2748</v>
      </c>
      <c r="G1979" t="s">
        <v>23</v>
      </c>
      <c r="H1979" t="s">
        <v>818</v>
      </c>
      <c r="I1979" t="s">
        <v>819</v>
      </c>
      <c r="J1979" t="s">
        <v>820</v>
      </c>
      <c r="K1979" t="s">
        <v>821</v>
      </c>
      <c r="L1979" t="s">
        <v>31</v>
      </c>
      <c r="M1979" t="s">
        <v>2953</v>
      </c>
      <c r="N1979" t="s">
        <v>33</v>
      </c>
      <c r="O1979" t="s">
        <v>4798</v>
      </c>
      <c r="P1979" t="s">
        <v>111</v>
      </c>
      <c r="Q1979" t="s">
        <v>20</v>
      </c>
      <c r="R1979" t="s">
        <v>4799</v>
      </c>
      <c r="S1979" t="s">
        <v>822</v>
      </c>
    </row>
    <row r="1980" spans="1:19" x14ac:dyDescent="0.45">
      <c r="A1980" t="s">
        <v>310</v>
      </c>
      <c r="B1980" t="s">
        <v>14712</v>
      </c>
      <c r="C1980" t="s">
        <v>816</v>
      </c>
      <c r="D1980" t="s">
        <v>817</v>
      </c>
      <c r="E1980" t="s">
        <v>38</v>
      </c>
      <c r="F1980" t="s">
        <v>2755</v>
      </c>
      <c r="G1980" t="s">
        <v>23</v>
      </c>
      <c r="H1980" t="s">
        <v>9020</v>
      </c>
      <c r="I1980" t="s">
        <v>9070</v>
      </c>
      <c r="J1980" t="s">
        <v>10929</v>
      </c>
      <c r="K1980" t="s">
        <v>10930</v>
      </c>
      <c r="L1980" t="s">
        <v>3998</v>
      </c>
      <c r="M1980" t="s">
        <v>2953</v>
      </c>
      <c r="N1980" t="s">
        <v>146</v>
      </c>
      <c r="O1980" t="s">
        <v>4798</v>
      </c>
      <c r="P1980" t="s">
        <v>6525</v>
      </c>
      <c r="Q1980" t="s">
        <v>20</v>
      </c>
      <c r="R1980" t="s">
        <v>4799</v>
      </c>
      <c r="S1980" t="s">
        <v>20</v>
      </c>
    </row>
    <row r="1981" spans="1:19" x14ac:dyDescent="0.45">
      <c r="A1981" t="s">
        <v>5294</v>
      </c>
      <c r="B1981" t="s">
        <v>5295</v>
      </c>
      <c r="C1981" t="s">
        <v>5296</v>
      </c>
      <c r="D1981" t="s">
        <v>5297</v>
      </c>
      <c r="E1981" t="s">
        <v>21</v>
      </c>
      <c r="F1981" t="s">
        <v>2722</v>
      </c>
      <c r="G1981" t="s">
        <v>23</v>
      </c>
      <c r="H1981" t="s">
        <v>5298</v>
      </c>
      <c r="I1981" t="s">
        <v>5299</v>
      </c>
      <c r="J1981" t="s">
        <v>5300</v>
      </c>
      <c r="K1981" t="s">
        <v>5301</v>
      </c>
      <c r="L1981" t="s">
        <v>214</v>
      </c>
      <c r="M1981" t="s">
        <v>1223</v>
      </c>
      <c r="N1981" t="s">
        <v>2809</v>
      </c>
      <c r="O1981" t="s">
        <v>4798</v>
      </c>
      <c r="P1981" t="s">
        <v>1125</v>
      </c>
      <c r="Q1981" t="s">
        <v>20</v>
      </c>
      <c r="R1981" t="s">
        <v>4799</v>
      </c>
      <c r="S1981" t="s">
        <v>20</v>
      </c>
    </row>
    <row r="1982" spans="1:19" x14ac:dyDescent="0.45">
      <c r="A1982" t="s">
        <v>120</v>
      </c>
      <c r="B1982" t="s">
        <v>8716</v>
      </c>
      <c r="C1982" t="s">
        <v>8717</v>
      </c>
      <c r="D1982" t="s">
        <v>5804</v>
      </c>
      <c r="E1982" t="s">
        <v>38</v>
      </c>
      <c r="F1982" t="s">
        <v>3062</v>
      </c>
      <c r="G1982" t="s">
        <v>23</v>
      </c>
      <c r="H1982" t="s">
        <v>8718</v>
      </c>
      <c r="I1982" t="s">
        <v>8719</v>
      </c>
      <c r="J1982" t="s">
        <v>8720</v>
      </c>
      <c r="K1982" t="s">
        <v>8721</v>
      </c>
      <c r="L1982" t="s">
        <v>722</v>
      </c>
      <c r="M1982" t="s">
        <v>112</v>
      </c>
      <c r="N1982" t="s">
        <v>113</v>
      </c>
      <c r="O1982" t="s">
        <v>4798</v>
      </c>
      <c r="P1982" t="s">
        <v>722</v>
      </c>
      <c r="Q1982" t="s">
        <v>20</v>
      </c>
      <c r="R1982" t="s">
        <v>4799</v>
      </c>
      <c r="S1982" t="s">
        <v>20</v>
      </c>
    </row>
    <row r="1983" spans="1:19" x14ac:dyDescent="0.45">
      <c r="A1983" t="s">
        <v>94</v>
      </c>
      <c r="B1983" t="s">
        <v>11203</v>
      </c>
      <c r="C1983" t="s">
        <v>1566</v>
      </c>
      <c r="D1983" t="s">
        <v>1567</v>
      </c>
      <c r="E1983" t="s">
        <v>38</v>
      </c>
      <c r="F1983" t="s">
        <v>2948</v>
      </c>
      <c r="G1983" t="s">
        <v>23</v>
      </c>
      <c r="H1983" t="s">
        <v>6488</v>
      </c>
      <c r="I1983" t="s">
        <v>6637</v>
      </c>
      <c r="J1983" t="s">
        <v>6638</v>
      </c>
      <c r="K1983" t="s">
        <v>6639</v>
      </c>
      <c r="L1983" t="s">
        <v>722</v>
      </c>
      <c r="M1983" t="s">
        <v>112</v>
      </c>
      <c r="N1983" t="s">
        <v>33</v>
      </c>
      <c r="O1983" t="s">
        <v>4798</v>
      </c>
      <c r="P1983" t="s">
        <v>43</v>
      </c>
      <c r="Q1983" t="s">
        <v>20</v>
      </c>
      <c r="R1983" t="s">
        <v>4799</v>
      </c>
      <c r="S1983" t="s">
        <v>20</v>
      </c>
    </row>
    <row r="1984" spans="1:19" x14ac:dyDescent="0.45">
      <c r="A1984" t="s">
        <v>79</v>
      </c>
      <c r="B1984" t="s">
        <v>2838</v>
      </c>
      <c r="C1984" t="s">
        <v>2839</v>
      </c>
      <c r="D1984" t="s">
        <v>2840</v>
      </c>
      <c r="E1984" t="s">
        <v>38</v>
      </c>
      <c r="F1984" t="s">
        <v>14713</v>
      </c>
      <c r="G1984" t="s">
        <v>23</v>
      </c>
      <c r="H1984" t="s">
        <v>2841</v>
      </c>
      <c r="I1984" t="s">
        <v>2842</v>
      </c>
      <c r="J1984" t="s">
        <v>2843</v>
      </c>
      <c r="K1984" t="s">
        <v>2844</v>
      </c>
      <c r="L1984" t="s">
        <v>168</v>
      </c>
      <c r="M1984" t="s">
        <v>44</v>
      </c>
      <c r="N1984" t="s">
        <v>119</v>
      </c>
      <c r="O1984" t="s">
        <v>4798</v>
      </c>
      <c r="P1984" t="s">
        <v>290</v>
      </c>
      <c r="Q1984" t="s">
        <v>20</v>
      </c>
      <c r="R1984" t="s">
        <v>4799</v>
      </c>
      <c r="S1984" t="s">
        <v>2845</v>
      </c>
    </row>
    <row r="1985" spans="1:19" x14ac:dyDescent="0.45">
      <c r="A1985" t="s">
        <v>335</v>
      </c>
      <c r="B1985" t="s">
        <v>20</v>
      </c>
      <c r="C1985" t="s">
        <v>1050</v>
      </c>
      <c r="D1985" t="s">
        <v>1051</v>
      </c>
      <c r="E1985" t="s">
        <v>38</v>
      </c>
      <c r="F1985" t="s">
        <v>2773</v>
      </c>
      <c r="G1985" t="s">
        <v>23</v>
      </c>
      <c r="H1985" t="s">
        <v>2774</v>
      </c>
      <c r="I1985" t="s">
        <v>2775</v>
      </c>
      <c r="J1985" t="s">
        <v>2776</v>
      </c>
      <c r="K1985" t="s">
        <v>2777</v>
      </c>
      <c r="L1985" t="s">
        <v>296</v>
      </c>
      <c r="M1985" t="s">
        <v>112</v>
      </c>
      <c r="N1985" t="s">
        <v>33</v>
      </c>
      <c r="O1985" t="s">
        <v>4798</v>
      </c>
      <c r="P1985" t="s">
        <v>635</v>
      </c>
      <c r="Q1985" t="s">
        <v>20</v>
      </c>
      <c r="R1985" t="s">
        <v>4799</v>
      </c>
      <c r="S1985" t="s">
        <v>20</v>
      </c>
    </row>
    <row r="1986" spans="1:19" x14ac:dyDescent="0.45">
      <c r="A1986" t="s">
        <v>413</v>
      </c>
      <c r="B1986" t="s">
        <v>20</v>
      </c>
      <c r="C1986" t="s">
        <v>414</v>
      </c>
      <c r="D1986" t="s">
        <v>415</v>
      </c>
      <c r="E1986" t="s">
        <v>38</v>
      </c>
      <c r="F1986" t="s">
        <v>2948</v>
      </c>
      <c r="G1986" t="s">
        <v>23</v>
      </c>
      <c r="H1986" t="s">
        <v>7482</v>
      </c>
      <c r="I1986" t="s">
        <v>7483</v>
      </c>
      <c r="J1986" t="s">
        <v>7484</v>
      </c>
      <c r="K1986" t="s">
        <v>7485</v>
      </c>
      <c r="L1986" t="s">
        <v>6513</v>
      </c>
      <c r="M1986" t="s">
        <v>32</v>
      </c>
      <c r="N1986" t="s">
        <v>119</v>
      </c>
      <c r="O1986" t="s">
        <v>4798</v>
      </c>
      <c r="P1986" t="s">
        <v>8109</v>
      </c>
      <c r="Q1986" t="s">
        <v>20</v>
      </c>
      <c r="R1986" t="s">
        <v>4799</v>
      </c>
      <c r="S1986" t="s">
        <v>20</v>
      </c>
    </row>
    <row r="1987" spans="1:19" x14ac:dyDescent="0.45">
      <c r="A1987" t="s">
        <v>413</v>
      </c>
      <c r="B1987" t="s">
        <v>20</v>
      </c>
      <c r="C1987" t="s">
        <v>414</v>
      </c>
      <c r="D1987" t="s">
        <v>415</v>
      </c>
      <c r="E1987" t="s">
        <v>38</v>
      </c>
      <c r="F1987" t="s">
        <v>2795</v>
      </c>
      <c r="G1987" t="s">
        <v>23</v>
      </c>
      <c r="H1987" t="s">
        <v>1640</v>
      </c>
      <c r="I1987" t="s">
        <v>1641</v>
      </c>
      <c r="J1987" t="s">
        <v>1642</v>
      </c>
      <c r="K1987" t="s">
        <v>1643</v>
      </c>
      <c r="L1987" t="s">
        <v>902</v>
      </c>
      <c r="M1987" t="s">
        <v>32</v>
      </c>
      <c r="N1987" t="s">
        <v>119</v>
      </c>
      <c r="O1987" t="s">
        <v>4798</v>
      </c>
      <c r="P1987" t="s">
        <v>8109</v>
      </c>
      <c r="Q1987" t="s">
        <v>20</v>
      </c>
      <c r="R1987" t="s">
        <v>4799</v>
      </c>
      <c r="S1987" t="s">
        <v>20</v>
      </c>
    </row>
    <row r="1988" spans="1:19" x14ac:dyDescent="0.45">
      <c r="A1988" t="s">
        <v>592</v>
      </c>
      <c r="B1988" t="s">
        <v>4991</v>
      </c>
      <c r="C1988" t="s">
        <v>2859</v>
      </c>
      <c r="D1988" t="s">
        <v>2860</v>
      </c>
      <c r="E1988" t="s">
        <v>38</v>
      </c>
      <c r="F1988" t="s">
        <v>2904</v>
      </c>
      <c r="G1988" t="s">
        <v>23</v>
      </c>
      <c r="H1988" t="s">
        <v>4992</v>
      </c>
      <c r="I1988" t="s">
        <v>4993</v>
      </c>
      <c r="J1988" t="s">
        <v>4994</v>
      </c>
      <c r="K1988" t="s">
        <v>4995</v>
      </c>
      <c r="L1988" t="s">
        <v>161</v>
      </c>
      <c r="M1988" t="s">
        <v>112</v>
      </c>
      <c r="N1988" t="s">
        <v>210</v>
      </c>
      <c r="O1988" t="s">
        <v>4798</v>
      </c>
      <c r="P1988" t="s">
        <v>1125</v>
      </c>
      <c r="Q1988" t="s">
        <v>20</v>
      </c>
      <c r="R1988" t="s">
        <v>4996</v>
      </c>
      <c r="S1988" t="s">
        <v>20</v>
      </c>
    </row>
    <row r="1989" spans="1:19" x14ac:dyDescent="0.45">
      <c r="A1989" t="s">
        <v>592</v>
      </c>
      <c r="B1989" t="s">
        <v>12369</v>
      </c>
      <c r="C1989" t="s">
        <v>2859</v>
      </c>
      <c r="D1989" t="s">
        <v>2860</v>
      </c>
      <c r="E1989" t="s">
        <v>21</v>
      </c>
      <c r="F1989" t="s">
        <v>2722</v>
      </c>
      <c r="G1989" t="s">
        <v>23</v>
      </c>
      <c r="H1989" t="s">
        <v>12370</v>
      </c>
      <c r="I1989" t="s">
        <v>12371</v>
      </c>
      <c r="J1989" t="s">
        <v>12372</v>
      </c>
      <c r="K1989" t="s">
        <v>12373</v>
      </c>
      <c r="L1989" t="s">
        <v>9683</v>
      </c>
      <c r="M1989" t="s">
        <v>3145</v>
      </c>
      <c r="N1989" t="s">
        <v>33</v>
      </c>
      <c r="O1989" t="s">
        <v>4798</v>
      </c>
      <c r="P1989" t="s">
        <v>6527</v>
      </c>
      <c r="Q1989" t="s">
        <v>20</v>
      </c>
      <c r="R1989" t="s">
        <v>4799</v>
      </c>
      <c r="S1989" t="s">
        <v>20</v>
      </c>
    </row>
    <row r="1990" spans="1:19" x14ac:dyDescent="0.45">
      <c r="A1990" t="s">
        <v>592</v>
      </c>
      <c r="B1990" t="s">
        <v>12395</v>
      </c>
      <c r="C1990" t="s">
        <v>2859</v>
      </c>
      <c r="D1990" t="s">
        <v>2860</v>
      </c>
      <c r="E1990" t="s">
        <v>38</v>
      </c>
      <c r="F1990" t="s">
        <v>2785</v>
      </c>
      <c r="G1990" t="s">
        <v>23</v>
      </c>
      <c r="H1990" t="s">
        <v>9975</v>
      </c>
      <c r="I1990" t="s">
        <v>9976</v>
      </c>
      <c r="J1990" t="s">
        <v>9977</v>
      </c>
      <c r="K1990" t="s">
        <v>9978</v>
      </c>
      <c r="L1990" t="s">
        <v>9570</v>
      </c>
      <c r="M1990" t="s">
        <v>416</v>
      </c>
      <c r="N1990" t="s">
        <v>2809</v>
      </c>
      <c r="O1990" t="s">
        <v>4798</v>
      </c>
      <c r="P1990" t="s">
        <v>8109</v>
      </c>
      <c r="Q1990" t="s">
        <v>20</v>
      </c>
      <c r="R1990" t="s">
        <v>12405</v>
      </c>
      <c r="S1990" t="s">
        <v>20</v>
      </c>
    </row>
    <row r="1991" spans="1:19" x14ac:dyDescent="0.45">
      <c r="A1991" t="s">
        <v>592</v>
      </c>
      <c r="B1991" t="s">
        <v>10166</v>
      </c>
      <c r="C1991" t="s">
        <v>2859</v>
      </c>
      <c r="D1991" t="s">
        <v>2860</v>
      </c>
      <c r="E1991" t="s">
        <v>21</v>
      </c>
      <c r="F1991" t="s">
        <v>2722</v>
      </c>
      <c r="G1991" t="s">
        <v>23</v>
      </c>
      <c r="H1991" t="s">
        <v>10167</v>
      </c>
      <c r="I1991" t="s">
        <v>10168</v>
      </c>
      <c r="J1991" t="s">
        <v>10169</v>
      </c>
      <c r="K1991" t="s">
        <v>10170</v>
      </c>
      <c r="L1991" t="s">
        <v>6522</v>
      </c>
      <c r="M1991" t="s">
        <v>3145</v>
      </c>
      <c r="N1991" t="s">
        <v>33</v>
      </c>
      <c r="O1991" t="s">
        <v>4798</v>
      </c>
      <c r="P1991" t="s">
        <v>2769</v>
      </c>
      <c r="Q1991" t="s">
        <v>20</v>
      </c>
      <c r="R1991" t="s">
        <v>4799</v>
      </c>
      <c r="S1991" t="s">
        <v>20</v>
      </c>
    </row>
    <row r="1992" spans="1:19" x14ac:dyDescent="0.45">
      <c r="A1992" t="s">
        <v>592</v>
      </c>
      <c r="B1992" t="s">
        <v>20</v>
      </c>
      <c r="C1992" t="s">
        <v>2859</v>
      </c>
      <c r="D1992" t="s">
        <v>2860</v>
      </c>
      <c r="E1992" t="s">
        <v>38</v>
      </c>
      <c r="F1992" t="s">
        <v>3062</v>
      </c>
      <c r="G1992" t="s">
        <v>23</v>
      </c>
      <c r="H1992" t="s">
        <v>3365</v>
      </c>
      <c r="I1992" t="s">
        <v>3366</v>
      </c>
      <c r="J1992" t="s">
        <v>3367</v>
      </c>
      <c r="K1992" t="s">
        <v>3368</v>
      </c>
      <c r="L1992" t="s">
        <v>6523</v>
      </c>
      <c r="M1992" t="s">
        <v>6532</v>
      </c>
      <c r="N1992" t="s">
        <v>33</v>
      </c>
      <c r="O1992" t="s">
        <v>4798</v>
      </c>
      <c r="P1992" t="s">
        <v>6523</v>
      </c>
      <c r="Q1992" t="s">
        <v>20</v>
      </c>
      <c r="R1992" t="s">
        <v>4799</v>
      </c>
      <c r="S1992" t="s">
        <v>20</v>
      </c>
    </row>
    <row r="1993" spans="1:19" x14ac:dyDescent="0.45">
      <c r="A1993" t="s">
        <v>592</v>
      </c>
      <c r="B1993" t="s">
        <v>13374</v>
      </c>
      <c r="C1993" t="s">
        <v>2859</v>
      </c>
      <c r="D1993" t="s">
        <v>2860</v>
      </c>
      <c r="E1993" t="s">
        <v>38</v>
      </c>
      <c r="F1993" t="s">
        <v>3062</v>
      </c>
      <c r="G1993" t="s">
        <v>23</v>
      </c>
      <c r="H1993" t="s">
        <v>13375</v>
      </c>
      <c r="I1993" t="s">
        <v>13376</v>
      </c>
      <c r="J1993" t="s">
        <v>13377</v>
      </c>
      <c r="K1993" t="s">
        <v>13378</v>
      </c>
      <c r="L1993" t="s">
        <v>6524</v>
      </c>
      <c r="M1993" t="s">
        <v>136</v>
      </c>
      <c r="N1993" t="s">
        <v>33</v>
      </c>
      <c r="O1993" t="s">
        <v>4798</v>
      </c>
      <c r="P1993" t="s">
        <v>6524</v>
      </c>
      <c r="Q1993" t="s">
        <v>20</v>
      </c>
      <c r="R1993" t="s">
        <v>4799</v>
      </c>
      <c r="S1993" t="s">
        <v>20</v>
      </c>
    </row>
    <row r="1994" spans="1:19" x14ac:dyDescent="0.45">
      <c r="A1994" t="s">
        <v>362</v>
      </c>
      <c r="B1994" t="s">
        <v>14058</v>
      </c>
      <c r="C1994" t="s">
        <v>3748</v>
      </c>
      <c r="D1994" t="s">
        <v>3749</v>
      </c>
      <c r="E1994" t="s">
        <v>29</v>
      </c>
      <c r="F1994" t="s">
        <v>2837</v>
      </c>
      <c r="G1994" t="s">
        <v>23</v>
      </c>
      <c r="H1994" t="s">
        <v>7276</v>
      </c>
      <c r="I1994" t="s">
        <v>7277</v>
      </c>
      <c r="J1994" t="s">
        <v>7278</v>
      </c>
      <c r="K1994" t="s">
        <v>7279</v>
      </c>
      <c r="L1994" t="s">
        <v>3418</v>
      </c>
      <c r="M1994" t="s">
        <v>6932</v>
      </c>
      <c r="N1994" t="s">
        <v>62</v>
      </c>
      <c r="O1994" t="s">
        <v>4798</v>
      </c>
      <c r="P1994" t="s">
        <v>8094</v>
      </c>
      <c r="Q1994" t="s">
        <v>20</v>
      </c>
      <c r="R1994" t="s">
        <v>4799</v>
      </c>
      <c r="S1994" t="s">
        <v>20</v>
      </c>
    </row>
    <row r="1995" spans="1:19" x14ac:dyDescent="0.45">
      <c r="A1995" t="s">
        <v>501</v>
      </c>
      <c r="B1995" t="s">
        <v>10735</v>
      </c>
      <c r="C1995" t="s">
        <v>3823</v>
      </c>
      <c r="D1995" t="s">
        <v>3824</v>
      </c>
      <c r="E1995" t="s">
        <v>38</v>
      </c>
      <c r="F1995" t="s">
        <v>2787</v>
      </c>
      <c r="G1995" t="s">
        <v>23</v>
      </c>
      <c r="H1995" t="s">
        <v>8984</v>
      </c>
      <c r="I1995" t="s">
        <v>9591</v>
      </c>
      <c r="J1995" t="s">
        <v>9592</v>
      </c>
      <c r="K1995" t="s">
        <v>9593</v>
      </c>
      <c r="L1995" t="s">
        <v>2769</v>
      </c>
      <c r="M1995" t="s">
        <v>2100</v>
      </c>
      <c r="N1995" t="s">
        <v>1224</v>
      </c>
      <c r="O1995" t="s">
        <v>4798</v>
      </c>
      <c r="P1995" t="s">
        <v>2769</v>
      </c>
      <c r="Q1995" t="s">
        <v>20</v>
      </c>
      <c r="R1995" t="s">
        <v>4799</v>
      </c>
      <c r="S1995" t="s">
        <v>20</v>
      </c>
    </row>
    <row r="1996" spans="1:19" x14ac:dyDescent="0.45">
      <c r="A1996" t="s">
        <v>413</v>
      </c>
      <c r="B1996" t="s">
        <v>20</v>
      </c>
      <c r="C1996" t="s">
        <v>896</v>
      </c>
      <c r="D1996" t="s">
        <v>897</v>
      </c>
      <c r="E1996" t="s">
        <v>2487</v>
      </c>
      <c r="F1996" t="s">
        <v>11633</v>
      </c>
      <c r="G1996" t="s">
        <v>23</v>
      </c>
      <c r="H1996" t="s">
        <v>7170</v>
      </c>
      <c r="I1996" t="s">
        <v>7171</v>
      </c>
      <c r="J1996" t="s">
        <v>7172</v>
      </c>
      <c r="K1996" t="s">
        <v>7173</v>
      </c>
      <c r="L1996" t="s">
        <v>6521</v>
      </c>
      <c r="M1996" t="s">
        <v>112</v>
      </c>
      <c r="N1996" t="s">
        <v>119</v>
      </c>
      <c r="O1996" t="s">
        <v>4798</v>
      </c>
      <c r="P1996" t="s">
        <v>8377</v>
      </c>
      <c r="Q1996" t="s">
        <v>20</v>
      </c>
      <c r="R1996" t="s">
        <v>4799</v>
      </c>
      <c r="S1996" t="s">
        <v>20</v>
      </c>
    </row>
    <row r="1997" spans="1:19" x14ac:dyDescent="0.45">
      <c r="A1997" t="s">
        <v>413</v>
      </c>
      <c r="B1997" t="s">
        <v>20</v>
      </c>
      <c r="C1997" t="s">
        <v>896</v>
      </c>
      <c r="D1997" t="s">
        <v>897</v>
      </c>
      <c r="E1997" t="s">
        <v>38</v>
      </c>
      <c r="F1997" t="s">
        <v>2755</v>
      </c>
      <c r="G1997" t="s">
        <v>23</v>
      </c>
      <c r="H1997" t="s">
        <v>9009</v>
      </c>
      <c r="I1997" t="s">
        <v>9183</v>
      </c>
      <c r="J1997" t="s">
        <v>9184</v>
      </c>
      <c r="K1997" t="s">
        <v>9185</v>
      </c>
      <c r="L1997" t="s">
        <v>7506</v>
      </c>
      <c r="M1997" t="s">
        <v>112</v>
      </c>
      <c r="N1997" t="s">
        <v>119</v>
      </c>
      <c r="O1997" t="s">
        <v>4798</v>
      </c>
      <c r="P1997" t="s">
        <v>8377</v>
      </c>
      <c r="Q1997" t="s">
        <v>20</v>
      </c>
      <c r="R1997" t="s">
        <v>4799</v>
      </c>
      <c r="S1997" t="s">
        <v>20</v>
      </c>
    </row>
    <row r="1998" spans="1:19" x14ac:dyDescent="0.45">
      <c r="A1998" t="s">
        <v>6989</v>
      </c>
      <c r="B1998" t="s">
        <v>9485</v>
      </c>
      <c r="C1998" t="s">
        <v>1366</v>
      </c>
      <c r="D1998" t="s">
        <v>1367</v>
      </c>
      <c r="E1998" t="s">
        <v>38</v>
      </c>
      <c r="F1998" t="s">
        <v>3062</v>
      </c>
      <c r="G1998" t="s">
        <v>23</v>
      </c>
      <c r="H1998" t="s">
        <v>9486</v>
      </c>
      <c r="I1998" t="s">
        <v>9487</v>
      </c>
      <c r="J1998" t="s">
        <v>9488</v>
      </c>
      <c r="K1998" t="s">
        <v>9489</v>
      </c>
      <c r="L1998" t="s">
        <v>6521</v>
      </c>
      <c r="M1998" t="s">
        <v>112</v>
      </c>
      <c r="N1998" t="s">
        <v>146</v>
      </c>
      <c r="O1998" t="s">
        <v>4798</v>
      </c>
      <c r="P1998" t="s">
        <v>6521</v>
      </c>
      <c r="Q1998" t="s">
        <v>20</v>
      </c>
      <c r="R1998" t="s">
        <v>4799</v>
      </c>
      <c r="S1998" t="s">
        <v>20</v>
      </c>
    </row>
    <row r="1999" spans="1:19" x14ac:dyDescent="0.45">
      <c r="A1999" t="s">
        <v>120</v>
      </c>
      <c r="B1999" t="s">
        <v>20</v>
      </c>
      <c r="C1999" t="s">
        <v>1119</v>
      </c>
      <c r="D1999" t="s">
        <v>1120</v>
      </c>
      <c r="E1999" t="s">
        <v>38</v>
      </c>
      <c r="F1999" t="s">
        <v>2787</v>
      </c>
      <c r="G1999" t="s">
        <v>23</v>
      </c>
      <c r="H1999" t="s">
        <v>8946</v>
      </c>
      <c r="I1999" t="s">
        <v>9247</v>
      </c>
      <c r="J1999" t="s">
        <v>9248</v>
      </c>
      <c r="K1999" t="s">
        <v>9249</v>
      </c>
      <c r="L1999" t="s">
        <v>8377</v>
      </c>
      <c r="M1999" t="s">
        <v>32</v>
      </c>
      <c r="N1999" t="s">
        <v>9484</v>
      </c>
      <c r="O1999" t="s">
        <v>4798</v>
      </c>
      <c r="P1999" t="s">
        <v>8377</v>
      </c>
      <c r="Q1999" t="s">
        <v>20</v>
      </c>
      <c r="R1999" t="s">
        <v>4799</v>
      </c>
      <c r="S1999" t="s">
        <v>11892</v>
      </c>
    </row>
    <row r="2000" spans="1:19" x14ac:dyDescent="0.45">
      <c r="A2000" t="s">
        <v>386</v>
      </c>
      <c r="B2000" t="s">
        <v>8278</v>
      </c>
      <c r="C2000" t="s">
        <v>1251</v>
      </c>
      <c r="D2000" t="s">
        <v>1252</v>
      </c>
      <c r="E2000" t="s">
        <v>21</v>
      </c>
      <c r="F2000" t="s">
        <v>3062</v>
      </c>
      <c r="G2000" t="s">
        <v>23</v>
      </c>
      <c r="H2000" t="s">
        <v>8279</v>
      </c>
      <c r="I2000" t="s">
        <v>8280</v>
      </c>
      <c r="J2000" t="s">
        <v>8281</v>
      </c>
      <c r="K2000" t="s">
        <v>8282</v>
      </c>
      <c r="L2000" t="s">
        <v>902</v>
      </c>
      <c r="M2000" t="s">
        <v>3145</v>
      </c>
      <c r="N2000" t="s">
        <v>12413</v>
      </c>
      <c r="O2000" t="s">
        <v>4798</v>
      </c>
      <c r="P2000" t="s">
        <v>6525</v>
      </c>
      <c r="Q2000" t="s">
        <v>20</v>
      </c>
      <c r="R2000" t="s">
        <v>4799</v>
      </c>
      <c r="S2000" t="s">
        <v>20</v>
      </c>
    </row>
    <row r="2001" spans="1:19" x14ac:dyDescent="0.45">
      <c r="A2001" t="s">
        <v>35</v>
      </c>
      <c r="B2001" t="s">
        <v>6751</v>
      </c>
      <c r="C2001" t="s">
        <v>449</v>
      </c>
      <c r="D2001" t="s">
        <v>450</v>
      </c>
      <c r="E2001" t="s">
        <v>21</v>
      </c>
      <c r="F2001" t="s">
        <v>2948</v>
      </c>
      <c r="G2001" t="s">
        <v>23</v>
      </c>
      <c r="H2001" t="s">
        <v>6465</v>
      </c>
      <c r="I2001" t="s">
        <v>6752</v>
      </c>
      <c r="J2001" t="s">
        <v>6753</v>
      </c>
      <c r="K2001" t="s">
        <v>6754</v>
      </c>
      <c r="L2001" t="s">
        <v>290</v>
      </c>
      <c r="M2001" t="s">
        <v>44</v>
      </c>
      <c r="N2001" t="s">
        <v>45</v>
      </c>
      <c r="O2001" t="s">
        <v>4798</v>
      </c>
      <c r="P2001" t="s">
        <v>290</v>
      </c>
      <c r="Q2001" t="s">
        <v>20</v>
      </c>
      <c r="R2001" t="s">
        <v>4799</v>
      </c>
      <c r="S2001" t="s">
        <v>20</v>
      </c>
    </row>
    <row r="2002" spans="1:19" x14ac:dyDescent="0.45">
      <c r="A2002" t="s">
        <v>19</v>
      </c>
      <c r="B2002" t="s">
        <v>6776</v>
      </c>
      <c r="C2002" t="s">
        <v>6777</v>
      </c>
      <c r="D2002" t="s">
        <v>6188</v>
      </c>
      <c r="E2002" t="s">
        <v>57</v>
      </c>
      <c r="F2002" t="s">
        <v>2795</v>
      </c>
      <c r="G2002" t="s">
        <v>23</v>
      </c>
      <c r="H2002" t="s">
        <v>6778</v>
      </c>
      <c r="I2002" t="s">
        <v>6779</v>
      </c>
      <c r="J2002" t="s">
        <v>6780</v>
      </c>
      <c r="K2002" t="s">
        <v>6781</v>
      </c>
      <c r="L2002" t="s">
        <v>902</v>
      </c>
      <c r="M2002" t="s">
        <v>112</v>
      </c>
      <c r="N2002" t="s">
        <v>33</v>
      </c>
      <c r="O2002" t="s">
        <v>4798</v>
      </c>
      <c r="P2002" t="s">
        <v>290</v>
      </c>
      <c r="Q2002" t="s">
        <v>20</v>
      </c>
      <c r="R2002" t="s">
        <v>4799</v>
      </c>
      <c r="S2002" t="s">
        <v>20</v>
      </c>
    </row>
    <row r="2003" spans="1:19" x14ac:dyDescent="0.45">
      <c r="A2003" t="s">
        <v>79</v>
      </c>
      <c r="B2003" t="s">
        <v>20</v>
      </c>
      <c r="C2003" t="s">
        <v>1195</v>
      </c>
      <c r="D2003" t="s">
        <v>1196</v>
      </c>
      <c r="E2003" t="s">
        <v>38</v>
      </c>
      <c r="F2003" t="s">
        <v>2785</v>
      </c>
      <c r="G2003" t="s">
        <v>23</v>
      </c>
      <c r="H2003" t="s">
        <v>5015</v>
      </c>
      <c r="I2003" t="s">
        <v>5016</v>
      </c>
      <c r="J2003" t="s">
        <v>5017</v>
      </c>
      <c r="K2003" t="s">
        <v>5018</v>
      </c>
      <c r="L2003" t="s">
        <v>296</v>
      </c>
      <c r="M2003" t="s">
        <v>112</v>
      </c>
      <c r="N2003" t="s">
        <v>119</v>
      </c>
      <c r="O2003" t="s">
        <v>4798</v>
      </c>
      <c r="P2003" t="s">
        <v>43</v>
      </c>
      <c r="Q2003" t="s">
        <v>20</v>
      </c>
      <c r="R2003" t="s">
        <v>4799</v>
      </c>
      <c r="S2003" t="s">
        <v>4901</v>
      </c>
    </row>
    <row r="2004" spans="1:19" x14ac:dyDescent="0.45">
      <c r="A2004" t="s">
        <v>46</v>
      </c>
      <c r="B2004" t="s">
        <v>11662</v>
      </c>
      <c r="C2004" t="s">
        <v>3409</v>
      </c>
      <c r="D2004" t="s">
        <v>3410</v>
      </c>
      <c r="E2004" t="s">
        <v>38</v>
      </c>
      <c r="F2004" t="s">
        <v>2898</v>
      </c>
      <c r="G2004" t="s">
        <v>23</v>
      </c>
      <c r="H2004" t="s">
        <v>6813</v>
      </c>
      <c r="I2004" t="s">
        <v>6814</v>
      </c>
      <c r="J2004" t="s">
        <v>10296</v>
      </c>
      <c r="K2004" t="s">
        <v>10297</v>
      </c>
      <c r="L2004" t="s">
        <v>8377</v>
      </c>
      <c r="M2004" t="s">
        <v>112</v>
      </c>
      <c r="N2004" t="s">
        <v>119</v>
      </c>
      <c r="O2004" t="s">
        <v>4798</v>
      </c>
      <c r="P2004" t="s">
        <v>8109</v>
      </c>
      <c r="Q2004" t="s">
        <v>20</v>
      </c>
      <c r="R2004" t="s">
        <v>4799</v>
      </c>
      <c r="S2004" t="s">
        <v>10294</v>
      </c>
    </row>
    <row r="2005" spans="1:19" x14ac:dyDescent="0.45">
      <c r="A2005" t="s">
        <v>715</v>
      </c>
      <c r="B2005" t="s">
        <v>11224</v>
      </c>
      <c r="C2005" t="s">
        <v>716</v>
      </c>
      <c r="D2005" t="s">
        <v>717</v>
      </c>
      <c r="E2005" t="s">
        <v>38</v>
      </c>
      <c r="F2005" t="s">
        <v>2863</v>
      </c>
      <c r="G2005" t="s">
        <v>23</v>
      </c>
      <c r="H2005" t="s">
        <v>1676</v>
      </c>
      <c r="I2005" t="s">
        <v>1677</v>
      </c>
      <c r="J2005" t="s">
        <v>1678</v>
      </c>
      <c r="K2005" t="s">
        <v>1679</v>
      </c>
      <c r="L2005" t="s">
        <v>9619</v>
      </c>
      <c r="M2005" t="s">
        <v>102</v>
      </c>
      <c r="N2005" t="s">
        <v>33</v>
      </c>
      <c r="O2005" t="s">
        <v>4798</v>
      </c>
      <c r="P2005" t="s">
        <v>111</v>
      </c>
      <c r="Q2005" t="s">
        <v>20</v>
      </c>
      <c r="R2005" t="s">
        <v>4799</v>
      </c>
      <c r="S2005" t="s">
        <v>20</v>
      </c>
    </row>
    <row r="2006" spans="1:19" x14ac:dyDescent="0.45">
      <c r="A2006" t="s">
        <v>715</v>
      </c>
      <c r="B2006" t="s">
        <v>11209</v>
      </c>
      <c r="C2006" t="s">
        <v>716</v>
      </c>
      <c r="D2006" t="s">
        <v>717</v>
      </c>
      <c r="E2006" t="s">
        <v>38</v>
      </c>
      <c r="F2006" t="s">
        <v>2755</v>
      </c>
      <c r="G2006" t="s">
        <v>23</v>
      </c>
      <c r="H2006" t="s">
        <v>1926</v>
      </c>
      <c r="I2006" t="s">
        <v>1927</v>
      </c>
      <c r="J2006" t="s">
        <v>1928</v>
      </c>
      <c r="K2006" t="s">
        <v>1929</v>
      </c>
      <c r="L2006" t="s">
        <v>9619</v>
      </c>
      <c r="M2006" t="s">
        <v>112</v>
      </c>
      <c r="N2006" t="s">
        <v>33</v>
      </c>
      <c r="O2006" t="s">
        <v>4798</v>
      </c>
      <c r="P2006" t="s">
        <v>111</v>
      </c>
      <c r="Q2006" t="s">
        <v>20</v>
      </c>
      <c r="R2006" t="s">
        <v>4799</v>
      </c>
      <c r="S2006" t="s">
        <v>20</v>
      </c>
    </row>
    <row r="2007" spans="1:19" x14ac:dyDescent="0.45">
      <c r="A2007" t="s">
        <v>79</v>
      </c>
      <c r="B2007" t="s">
        <v>12406</v>
      </c>
      <c r="C2007" t="s">
        <v>1862</v>
      </c>
      <c r="D2007" t="s">
        <v>1863</v>
      </c>
      <c r="E2007" t="s">
        <v>29</v>
      </c>
      <c r="F2007" t="s">
        <v>2795</v>
      </c>
      <c r="G2007" t="s">
        <v>23</v>
      </c>
      <c r="H2007" t="s">
        <v>1864</v>
      </c>
      <c r="I2007" t="s">
        <v>1865</v>
      </c>
      <c r="J2007" t="s">
        <v>1866</v>
      </c>
      <c r="K2007" t="s">
        <v>1867</v>
      </c>
      <c r="L2007" t="s">
        <v>6523</v>
      </c>
      <c r="M2007" t="s">
        <v>112</v>
      </c>
      <c r="N2007" t="s">
        <v>119</v>
      </c>
      <c r="O2007" t="s">
        <v>4798</v>
      </c>
      <c r="P2007" t="s">
        <v>8377</v>
      </c>
      <c r="Q2007" t="s">
        <v>20</v>
      </c>
      <c r="R2007" t="s">
        <v>4799</v>
      </c>
      <c r="S2007" t="s">
        <v>20</v>
      </c>
    </row>
    <row r="2008" spans="1:19" x14ac:dyDescent="0.45">
      <c r="A2008" t="s">
        <v>19</v>
      </c>
      <c r="B2008" t="s">
        <v>13379</v>
      </c>
      <c r="C2008" t="s">
        <v>3883</v>
      </c>
      <c r="D2008" t="s">
        <v>3884</v>
      </c>
      <c r="E2008" t="s">
        <v>38</v>
      </c>
      <c r="F2008" t="s">
        <v>2831</v>
      </c>
      <c r="G2008" t="s">
        <v>23</v>
      </c>
      <c r="H2008" t="s">
        <v>12648</v>
      </c>
      <c r="I2008" t="s">
        <v>12649</v>
      </c>
      <c r="J2008" t="s">
        <v>12650</v>
      </c>
      <c r="K2008" t="s">
        <v>12651</v>
      </c>
      <c r="L2008" t="s">
        <v>6527</v>
      </c>
      <c r="M2008" t="s">
        <v>112</v>
      </c>
      <c r="N2008" t="s">
        <v>33</v>
      </c>
      <c r="O2008" t="s">
        <v>4798</v>
      </c>
      <c r="P2008" t="s">
        <v>6524</v>
      </c>
      <c r="Q2008" t="s">
        <v>20</v>
      </c>
      <c r="R2008" t="s">
        <v>4799</v>
      </c>
      <c r="S2008" t="s">
        <v>20</v>
      </c>
    </row>
    <row r="2009" spans="1:19" x14ac:dyDescent="0.45">
      <c r="A2009" t="s">
        <v>261</v>
      </c>
      <c r="B2009" t="s">
        <v>3360</v>
      </c>
      <c r="C2009" t="s">
        <v>1462</v>
      </c>
      <c r="D2009" t="s">
        <v>1463</v>
      </c>
      <c r="E2009" t="s">
        <v>38</v>
      </c>
      <c r="F2009" t="s">
        <v>2755</v>
      </c>
      <c r="G2009" t="s">
        <v>23</v>
      </c>
      <c r="H2009" t="s">
        <v>3361</v>
      </c>
      <c r="I2009" t="s">
        <v>3362</v>
      </c>
      <c r="J2009" t="s">
        <v>3363</v>
      </c>
      <c r="K2009" t="s">
        <v>3364</v>
      </c>
      <c r="L2009" t="s">
        <v>214</v>
      </c>
      <c r="M2009" t="s">
        <v>112</v>
      </c>
      <c r="N2009" t="s">
        <v>33</v>
      </c>
      <c r="O2009" t="s">
        <v>4798</v>
      </c>
      <c r="P2009" t="s">
        <v>296</v>
      </c>
      <c r="Q2009" t="s">
        <v>20</v>
      </c>
      <c r="R2009" t="s">
        <v>4799</v>
      </c>
      <c r="S2009" t="s">
        <v>20</v>
      </c>
    </row>
    <row r="2010" spans="1:19" x14ac:dyDescent="0.45">
      <c r="A2010" t="s">
        <v>35</v>
      </c>
      <c r="B2010" t="s">
        <v>2730</v>
      </c>
      <c r="C2010" t="s">
        <v>2731</v>
      </c>
      <c r="D2010" t="s">
        <v>2732</v>
      </c>
      <c r="E2010" t="s">
        <v>38</v>
      </c>
      <c r="F2010" t="s">
        <v>2722</v>
      </c>
      <c r="G2010" t="s">
        <v>23</v>
      </c>
      <c r="H2010" t="s">
        <v>2733</v>
      </c>
      <c r="I2010" t="s">
        <v>2734</v>
      </c>
      <c r="J2010" t="s">
        <v>2735</v>
      </c>
      <c r="K2010" t="s">
        <v>2736</v>
      </c>
      <c r="L2010" t="s">
        <v>635</v>
      </c>
      <c r="M2010" t="s">
        <v>1223</v>
      </c>
      <c r="N2010" t="s">
        <v>33</v>
      </c>
      <c r="O2010" t="s">
        <v>4798</v>
      </c>
      <c r="P2010" t="s">
        <v>635</v>
      </c>
      <c r="Q2010" t="s">
        <v>20</v>
      </c>
      <c r="R2010" t="s">
        <v>4799</v>
      </c>
      <c r="S2010" t="s">
        <v>20</v>
      </c>
    </row>
    <row r="2011" spans="1:19" x14ac:dyDescent="0.45">
      <c r="A2011" t="s">
        <v>104</v>
      </c>
      <c r="B2011" t="s">
        <v>8704</v>
      </c>
      <c r="C2011" t="s">
        <v>936</v>
      </c>
      <c r="D2011" t="s">
        <v>937</v>
      </c>
      <c r="E2011" t="s">
        <v>38</v>
      </c>
      <c r="F2011" t="s">
        <v>4071</v>
      </c>
      <c r="G2011" t="s">
        <v>23</v>
      </c>
      <c r="H2011" t="s">
        <v>938</v>
      </c>
      <c r="I2011" t="s">
        <v>939</v>
      </c>
      <c r="J2011" t="s">
        <v>940</v>
      </c>
      <c r="K2011" t="s">
        <v>941</v>
      </c>
      <c r="L2011" t="s">
        <v>31</v>
      </c>
      <c r="M2011" t="s">
        <v>2953</v>
      </c>
      <c r="N2011" t="s">
        <v>33</v>
      </c>
      <c r="O2011" t="s">
        <v>4798</v>
      </c>
      <c r="P2011" t="s">
        <v>902</v>
      </c>
      <c r="Q2011" t="s">
        <v>20</v>
      </c>
      <c r="R2011" t="s">
        <v>4799</v>
      </c>
      <c r="S2011" t="s">
        <v>942</v>
      </c>
    </row>
    <row r="2012" spans="1:19" x14ac:dyDescent="0.45">
      <c r="A2012" t="s">
        <v>869</v>
      </c>
      <c r="B2012" t="s">
        <v>4896</v>
      </c>
      <c r="C2012" t="s">
        <v>2583</v>
      </c>
      <c r="D2012" t="s">
        <v>2584</v>
      </c>
      <c r="E2012" t="s">
        <v>38</v>
      </c>
      <c r="F2012" t="s">
        <v>2785</v>
      </c>
      <c r="G2012" t="s">
        <v>23</v>
      </c>
      <c r="H2012" t="s">
        <v>4897</v>
      </c>
      <c r="I2012" t="s">
        <v>4898</v>
      </c>
      <c r="J2012" t="s">
        <v>4899</v>
      </c>
      <c r="K2012" t="s">
        <v>4900</v>
      </c>
      <c r="L2012" t="s">
        <v>1125</v>
      </c>
      <c r="M2012" t="s">
        <v>538</v>
      </c>
      <c r="N2012" t="s">
        <v>1224</v>
      </c>
      <c r="O2012" t="s">
        <v>4798</v>
      </c>
      <c r="P2012" t="s">
        <v>118</v>
      </c>
      <c r="Q2012" t="s">
        <v>20</v>
      </c>
      <c r="R2012" t="s">
        <v>4799</v>
      </c>
      <c r="S2012" t="s">
        <v>4901</v>
      </c>
    </row>
    <row r="2013" spans="1:19" x14ac:dyDescent="0.45">
      <c r="A2013" t="s">
        <v>869</v>
      </c>
      <c r="B2013" t="s">
        <v>11663</v>
      </c>
      <c r="C2013" t="s">
        <v>2583</v>
      </c>
      <c r="D2013" t="s">
        <v>2584</v>
      </c>
      <c r="E2013" t="s">
        <v>38</v>
      </c>
      <c r="F2013" t="s">
        <v>2785</v>
      </c>
      <c r="G2013" t="s">
        <v>23</v>
      </c>
      <c r="H2013" t="s">
        <v>9544</v>
      </c>
      <c r="I2013" t="s">
        <v>9565</v>
      </c>
      <c r="J2013" t="s">
        <v>10816</v>
      </c>
      <c r="K2013" t="s">
        <v>10817</v>
      </c>
      <c r="L2013" t="s">
        <v>2769</v>
      </c>
      <c r="M2013" t="s">
        <v>112</v>
      </c>
      <c r="N2013" t="s">
        <v>146</v>
      </c>
      <c r="O2013" t="s">
        <v>4798</v>
      </c>
      <c r="P2013" t="s">
        <v>8109</v>
      </c>
      <c r="Q2013" t="s">
        <v>20</v>
      </c>
      <c r="R2013" t="s">
        <v>4799</v>
      </c>
      <c r="S2013" t="s">
        <v>20</v>
      </c>
    </row>
    <row r="2014" spans="1:19" x14ac:dyDescent="0.45">
      <c r="A2014" t="s">
        <v>335</v>
      </c>
      <c r="B2014" t="s">
        <v>3567</v>
      </c>
      <c r="C2014" t="s">
        <v>956</v>
      </c>
      <c r="D2014" t="s">
        <v>957</v>
      </c>
      <c r="E2014" t="s">
        <v>38</v>
      </c>
      <c r="F2014" t="s">
        <v>3568</v>
      </c>
      <c r="G2014" t="s">
        <v>23</v>
      </c>
      <c r="H2014" t="s">
        <v>3569</v>
      </c>
      <c r="I2014" t="s">
        <v>3570</v>
      </c>
      <c r="J2014" t="s">
        <v>3571</v>
      </c>
      <c r="K2014" t="s">
        <v>3572</v>
      </c>
      <c r="L2014" t="s">
        <v>296</v>
      </c>
      <c r="M2014" t="s">
        <v>112</v>
      </c>
      <c r="N2014" t="s">
        <v>33</v>
      </c>
      <c r="O2014" t="s">
        <v>4798</v>
      </c>
      <c r="P2014" t="s">
        <v>635</v>
      </c>
      <c r="Q2014" t="s">
        <v>20</v>
      </c>
      <c r="R2014" t="s">
        <v>4799</v>
      </c>
      <c r="S2014" t="s">
        <v>20</v>
      </c>
    </row>
    <row r="2015" spans="1:19" x14ac:dyDescent="0.45">
      <c r="A2015" t="s">
        <v>335</v>
      </c>
      <c r="B2015" t="s">
        <v>6755</v>
      </c>
      <c r="C2015" t="s">
        <v>956</v>
      </c>
      <c r="D2015" t="s">
        <v>957</v>
      </c>
      <c r="E2015" t="s">
        <v>38</v>
      </c>
      <c r="F2015" t="s">
        <v>2795</v>
      </c>
      <c r="G2015" t="s">
        <v>23</v>
      </c>
      <c r="H2015" t="s">
        <v>958</v>
      </c>
      <c r="I2015" t="s">
        <v>959</v>
      </c>
      <c r="J2015" t="s">
        <v>960</v>
      </c>
      <c r="K2015" t="s">
        <v>961</v>
      </c>
      <c r="L2015" t="s">
        <v>101</v>
      </c>
      <c r="M2015" t="s">
        <v>112</v>
      </c>
      <c r="N2015" t="s">
        <v>146</v>
      </c>
      <c r="O2015" t="s">
        <v>4798</v>
      </c>
      <c r="P2015" t="s">
        <v>290</v>
      </c>
      <c r="Q2015" t="s">
        <v>20</v>
      </c>
      <c r="R2015" t="s">
        <v>4799</v>
      </c>
      <c r="S2015" t="s">
        <v>20</v>
      </c>
    </row>
    <row r="2016" spans="1:19" x14ac:dyDescent="0.45">
      <c r="A2016" t="s">
        <v>335</v>
      </c>
      <c r="B2016" t="s">
        <v>20</v>
      </c>
      <c r="C2016" t="s">
        <v>956</v>
      </c>
      <c r="D2016" t="s">
        <v>957</v>
      </c>
      <c r="E2016" t="s">
        <v>38</v>
      </c>
      <c r="F2016" t="s">
        <v>14319</v>
      </c>
      <c r="G2016" t="s">
        <v>23</v>
      </c>
      <c r="H2016" t="s">
        <v>1453</v>
      </c>
      <c r="I2016" t="s">
        <v>1454</v>
      </c>
      <c r="J2016" t="s">
        <v>1455</v>
      </c>
      <c r="K2016" t="s">
        <v>1456</v>
      </c>
      <c r="L2016" t="s">
        <v>6522</v>
      </c>
      <c r="M2016" t="s">
        <v>102</v>
      </c>
      <c r="N2016" t="s">
        <v>33</v>
      </c>
      <c r="O2016" t="s">
        <v>4798</v>
      </c>
      <c r="P2016" t="s">
        <v>53</v>
      </c>
      <c r="Q2016" t="s">
        <v>20</v>
      </c>
      <c r="R2016" t="s">
        <v>4799</v>
      </c>
      <c r="S2016" t="s">
        <v>20</v>
      </c>
    </row>
    <row r="2017" spans="1:19" x14ac:dyDescent="0.45">
      <c r="A2017" t="s">
        <v>425</v>
      </c>
      <c r="B2017" t="s">
        <v>20</v>
      </c>
      <c r="C2017" t="s">
        <v>1969</v>
      </c>
      <c r="D2017" t="s">
        <v>1970</v>
      </c>
      <c r="E2017" t="s">
        <v>21</v>
      </c>
      <c r="F2017" t="s">
        <v>3062</v>
      </c>
      <c r="G2017" t="s">
        <v>23</v>
      </c>
      <c r="H2017" t="s">
        <v>10061</v>
      </c>
      <c r="I2017" t="s">
        <v>9986</v>
      </c>
      <c r="J2017" t="s">
        <v>10062</v>
      </c>
      <c r="K2017" t="s">
        <v>10063</v>
      </c>
      <c r="L2017" t="s">
        <v>6525</v>
      </c>
      <c r="M2017" t="s">
        <v>6932</v>
      </c>
      <c r="N2017" t="s">
        <v>33</v>
      </c>
      <c r="O2017" t="s">
        <v>4798</v>
      </c>
      <c r="P2017" t="s">
        <v>2769</v>
      </c>
      <c r="Q2017" t="s">
        <v>20</v>
      </c>
      <c r="R2017" t="s">
        <v>4799</v>
      </c>
      <c r="S2017" t="s">
        <v>10295</v>
      </c>
    </row>
    <row r="2018" spans="1:19" x14ac:dyDescent="0.45">
      <c r="A2018" t="s">
        <v>1043</v>
      </c>
      <c r="B2018" t="s">
        <v>3430</v>
      </c>
      <c r="C2018" t="s">
        <v>2954</v>
      </c>
      <c r="D2018" t="s">
        <v>2955</v>
      </c>
      <c r="E2018" t="s">
        <v>38</v>
      </c>
      <c r="F2018" t="s">
        <v>14714</v>
      </c>
      <c r="G2018" t="s">
        <v>23</v>
      </c>
      <c r="H2018" t="s">
        <v>3431</v>
      </c>
      <c r="I2018" t="s">
        <v>899</v>
      </c>
      <c r="J2018" t="s">
        <v>3432</v>
      </c>
      <c r="K2018" t="s">
        <v>3433</v>
      </c>
      <c r="L2018" t="s">
        <v>168</v>
      </c>
      <c r="M2018" t="s">
        <v>132</v>
      </c>
      <c r="N2018" t="s">
        <v>9484</v>
      </c>
      <c r="O2018" t="s">
        <v>4798</v>
      </c>
      <c r="P2018" t="s">
        <v>722</v>
      </c>
      <c r="Q2018" t="s">
        <v>20</v>
      </c>
      <c r="R2018" t="s">
        <v>4799</v>
      </c>
      <c r="S2018" t="s">
        <v>10302</v>
      </c>
    </row>
    <row r="2019" spans="1:19" x14ac:dyDescent="0.45">
      <c r="A2019" t="s">
        <v>6989</v>
      </c>
      <c r="B2019" t="s">
        <v>9522</v>
      </c>
      <c r="C2019" t="s">
        <v>223</v>
      </c>
      <c r="D2019" t="s">
        <v>224</v>
      </c>
      <c r="E2019" t="s">
        <v>38</v>
      </c>
      <c r="F2019" t="s">
        <v>2948</v>
      </c>
      <c r="G2019" t="s">
        <v>23</v>
      </c>
      <c r="H2019" t="s">
        <v>9523</v>
      </c>
      <c r="I2019" t="s">
        <v>9524</v>
      </c>
      <c r="J2019" t="s">
        <v>9525</v>
      </c>
      <c r="K2019" t="s">
        <v>9526</v>
      </c>
      <c r="L2019" t="s">
        <v>7506</v>
      </c>
      <c r="M2019" t="s">
        <v>112</v>
      </c>
      <c r="N2019" t="s">
        <v>146</v>
      </c>
      <c r="O2019" t="s">
        <v>4798</v>
      </c>
      <c r="P2019" t="s">
        <v>6513</v>
      </c>
      <c r="Q2019" t="s">
        <v>20</v>
      </c>
      <c r="R2019" t="s">
        <v>4799</v>
      </c>
      <c r="S2019" t="s">
        <v>20</v>
      </c>
    </row>
    <row r="2020" spans="1:19" x14ac:dyDescent="0.45">
      <c r="A2020" t="s">
        <v>592</v>
      </c>
      <c r="B2020" t="s">
        <v>11652</v>
      </c>
      <c r="C2020" t="s">
        <v>3416</v>
      </c>
      <c r="D2020" t="s">
        <v>3417</v>
      </c>
      <c r="E2020" t="s">
        <v>38</v>
      </c>
      <c r="F2020" t="s">
        <v>2722</v>
      </c>
      <c r="G2020" t="s">
        <v>23</v>
      </c>
      <c r="H2020" t="s">
        <v>10325</v>
      </c>
      <c r="I2020" t="s">
        <v>10326</v>
      </c>
      <c r="J2020" t="s">
        <v>10843</v>
      </c>
      <c r="K2020" t="s">
        <v>10844</v>
      </c>
      <c r="L2020" t="s">
        <v>10764</v>
      </c>
      <c r="M2020" t="s">
        <v>112</v>
      </c>
      <c r="N2020" t="s">
        <v>62</v>
      </c>
      <c r="O2020" t="s">
        <v>4798</v>
      </c>
      <c r="P2020" t="s">
        <v>8109</v>
      </c>
      <c r="Q2020" t="s">
        <v>20</v>
      </c>
      <c r="R2020" t="s">
        <v>4799</v>
      </c>
      <c r="S2020" t="s">
        <v>20</v>
      </c>
    </row>
    <row r="2021" spans="1:19" x14ac:dyDescent="0.45">
      <c r="A2021" t="s">
        <v>358</v>
      </c>
      <c r="B2021" t="s">
        <v>13033</v>
      </c>
      <c r="C2021" t="s">
        <v>2256</v>
      </c>
      <c r="D2021" t="s">
        <v>2257</v>
      </c>
      <c r="E2021" t="s">
        <v>38</v>
      </c>
      <c r="F2021" t="s">
        <v>2795</v>
      </c>
      <c r="G2021" t="s">
        <v>23</v>
      </c>
      <c r="H2021" t="s">
        <v>2258</v>
      </c>
      <c r="I2021" t="s">
        <v>2259</v>
      </c>
      <c r="J2021" t="s">
        <v>2260</v>
      </c>
      <c r="K2021" t="s">
        <v>2261</v>
      </c>
      <c r="L2021" t="s">
        <v>101</v>
      </c>
      <c r="M2021" t="s">
        <v>112</v>
      </c>
      <c r="N2021" t="s">
        <v>146</v>
      </c>
      <c r="O2021" t="s">
        <v>4798</v>
      </c>
      <c r="P2021" t="s">
        <v>6524</v>
      </c>
      <c r="Q2021" t="s">
        <v>20</v>
      </c>
      <c r="R2021" t="s">
        <v>4799</v>
      </c>
      <c r="S2021" t="s">
        <v>20</v>
      </c>
    </row>
    <row r="2022" spans="1:19" x14ac:dyDescent="0.45">
      <c r="A2022" t="s">
        <v>869</v>
      </c>
      <c r="B2022" t="s">
        <v>9764</v>
      </c>
      <c r="C2022" t="s">
        <v>1126</v>
      </c>
      <c r="D2022" t="s">
        <v>1127</v>
      </c>
      <c r="E2022" t="s">
        <v>38</v>
      </c>
      <c r="F2022" t="s">
        <v>2831</v>
      </c>
      <c r="G2022" t="s">
        <v>23</v>
      </c>
      <c r="H2022" t="s">
        <v>9042</v>
      </c>
      <c r="I2022" t="s">
        <v>9196</v>
      </c>
      <c r="J2022" t="s">
        <v>9197</v>
      </c>
      <c r="K2022" t="s">
        <v>9198</v>
      </c>
      <c r="L2022" t="s">
        <v>2769</v>
      </c>
      <c r="M2022" t="s">
        <v>112</v>
      </c>
      <c r="N2022" t="s">
        <v>146</v>
      </c>
      <c r="O2022" t="s">
        <v>4798</v>
      </c>
      <c r="P2022" t="s">
        <v>6523</v>
      </c>
      <c r="Q2022" t="s">
        <v>20</v>
      </c>
      <c r="R2022" t="s">
        <v>9765</v>
      </c>
      <c r="S2022" t="s">
        <v>20</v>
      </c>
    </row>
    <row r="2023" spans="1:19" x14ac:dyDescent="0.45">
      <c r="A2023" t="s">
        <v>572</v>
      </c>
      <c r="B2023" t="s">
        <v>12374</v>
      </c>
      <c r="C2023" t="s">
        <v>3565</v>
      </c>
      <c r="D2023" t="s">
        <v>3566</v>
      </c>
      <c r="E2023" t="s">
        <v>38</v>
      </c>
      <c r="F2023" t="s">
        <v>12375</v>
      </c>
      <c r="G2023" t="s">
        <v>23</v>
      </c>
      <c r="H2023" t="s">
        <v>9927</v>
      </c>
      <c r="I2023" t="s">
        <v>9928</v>
      </c>
      <c r="J2023" t="s">
        <v>10280</v>
      </c>
      <c r="K2023" t="s">
        <v>10281</v>
      </c>
      <c r="L2023" t="s">
        <v>3418</v>
      </c>
      <c r="M2023" t="s">
        <v>112</v>
      </c>
      <c r="N2023" t="s">
        <v>33</v>
      </c>
      <c r="O2023" t="s">
        <v>4798</v>
      </c>
      <c r="P2023" t="s">
        <v>6522</v>
      </c>
      <c r="Q2023" t="s">
        <v>20</v>
      </c>
      <c r="R2023" t="s">
        <v>4799</v>
      </c>
      <c r="S2023" t="s">
        <v>9929</v>
      </c>
    </row>
    <row r="2024" spans="1:19" x14ac:dyDescent="0.45">
      <c r="A2024" t="s">
        <v>19</v>
      </c>
      <c r="B2024" t="s">
        <v>8363</v>
      </c>
      <c r="C2024" t="s">
        <v>2084</v>
      </c>
      <c r="D2024" t="s">
        <v>2085</v>
      </c>
      <c r="E2024" t="s">
        <v>38</v>
      </c>
      <c r="F2024" t="s">
        <v>3182</v>
      </c>
      <c r="G2024" t="s">
        <v>23</v>
      </c>
      <c r="H2024" t="s">
        <v>6455</v>
      </c>
      <c r="I2024" t="s">
        <v>6584</v>
      </c>
      <c r="J2024" t="s">
        <v>6585</v>
      </c>
      <c r="K2024" t="s">
        <v>6586</v>
      </c>
      <c r="L2024" t="s">
        <v>6523</v>
      </c>
      <c r="M2024" t="s">
        <v>438</v>
      </c>
      <c r="N2024" t="s">
        <v>33</v>
      </c>
      <c r="O2024" t="s">
        <v>4798</v>
      </c>
      <c r="P2024" t="s">
        <v>6523</v>
      </c>
      <c r="Q2024" t="s">
        <v>20</v>
      </c>
      <c r="R2024" t="s">
        <v>4799</v>
      </c>
      <c r="S2024" t="s">
        <v>10300</v>
      </c>
    </row>
    <row r="2025" spans="1:19" x14ac:dyDescent="0.45">
      <c r="A2025" t="s">
        <v>310</v>
      </c>
      <c r="B2025" t="s">
        <v>10106</v>
      </c>
      <c r="C2025" t="s">
        <v>910</v>
      </c>
      <c r="D2025" t="s">
        <v>911</v>
      </c>
      <c r="E2025" t="s">
        <v>21</v>
      </c>
      <c r="F2025" t="s">
        <v>2722</v>
      </c>
      <c r="G2025" t="s">
        <v>23</v>
      </c>
      <c r="H2025" t="s">
        <v>10107</v>
      </c>
      <c r="I2025" t="s">
        <v>10108</v>
      </c>
      <c r="J2025" t="s">
        <v>10109</v>
      </c>
      <c r="K2025" t="s">
        <v>10110</v>
      </c>
      <c r="L2025" t="s">
        <v>9126</v>
      </c>
      <c r="M2025" t="s">
        <v>3145</v>
      </c>
      <c r="N2025" t="s">
        <v>33</v>
      </c>
      <c r="O2025" t="s">
        <v>4798</v>
      </c>
      <c r="P2025" t="s">
        <v>2769</v>
      </c>
      <c r="Q2025" t="s">
        <v>20</v>
      </c>
      <c r="R2025" t="s">
        <v>4799</v>
      </c>
      <c r="S2025" t="s">
        <v>20</v>
      </c>
    </row>
    <row r="2026" spans="1:19" x14ac:dyDescent="0.45">
      <c r="A2026" t="s">
        <v>310</v>
      </c>
      <c r="B2026" t="s">
        <v>20</v>
      </c>
      <c r="C2026" t="s">
        <v>910</v>
      </c>
      <c r="D2026" t="s">
        <v>911</v>
      </c>
      <c r="E2026" t="s">
        <v>38</v>
      </c>
      <c r="F2026" t="s">
        <v>2948</v>
      </c>
      <c r="G2026" t="s">
        <v>23</v>
      </c>
      <c r="H2026" t="s">
        <v>10064</v>
      </c>
      <c r="I2026" t="s">
        <v>10065</v>
      </c>
      <c r="J2026" t="s">
        <v>10066</v>
      </c>
      <c r="K2026" t="s">
        <v>10067</v>
      </c>
      <c r="L2026" t="s">
        <v>8109</v>
      </c>
      <c r="M2026" t="s">
        <v>2953</v>
      </c>
      <c r="N2026" t="s">
        <v>33</v>
      </c>
      <c r="O2026" t="s">
        <v>4798</v>
      </c>
      <c r="P2026" t="s">
        <v>7506</v>
      </c>
      <c r="Q2026" t="s">
        <v>20</v>
      </c>
      <c r="R2026" t="s">
        <v>4799</v>
      </c>
      <c r="S2026" t="s">
        <v>10294</v>
      </c>
    </row>
    <row r="2027" spans="1:19" x14ac:dyDescent="0.45">
      <c r="A2027" t="s">
        <v>505</v>
      </c>
      <c r="B2027" t="s">
        <v>13052</v>
      </c>
      <c r="C2027" t="s">
        <v>6643</v>
      </c>
      <c r="D2027" t="s">
        <v>6283</v>
      </c>
      <c r="E2027" t="s">
        <v>38</v>
      </c>
      <c r="F2027" t="s">
        <v>2785</v>
      </c>
      <c r="G2027" t="s">
        <v>23</v>
      </c>
      <c r="H2027" t="s">
        <v>9551</v>
      </c>
      <c r="I2027" t="s">
        <v>9652</v>
      </c>
      <c r="J2027" t="s">
        <v>9653</v>
      </c>
      <c r="K2027" t="s">
        <v>9654</v>
      </c>
      <c r="L2027" t="s">
        <v>6533</v>
      </c>
      <c r="M2027" t="s">
        <v>112</v>
      </c>
      <c r="N2027" t="s">
        <v>195</v>
      </c>
      <c r="O2027" t="s">
        <v>4798</v>
      </c>
      <c r="P2027" t="s">
        <v>6524</v>
      </c>
      <c r="Q2027" t="s">
        <v>20</v>
      </c>
      <c r="R2027" t="s">
        <v>4799</v>
      </c>
      <c r="S2027" t="s">
        <v>10295</v>
      </c>
    </row>
    <row r="2028" spans="1:19" x14ac:dyDescent="0.45">
      <c r="A2028" t="s">
        <v>211</v>
      </c>
      <c r="B2028" t="s">
        <v>20</v>
      </c>
      <c r="C2028" t="s">
        <v>2443</v>
      </c>
      <c r="D2028" t="s">
        <v>2444</v>
      </c>
      <c r="E2028" t="s">
        <v>38</v>
      </c>
      <c r="F2028" t="s">
        <v>2787</v>
      </c>
      <c r="G2028" t="s">
        <v>23</v>
      </c>
      <c r="H2028" t="s">
        <v>7780</v>
      </c>
      <c r="I2028" t="s">
        <v>7781</v>
      </c>
      <c r="J2028" t="s">
        <v>7782</v>
      </c>
      <c r="K2028" t="s">
        <v>7783</v>
      </c>
      <c r="L2028" t="s">
        <v>722</v>
      </c>
      <c r="M2028" t="s">
        <v>112</v>
      </c>
      <c r="N2028" t="s">
        <v>33</v>
      </c>
      <c r="O2028" t="s">
        <v>4798</v>
      </c>
      <c r="P2028" t="s">
        <v>722</v>
      </c>
      <c r="Q2028" t="s">
        <v>20</v>
      </c>
      <c r="R2028" t="s">
        <v>4799</v>
      </c>
      <c r="S2028" t="s">
        <v>9333</v>
      </c>
    </row>
    <row r="2029" spans="1:19" x14ac:dyDescent="0.45">
      <c r="A2029" t="s">
        <v>211</v>
      </c>
      <c r="B2029" t="s">
        <v>11196</v>
      </c>
      <c r="C2029" t="s">
        <v>2443</v>
      </c>
      <c r="D2029" t="s">
        <v>2444</v>
      </c>
      <c r="E2029" t="s">
        <v>38</v>
      </c>
      <c r="F2029" t="s">
        <v>2831</v>
      </c>
      <c r="G2029" t="s">
        <v>23</v>
      </c>
      <c r="H2029" t="s">
        <v>6847</v>
      </c>
      <c r="I2029" t="s">
        <v>6848</v>
      </c>
      <c r="J2029" t="s">
        <v>10968</v>
      </c>
      <c r="K2029" t="s">
        <v>10966</v>
      </c>
      <c r="L2029" t="s">
        <v>6513</v>
      </c>
      <c r="M2029" t="s">
        <v>32</v>
      </c>
      <c r="N2029" t="s">
        <v>33</v>
      </c>
      <c r="O2029" t="s">
        <v>4798</v>
      </c>
      <c r="P2029" t="s">
        <v>5398</v>
      </c>
      <c r="Q2029" t="s">
        <v>20</v>
      </c>
      <c r="R2029" t="s">
        <v>4799</v>
      </c>
      <c r="S2029" t="s">
        <v>20</v>
      </c>
    </row>
    <row r="2030" spans="1:19" x14ac:dyDescent="0.45">
      <c r="A2030" t="s">
        <v>211</v>
      </c>
      <c r="B2030" t="s">
        <v>14668</v>
      </c>
      <c r="C2030" t="s">
        <v>2443</v>
      </c>
      <c r="D2030" t="s">
        <v>2444</v>
      </c>
      <c r="E2030" t="s">
        <v>38</v>
      </c>
      <c r="F2030" t="s">
        <v>2787</v>
      </c>
      <c r="G2030" t="s">
        <v>23</v>
      </c>
      <c r="H2030" t="s">
        <v>13380</v>
      </c>
      <c r="I2030" t="s">
        <v>13381</v>
      </c>
      <c r="J2030" t="s">
        <v>13382</v>
      </c>
      <c r="K2030" t="s">
        <v>13383</v>
      </c>
      <c r="L2030" t="s">
        <v>6524</v>
      </c>
      <c r="M2030" t="s">
        <v>2981</v>
      </c>
      <c r="N2030" t="s">
        <v>210</v>
      </c>
      <c r="O2030" t="s">
        <v>4798</v>
      </c>
      <c r="P2030" t="s">
        <v>6524</v>
      </c>
      <c r="Q2030" t="s">
        <v>20</v>
      </c>
      <c r="R2030" t="s">
        <v>14715</v>
      </c>
      <c r="S2030" t="s">
        <v>20</v>
      </c>
    </row>
    <row r="2031" spans="1:19" x14ac:dyDescent="0.45">
      <c r="A2031" t="s">
        <v>516</v>
      </c>
      <c r="B2031" t="s">
        <v>10741</v>
      </c>
      <c r="C2031" t="s">
        <v>4183</v>
      </c>
      <c r="D2031" t="s">
        <v>4184</v>
      </c>
      <c r="E2031" t="s">
        <v>38</v>
      </c>
      <c r="F2031" t="s">
        <v>2929</v>
      </c>
      <c r="G2031" t="s">
        <v>23</v>
      </c>
      <c r="H2031" t="s">
        <v>7843</v>
      </c>
      <c r="I2031" t="s">
        <v>7844</v>
      </c>
      <c r="J2031" t="s">
        <v>7845</v>
      </c>
      <c r="K2031" t="s">
        <v>7846</v>
      </c>
      <c r="L2031" t="s">
        <v>5398</v>
      </c>
      <c r="M2031" t="s">
        <v>112</v>
      </c>
      <c r="N2031" t="s">
        <v>33</v>
      </c>
      <c r="O2031" t="s">
        <v>4798</v>
      </c>
      <c r="P2031" t="s">
        <v>5398</v>
      </c>
      <c r="Q2031" t="s">
        <v>20</v>
      </c>
      <c r="R2031" t="s">
        <v>4799</v>
      </c>
      <c r="S2031" t="s">
        <v>20</v>
      </c>
    </row>
    <row r="2032" spans="1:19" x14ac:dyDescent="0.45">
      <c r="A2032" t="s">
        <v>3902</v>
      </c>
      <c r="B2032" t="s">
        <v>20</v>
      </c>
      <c r="C2032" t="s">
        <v>4997</v>
      </c>
      <c r="D2032" t="s">
        <v>4998</v>
      </c>
      <c r="E2032" t="s">
        <v>38</v>
      </c>
      <c r="F2032" t="s">
        <v>14297</v>
      </c>
      <c r="G2032" t="s">
        <v>23</v>
      </c>
      <c r="H2032" t="s">
        <v>8793</v>
      </c>
      <c r="I2032" t="s">
        <v>8794</v>
      </c>
      <c r="J2032" t="s">
        <v>8795</v>
      </c>
      <c r="K2032" t="s">
        <v>8796</v>
      </c>
      <c r="L2032" t="s">
        <v>5398</v>
      </c>
      <c r="M2032" t="s">
        <v>7472</v>
      </c>
      <c r="N2032" t="s">
        <v>119</v>
      </c>
      <c r="O2032" t="s">
        <v>4798</v>
      </c>
      <c r="P2032" t="s">
        <v>5398</v>
      </c>
      <c r="Q2032" t="s">
        <v>20</v>
      </c>
      <c r="R2032" t="s">
        <v>4799</v>
      </c>
      <c r="S2032" t="s">
        <v>20</v>
      </c>
    </row>
    <row r="2033" spans="1:19" x14ac:dyDescent="0.45">
      <c r="A2033" t="s">
        <v>4800</v>
      </c>
      <c r="B2033" t="s">
        <v>13009</v>
      </c>
      <c r="C2033" t="s">
        <v>12423</v>
      </c>
      <c r="D2033" t="s">
        <v>5668</v>
      </c>
      <c r="E2033" t="s">
        <v>21</v>
      </c>
      <c r="F2033" t="s">
        <v>2722</v>
      </c>
      <c r="G2033" t="s">
        <v>23</v>
      </c>
      <c r="H2033" t="s">
        <v>13010</v>
      </c>
      <c r="I2033" t="s">
        <v>13011</v>
      </c>
      <c r="J2033" t="s">
        <v>13012</v>
      </c>
      <c r="K2033" t="s">
        <v>13013</v>
      </c>
      <c r="L2033" t="s">
        <v>6527</v>
      </c>
      <c r="M2033" t="s">
        <v>3145</v>
      </c>
      <c r="N2033" t="s">
        <v>3407</v>
      </c>
      <c r="O2033" t="s">
        <v>4798</v>
      </c>
      <c r="P2033" t="s">
        <v>6527</v>
      </c>
      <c r="Q2033" t="s">
        <v>20</v>
      </c>
      <c r="R2033" t="s">
        <v>4799</v>
      </c>
      <c r="S2033" t="s">
        <v>20</v>
      </c>
    </row>
    <row r="2034" spans="1:19" x14ac:dyDescent="0.45">
      <c r="A2034" t="s">
        <v>5074</v>
      </c>
      <c r="B2034" t="s">
        <v>20</v>
      </c>
      <c r="C2034" t="s">
        <v>5075</v>
      </c>
      <c r="D2034" t="s">
        <v>5076</v>
      </c>
      <c r="E2034" t="s">
        <v>21</v>
      </c>
      <c r="F2034" t="s">
        <v>2722</v>
      </c>
      <c r="G2034" t="s">
        <v>23</v>
      </c>
      <c r="H2034" t="s">
        <v>5077</v>
      </c>
      <c r="I2034" t="s">
        <v>5078</v>
      </c>
      <c r="J2034" t="s">
        <v>5079</v>
      </c>
      <c r="K2034" t="s">
        <v>5080</v>
      </c>
      <c r="L2034" t="s">
        <v>131</v>
      </c>
      <c r="M2034" t="s">
        <v>1223</v>
      </c>
      <c r="N2034" t="s">
        <v>678</v>
      </c>
      <c r="O2034" t="s">
        <v>4798</v>
      </c>
      <c r="P2034" t="s">
        <v>131</v>
      </c>
      <c r="Q2034" t="s">
        <v>20</v>
      </c>
      <c r="R2034" t="s">
        <v>4799</v>
      </c>
      <c r="S2034" t="s">
        <v>20</v>
      </c>
    </row>
    <row r="2035" spans="1:19" x14ac:dyDescent="0.45">
      <c r="A2035" t="s">
        <v>8742</v>
      </c>
      <c r="B2035" t="s">
        <v>8743</v>
      </c>
      <c r="C2035" t="s">
        <v>8744</v>
      </c>
      <c r="D2035" t="s">
        <v>5550</v>
      </c>
      <c r="E2035" t="s">
        <v>21</v>
      </c>
      <c r="F2035" t="s">
        <v>2787</v>
      </c>
      <c r="G2035" t="s">
        <v>23</v>
      </c>
      <c r="H2035" t="s">
        <v>8745</v>
      </c>
      <c r="I2035" t="s">
        <v>8746</v>
      </c>
      <c r="J2035" t="s">
        <v>8747</v>
      </c>
      <c r="K2035" t="s">
        <v>8748</v>
      </c>
      <c r="L2035" t="s">
        <v>5398</v>
      </c>
      <c r="M2035" t="s">
        <v>2100</v>
      </c>
      <c r="N2035" t="s">
        <v>1224</v>
      </c>
      <c r="O2035" t="s">
        <v>4798</v>
      </c>
      <c r="P2035" t="s">
        <v>5398</v>
      </c>
      <c r="Q2035" t="s">
        <v>20</v>
      </c>
      <c r="R2035" t="s">
        <v>4799</v>
      </c>
      <c r="S2035" t="s">
        <v>8749</v>
      </c>
    </row>
    <row r="2036" spans="1:19" x14ac:dyDescent="0.45">
      <c r="A2036" t="s">
        <v>12382</v>
      </c>
      <c r="B2036" t="s">
        <v>5126</v>
      </c>
      <c r="C2036" t="s">
        <v>2169</v>
      </c>
      <c r="D2036" t="s">
        <v>2170</v>
      </c>
      <c r="E2036" t="s">
        <v>21</v>
      </c>
      <c r="F2036" t="s">
        <v>2722</v>
      </c>
      <c r="G2036" t="s">
        <v>23</v>
      </c>
      <c r="H2036" t="s">
        <v>5127</v>
      </c>
      <c r="I2036" t="s">
        <v>5128</v>
      </c>
      <c r="J2036" t="s">
        <v>5129</v>
      </c>
      <c r="K2036" t="s">
        <v>5130</v>
      </c>
      <c r="L2036" t="s">
        <v>194</v>
      </c>
      <c r="M2036" t="s">
        <v>1223</v>
      </c>
      <c r="N2036" t="s">
        <v>33</v>
      </c>
      <c r="O2036" t="s">
        <v>4798</v>
      </c>
      <c r="P2036" t="s">
        <v>168</v>
      </c>
      <c r="Q2036" t="s">
        <v>20</v>
      </c>
      <c r="R2036" t="s">
        <v>4799</v>
      </c>
      <c r="S2036" t="s">
        <v>20</v>
      </c>
    </row>
    <row r="2037" spans="1:19" x14ac:dyDescent="0.45">
      <c r="A2037" t="s">
        <v>12382</v>
      </c>
      <c r="B2037" t="s">
        <v>5101</v>
      </c>
      <c r="C2037" t="s">
        <v>1149</v>
      </c>
      <c r="D2037" t="s">
        <v>1150</v>
      </c>
      <c r="E2037" t="s">
        <v>38</v>
      </c>
      <c r="F2037" t="s">
        <v>2831</v>
      </c>
      <c r="G2037" t="s">
        <v>23</v>
      </c>
      <c r="H2037" t="s">
        <v>5102</v>
      </c>
      <c r="I2037" t="s">
        <v>5103</v>
      </c>
      <c r="J2037" t="s">
        <v>5104</v>
      </c>
      <c r="K2037" t="s">
        <v>5105</v>
      </c>
      <c r="L2037" t="s">
        <v>53</v>
      </c>
      <c r="M2037" t="s">
        <v>136</v>
      </c>
      <c r="N2037" t="s">
        <v>33</v>
      </c>
      <c r="O2037" t="s">
        <v>4798</v>
      </c>
      <c r="P2037" t="s">
        <v>168</v>
      </c>
      <c r="Q2037" t="s">
        <v>20</v>
      </c>
      <c r="R2037" t="s">
        <v>4799</v>
      </c>
      <c r="S2037" t="s">
        <v>20</v>
      </c>
    </row>
    <row r="2038" spans="1:19" x14ac:dyDescent="0.45">
      <c r="A2038" t="s">
        <v>607</v>
      </c>
      <c r="B2038" t="s">
        <v>11939</v>
      </c>
      <c r="C2038" t="s">
        <v>11940</v>
      </c>
      <c r="D2038" t="s">
        <v>6105</v>
      </c>
      <c r="E2038" t="s">
        <v>21</v>
      </c>
      <c r="F2038" t="s">
        <v>2722</v>
      </c>
      <c r="G2038" t="s">
        <v>23</v>
      </c>
      <c r="H2038" t="s">
        <v>11941</v>
      </c>
      <c r="I2038" t="s">
        <v>11942</v>
      </c>
      <c r="J2038" t="s">
        <v>11943</v>
      </c>
      <c r="K2038" t="s">
        <v>11944</v>
      </c>
      <c r="L2038" t="s">
        <v>8109</v>
      </c>
      <c r="M2038" t="s">
        <v>3145</v>
      </c>
      <c r="N2038" t="s">
        <v>2858</v>
      </c>
      <c r="O2038" t="s">
        <v>4798</v>
      </c>
      <c r="P2038" t="s">
        <v>8109</v>
      </c>
      <c r="Q2038" t="s">
        <v>20</v>
      </c>
      <c r="R2038" t="s">
        <v>4799</v>
      </c>
      <c r="S2038" t="s">
        <v>20</v>
      </c>
    </row>
    <row r="2039" spans="1:19" x14ac:dyDescent="0.45">
      <c r="A2039" t="s">
        <v>592</v>
      </c>
      <c r="B2039" t="s">
        <v>12045</v>
      </c>
      <c r="C2039" t="s">
        <v>2665</v>
      </c>
      <c r="D2039" t="s">
        <v>2666</v>
      </c>
      <c r="E2039" t="s">
        <v>38</v>
      </c>
      <c r="F2039" t="s">
        <v>2785</v>
      </c>
      <c r="G2039" t="s">
        <v>23</v>
      </c>
      <c r="H2039" t="s">
        <v>2667</v>
      </c>
      <c r="I2039" t="s">
        <v>2668</v>
      </c>
      <c r="J2039" t="s">
        <v>2669</v>
      </c>
      <c r="K2039" t="s">
        <v>2670</v>
      </c>
      <c r="L2039" t="s">
        <v>3418</v>
      </c>
      <c r="M2039" t="s">
        <v>112</v>
      </c>
      <c r="N2039" t="s">
        <v>119</v>
      </c>
      <c r="O2039" t="s">
        <v>4798</v>
      </c>
      <c r="P2039" t="s">
        <v>8377</v>
      </c>
      <c r="Q2039" t="s">
        <v>20</v>
      </c>
      <c r="R2039" t="s">
        <v>4799</v>
      </c>
      <c r="S2039" t="s">
        <v>20</v>
      </c>
    </row>
    <row r="2040" spans="1:19" x14ac:dyDescent="0.45">
      <c r="A2040" t="s">
        <v>5243</v>
      </c>
      <c r="B2040" t="s">
        <v>8760</v>
      </c>
      <c r="C2040" t="s">
        <v>8761</v>
      </c>
      <c r="D2040" t="s">
        <v>5828</v>
      </c>
      <c r="E2040" t="s">
        <v>21</v>
      </c>
      <c r="F2040" t="s">
        <v>2722</v>
      </c>
      <c r="G2040" t="s">
        <v>23</v>
      </c>
      <c r="H2040" t="s">
        <v>8762</v>
      </c>
      <c r="I2040" t="s">
        <v>8763</v>
      </c>
      <c r="J2040" t="s">
        <v>8764</v>
      </c>
      <c r="K2040" t="s">
        <v>8765</v>
      </c>
      <c r="L2040" t="s">
        <v>722</v>
      </c>
      <c r="M2040" t="s">
        <v>6517</v>
      </c>
      <c r="N2040" t="s">
        <v>137</v>
      </c>
      <c r="O2040" t="s">
        <v>4798</v>
      </c>
      <c r="P2040" t="s">
        <v>722</v>
      </c>
      <c r="Q2040" t="s">
        <v>20</v>
      </c>
      <c r="R2040" t="s">
        <v>4799</v>
      </c>
      <c r="S2040" t="s">
        <v>138</v>
      </c>
    </row>
    <row r="2041" spans="1:19" x14ac:dyDescent="0.45">
      <c r="A2041" t="s">
        <v>4800</v>
      </c>
      <c r="B2041" t="s">
        <v>4801</v>
      </c>
      <c r="C2041" t="s">
        <v>4802</v>
      </c>
      <c r="D2041" t="s">
        <v>4803</v>
      </c>
      <c r="E2041" t="s">
        <v>38</v>
      </c>
      <c r="F2041" t="s">
        <v>3062</v>
      </c>
      <c r="G2041" t="s">
        <v>23</v>
      </c>
      <c r="H2041" t="s">
        <v>4804</v>
      </c>
      <c r="I2041" t="s">
        <v>4805</v>
      </c>
      <c r="J2041" t="s">
        <v>4806</v>
      </c>
      <c r="K2041" t="s">
        <v>4807</v>
      </c>
      <c r="L2041" t="s">
        <v>111</v>
      </c>
      <c r="M2041" t="s">
        <v>4808</v>
      </c>
      <c r="N2041" t="s">
        <v>137</v>
      </c>
      <c r="O2041" t="s">
        <v>4798</v>
      </c>
      <c r="P2041" t="s">
        <v>111</v>
      </c>
      <c r="Q2041" t="s">
        <v>20</v>
      </c>
      <c r="R2041" t="s">
        <v>4799</v>
      </c>
      <c r="S2041" t="s">
        <v>138</v>
      </c>
    </row>
    <row r="2042" spans="1:19" x14ac:dyDescent="0.45">
      <c r="A2042" t="s">
        <v>12382</v>
      </c>
      <c r="B2042" t="s">
        <v>13389</v>
      </c>
      <c r="C2042" t="s">
        <v>843</v>
      </c>
      <c r="D2042" t="s">
        <v>844</v>
      </c>
      <c r="E2042" t="s">
        <v>38</v>
      </c>
      <c r="F2042" t="s">
        <v>14716</v>
      </c>
      <c r="G2042" t="s">
        <v>23</v>
      </c>
      <c r="H2042" t="s">
        <v>13390</v>
      </c>
      <c r="I2042" t="s">
        <v>13391</v>
      </c>
      <c r="J2042" t="s">
        <v>13392</v>
      </c>
      <c r="K2042" t="s">
        <v>13393</v>
      </c>
      <c r="L2042" t="s">
        <v>6524</v>
      </c>
      <c r="M2042" t="s">
        <v>136</v>
      </c>
      <c r="N2042" t="s">
        <v>33</v>
      </c>
      <c r="O2042" t="s">
        <v>4798</v>
      </c>
      <c r="P2042" t="s">
        <v>6524</v>
      </c>
      <c r="Q2042" t="s">
        <v>20</v>
      </c>
      <c r="R2042" t="s">
        <v>4799</v>
      </c>
      <c r="S2042" t="s">
        <v>20</v>
      </c>
    </row>
    <row r="2043" spans="1:19" x14ac:dyDescent="0.45">
      <c r="A2043" t="s">
        <v>4800</v>
      </c>
      <c r="B2043" t="s">
        <v>9490</v>
      </c>
      <c r="C2043" t="s">
        <v>9491</v>
      </c>
      <c r="D2043" t="s">
        <v>6339</v>
      </c>
      <c r="E2043" t="s">
        <v>38</v>
      </c>
      <c r="F2043" t="s">
        <v>2722</v>
      </c>
      <c r="G2043" t="s">
        <v>23</v>
      </c>
      <c r="H2043" t="s">
        <v>9492</v>
      </c>
      <c r="I2043" t="s">
        <v>9493</v>
      </c>
      <c r="J2043" t="s">
        <v>9494</v>
      </c>
      <c r="K2043" t="s">
        <v>9495</v>
      </c>
      <c r="L2043" t="s">
        <v>6513</v>
      </c>
      <c r="M2043" t="s">
        <v>9496</v>
      </c>
      <c r="N2043" t="s">
        <v>137</v>
      </c>
      <c r="O2043" t="s">
        <v>4798</v>
      </c>
      <c r="P2043" t="s">
        <v>6513</v>
      </c>
      <c r="Q2043" t="s">
        <v>20</v>
      </c>
      <c r="R2043" t="s">
        <v>4799</v>
      </c>
      <c r="S2043" t="s">
        <v>138</v>
      </c>
    </row>
    <row r="2044" spans="1:19" x14ac:dyDescent="0.45">
      <c r="A2044" t="s">
        <v>13014</v>
      </c>
      <c r="B2044" t="s">
        <v>13015</v>
      </c>
      <c r="C2044" t="s">
        <v>13016</v>
      </c>
      <c r="D2044" t="s">
        <v>6287</v>
      </c>
      <c r="E2044" t="s">
        <v>38</v>
      </c>
      <c r="F2044" t="s">
        <v>2787</v>
      </c>
      <c r="G2044" t="s">
        <v>23</v>
      </c>
      <c r="H2044" t="s">
        <v>13017</v>
      </c>
      <c r="I2044" t="s">
        <v>13018</v>
      </c>
      <c r="J2044" t="s">
        <v>13019</v>
      </c>
      <c r="K2044" t="s">
        <v>13020</v>
      </c>
      <c r="L2044" t="s">
        <v>6527</v>
      </c>
      <c r="M2044" t="s">
        <v>2981</v>
      </c>
      <c r="N2044" t="s">
        <v>2809</v>
      </c>
      <c r="O2044" t="s">
        <v>4798</v>
      </c>
      <c r="P2044" t="s">
        <v>6527</v>
      </c>
      <c r="Q2044" t="s">
        <v>20</v>
      </c>
      <c r="R2044" t="s">
        <v>4799</v>
      </c>
      <c r="S2044" t="s">
        <v>20</v>
      </c>
    </row>
    <row r="2045" spans="1:19" x14ac:dyDescent="0.45">
      <c r="A2045" t="s">
        <v>4056</v>
      </c>
      <c r="B2045" t="s">
        <v>20</v>
      </c>
      <c r="C2045" t="s">
        <v>4620</v>
      </c>
      <c r="D2045" t="s">
        <v>4621</v>
      </c>
      <c r="E2045" t="s">
        <v>38</v>
      </c>
      <c r="F2045" t="s">
        <v>2787</v>
      </c>
      <c r="G2045" t="s">
        <v>23</v>
      </c>
      <c r="H2045" t="s">
        <v>9497</v>
      </c>
      <c r="I2045" t="s">
        <v>9498</v>
      </c>
      <c r="J2045" t="s">
        <v>9499</v>
      </c>
      <c r="K2045" t="s">
        <v>9500</v>
      </c>
      <c r="L2045" t="s">
        <v>6513</v>
      </c>
      <c r="M2045" t="s">
        <v>2100</v>
      </c>
      <c r="N2045" t="s">
        <v>678</v>
      </c>
      <c r="O2045" t="s">
        <v>4798</v>
      </c>
      <c r="P2045" t="s">
        <v>6513</v>
      </c>
      <c r="Q2045" t="s">
        <v>20</v>
      </c>
      <c r="R2045" t="s">
        <v>4799</v>
      </c>
      <c r="S2045" t="s">
        <v>20</v>
      </c>
    </row>
    <row r="2046" spans="1:19" x14ac:dyDescent="0.45">
      <c r="A2046" t="s">
        <v>314</v>
      </c>
      <c r="B2046" t="s">
        <v>4973</v>
      </c>
      <c r="C2046" t="s">
        <v>4974</v>
      </c>
      <c r="D2046" t="s">
        <v>4975</v>
      </c>
      <c r="E2046" t="s">
        <v>21</v>
      </c>
      <c r="F2046" t="s">
        <v>2722</v>
      </c>
      <c r="G2046" t="s">
        <v>23</v>
      </c>
      <c r="H2046" t="s">
        <v>4976</v>
      </c>
      <c r="I2046" t="s">
        <v>4977</v>
      </c>
      <c r="J2046" t="s">
        <v>4978</v>
      </c>
      <c r="K2046" t="s">
        <v>4979</v>
      </c>
      <c r="L2046" t="s">
        <v>296</v>
      </c>
      <c r="M2046" t="s">
        <v>1223</v>
      </c>
      <c r="N2046" t="s">
        <v>1224</v>
      </c>
      <c r="O2046" t="s">
        <v>4798</v>
      </c>
      <c r="P2046" t="s">
        <v>296</v>
      </c>
      <c r="Q2046" t="s">
        <v>20</v>
      </c>
      <c r="R2046" t="s">
        <v>4799</v>
      </c>
      <c r="S2046" t="s">
        <v>20</v>
      </c>
    </row>
    <row r="2047" spans="1:19" x14ac:dyDescent="0.45">
      <c r="A2047" t="s">
        <v>6764</v>
      </c>
      <c r="B2047" t="s">
        <v>9734</v>
      </c>
      <c r="C2047" t="s">
        <v>9660</v>
      </c>
      <c r="D2047" t="s">
        <v>6020</v>
      </c>
      <c r="E2047" t="s">
        <v>21</v>
      </c>
      <c r="F2047" t="s">
        <v>2722</v>
      </c>
      <c r="G2047" t="s">
        <v>23</v>
      </c>
      <c r="H2047" t="s">
        <v>9033</v>
      </c>
      <c r="I2047" t="s">
        <v>9735</v>
      </c>
      <c r="J2047" t="s">
        <v>9736</v>
      </c>
      <c r="K2047" t="s">
        <v>9737</v>
      </c>
      <c r="L2047" t="s">
        <v>6523</v>
      </c>
      <c r="M2047" t="s">
        <v>112</v>
      </c>
      <c r="N2047" t="s">
        <v>678</v>
      </c>
      <c r="O2047" t="s">
        <v>4798</v>
      </c>
      <c r="P2047" t="s">
        <v>6523</v>
      </c>
      <c r="Q2047" t="s">
        <v>20</v>
      </c>
      <c r="R2047" t="s">
        <v>4799</v>
      </c>
      <c r="S2047" t="s">
        <v>20</v>
      </c>
    </row>
    <row r="2048" spans="1:19" x14ac:dyDescent="0.45">
      <c r="A2048" t="s">
        <v>2700</v>
      </c>
      <c r="B2048" t="s">
        <v>5193</v>
      </c>
      <c r="C2048" t="s">
        <v>5194</v>
      </c>
      <c r="D2048" t="s">
        <v>5195</v>
      </c>
      <c r="E2048" t="s">
        <v>2487</v>
      </c>
      <c r="F2048" t="s">
        <v>3062</v>
      </c>
      <c r="G2048" t="s">
        <v>23</v>
      </c>
      <c r="H2048" t="s">
        <v>5196</v>
      </c>
      <c r="I2048" t="s">
        <v>5197</v>
      </c>
      <c r="J2048" t="s">
        <v>5198</v>
      </c>
      <c r="K2048" t="s">
        <v>5199</v>
      </c>
      <c r="L2048" t="s">
        <v>214</v>
      </c>
      <c r="M2048" t="s">
        <v>112</v>
      </c>
      <c r="N2048" t="s">
        <v>113</v>
      </c>
      <c r="O2048" t="s">
        <v>4798</v>
      </c>
      <c r="P2048" t="s">
        <v>118</v>
      </c>
      <c r="Q2048" t="s">
        <v>20</v>
      </c>
      <c r="R2048" t="s">
        <v>4799</v>
      </c>
      <c r="S2048" t="s">
        <v>20</v>
      </c>
    </row>
    <row r="2049" spans="1:19" x14ac:dyDescent="0.45">
      <c r="A2049" t="s">
        <v>3026</v>
      </c>
      <c r="B2049" t="s">
        <v>8782</v>
      </c>
      <c r="C2049" t="s">
        <v>8783</v>
      </c>
      <c r="D2049" t="s">
        <v>6295</v>
      </c>
      <c r="E2049" t="s">
        <v>21</v>
      </c>
      <c r="F2049" t="s">
        <v>2722</v>
      </c>
      <c r="G2049" t="s">
        <v>23</v>
      </c>
      <c r="H2049" t="s">
        <v>8784</v>
      </c>
      <c r="I2049" t="s">
        <v>8785</v>
      </c>
      <c r="J2049" t="s">
        <v>8786</v>
      </c>
      <c r="K2049" t="s">
        <v>8787</v>
      </c>
      <c r="L2049" t="s">
        <v>290</v>
      </c>
      <c r="M2049" t="s">
        <v>8788</v>
      </c>
      <c r="N2049" t="s">
        <v>137</v>
      </c>
      <c r="O2049" t="s">
        <v>4798</v>
      </c>
      <c r="P2049" t="s">
        <v>290</v>
      </c>
      <c r="Q2049" t="s">
        <v>20</v>
      </c>
      <c r="R2049" t="s">
        <v>4799</v>
      </c>
      <c r="S2049" t="s">
        <v>8789</v>
      </c>
    </row>
    <row r="2050" spans="1:19" x14ac:dyDescent="0.45">
      <c r="A2050" t="s">
        <v>2664</v>
      </c>
      <c r="B2050" t="s">
        <v>5168</v>
      </c>
      <c r="C2050" t="s">
        <v>5169</v>
      </c>
      <c r="D2050" t="s">
        <v>5170</v>
      </c>
      <c r="E2050" t="s">
        <v>29</v>
      </c>
      <c r="F2050" t="s">
        <v>2785</v>
      </c>
      <c r="G2050" t="s">
        <v>23</v>
      </c>
      <c r="H2050" t="s">
        <v>5171</v>
      </c>
      <c r="I2050" t="s">
        <v>5172</v>
      </c>
      <c r="J2050" t="s">
        <v>5173</v>
      </c>
      <c r="K2050" t="s">
        <v>5174</v>
      </c>
      <c r="L2050" t="s">
        <v>168</v>
      </c>
      <c r="M2050" t="s">
        <v>1223</v>
      </c>
      <c r="N2050" t="s">
        <v>2727</v>
      </c>
      <c r="O2050" t="s">
        <v>4798</v>
      </c>
      <c r="P2050" t="s">
        <v>147</v>
      </c>
      <c r="Q2050" t="s">
        <v>20</v>
      </c>
      <c r="R2050" t="s">
        <v>4799</v>
      </c>
      <c r="S2050" t="s">
        <v>20</v>
      </c>
    </row>
    <row r="2051" spans="1:19" x14ac:dyDescent="0.45">
      <c r="A2051" t="s">
        <v>2861</v>
      </c>
      <c r="B2051" t="s">
        <v>2876</v>
      </c>
      <c r="C2051" t="s">
        <v>2877</v>
      </c>
      <c r="D2051" t="s">
        <v>2878</v>
      </c>
      <c r="E2051" t="s">
        <v>38</v>
      </c>
      <c r="F2051" t="s">
        <v>2785</v>
      </c>
      <c r="G2051" t="s">
        <v>23</v>
      </c>
      <c r="H2051" t="s">
        <v>2879</v>
      </c>
      <c r="I2051" t="s">
        <v>2880</v>
      </c>
      <c r="J2051" t="s">
        <v>2881</v>
      </c>
      <c r="K2051" t="s">
        <v>2882</v>
      </c>
      <c r="L2051" t="s">
        <v>214</v>
      </c>
      <c r="M2051" t="s">
        <v>112</v>
      </c>
      <c r="N2051" t="s">
        <v>33</v>
      </c>
      <c r="O2051" t="s">
        <v>4798</v>
      </c>
      <c r="P2051" t="s">
        <v>101</v>
      </c>
      <c r="Q2051" t="s">
        <v>20</v>
      </c>
      <c r="R2051" t="s">
        <v>4799</v>
      </c>
      <c r="S2051" t="s">
        <v>20</v>
      </c>
    </row>
    <row r="2052" spans="1:19" x14ac:dyDescent="0.45">
      <c r="A2052" t="s">
        <v>104</v>
      </c>
      <c r="B2052" t="s">
        <v>8665</v>
      </c>
      <c r="C2052" t="s">
        <v>3020</v>
      </c>
      <c r="D2052" t="s">
        <v>3021</v>
      </c>
      <c r="E2052" t="s">
        <v>38</v>
      </c>
      <c r="F2052" t="s">
        <v>2948</v>
      </c>
      <c r="G2052" t="s">
        <v>23</v>
      </c>
      <c r="H2052" t="s">
        <v>8666</v>
      </c>
      <c r="I2052" t="s">
        <v>8667</v>
      </c>
      <c r="J2052" t="s">
        <v>8668</v>
      </c>
      <c r="K2052" t="s">
        <v>8669</v>
      </c>
      <c r="L2052" t="s">
        <v>6521</v>
      </c>
      <c r="M2052" t="s">
        <v>112</v>
      </c>
      <c r="N2052" t="s">
        <v>62</v>
      </c>
      <c r="O2052" t="s">
        <v>4798</v>
      </c>
      <c r="P2052" t="s">
        <v>6521</v>
      </c>
      <c r="Q2052" t="s">
        <v>20</v>
      </c>
      <c r="R2052" t="s">
        <v>4799</v>
      </c>
      <c r="S2052" t="s">
        <v>8185</v>
      </c>
    </row>
    <row r="2053" spans="1:19" x14ac:dyDescent="0.45">
      <c r="A2053" t="s">
        <v>9906</v>
      </c>
      <c r="B2053" t="s">
        <v>12351</v>
      </c>
      <c r="C2053" t="s">
        <v>12352</v>
      </c>
      <c r="D2053" t="s">
        <v>5680</v>
      </c>
      <c r="E2053" t="s">
        <v>21</v>
      </c>
      <c r="F2053" t="s">
        <v>2940</v>
      </c>
      <c r="G2053" t="s">
        <v>23</v>
      </c>
      <c r="H2053" t="s">
        <v>12353</v>
      </c>
      <c r="I2053" t="s">
        <v>12354</v>
      </c>
      <c r="J2053" t="s">
        <v>12355</v>
      </c>
      <c r="K2053" t="s">
        <v>12356</v>
      </c>
      <c r="L2053" t="s">
        <v>8377</v>
      </c>
      <c r="M2053" t="s">
        <v>1223</v>
      </c>
      <c r="N2053" t="s">
        <v>1224</v>
      </c>
      <c r="O2053" t="s">
        <v>4798</v>
      </c>
      <c r="P2053" t="s">
        <v>8377</v>
      </c>
      <c r="Q2053" t="s">
        <v>20</v>
      </c>
      <c r="R2053" t="s">
        <v>4799</v>
      </c>
      <c r="S2053" t="s">
        <v>20</v>
      </c>
    </row>
    <row r="2054" spans="1:19" x14ac:dyDescent="0.45">
      <c r="A2054" t="s">
        <v>9906</v>
      </c>
      <c r="B2054" t="s">
        <v>20</v>
      </c>
      <c r="C2054" t="s">
        <v>12357</v>
      </c>
      <c r="D2054" t="s">
        <v>5481</v>
      </c>
      <c r="E2054" t="s">
        <v>21</v>
      </c>
      <c r="F2054" t="s">
        <v>2722</v>
      </c>
      <c r="G2054" t="s">
        <v>23</v>
      </c>
      <c r="H2054" t="s">
        <v>12358</v>
      </c>
      <c r="I2054" t="s">
        <v>12359</v>
      </c>
      <c r="J2054" t="s">
        <v>12360</v>
      </c>
      <c r="K2054" t="s">
        <v>12361</v>
      </c>
      <c r="L2054" t="s">
        <v>8377</v>
      </c>
      <c r="M2054" t="s">
        <v>3145</v>
      </c>
      <c r="N2054" t="s">
        <v>678</v>
      </c>
      <c r="O2054" t="s">
        <v>4798</v>
      </c>
      <c r="P2054" t="s">
        <v>8377</v>
      </c>
      <c r="Q2054" t="s">
        <v>20</v>
      </c>
      <c r="R2054" t="s">
        <v>4799</v>
      </c>
      <c r="S2054" t="s">
        <v>20</v>
      </c>
    </row>
    <row r="2055" spans="1:19" x14ac:dyDescent="0.45">
      <c r="A2055" t="s">
        <v>4877</v>
      </c>
      <c r="B2055" t="s">
        <v>4878</v>
      </c>
      <c r="C2055" t="s">
        <v>4879</v>
      </c>
      <c r="D2055" t="s">
        <v>4880</v>
      </c>
      <c r="E2055" t="s">
        <v>38</v>
      </c>
      <c r="F2055" t="s">
        <v>2787</v>
      </c>
      <c r="G2055" t="s">
        <v>23</v>
      </c>
      <c r="H2055" t="s">
        <v>4881</v>
      </c>
      <c r="I2055" t="s">
        <v>4882</v>
      </c>
      <c r="J2055" t="s">
        <v>4883</v>
      </c>
      <c r="K2055" t="s">
        <v>2009</v>
      </c>
      <c r="L2055" t="s">
        <v>31</v>
      </c>
      <c r="M2055" t="s">
        <v>2981</v>
      </c>
      <c r="N2055" t="s">
        <v>2809</v>
      </c>
      <c r="O2055" t="s">
        <v>4798</v>
      </c>
      <c r="P2055" t="s">
        <v>43</v>
      </c>
      <c r="Q2055" t="s">
        <v>20</v>
      </c>
      <c r="R2055" t="s">
        <v>4799</v>
      </c>
      <c r="S2055" t="s">
        <v>20</v>
      </c>
    </row>
    <row r="2056" spans="1:19" x14ac:dyDescent="0.45">
      <c r="A2056" t="s">
        <v>12382</v>
      </c>
      <c r="B2056" t="s">
        <v>4793</v>
      </c>
      <c r="C2056" t="s">
        <v>1554</v>
      </c>
      <c r="D2056" t="s">
        <v>1555</v>
      </c>
      <c r="E2056" t="s">
        <v>38</v>
      </c>
      <c r="F2056" t="s">
        <v>14717</v>
      </c>
      <c r="G2056" t="s">
        <v>23</v>
      </c>
      <c r="H2056" t="s">
        <v>4794</v>
      </c>
      <c r="I2056" t="s">
        <v>4795</v>
      </c>
      <c r="J2056" t="s">
        <v>4796</v>
      </c>
      <c r="K2056" t="s">
        <v>4797</v>
      </c>
      <c r="L2056" t="s">
        <v>53</v>
      </c>
      <c r="M2056" t="s">
        <v>136</v>
      </c>
      <c r="N2056" t="s">
        <v>33</v>
      </c>
      <c r="O2056" t="s">
        <v>4798</v>
      </c>
      <c r="P2056" t="s">
        <v>168</v>
      </c>
      <c r="Q2056" t="s">
        <v>20</v>
      </c>
      <c r="R2056" t="s">
        <v>4799</v>
      </c>
      <c r="S2056" t="s">
        <v>20</v>
      </c>
    </row>
    <row r="2057" spans="1:19" x14ac:dyDescent="0.45">
      <c r="A2057" t="s">
        <v>2664</v>
      </c>
      <c r="B2057" t="s">
        <v>9738</v>
      </c>
      <c r="C2057" t="s">
        <v>9448</v>
      </c>
      <c r="D2057" t="s">
        <v>6152</v>
      </c>
      <c r="E2057" t="s">
        <v>38</v>
      </c>
      <c r="F2057" t="s">
        <v>2948</v>
      </c>
      <c r="G2057" t="s">
        <v>23</v>
      </c>
      <c r="H2057" t="s">
        <v>9739</v>
      </c>
      <c r="I2057" t="s">
        <v>9740</v>
      </c>
      <c r="J2057" t="s">
        <v>9741</v>
      </c>
      <c r="K2057" t="s">
        <v>9742</v>
      </c>
      <c r="L2057" t="s">
        <v>6523</v>
      </c>
      <c r="M2057" t="s">
        <v>2864</v>
      </c>
      <c r="N2057" t="s">
        <v>137</v>
      </c>
      <c r="O2057" t="s">
        <v>4798</v>
      </c>
      <c r="P2057" t="s">
        <v>6523</v>
      </c>
      <c r="Q2057" t="s">
        <v>20</v>
      </c>
      <c r="R2057" t="s">
        <v>4799</v>
      </c>
      <c r="S2057" t="s">
        <v>138</v>
      </c>
    </row>
    <row r="2058" spans="1:19" x14ac:dyDescent="0.45">
      <c r="A2058" t="s">
        <v>2861</v>
      </c>
      <c r="B2058" t="s">
        <v>8750</v>
      </c>
      <c r="C2058" t="s">
        <v>121</v>
      </c>
      <c r="D2058" t="s">
        <v>122</v>
      </c>
      <c r="E2058" t="s">
        <v>38</v>
      </c>
      <c r="F2058" t="s">
        <v>2722</v>
      </c>
      <c r="G2058" t="s">
        <v>23</v>
      </c>
      <c r="H2058" t="s">
        <v>8751</v>
      </c>
      <c r="I2058" t="s">
        <v>8752</v>
      </c>
      <c r="J2058" t="s">
        <v>8753</v>
      </c>
      <c r="K2058" t="s">
        <v>8754</v>
      </c>
      <c r="L2058" t="s">
        <v>722</v>
      </c>
      <c r="M2058" t="s">
        <v>112</v>
      </c>
      <c r="N2058" t="s">
        <v>3407</v>
      </c>
      <c r="O2058" t="s">
        <v>4798</v>
      </c>
      <c r="P2058" t="s">
        <v>5398</v>
      </c>
      <c r="Q2058" t="s">
        <v>20</v>
      </c>
      <c r="R2058" t="s">
        <v>4799</v>
      </c>
      <c r="S2058" t="s">
        <v>20</v>
      </c>
    </row>
    <row r="2059" spans="1:19" x14ac:dyDescent="0.45">
      <c r="A2059" t="s">
        <v>2278</v>
      </c>
      <c r="B2059" t="s">
        <v>8732</v>
      </c>
      <c r="C2059" t="s">
        <v>5095</v>
      </c>
      <c r="D2059" t="s">
        <v>5096</v>
      </c>
      <c r="E2059" t="s">
        <v>38</v>
      </c>
      <c r="F2059" t="s">
        <v>2787</v>
      </c>
      <c r="G2059" t="s">
        <v>23</v>
      </c>
      <c r="H2059" t="s">
        <v>8733</v>
      </c>
      <c r="I2059" t="s">
        <v>8734</v>
      </c>
      <c r="J2059" t="s">
        <v>8735</v>
      </c>
      <c r="K2059" t="s">
        <v>8736</v>
      </c>
      <c r="L2059" t="s">
        <v>902</v>
      </c>
      <c r="M2059" t="s">
        <v>112</v>
      </c>
      <c r="N2059" t="s">
        <v>113</v>
      </c>
      <c r="O2059" t="s">
        <v>4798</v>
      </c>
      <c r="P2059" t="s">
        <v>902</v>
      </c>
      <c r="Q2059" t="s">
        <v>20</v>
      </c>
      <c r="R2059" t="s">
        <v>4799</v>
      </c>
      <c r="S2059" t="s">
        <v>20</v>
      </c>
    </row>
    <row r="2060" spans="1:19" x14ac:dyDescent="0.45">
      <c r="A2060" t="s">
        <v>607</v>
      </c>
      <c r="B2060" t="s">
        <v>13411</v>
      </c>
      <c r="C2060" t="s">
        <v>13412</v>
      </c>
      <c r="D2060" t="s">
        <v>9884</v>
      </c>
      <c r="E2060" t="s">
        <v>21</v>
      </c>
      <c r="F2060" t="s">
        <v>2787</v>
      </c>
      <c r="G2060" t="s">
        <v>23</v>
      </c>
      <c r="H2060" t="s">
        <v>13413</v>
      </c>
      <c r="I2060" t="s">
        <v>13414</v>
      </c>
      <c r="J2060" t="s">
        <v>13415</v>
      </c>
      <c r="K2060" t="s">
        <v>13416</v>
      </c>
      <c r="L2060" t="s">
        <v>6524</v>
      </c>
      <c r="M2060" t="s">
        <v>2981</v>
      </c>
      <c r="N2060" t="s">
        <v>1224</v>
      </c>
      <c r="O2060" t="s">
        <v>4798</v>
      </c>
      <c r="P2060" t="s">
        <v>6524</v>
      </c>
      <c r="Q2060" t="s">
        <v>20</v>
      </c>
      <c r="R2060" t="s">
        <v>4799</v>
      </c>
      <c r="S2060" t="s">
        <v>20</v>
      </c>
    </row>
    <row r="2061" spans="1:19" x14ac:dyDescent="0.45">
      <c r="A2061" t="s">
        <v>2861</v>
      </c>
      <c r="B2061" t="s">
        <v>13021</v>
      </c>
      <c r="C2061" t="s">
        <v>13022</v>
      </c>
      <c r="D2061" t="s">
        <v>5739</v>
      </c>
      <c r="E2061" t="s">
        <v>21</v>
      </c>
      <c r="F2061" t="s">
        <v>2787</v>
      </c>
      <c r="G2061" t="s">
        <v>23</v>
      </c>
      <c r="H2061" t="s">
        <v>13023</v>
      </c>
      <c r="I2061" t="s">
        <v>13024</v>
      </c>
      <c r="J2061" t="s">
        <v>13025</v>
      </c>
      <c r="K2061" t="s">
        <v>13026</v>
      </c>
      <c r="L2061" t="s">
        <v>6527</v>
      </c>
      <c r="M2061" t="s">
        <v>2981</v>
      </c>
      <c r="N2061" t="s">
        <v>137</v>
      </c>
      <c r="O2061" t="s">
        <v>4798</v>
      </c>
      <c r="P2061" t="s">
        <v>6527</v>
      </c>
      <c r="Q2061" t="s">
        <v>20</v>
      </c>
      <c r="R2061" t="s">
        <v>4799</v>
      </c>
      <c r="S2061" t="s">
        <v>138</v>
      </c>
    </row>
    <row r="2062" spans="1:19" x14ac:dyDescent="0.45">
      <c r="A2062" t="s">
        <v>395</v>
      </c>
      <c r="B2062" t="s">
        <v>5029</v>
      </c>
      <c r="C2062" t="s">
        <v>5030</v>
      </c>
      <c r="D2062" t="s">
        <v>5031</v>
      </c>
      <c r="E2062" t="s">
        <v>38</v>
      </c>
      <c r="F2062" t="s">
        <v>5032</v>
      </c>
      <c r="G2062" t="s">
        <v>23</v>
      </c>
      <c r="H2062" t="s">
        <v>5033</v>
      </c>
      <c r="I2062" t="s">
        <v>5034</v>
      </c>
      <c r="J2062" t="s">
        <v>5035</v>
      </c>
      <c r="K2062" t="s">
        <v>5036</v>
      </c>
      <c r="L2062" t="s">
        <v>131</v>
      </c>
      <c r="M2062" t="s">
        <v>132</v>
      </c>
      <c r="N2062" t="s">
        <v>195</v>
      </c>
      <c r="O2062" t="s">
        <v>4798</v>
      </c>
      <c r="P2062" t="s">
        <v>168</v>
      </c>
      <c r="Q2062" t="s">
        <v>20</v>
      </c>
      <c r="R2062" t="s">
        <v>4799</v>
      </c>
      <c r="S2062" t="s">
        <v>20</v>
      </c>
    </row>
    <row r="2063" spans="1:19" x14ac:dyDescent="0.45">
      <c r="A2063" t="s">
        <v>3120</v>
      </c>
      <c r="B2063" t="s">
        <v>8643</v>
      </c>
      <c r="C2063" t="s">
        <v>8644</v>
      </c>
      <c r="D2063" t="s">
        <v>5878</v>
      </c>
      <c r="E2063" t="s">
        <v>21</v>
      </c>
      <c r="F2063" t="s">
        <v>2722</v>
      </c>
      <c r="G2063" t="s">
        <v>23</v>
      </c>
      <c r="H2063" t="s">
        <v>8645</v>
      </c>
      <c r="I2063" t="s">
        <v>8646</v>
      </c>
      <c r="J2063" t="s">
        <v>8647</v>
      </c>
      <c r="K2063" t="s">
        <v>8648</v>
      </c>
      <c r="L2063" t="s">
        <v>3998</v>
      </c>
      <c r="M2063" t="s">
        <v>3145</v>
      </c>
      <c r="N2063" t="s">
        <v>3815</v>
      </c>
      <c r="O2063" t="s">
        <v>4798</v>
      </c>
      <c r="P2063" t="s">
        <v>902</v>
      </c>
      <c r="Q2063" t="s">
        <v>20</v>
      </c>
      <c r="R2063" t="s">
        <v>13453</v>
      </c>
      <c r="S2063" t="s">
        <v>20</v>
      </c>
    </row>
    <row r="2064" spans="1:19" x14ac:dyDescent="0.45">
      <c r="A2064" t="s">
        <v>133</v>
      </c>
      <c r="B2064" t="s">
        <v>13417</v>
      </c>
      <c r="C2064" t="s">
        <v>13418</v>
      </c>
      <c r="D2064" t="s">
        <v>134</v>
      </c>
      <c r="E2064" t="s">
        <v>38</v>
      </c>
      <c r="F2064" t="s">
        <v>3182</v>
      </c>
      <c r="G2064" t="s">
        <v>23</v>
      </c>
      <c r="H2064" t="s">
        <v>13419</v>
      </c>
      <c r="I2064" t="s">
        <v>13420</v>
      </c>
      <c r="J2064" t="s">
        <v>13421</v>
      </c>
      <c r="K2064" t="s">
        <v>13422</v>
      </c>
      <c r="L2064" t="s">
        <v>6524</v>
      </c>
      <c r="M2064" t="s">
        <v>136</v>
      </c>
      <c r="N2064" t="s">
        <v>33</v>
      </c>
      <c r="O2064" t="s">
        <v>4798</v>
      </c>
      <c r="P2064" t="s">
        <v>6524</v>
      </c>
      <c r="Q2064" t="s">
        <v>20</v>
      </c>
      <c r="R2064" t="s">
        <v>4799</v>
      </c>
      <c r="S2064" t="s">
        <v>20</v>
      </c>
    </row>
    <row r="2065" spans="1:19" x14ac:dyDescent="0.45">
      <c r="A2065" t="s">
        <v>261</v>
      </c>
      <c r="B2065" t="s">
        <v>3336</v>
      </c>
      <c r="C2065" t="s">
        <v>2676</v>
      </c>
      <c r="D2065" t="s">
        <v>2677</v>
      </c>
      <c r="E2065" t="s">
        <v>29</v>
      </c>
      <c r="F2065" t="s">
        <v>2755</v>
      </c>
      <c r="G2065" t="s">
        <v>23</v>
      </c>
      <c r="H2065" t="s">
        <v>3337</v>
      </c>
      <c r="I2065" t="s">
        <v>3338</v>
      </c>
      <c r="J2065" t="s">
        <v>3339</v>
      </c>
      <c r="K2065" t="s">
        <v>3340</v>
      </c>
      <c r="L2065" t="s">
        <v>6527</v>
      </c>
      <c r="M2065" t="s">
        <v>112</v>
      </c>
      <c r="N2065" t="s">
        <v>33</v>
      </c>
      <c r="O2065" t="s">
        <v>4798</v>
      </c>
      <c r="P2065" t="s">
        <v>6527</v>
      </c>
      <c r="Q2065" t="s">
        <v>20</v>
      </c>
      <c r="R2065" t="s">
        <v>4799</v>
      </c>
      <c r="S2065" t="s">
        <v>20</v>
      </c>
    </row>
    <row r="2066" spans="1:19" x14ac:dyDescent="0.45">
      <c r="A2066" t="s">
        <v>1270</v>
      </c>
      <c r="B2066" t="s">
        <v>8812</v>
      </c>
      <c r="C2066" t="s">
        <v>8813</v>
      </c>
      <c r="D2066" t="s">
        <v>5744</v>
      </c>
      <c r="E2066" t="s">
        <v>21</v>
      </c>
      <c r="F2066" t="s">
        <v>2722</v>
      </c>
      <c r="G2066" t="s">
        <v>23</v>
      </c>
      <c r="H2066" t="s">
        <v>8814</v>
      </c>
      <c r="I2066" t="s">
        <v>8815</v>
      </c>
      <c r="J2066" t="s">
        <v>8816</v>
      </c>
      <c r="K2066" t="s">
        <v>8817</v>
      </c>
      <c r="L2066" t="s">
        <v>290</v>
      </c>
      <c r="M2066" t="s">
        <v>112</v>
      </c>
      <c r="N2066" t="s">
        <v>146</v>
      </c>
      <c r="O2066" t="s">
        <v>4798</v>
      </c>
      <c r="P2066" t="s">
        <v>290</v>
      </c>
      <c r="Q2066" t="s">
        <v>20</v>
      </c>
      <c r="R2066" t="s">
        <v>4799</v>
      </c>
      <c r="S2066" t="s">
        <v>20</v>
      </c>
    </row>
    <row r="2067" spans="1:19" x14ac:dyDescent="0.45">
      <c r="A2067" t="s">
        <v>2278</v>
      </c>
      <c r="B2067" t="s">
        <v>2804</v>
      </c>
      <c r="C2067" t="s">
        <v>2279</v>
      </c>
      <c r="D2067" t="s">
        <v>2280</v>
      </c>
      <c r="E2067" t="s">
        <v>21</v>
      </c>
      <c r="F2067" t="s">
        <v>2722</v>
      </c>
      <c r="G2067" t="s">
        <v>23</v>
      </c>
      <c r="H2067" t="s">
        <v>2805</v>
      </c>
      <c r="I2067" t="s">
        <v>2806</v>
      </c>
      <c r="J2067" t="s">
        <v>2807</v>
      </c>
      <c r="K2067" t="s">
        <v>2808</v>
      </c>
      <c r="L2067" t="s">
        <v>3418</v>
      </c>
      <c r="M2067" t="s">
        <v>1223</v>
      </c>
      <c r="N2067" t="s">
        <v>2809</v>
      </c>
      <c r="O2067" t="s">
        <v>4798</v>
      </c>
      <c r="P2067" t="s">
        <v>1125</v>
      </c>
      <c r="Q2067" t="s">
        <v>20</v>
      </c>
      <c r="R2067" t="s">
        <v>4799</v>
      </c>
      <c r="S2067" t="s">
        <v>20</v>
      </c>
    </row>
    <row r="2068" spans="1:19" x14ac:dyDescent="0.45">
      <c r="A2068" t="s">
        <v>2920</v>
      </c>
      <c r="B2068" t="s">
        <v>20</v>
      </c>
      <c r="C2068" t="s">
        <v>8153</v>
      </c>
      <c r="D2068" t="s">
        <v>5754</v>
      </c>
      <c r="E2068" t="s">
        <v>38</v>
      </c>
      <c r="F2068" t="s">
        <v>2755</v>
      </c>
      <c r="G2068" t="s">
        <v>23</v>
      </c>
      <c r="H2068" t="s">
        <v>8979</v>
      </c>
      <c r="I2068" t="s">
        <v>9368</v>
      </c>
      <c r="J2068" t="s">
        <v>9369</v>
      </c>
      <c r="K2068" t="s">
        <v>9370</v>
      </c>
      <c r="L2068" t="s">
        <v>2769</v>
      </c>
      <c r="M2068" t="s">
        <v>112</v>
      </c>
      <c r="N2068" t="s">
        <v>12025</v>
      </c>
      <c r="O2068" t="s">
        <v>4798</v>
      </c>
      <c r="P2068" t="s">
        <v>6523</v>
      </c>
      <c r="Q2068" t="s">
        <v>20</v>
      </c>
      <c r="R2068" t="s">
        <v>4799</v>
      </c>
      <c r="S2068" t="s">
        <v>9333</v>
      </c>
    </row>
    <row r="2069" spans="1:19" x14ac:dyDescent="0.45">
      <c r="A2069" t="s">
        <v>4056</v>
      </c>
      <c r="B2069" t="s">
        <v>10226</v>
      </c>
      <c r="C2069" t="s">
        <v>10227</v>
      </c>
      <c r="D2069" t="s">
        <v>6207</v>
      </c>
      <c r="E2069" t="s">
        <v>21</v>
      </c>
      <c r="F2069" t="s">
        <v>2787</v>
      </c>
      <c r="G2069" t="s">
        <v>23</v>
      </c>
      <c r="H2069" t="s">
        <v>10228</v>
      </c>
      <c r="I2069" t="s">
        <v>10036</v>
      </c>
      <c r="J2069" t="s">
        <v>10229</v>
      </c>
      <c r="K2069" t="s">
        <v>10230</v>
      </c>
      <c r="L2069" t="s">
        <v>6522</v>
      </c>
      <c r="M2069" t="s">
        <v>2100</v>
      </c>
      <c r="N2069" t="s">
        <v>1224</v>
      </c>
      <c r="O2069" t="s">
        <v>4798</v>
      </c>
      <c r="P2069" t="s">
        <v>6522</v>
      </c>
      <c r="Q2069" t="s">
        <v>20</v>
      </c>
      <c r="R2069" t="s">
        <v>4799</v>
      </c>
      <c r="S2069" t="s">
        <v>20</v>
      </c>
    </row>
    <row r="2070" spans="1:19" x14ac:dyDescent="0.45">
      <c r="A2070" t="s">
        <v>6989</v>
      </c>
      <c r="B2070" t="s">
        <v>3600</v>
      </c>
      <c r="C2070" t="s">
        <v>3246</v>
      </c>
      <c r="D2070" t="s">
        <v>3247</v>
      </c>
      <c r="E2070" t="s">
        <v>21</v>
      </c>
      <c r="F2070" t="s">
        <v>2948</v>
      </c>
      <c r="G2070" t="s">
        <v>23</v>
      </c>
      <c r="H2070" t="s">
        <v>3601</v>
      </c>
      <c r="I2070" t="s">
        <v>3602</v>
      </c>
      <c r="J2070" t="s">
        <v>3603</v>
      </c>
      <c r="K2070" t="s">
        <v>3604</v>
      </c>
      <c r="L2070" t="s">
        <v>2769</v>
      </c>
      <c r="M2070" t="s">
        <v>1223</v>
      </c>
      <c r="N2070" t="s">
        <v>146</v>
      </c>
      <c r="O2070" t="s">
        <v>4798</v>
      </c>
      <c r="P2070" t="s">
        <v>290</v>
      </c>
      <c r="Q2070" t="s">
        <v>20</v>
      </c>
      <c r="R2070" t="s">
        <v>4799</v>
      </c>
      <c r="S2070" t="s">
        <v>20</v>
      </c>
    </row>
    <row r="2071" spans="1:19" x14ac:dyDescent="0.45">
      <c r="A2071" t="s">
        <v>515</v>
      </c>
      <c r="B2071" t="s">
        <v>9453</v>
      </c>
      <c r="C2071" t="s">
        <v>2474</v>
      </c>
      <c r="D2071" t="s">
        <v>2475</v>
      </c>
      <c r="E2071" t="s">
        <v>38</v>
      </c>
      <c r="F2071" t="s">
        <v>9454</v>
      </c>
      <c r="G2071" t="s">
        <v>23</v>
      </c>
      <c r="H2071" t="s">
        <v>7234</v>
      </c>
      <c r="I2071" t="s">
        <v>7235</v>
      </c>
      <c r="J2071" t="s">
        <v>7236</v>
      </c>
      <c r="K2071" t="s">
        <v>7237</v>
      </c>
      <c r="L2071" t="s">
        <v>3418</v>
      </c>
      <c r="M2071" t="s">
        <v>112</v>
      </c>
      <c r="N2071" t="s">
        <v>195</v>
      </c>
      <c r="O2071" t="s">
        <v>4798</v>
      </c>
      <c r="P2071" t="s">
        <v>6523</v>
      </c>
      <c r="Q2071" t="s">
        <v>20</v>
      </c>
      <c r="R2071" t="s">
        <v>4799</v>
      </c>
      <c r="S2071" t="s">
        <v>20</v>
      </c>
    </row>
    <row r="2072" spans="1:19" x14ac:dyDescent="0.45">
      <c r="A2072" t="s">
        <v>173</v>
      </c>
      <c r="B2072" t="s">
        <v>20</v>
      </c>
      <c r="C2072" t="s">
        <v>9407</v>
      </c>
      <c r="D2072" t="s">
        <v>5736</v>
      </c>
      <c r="E2072" t="s">
        <v>38</v>
      </c>
      <c r="F2072" t="s">
        <v>2785</v>
      </c>
      <c r="G2072" t="s">
        <v>23</v>
      </c>
      <c r="H2072" t="s">
        <v>8913</v>
      </c>
      <c r="I2072" t="s">
        <v>9501</v>
      </c>
      <c r="J2072" t="s">
        <v>9502</v>
      </c>
      <c r="K2072" t="s">
        <v>9503</v>
      </c>
      <c r="L2072" t="s">
        <v>2769</v>
      </c>
      <c r="M2072" t="s">
        <v>2953</v>
      </c>
      <c r="N2072" t="s">
        <v>146</v>
      </c>
      <c r="O2072" t="s">
        <v>4798</v>
      </c>
      <c r="P2072" t="s">
        <v>6513</v>
      </c>
      <c r="Q2072" t="s">
        <v>20</v>
      </c>
      <c r="R2072" t="s">
        <v>4799</v>
      </c>
      <c r="S2072" t="s">
        <v>9343</v>
      </c>
    </row>
    <row r="2073" spans="1:19" x14ac:dyDescent="0.45">
      <c r="A2073" t="s">
        <v>3026</v>
      </c>
      <c r="B2073" t="s">
        <v>5061</v>
      </c>
      <c r="C2073" t="s">
        <v>5062</v>
      </c>
      <c r="D2073" t="s">
        <v>5063</v>
      </c>
      <c r="E2073" t="s">
        <v>21</v>
      </c>
      <c r="F2073" t="s">
        <v>2787</v>
      </c>
      <c r="G2073" t="s">
        <v>23</v>
      </c>
      <c r="H2073" t="s">
        <v>5064</v>
      </c>
      <c r="I2073" t="s">
        <v>5065</v>
      </c>
      <c r="J2073" t="s">
        <v>5066</v>
      </c>
      <c r="K2073" t="s">
        <v>5067</v>
      </c>
      <c r="L2073" t="s">
        <v>209</v>
      </c>
      <c r="M2073" t="s">
        <v>1223</v>
      </c>
      <c r="N2073" t="s">
        <v>33</v>
      </c>
      <c r="O2073" t="s">
        <v>4798</v>
      </c>
      <c r="P2073" t="s">
        <v>635</v>
      </c>
      <c r="Q2073" t="s">
        <v>20</v>
      </c>
      <c r="R2073" t="s">
        <v>4799</v>
      </c>
      <c r="S2073" t="s">
        <v>20</v>
      </c>
    </row>
    <row r="2074" spans="1:19" x14ac:dyDescent="0.45">
      <c r="A2074" t="s">
        <v>2700</v>
      </c>
      <c r="B2074" t="s">
        <v>13410</v>
      </c>
      <c r="C2074" t="s">
        <v>12301</v>
      </c>
      <c r="D2074" t="s">
        <v>5698</v>
      </c>
      <c r="E2074" t="s">
        <v>21</v>
      </c>
      <c r="F2074" t="s">
        <v>2722</v>
      </c>
      <c r="G2074" t="s">
        <v>23</v>
      </c>
      <c r="H2074" t="s">
        <v>12302</v>
      </c>
      <c r="I2074" t="s">
        <v>12303</v>
      </c>
      <c r="J2074" t="s">
        <v>12304</v>
      </c>
      <c r="K2074" t="s">
        <v>12305</v>
      </c>
      <c r="L2074" t="s">
        <v>8377</v>
      </c>
      <c r="M2074" t="s">
        <v>112</v>
      </c>
      <c r="N2074" t="s">
        <v>2809</v>
      </c>
      <c r="O2074" t="s">
        <v>4798</v>
      </c>
      <c r="P2074" t="s">
        <v>3998</v>
      </c>
      <c r="Q2074" t="s">
        <v>20</v>
      </c>
      <c r="R2074" t="s">
        <v>4799</v>
      </c>
      <c r="S2074" t="s">
        <v>20</v>
      </c>
    </row>
    <row r="2075" spans="1:19" x14ac:dyDescent="0.45">
      <c r="A2075" t="s">
        <v>2278</v>
      </c>
      <c r="B2075" t="s">
        <v>3649</v>
      </c>
      <c r="C2075" t="s">
        <v>3650</v>
      </c>
      <c r="D2075" t="s">
        <v>3651</v>
      </c>
      <c r="E2075" t="s">
        <v>21</v>
      </c>
      <c r="F2075" t="s">
        <v>2722</v>
      </c>
      <c r="G2075" t="s">
        <v>23</v>
      </c>
      <c r="H2075" t="s">
        <v>3652</v>
      </c>
      <c r="I2075" t="s">
        <v>3653</v>
      </c>
      <c r="J2075" t="s">
        <v>3654</v>
      </c>
      <c r="K2075" t="s">
        <v>3655</v>
      </c>
      <c r="L2075" t="s">
        <v>3418</v>
      </c>
      <c r="M2075" t="s">
        <v>1223</v>
      </c>
      <c r="N2075" t="s">
        <v>2809</v>
      </c>
      <c r="O2075" t="s">
        <v>4798</v>
      </c>
      <c r="P2075" t="s">
        <v>6522</v>
      </c>
      <c r="Q2075" t="s">
        <v>20</v>
      </c>
      <c r="R2075" t="s">
        <v>4799</v>
      </c>
      <c r="S2075" t="s">
        <v>20</v>
      </c>
    </row>
    <row r="2076" spans="1:19" x14ac:dyDescent="0.45">
      <c r="A2076" t="s">
        <v>607</v>
      </c>
      <c r="B2076" t="s">
        <v>20</v>
      </c>
      <c r="C2076" t="s">
        <v>14718</v>
      </c>
      <c r="D2076" t="s">
        <v>5640</v>
      </c>
      <c r="E2076" t="s">
        <v>38</v>
      </c>
      <c r="F2076" t="s">
        <v>2722</v>
      </c>
      <c r="G2076" t="s">
        <v>23</v>
      </c>
      <c r="H2076" t="s">
        <v>14719</v>
      </c>
      <c r="I2076" t="s">
        <v>14720</v>
      </c>
      <c r="J2076" t="s">
        <v>14721</v>
      </c>
      <c r="K2076" t="s">
        <v>14722</v>
      </c>
      <c r="L2076" t="s">
        <v>6525</v>
      </c>
      <c r="M2076" t="s">
        <v>1223</v>
      </c>
      <c r="N2076" t="s">
        <v>678</v>
      </c>
      <c r="O2076" t="s">
        <v>4798</v>
      </c>
      <c r="P2076" t="s">
        <v>6525</v>
      </c>
      <c r="Q2076" t="s">
        <v>20</v>
      </c>
      <c r="R2076" t="s">
        <v>4799</v>
      </c>
      <c r="S2076" t="s">
        <v>20</v>
      </c>
    </row>
    <row r="2077" spans="1:19" x14ac:dyDescent="0.45">
      <c r="A2077" t="s">
        <v>12382</v>
      </c>
      <c r="B2077" t="s">
        <v>5214</v>
      </c>
      <c r="C2077" t="s">
        <v>4587</v>
      </c>
      <c r="D2077" t="s">
        <v>4588</v>
      </c>
      <c r="E2077" t="s">
        <v>21</v>
      </c>
      <c r="F2077" t="s">
        <v>2948</v>
      </c>
      <c r="G2077" t="s">
        <v>23</v>
      </c>
      <c r="H2077" t="s">
        <v>5215</v>
      </c>
      <c r="I2077" t="s">
        <v>5216</v>
      </c>
      <c r="J2077" t="s">
        <v>5217</v>
      </c>
      <c r="K2077" t="s">
        <v>5218</v>
      </c>
      <c r="L2077" t="s">
        <v>296</v>
      </c>
      <c r="M2077" t="s">
        <v>136</v>
      </c>
      <c r="N2077" t="s">
        <v>137</v>
      </c>
      <c r="O2077" t="s">
        <v>4798</v>
      </c>
      <c r="P2077" t="s">
        <v>296</v>
      </c>
      <c r="Q2077" t="s">
        <v>20</v>
      </c>
      <c r="R2077" t="s">
        <v>4799</v>
      </c>
      <c r="S2077" t="s">
        <v>138</v>
      </c>
    </row>
    <row r="2078" spans="1:19" x14ac:dyDescent="0.45">
      <c r="A2078" t="s">
        <v>2664</v>
      </c>
      <c r="B2078" t="s">
        <v>5282</v>
      </c>
      <c r="C2078" t="s">
        <v>5283</v>
      </c>
      <c r="D2078" t="s">
        <v>5284</v>
      </c>
      <c r="E2078" t="s">
        <v>21</v>
      </c>
      <c r="F2078" t="s">
        <v>3062</v>
      </c>
      <c r="G2078" t="s">
        <v>23</v>
      </c>
      <c r="H2078" t="s">
        <v>5285</v>
      </c>
      <c r="I2078" t="s">
        <v>5286</v>
      </c>
      <c r="J2078" t="s">
        <v>5287</v>
      </c>
      <c r="K2078" t="s">
        <v>5288</v>
      </c>
      <c r="L2078" t="s">
        <v>168</v>
      </c>
      <c r="M2078" t="s">
        <v>1223</v>
      </c>
      <c r="N2078" t="s">
        <v>2727</v>
      </c>
      <c r="O2078" t="s">
        <v>4798</v>
      </c>
      <c r="P2078" t="s">
        <v>131</v>
      </c>
      <c r="Q2078" t="s">
        <v>20</v>
      </c>
      <c r="R2078" t="s">
        <v>4799</v>
      </c>
      <c r="S2078" t="s">
        <v>20</v>
      </c>
    </row>
    <row r="2079" spans="1:19" x14ac:dyDescent="0.45">
      <c r="A2079" t="s">
        <v>3120</v>
      </c>
      <c r="B2079" t="s">
        <v>3121</v>
      </c>
      <c r="C2079" t="s">
        <v>3122</v>
      </c>
      <c r="D2079" t="s">
        <v>3123</v>
      </c>
      <c r="E2079" t="s">
        <v>38</v>
      </c>
      <c r="F2079" t="s">
        <v>2722</v>
      </c>
      <c r="G2079" t="s">
        <v>23</v>
      </c>
      <c r="H2079" t="s">
        <v>3124</v>
      </c>
      <c r="I2079" t="s">
        <v>3125</v>
      </c>
      <c r="J2079" t="s">
        <v>3126</v>
      </c>
      <c r="K2079" t="s">
        <v>3127</v>
      </c>
      <c r="L2079" t="s">
        <v>3418</v>
      </c>
      <c r="M2079" t="s">
        <v>1223</v>
      </c>
      <c r="N2079" t="s">
        <v>678</v>
      </c>
      <c r="O2079" t="s">
        <v>4798</v>
      </c>
      <c r="P2079" t="s">
        <v>9570</v>
      </c>
      <c r="Q2079" t="s">
        <v>20</v>
      </c>
      <c r="R2079" t="s">
        <v>4799</v>
      </c>
      <c r="S2079" t="s">
        <v>20</v>
      </c>
    </row>
    <row r="2080" spans="1:19" x14ac:dyDescent="0.45">
      <c r="A2080" t="s">
        <v>261</v>
      </c>
      <c r="B2080" t="s">
        <v>5175</v>
      </c>
      <c r="C2080" t="s">
        <v>5176</v>
      </c>
      <c r="D2080" t="s">
        <v>5177</v>
      </c>
      <c r="E2080" t="s">
        <v>38</v>
      </c>
      <c r="F2080" t="s">
        <v>2722</v>
      </c>
      <c r="G2080" t="s">
        <v>23</v>
      </c>
      <c r="H2080" t="s">
        <v>5178</v>
      </c>
      <c r="I2080" t="s">
        <v>5179</v>
      </c>
      <c r="J2080" t="s">
        <v>5180</v>
      </c>
      <c r="K2080" t="s">
        <v>5181</v>
      </c>
      <c r="L2080" t="s">
        <v>2413</v>
      </c>
      <c r="M2080" t="s">
        <v>1223</v>
      </c>
      <c r="N2080" t="s">
        <v>3389</v>
      </c>
      <c r="O2080" t="s">
        <v>4798</v>
      </c>
      <c r="P2080" t="s">
        <v>2413</v>
      </c>
      <c r="Q2080" t="s">
        <v>20</v>
      </c>
      <c r="R2080" t="s">
        <v>4799</v>
      </c>
      <c r="S2080" t="s">
        <v>20</v>
      </c>
    </row>
    <row r="2081" spans="1:19" x14ac:dyDescent="0.45">
      <c r="A2081" t="s">
        <v>4056</v>
      </c>
      <c r="B2081" t="s">
        <v>9504</v>
      </c>
      <c r="C2081" t="s">
        <v>9505</v>
      </c>
      <c r="D2081" t="s">
        <v>5940</v>
      </c>
      <c r="E2081" t="s">
        <v>38</v>
      </c>
      <c r="F2081" t="s">
        <v>2787</v>
      </c>
      <c r="G2081" t="s">
        <v>23</v>
      </c>
      <c r="H2081" t="s">
        <v>9506</v>
      </c>
      <c r="I2081" t="s">
        <v>9507</v>
      </c>
      <c r="J2081" t="s">
        <v>9508</v>
      </c>
      <c r="K2081" t="s">
        <v>9509</v>
      </c>
      <c r="L2081" t="s">
        <v>6521</v>
      </c>
      <c r="M2081" t="s">
        <v>2981</v>
      </c>
      <c r="N2081" t="s">
        <v>2809</v>
      </c>
      <c r="O2081" t="s">
        <v>4798</v>
      </c>
      <c r="P2081" t="s">
        <v>6521</v>
      </c>
      <c r="Q2081" t="s">
        <v>20</v>
      </c>
      <c r="R2081" t="s">
        <v>4799</v>
      </c>
      <c r="S2081" t="s">
        <v>20</v>
      </c>
    </row>
    <row r="2082" spans="1:19" x14ac:dyDescent="0.45">
      <c r="A2082" t="s">
        <v>4056</v>
      </c>
      <c r="B2082" t="s">
        <v>9455</v>
      </c>
      <c r="C2082" t="s">
        <v>9456</v>
      </c>
      <c r="D2082" t="s">
        <v>5597</v>
      </c>
      <c r="E2082" t="s">
        <v>38</v>
      </c>
      <c r="F2082" t="s">
        <v>2773</v>
      </c>
      <c r="G2082" t="s">
        <v>23</v>
      </c>
      <c r="H2082" t="s">
        <v>9457</v>
      </c>
      <c r="I2082" t="s">
        <v>9458</v>
      </c>
      <c r="J2082" t="s">
        <v>9459</v>
      </c>
      <c r="K2082" t="s">
        <v>9460</v>
      </c>
      <c r="L2082" t="s">
        <v>6513</v>
      </c>
      <c r="M2082" t="s">
        <v>9461</v>
      </c>
      <c r="N2082" t="s">
        <v>1224</v>
      </c>
      <c r="O2082" t="s">
        <v>4798</v>
      </c>
      <c r="P2082" t="s">
        <v>6513</v>
      </c>
      <c r="Q2082" t="s">
        <v>20</v>
      </c>
      <c r="R2082" t="s">
        <v>4799</v>
      </c>
      <c r="S2082" t="s">
        <v>20</v>
      </c>
    </row>
    <row r="2083" spans="1:19" x14ac:dyDescent="0.45">
      <c r="A2083" t="s">
        <v>3480</v>
      </c>
      <c r="B2083" t="s">
        <v>5008</v>
      </c>
      <c r="C2083" t="s">
        <v>5009</v>
      </c>
      <c r="D2083" t="s">
        <v>5010</v>
      </c>
      <c r="E2083" t="s">
        <v>21</v>
      </c>
      <c r="F2083" t="s">
        <v>2722</v>
      </c>
      <c r="G2083" t="s">
        <v>23</v>
      </c>
      <c r="H2083" t="s">
        <v>5011</v>
      </c>
      <c r="I2083" t="s">
        <v>5012</v>
      </c>
      <c r="J2083" t="s">
        <v>5013</v>
      </c>
      <c r="K2083" t="s">
        <v>5014</v>
      </c>
      <c r="L2083" t="s">
        <v>161</v>
      </c>
      <c r="M2083" t="s">
        <v>1223</v>
      </c>
      <c r="N2083" t="s">
        <v>678</v>
      </c>
      <c r="O2083" t="s">
        <v>4798</v>
      </c>
      <c r="P2083" t="s">
        <v>161</v>
      </c>
      <c r="Q2083" t="s">
        <v>20</v>
      </c>
      <c r="R2083" t="s">
        <v>4799</v>
      </c>
      <c r="S2083" t="s">
        <v>20</v>
      </c>
    </row>
    <row r="2084" spans="1:19" x14ac:dyDescent="0.45">
      <c r="A2084" t="s">
        <v>729</v>
      </c>
      <c r="B2084" t="s">
        <v>14262</v>
      </c>
      <c r="C2084" t="s">
        <v>7728</v>
      </c>
      <c r="D2084" t="s">
        <v>5676</v>
      </c>
      <c r="E2084" t="s">
        <v>38</v>
      </c>
      <c r="F2084" t="s">
        <v>14263</v>
      </c>
      <c r="G2084" t="s">
        <v>23</v>
      </c>
      <c r="H2084" t="s">
        <v>10341</v>
      </c>
      <c r="I2084" t="s">
        <v>10342</v>
      </c>
      <c r="J2084" t="s">
        <v>10947</v>
      </c>
      <c r="K2084" t="s">
        <v>10948</v>
      </c>
      <c r="L2084" t="s">
        <v>9570</v>
      </c>
      <c r="M2084" t="s">
        <v>112</v>
      </c>
      <c r="N2084" t="s">
        <v>146</v>
      </c>
      <c r="O2084" t="s">
        <v>4798</v>
      </c>
      <c r="P2084" t="s">
        <v>6525</v>
      </c>
      <c r="Q2084" t="s">
        <v>20</v>
      </c>
      <c r="R2084" t="s">
        <v>4799</v>
      </c>
      <c r="S2084" t="s">
        <v>10343</v>
      </c>
    </row>
    <row r="2085" spans="1:19" x14ac:dyDescent="0.45">
      <c r="A2085" t="s">
        <v>5307</v>
      </c>
      <c r="B2085" t="s">
        <v>5308</v>
      </c>
      <c r="C2085" t="s">
        <v>5309</v>
      </c>
      <c r="D2085" t="s">
        <v>5310</v>
      </c>
      <c r="E2085" t="s">
        <v>38</v>
      </c>
      <c r="F2085" t="s">
        <v>2904</v>
      </c>
      <c r="G2085" t="s">
        <v>23</v>
      </c>
      <c r="H2085" t="s">
        <v>5311</v>
      </c>
      <c r="I2085" t="s">
        <v>5312</v>
      </c>
      <c r="J2085" t="s">
        <v>5313</v>
      </c>
      <c r="K2085" t="s">
        <v>5314</v>
      </c>
      <c r="L2085" t="s">
        <v>722</v>
      </c>
      <c r="M2085" t="s">
        <v>1223</v>
      </c>
      <c r="N2085" t="s">
        <v>2727</v>
      </c>
      <c r="O2085" t="s">
        <v>4798</v>
      </c>
      <c r="P2085" t="s">
        <v>214</v>
      </c>
      <c r="Q2085" t="s">
        <v>20</v>
      </c>
      <c r="R2085" t="s">
        <v>4799</v>
      </c>
      <c r="S2085" t="s">
        <v>20</v>
      </c>
    </row>
    <row r="2086" spans="1:19" x14ac:dyDescent="0.45">
      <c r="A2086" t="s">
        <v>2861</v>
      </c>
      <c r="B2086" t="s">
        <v>4924</v>
      </c>
      <c r="C2086" t="s">
        <v>4925</v>
      </c>
      <c r="D2086" t="s">
        <v>4926</v>
      </c>
      <c r="E2086" t="s">
        <v>21</v>
      </c>
      <c r="F2086" t="s">
        <v>2787</v>
      </c>
      <c r="G2086" t="s">
        <v>23</v>
      </c>
      <c r="H2086" t="s">
        <v>4927</v>
      </c>
      <c r="I2086" t="s">
        <v>4928</v>
      </c>
      <c r="J2086" t="s">
        <v>4929</v>
      </c>
      <c r="K2086" t="s">
        <v>4930</v>
      </c>
      <c r="L2086" t="s">
        <v>168</v>
      </c>
      <c r="M2086" t="s">
        <v>2100</v>
      </c>
      <c r="N2086" t="s">
        <v>1224</v>
      </c>
      <c r="O2086" t="s">
        <v>4798</v>
      </c>
      <c r="P2086" t="s">
        <v>168</v>
      </c>
      <c r="Q2086" t="s">
        <v>20</v>
      </c>
      <c r="R2086" t="s">
        <v>4799</v>
      </c>
      <c r="S2086" t="s">
        <v>20</v>
      </c>
    </row>
    <row r="2087" spans="1:19" x14ac:dyDescent="0.45">
      <c r="A2087" t="s">
        <v>2920</v>
      </c>
      <c r="B2087" t="s">
        <v>2921</v>
      </c>
      <c r="C2087" t="s">
        <v>2922</v>
      </c>
      <c r="D2087" t="s">
        <v>2923</v>
      </c>
      <c r="E2087" t="s">
        <v>38</v>
      </c>
      <c r="F2087" t="s">
        <v>2722</v>
      </c>
      <c r="G2087" t="s">
        <v>23</v>
      </c>
      <c r="H2087" t="s">
        <v>2924</v>
      </c>
      <c r="I2087" t="s">
        <v>2925</v>
      </c>
      <c r="J2087" t="s">
        <v>2926</v>
      </c>
      <c r="K2087" t="s">
        <v>2927</v>
      </c>
      <c r="L2087" t="s">
        <v>3418</v>
      </c>
      <c r="M2087" t="s">
        <v>2928</v>
      </c>
      <c r="N2087" t="s">
        <v>12025</v>
      </c>
      <c r="O2087" t="s">
        <v>4798</v>
      </c>
      <c r="P2087" t="s">
        <v>147</v>
      </c>
      <c r="Q2087" t="s">
        <v>20</v>
      </c>
      <c r="R2087" t="s">
        <v>4799</v>
      </c>
      <c r="S2087" t="s">
        <v>20</v>
      </c>
    </row>
    <row r="2088" spans="1:19" x14ac:dyDescent="0.45">
      <c r="A2088" t="s">
        <v>563</v>
      </c>
      <c r="B2088" t="s">
        <v>3470</v>
      </c>
      <c r="C2088" t="s">
        <v>564</v>
      </c>
      <c r="D2088" t="s">
        <v>565</v>
      </c>
      <c r="E2088" t="s">
        <v>21</v>
      </c>
      <c r="F2088" t="s">
        <v>2755</v>
      </c>
      <c r="G2088" t="s">
        <v>23</v>
      </c>
      <c r="H2088" t="s">
        <v>3471</v>
      </c>
      <c r="I2088" t="s">
        <v>3472</v>
      </c>
      <c r="J2088" t="s">
        <v>3473</v>
      </c>
      <c r="K2088" t="s">
        <v>3474</v>
      </c>
      <c r="L2088" t="s">
        <v>6525</v>
      </c>
      <c r="M2088" t="s">
        <v>132</v>
      </c>
      <c r="N2088" t="s">
        <v>33</v>
      </c>
      <c r="O2088" t="s">
        <v>4798</v>
      </c>
      <c r="P2088" t="s">
        <v>2413</v>
      </c>
      <c r="Q2088" t="s">
        <v>20</v>
      </c>
      <c r="R2088" t="s">
        <v>4799</v>
      </c>
      <c r="S2088" t="s">
        <v>9333</v>
      </c>
    </row>
    <row r="2089" spans="1:19" x14ac:dyDescent="0.45">
      <c r="A2089" t="s">
        <v>4056</v>
      </c>
      <c r="B2089" t="s">
        <v>8829</v>
      </c>
      <c r="C2089" t="s">
        <v>8830</v>
      </c>
      <c r="D2089" t="s">
        <v>5896</v>
      </c>
      <c r="E2089" t="s">
        <v>38</v>
      </c>
      <c r="F2089" t="s">
        <v>2722</v>
      </c>
      <c r="G2089" t="s">
        <v>23</v>
      </c>
      <c r="H2089" t="s">
        <v>8831</v>
      </c>
      <c r="I2089" t="s">
        <v>8832</v>
      </c>
      <c r="J2089" t="s">
        <v>8833</v>
      </c>
      <c r="K2089" t="s">
        <v>8834</v>
      </c>
      <c r="L2089" t="s">
        <v>722</v>
      </c>
      <c r="M2089" t="s">
        <v>112</v>
      </c>
      <c r="N2089" t="s">
        <v>113</v>
      </c>
      <c r="O2089" t="s">
        <v>4798</v>
      </c>
      <c r="P2089" t="s">
        <v>2330</v>
      </c>
      <c r="Q2089" t="s">
        <v>20</v>
      </c>
      <c r="R2089" t="s">
        <v>4799</v>
      </c>
      <c r="S2089" t="s">
        <v>20</v>
      </c>
    </row>
    <row r="2090" spans="1:19" x14ac:dyDescent="0.45">
      <c r="A2090" t="s">
        <v>26</v>
      </c>
      <c r="B2090" t="s">
        <v>9743</v>
      </c>
      <c r="C2090" t="s">
        <v>371</v>
      </c>
      <c r="D2090" t="s">
        <v>372</v>
      </c>
      <c r="E2090" t="s">
        <v>21</v>
      </c>
      <c r="F2090" t="s">
        <v>2787</v>
      </c>
      <c r="G2090" t="s">
        <v>23</v>
      </c>
      <c r="H2090" t="s">
        <v>9048</v>
      </c>
      <c r="I2090" t="s">
        <v>9744</v>
      </c>
      <c r="J2090" t="s">
        <v>9745</v>
      </c>
      <c r="K2090" t="s">
        <v>9746</v>
      </c>
      <c r="L2090" t="s">
        <v>6523</v>
      </c>
      <c r="M2090" t="s">
        <v>2100</v>
      </c>
      <c r="N2090" t="s">
        <v>137</v>
      </c>
      <c r="O2090" t="s">
        <v>4798</v>
      </c>
      <c r="P2090" t="s">
        <v>6523</v>
      </c>
      <c r="Q2090" t="s">
        <v>20</v>
      </c>
      <c r="R2090" t="s">
        <v>4799</v>
      </c>
      <c r="S2090" t="s">
        <v>138</v>
      </c>
    </row>
    <row r="2091" spans="1:19" x14ac:dyDescent="0.45">
      <c r="A2091" t="s">
        <v>2432</v>
      </c>
      <c r="B2091" t="s">
        <v>8179</v>
      </c>
      <c r="C2091" t="s">
        <v>8180</v>
      </c>
      <c r="D2091" t="s">
        <v>6348</v>
      </c>
      <c r="E2091" t="s">
        <v>38</v>
      </c>
      <c r="F2091" t="s">
        <v>2785</v>
      </c>
      <c r="G2091" t="s">
        <v>23</v>
      </c>
      <c r="H2091" t="s">
        <v>8181</v>
      </c>
      <c r="I2091" t="s">
        <v>8182</v>
      </c>
      <c r="J2091" t="s">
        <v>8183</v>
      </c>
      <c r="K2091" t="s">
        <v>8184</v>
      </c>
      <c r="L2091" t="s">
        <v>6523</v>
      </c>
      <c r="M2091" t="s">
        <v>112</v>
      </c>
      <c r="N2091" t="s">
        <v>195</v>
      </c>
      <c r="O2091" t="s">
        <v>4798</v>
      </c>
      <c r="P2091" t="s">
        <v>6513</v>
      </c>
      <c r="Q2091" t="s">
        <v>20</v>
      </c>
      <c r="R2091" t="s">
        <v>4799</v>
      </c>
      <c r="S2091" t="s">
        <v>20</v>
      </c>
    </row>
    <row r="2092" spans="1:19" x14ac:dyDescent="0.45">
      <c r="A2092" t="s">
        <v>1016</v>
      </c>
      <c r="B2092" t="s">
        <v>20</v>
      </c>
      <c r="C2092" t="s">
        <v>9603</v>
      </c>
      <c r="D2092" t="s">
        <v>6361</v>
      </c>
      <c r="E2092" t="s">
        <v>38</v>
      </c>
      <c r="F2092" t="s">
        <v>2948</v>
      </c>
      <c r="G2092" t="s">
        <v>23</v>
      </c>
      <c r="H2092" t="s">
        <v>11900</v>
      </c>
      <c r="I2092" t="s">
        <v>11901</v>
      </c>
      <c r="J2092" t="s">
        <v>11902</v>
      </c>
      <c r="K2092" t="s">
        <v>11903</v>
      </c>
      <c r="L2092" t="s">
        <v>3418</v>
      </c>
      <c r="M2092" t="s">
        <v>132</v>
      </c>
      <c r="N2092" t="s">
        <v>195</v>
      </c>
      <c r="O2092" t="s">
        <v>4798</v>
      </c>
      <c r="P2092" t="s">
        <v>3998</v>
      </c>
      <c r="Q2092" t="s">
        <v>20</v>
      </c>
      <c r="R2092" t="s">
        <v>4799</v>
      </c>
      <c r="S2092" t="s">
        <v>11883</v>
      </c>
    </row>
    <row r="2093" spans="1:19" x14ac:dyDescent="0.45">
      <c r="A2093" t="s">
        <v>35</v>
      </c>
      <c r="B2093" t="s">
        <v>12252</v>
      </c>
      <c r="C2093" t="s">
        <v>36</v>
      </c>
      <c r="D2093" t="s">
        <v>37</v>
      </c>
      <c r="E2093" t="s">
        <v>38</v>
      </c>
      <c r="F2093" t="s">
        <v>2722</v>
      </c>
      <c r="G2093" t="s">
        <v>23</v>
      </c>
      <c r="H2093" t="s">
        <v>10054</v>
      </c>
      <c r="I2093" t="s">
        <v>10055</v>
      </c>
      <c r="J2093" t="s">
        <v>10056</v>
      </c>
      <c r="K2093" t="s">
        <v>10057</v>
      </c>
      <c r="L2093" t="s">
        <v>6522</v>
      </c>
      <c r="M2093" t="s">
        <v>112</v>
      </c>
      <c r="N2093" t="s">
        <v>119</v>
      </c>
      <c r="O2093" t="s">
        <v>4798</v>
      </c>
      <c r="P2093" t="s">
        <v>6527</v>
      </c>
      <c r="Q2093" t="s">
        <v>20</v>
      </c>
      <c r="R2093" t="s">
        <v>4799</v>
      </c>
      <c r="S2093" t="s">
        <v>20</v>
      </c>
    </row>
    <row r="2094" spans="1:19" x14ac:dyDescent="0.45">
      <c r="A2094" t="s">
        <v>54</v>
      </c>
      <c r="B2094" t="s">
        <v>11237</v>
      </c>
      <c r="C2094" t="s">
        <v>947</v>
      </c>
      <c r="D2094" t="s">
        <v>948</v>
      </c>
      <c r="E2094" t="s">
        <v>38</v>
      </c>
      <c r="F2094" t="s">
        <v>14255</v>
      </c>
      <c r="G2094" t="s">
        <v>23</v>
      </c>
      <c r="H2094" t="s">
        <v>2492</v>
      </c>
      <c r="I2094" t="s">
        <v>2493</v>
      </c>
      <c r="J2094" t="s">
        <v>2494</v>
      </c>
      <c r="K2094" t="s">
        <v>2495</v>
      </c>
      <c r="L2094" t="s">
        <v>168</v>
      </c>
      <c r="M2094" t="s">
        <v>32</v>
      </c>
      <c r="N2094" t="s">
        <v>33</v>
      </c>
      <c r="O2094" t="s">
        <v>4798</v>
      </c>
      <c r="P2094" t="s">
        <v>53</v>
      </c>
      <c r="Q2094" t="s">
        <v>20</v>
      </c>
      <c r="R2094" t="s">
        <v>4799</v>
      </c>
      <c r="S2094" t="s">
        <v>20</v>
      </c>
    </row>
    <row r="2095" spans="1:19" x14ac:dyDescent="0.45">
      <c r="A2095" t="s">
        <v>128</v>
      </c>
      <c r="B2095" t="s">
        <v>20</v>
      </c>
      <c r="C2095" t="s">
        <v>1156</v>
      </c>
      <c r="D2095" t="s">
        <v>1157</v>
      </c>
      <c r="E2095" t="s">
        <v>38</v>
      </c>
      <c r="F2095" t="s">
        <v>2785</v>
      </c>
      <c r="G2095" t="s">
        <v>23</v>
      </c>
      <c r="H2095" t="s">
        <v>12231</v>
      </c>
      <c r="I2095" t="s">
        <v>12232</v>
      </c>
      <c r="J2095" t="s">
        <v>12233</v>
      </c>
      <c r="K2095" t="s">
        <v>12234</v>
      </c>
      <c r="L2095" t="s">
        <v>3418</v>
      </c>
      <c r="M2095" t="s">
        <v>112</v>
      </c>
      <c r="N2095" t="s">
        <v>33</v>
      </c>
      <c r="O2095" t="s">
        <v>4798</v>
      </c>
      <c r="P2095" t="s">
        <v>6524</v>
      </c>
      <c r="Q2095" t="s">
        <v>20</v>
      </c>
      <c r="R2095" t="s">
        <v>4799</v>
      </c>
      <c r="S2095" t="s">
        <v>13437</v>
      </c>
    </row>
    <row r="2096" spans="1:19" x14ac:dyDescent="0.45">
      <c r="A2096" t="s">
        <v>802</v>
      </c>
      <c r="B2096" t="s">
        <v>8906</v>
      </c>
      <c r="C2096" t="s">
        <v>803</v>
      </c>
      <c r="D2096" t="s">
        <v>804</v>
      </c>
      <c r="E2096" t="s">
        <v>38</v>
      </c>
      <c r="F2096" t="s">
        <v>2787</v>
      </c>
      <c r="G2096" t="s">
        <v>23</v>
      </c>
      <c r="H2096" t="s">
        <v>8907</v>
      </c>
      <c r="I2096" t="s">
        <v>8908</v>
      </c>
      <c r="J2096" t="s">
        <v>8909</v>
      </c>
      <c r="K2096" t="s">
        <v>8910</v>
      </c>
      <c r="L2096" t="s">
        <v>290</v>
      </c>
      <c r="M2096" t="s">
        <v>112</v>
      </c>
      <c r="N2096" t="s">
        <v>113</v>
      </c>
      <c r="O2096" t="s">
        <v>4798</v>
      </c>
      <c r="P2096" t="s">
        <v>290</v>
      </c>
      <c r="Q2096" t="s">
        <v>20</v>
      </c>
      <c r="R2096" t="s">
        <v>4799</v>
      </c>
      <c r="S2096" t="s">
        <v>20</v>
      </c>
    </row>
    <row r="2097" spans="1:19" x14ac:dyDescent="0.45">
      <c r="A2097" t="s">
        <v>71</v>
      </c>
      <c r="B2097" t="s">
        <v>11236</v>
      </c>
      <c r="C2097" t="s">
        <v>2642</v>
      </c>
      <c r="D2097" t="s">
        <v>2643</v>
      </c>
      <c r="E2097" t="s">
        <v>38</v>
      </c>
      <c r="F2097" t="s">
        <v>11180</v>
      </c>
      <c r="G2097" t="s">
        <v>23</v>
      </c>
      <c r="H2097" t="s">
        <v>11181</v>
      </c>
      <c r="I2097" t="s">
        <v>11182</v>
      </c>
      <c r="J2097" t="s">
        <v>11183</v>
      </c>
      <c r="K2097" t="s">
        <v>11184</v>
      </c>
      <c r="L2097" t="s">
        <v>7506</v>
      </c>
      <c r="M2097" t="s">
        <v>102</v>
      </c>
      <c r="N2097" t="s">
        <v>33</v>
      </c>
      <c r="O2097" t="s">
        <v>4798</v>
      </c>
      <c r="P2097" t="s">
        <v>8109</v>
      </c>
      <c r="Q2097" t="s">
        <v>20</v>
      </c>
      <c r="R2097" t="s">
        <v>4799</v>
      </c>
      <c r="S2097" t="s">
        <v>20</v>
      </c>
    </row>
    <row r="2098" spans="1:19" x14ac:dyDescent="0.45">
      <c r="A2098" t="s">
        <v>26</v>
      </c>
      <c r="B2098" t="s">
        <v>12362</v>
      </c>
      <c r="C2098" t="s">
        <v>584</v>
      </c>
      <c r="D2098" t="s">
        <v>585</v>
      </c>
      <c r="E2098" t="s">
        <v>38</v>
      </c>
      <c r="F2098" t="s">
        <v>2785</v>
      </c>
      <c r="G2098" t="s">
        <v>23</v>
      </c>
      <c r="H2098" t="s">
        <v>11803</v>
      </c>
      <c r="I2098" t="s">
        <v>11804</v>
      </c>
      <c r="J2098" t="s">
        <v>11805</v>
      </c>
      <c r="K2098" t="s">
        <v>11806</v>
      </c>
      <c r="L2098" t="s">
        <v>3998</v>
      </c>
      <c r="M2098" t="s">
        <v>112</v>
      </c>
      <c r="N2098" t="s">
        <v>33</v>
      </c>
      <c r="O2098" t="s">
        <v>4798</v>
      </c>
      <c r="P2098" t="s">
        <v>6527</v>
      </c>
      <c r="Q2098" t="s">
        <v>20</v>
      </c>
      <c r="R2098" t="s">
        <v>4799</v>
      </c>
      <c r="S2098" t="s">
        <v>20</v>
      </c>
    </row>
    <row r="2099" spans="1:19" x14ac:dyDescent="0.45">
      <c r="A2099" t="s">
        <v>362</v>
      </c>
      <c r="B2099" t="s">
        <v>14059</v>
      </c>
      <c r="C2099" t="s">
        <v>7618</v>
      </c>
      <c r="D2099" t="s">
        <v>5819</v>
      </c>
      <c r="E2099" t="s">
        <v>57</v>
      </c>
      <c r="F2099" t="s">
        <v>4263</v>
      </c>
      <c r="G2099" t="s">
        <v>23</v>
      </c>
      <c r="H2099" t="s">
        <v>7619</v>
      </c>
      <c r="I2099" t="s">
        <v>7620</v>
      </c>
      <c r="J2099" t="s">
        <v>7621</v>
      </c>
      <c r="K2099" t="s">
        <v>7622</v>
      </c>
      <c r="L2099" t="s">
        <v>8094</v>
      </c>
      <c r="M2099" t="s">
        <v>6932</v>
      </c>
      <c r="N2099" t="s">
        <v>62</v>
      </c>
      <c r="O2099" t="s">
        <v>4798</v>
      </c>
      <c r="P2099" t="s">
        <v>8094</v>
      </c>
      <c r="Q2099" t="s">
        <v>20</v>
      </c>
      <c r="R2099" t="s">
        <v>4799</v>
      </c>
      <c r="S2099" t="s">
        <v>20</v>
      </c>
    </row>
    <row r="2100" spans="1:19" x14ac:dyDescent="0.45">
      <c r="A2100" t="s">
        <v>94</v>
      </c>
      <c r="B2100" t="s">
        <v>5209</v>
      </c>
      <c r="C2100" t="s">
        <v>1035</v>
      </c>
      <c r="D2100" t="s">
        <v>1036</v>
      </c>
      <c r="E2100" t="s">
        <v>21</v>
      </c>
      <c r="F2100" t="s">
        <v>3568</v>
      </c>
      <c r="G2100" t="s">
        <v>23</v>
      </c>
      <c r="H2100" t="s">
        <v>5210</v>
      </c>
      <c r="I2100" t="s">
        <v>5211</v>
      </c>
      <c r="J2100" t="s">
        <v>5212</v>
      </c>
      <c r="K2100" t="s">
        <v>5213</v>
      </c>
      <c r="L2100" t="s">
        <v>1125</v>
      </c>
      <c r="M2100" t="s">
        <v>538</v>
      </c>
      <c r="N2100" t="s">
        <v>62</v>
      </c>
      <c r="O2100" t="s">
        <v>4798</v>
      </c>
      <c r="P2100" t="s">
        <v>131</v>
      </c>
      <c r="Q2100" t="s">
        <v>20</v>
      </c>
      <c r="R2100" t="s">
        <v>4799</v>
      </c>
      <c r="S2100" t="s">
        <v>20</v>
      </c>
    </row>
    <row r="2101" spans="1:19" x14ac:dyDescent="0.45">
      <c r="A2101" t="s">
        <v>1598</v>
      </c>
      <c r="B2101" t="s">
        <v>12345</v>
      </c>
      <c r="C2101" t="s">
        <v>2145</v>
      </c>
      <c r="D2101" t="s">
        <v>2146</v>
      </c>
      <c r="E2101" t="s">
        <v>38</v>
      </c>
      <c r="F2101" t="s">
        <v>14723</v>
      </c>
      <c r="G2101" t="s">
        <v>23</v>
      </c>
      <c r="H2101" t="s">
        <v>7478</v>
      </c>
      <c r="I2101" t="s">
        <v>7479</v>
      </c>
      <c r="J2101" t="s">
        <v>7480</v>
      </c>
      <c r="K2101" t="s">
        <v>7481</v>
      </c>
      <c r="L2101" t="s">
        <v>6522</v>
      </c>
      <c r="M2101" t="s">
        <v>112</v>
      </c>
      <c r="N2101" t="s">
        <v>119</v>
      </c>
      <c r="O2101" t="s">
        <v>4798</v>
      </c>
      <c r="P2101" t="s">
        <v>6527</v>
      </c>
      <c r="Q2101" t="s">
        <v>20</v>
      </c>
      <c r="R2101" t="s">
        <v>4799</v>
      </c>
      <c r="S2101" t="s">
        <v>20</v>
      </c>
    </row>
    <row r="2102" spans="1:19" x14ac:dyDescent="0.45">
      <c r="A2102" t="s">
        <v>19</v>
      </c>
      <c r="B2102" t="s">
        <v>5225</v>
      </c>
      <c r="C2102" t="s">
        <v>1889</v>
      </c>
      <c r="D2102" t="s">
        <v>1890</v>
      </c>
      <c r="E2102" t="s">
        <v>21</v>
      </c>
      <c r="F2102" t="s">
        <v>2787</v>
      </c>
      <c r="G2102" t="s">
        <v>23</v>
      </c>
      <c r="H2102" t="s">
        <v>5226</v>
      </c>
      <c r="I2102" t="s">
        <v>5227</v>
      </c>
      <c r="J2102" t="s">
        <v>5228</v>
      </c>
      <c r="K2102" t="s">
        <v>5229</v>
      </c>
      <c r="L2102" t="s">
        <v>168</v>
      </c>
      <c r="M2102" t="s">
        <v>2981</v>
      </c>
      <c r="N2102" t="s">
        <v>2727</v>
      </c>
      <c r="O2102" t="s">
        <v>4798</v>
      </c>
      <c r="P2102" t="s">
        <v>118</v>
      </c>
      <c r="Q2102" t="s">
        <v>20</v>
      </c>
      <c r="R2102" t="s">
        <v>4799</v>
      </c>
      <c r="S2102" t="s">
        <v>20</v>
      </c>
    </row>
    <row r="2103" spans="1:19" x14ac:dyDescent="0.45">
      <c r="A2103" t="s">
        <v>94</v>
      </c>
      <c r="B2103" t="s">
        <v>5320</v>
      </c>
      <c r="C2103" t="s">
        <v>1948</v>
      </c>
      <c r="D2103" t="s">
        <v>1949</v>
      </c>
      <c r="E2103" t="s">
        <v>38</v>
      </c>
      <c r="F2103" t="s">
        <v>2940</v>
      </c>
      <c r="G2103" t="s">
        <v>23</v>
      </c>
      <c r="H2103" t="s">
        <v>5321</v>
      </c>
      <c r="I2103" t="s">
        <v>5322</v>
      </c>
      <c r="J2103" t="s">
        <v>5323</v>
      </c>
      <c r="K2103" t="s">
        <v>5324</v>
      </c>
      <c r="L2103" t="s">
        <v>296</v>
      </c>
      <c r="M2103" t="s">
        <v>112</v>
      </c>
      <c r="N2103" t="s">
        <v>146</v>
      </c>
      <c r="O2103" t="s">
        <v>4798</v>
      </c>
      <c r="P2103" t="s">
        <v>168</v>
      </c>
      <c r="Q2103" t="s">
        <v>20</v>
      </c>
      <c r="R2103" t="s">
        <v>4799</v>
      </c>
      <c r="S2103" t="s">
        <v>20</v>
      </c>
    </row>
    <row r="2104" spans="1:19" x14ac:dyDescent="0.45">
      <c r="A2104" t="s">
        <v>525</v>
      </c>
      <c r="B2104" t="s">
        <v>9747</v>
      </c>
      <c r="C2104" t="s">
        <v>1055</v>
      </c>
      <c r="D2104" t="s">
        <v>1056</v>
      </c>
      <c r="E2104" t="s">
        <v>38</v>
      </c>
      <c r="F2104" t="s">
        <v>2904</v>
      </c>
      <c r="G2104" t="s">
        <v>23</v>
      </c>
      <c r="H2104" t="s">
        <v>9748</v>
      </c>
      <c r="I2104" t="s">
        <v>9749</v>
      </c>
      <c r="J2104" t="s">
        <v>9750</v>
      </c>
      <c r="K2104" t="s">
        <v>9751</v>
      </c>
      <c r="L2104" t="s">
        <v>6523</v>
      </c>
      <c r="M2104" t="s">
        <v>112</v>
      </c>
      <c r="N2104" t="s">
        <v>3407</v>
      </c>
      <c r="O2104" t="s">
        <v>4798</v>
      </c>
      <c r="P2104" t="s">
        <v>6523</v>
      </c>
      <c r="Q2104" t="s">
        <v>20</v>
      </c>
      <c r="R2104" t="s">
        <v>4799</v>
      </c>
      <c r="S2104" t="s">
        <v>20</v>
      </c>
    </row>
    <row r="2105" spans="1:19" x14ac:dyDescent="0.45">
      <c r="A2105" t="s">
        <v>26</v>
      </c>
      <c r="B2105" t="s">
        <v>8682</v>
      </c>
      <c r="C2105" t="s">
        <v>2291</v>
      </c>
      <c r="D2105" t="s">
        <v>2292</v>
      </c>
      <c r="E2105" t="s">
        <v>38</v>
      </c>
      <c r="F2105" t="s">
        <v>2904</v>
      </c>
      <c r="G2105" t="s">
        <v>23</v>
      </c>
      <c r="H2105" t="s">
        <v>8683</v>
      </c>
      <c r="I2105" t="s">
        <v>8684</v>
      </c>
      <c r="J2105" t="s">
        <v>8685</v>
      </c>
      <c r="K2105" t="s">
        <v>8686</v>
      </c>
      <c r="L2105" t="s">
        <v>722</v>
      </c>
      <c r="M2105" t="s">
        <v>112</v>
      </c>
      <c r="N2105" t="s">
        <v>62</v>
      </c>
      <c r="O2105" t="s">
        <v>4798</v>
      </c>
      <c r="P2105" t="s">
        <v>722</v>
      </c>
      <c r="Q2105" t="s">
        <v>20</v>
      </c>
      <c r="R2105" t="s">
        <v>4799</v>
      </c>
      <c r="S2105" t="s">
        <v>20</v>
      </c>
    </row>
    <row r="2106" spans="1:19" x14ac:dyDescent="0.45">
      <c r="A2106" t="s">
        <v>211</v>
      </c>
      <c r="B2106" t="s">
        <v>11229</v>
      </c>
      <c r="C2106" t="s">
        <v>1402</v>
      </c>
      <c r="D2106" t="s">
        <v>1403</v>
      </c>
      <c r="E2106" t="s">
        <v>38</v>
      </c>
      <c r="F2106" t="s">
        <v>2787</v>
      </c>
      <c r="G2106" t="s">
        <v>23</v>
      </c>
      <c r="H2106" t="s">
        <v>2678</v>
      </c>
      <c r="I2106" t="s">
        <v>2679</v>
      </c>
      <c r="J2106" t="s">
        <v>2680</v>
      </c>
      <c r="K2106" t="s">
        <v>2681</v>
      </c>
      <c r="L2106" t="s">
        <v>43</v>
      </c>
      <c r="M2106" t="s">
        <v>112</v>
      </c>
      <c r="N2106" t="s">
        <v>33</v>
      </c>
      <c r="O2106" t="s">
        <v>4798</v>
      </c>
      <c r="P2106" t="s">
        <v>635</v>
      </c>
      <c r="Q2106" t="s">
        <v>20</v>
      </c>
      <c r="R2106" t="s">
        <v>4799</v>
      </c>
      <c r="S2106" t="s">
        <v>20</v>
      </c>
    </row>
    <row r="2107" spans="1:19" x14ac:dyDescent="0.45">
      <c r="A2107" t="s">
        <v>26</v>
      </c>
      <c r="B2107" t="s">
        <v>4890</v>
      </c>
      <c r="C2107" t="s">
        <v>1476</v>
      </c>
      <c r="D2107" t="s">
        <v>1477</v>
      </c>
      <c r="E2107" t="s">
        <v>29</v>
      </c>
      <c r="F2107" t="s">
        <v>2722</v>
      </c>
      <c r="G2107" t="s">
        <v>23</v>
      </c>
      <c r="H2107" t="s">
        <v>4891</v>
      </c>
      <c r="I2107" t="s">
        <v>4892</v>
      </c>
      <c r="J2107" t="s">
        <v>4893</v>
      </c>
      <c r="K2107" t="s">
        <v>4894</v>
      </c>
      <c r="L2107" t="s">
        <v>31</v>
      </c>
      <c r="M2107" t="s">
        <v>112</v>
      </c>
      <c r="N2107" t="s">
        <v>45</v>
      </c>
      <c r="O2107" t="s">
        <v>4798</v>
      </c>
      <c r="P2107" t="s">
        <v>43</v>
      </c>
      <c r="Q2107" t="s">
        <v>20</v>
      </c>
      <c r="R2107" t="s">
        <v>4895</v>
      </c>
      <c r="S2107" t="s">
        <v>20</v>
      </c>
    </row>
    <row r="2108" spans="1:19" x14ac:dyDescent="0.45">
      <c r="A2108" t="s">
        <v>104</v>
      </c>
      <c r="B2108" t="s">
        <v>20</v>
      </c>
      <c r="C2108" t="s">
        <v>4098</v>
      </c>
      <c r="D2108" t="s">
        <v>4099</v>
      </c>
      <c r="E2108" t="s">
        <v>38</v>
      </c>
      <c r="F2108" t="s">
        <v>2948</v>
      </c>
      <c r="G2108" t="s">
        <v>23</v>
      </c>
      <c r="H2108" t="s">
        <v>8426</v>
      </c>
      <c r="I2108" t="s">
        <v>8427</v>
      </c>
      <c r="J2108" t="s">
        <v>8428</v>
      </c>
      <c r="K2108" t="s">
        <v>8429</v>
      </c>
      <c r="L2108" t="s">
        <v>6513</v>
      </c>
      <c r="M2108" t="s">
        <v>2953</v>
      </c>
      <c r="N2108" t="s">
        <v>9484</v>
      </c>
      <c r="O2108" t="s">
        <v>4798</v>
      </c>
      <c r="P2108" t="s">
        <v>3998</v>
      </c>
      <c r="Q2108" t="s">
        <v>20</v>
      </c>
      <c r="R2108" t="s">
        <v>4799</v>
      </c>
      <c r="S2108" t="s">
        <v>8119</v>
      </c>
    </row>
    <row r="2109" spans="1:19" x14ac:dyDescent="0.45">
      <c r="A2109" t="s">
        <v>662</v>
      </c>
      <c r="B2109" t="s">
        <v>6736</v>
      </c>
      <c r="C2109" t="s">
        <v>4189</v>
      </c>
      <c r="D2109" t="s">
        <v>4190</v>
      </c>
      <c r="E2109" t="s">
        <v>38</v>
      </c>
      <c r="F2109" t="s">
        <v>14315</v>
      </c>
      <c r="G2109" t="s">
        <v>23</v>
      </c>
      <c r="H2109" t="s">
        <v>6737</v>
      </c>
      <c r="I2109" t="s">
        <v>6738</v>
      </c>
      <c r="J2109" t="s">
        <v>6739</v>
      </c>
      <c r="K2109" t="s">
        <v>6740</v>
      </c>
      <c r="L2109" t="s">
        <v>43</v>
      </c>
      <c r="M2109" t="s">
        <v>112</v>
      </c>
      <c r="N2109" t="s">
        <v>195</v>
      </c>
      <c r="O2109" t="s">
        <v>4798</v>
      </c>
      <c r="P2109" t="s">
        <v>43</v>
      </c>
      <c r="Q2109" t="s">
        <v>20</v>
      </c>
      <c r="R2109" t="s">
        <v>4799</v>
      </c>
      <c r="S2109" t="s">
        <v>20</v>
      </c>
    </row>
    <row r="2110" spans="1:19" x14ac:dyDescent="0.45">
      <c r="A2110" t="s">
        <v>54</v>
      </c>
      <c r="B2110" t="s">
        <v>10736</v>
      </c>
      <c r="C2110" t="s">
        <v>1781</v>
      </c>
      <c r="D2110" t="s">
        <v>1782</v>
      </c>
      <c r="E2110" t="s">
        <v>21</v>
      </c>
      <c r="F2110" t="s">
        <v>2831</v>
      </c>
      <c r="G2110" t="s">
        <v>23</v>
      </c>
      <c r="H2110" t="s">
        <v>10737</v>
      </c>
      <c r="I2110" t="s">
        <v>10738</v>
      </c>
      <c r="J2110" t="s">
        <v>10739</v>
      </c>
      <c r="K2110" t="s">
        <v>10740</v>
      </c>
      <c r="L2110" t="s">
        <v>2769</v>
      </c>
      <c r="M2110" t="s">
        <v>112</v>
      </c>
      <c r="N2110" t="s">
        <v>146</v>
      </c>
      <c r="O2110" t="s">
        <v>4798</v>
      </c>
      <c r="P2110" t="s">
        <v>2769</v>
      </c>
      <c r="Q2110" t="s">
        <v>20</v>
      </c>
      <c r="R2110" t="s">
        <v>4799</v>
      </c>
      <c r="S2110" t="s">
        <v>20</v>
      </c>
    </row>
    <row r="2111" spans="1:19" x14ac:dyDescent="0.45">
      <c r="A2111" t="s">
        <v>310</v>
      </c>
      <c r="B2111" t="s">
        <v>12368</v>
      </c>
      <c r="C2111" t="s">
        <v>1717</v>
      </c>
      <c r="D2111" t="s">
        <v>1718</v>
      </c>
      <c r="E2111" t="s">
        <v>38</v>
      </c>
      <c r="F2111" t="s">
        <v>2904</v>
      </c>
      <c r="G2111" t="s">
        <v>23</v>
      </c>
      <c r="H2111" t="s">
        <v>8932</v>
      </c>
      <c r="I2111" t="s">
        <v>9221</v>
      </c>
      <c r="J2111" t="s">
        <v>9222</v>
      </c>
      <c r="K2111" t="s">
        <v>9223</v>
      </c>
      <c r="L2111" t="s">
        <v>6522</v>
      </c>
      <c r="M2111" t="s">
        <v>2953</v>
      </c>
      <c r="N2111" t="s">
        <v>33</v>
      </c>
      <c r="O2111" t="s">
        <v>4798</v>
      </c>
      <c r="P2111" t="s">
        <v>6513</v>
      </c>
      <c r="Q2111" t="s">
        <v>20</v>
      </c>
      <c r="R2111" t="s">
        <v>4799</v>
      </c>
      <c r="S2111" t="s">
        <v>20</v>
      </c>
    </row>
    <row r="2112" spans="1:19" x14ac:dyDescent="0.45">
      <c r="A2112" t="s">
        <v>515</v>
      </c>
      <c r="B2112" t="s">
        <v>20</v>
      </c>
      <c r="C2112" t="s">
        <v>6862</v>
      </c>
      <c r="D2112" t="s">
        <v>6360</v>
      </c>
      <c r="E2112" t="s">
        <v>38</v>
      </c>
      <c r="F2112" t="s">
        <v>2785</v>
      </c>
      <c r="G2112" t="s">
        <v>23</v>
      </c>
      <c r="H2112" t="s">
        <v>8354</v>
      </c>
      <c r="I2112" t="s">
        <v>8355</v>
      </c>
      <c r="J2112" t="s">
        <v>8356</v>
      </c>
      <c r="K2112" t="s">
        <v>8357</v>
      </c>
      <c r="L2112" t="s">
        <v>8094</v>
      </c>
      <c r="M2112" t="s">
        <v>132</v>
      </c>
      <c r="N2112" t="s">
        <v>195</v>
      </c>
      <c r="O2112" t="s">
        <v>4798</v>
      </c>
      <c r="P2112" t="s">
        <v>6524</v>
      </c>
      <c r="Q2112" t="s">
        <v>20</v>
      </c>
      <c r="R2112" t="s">
        <v>4799</v>
      </c>
      <c r="S2112" t="s">
        <v>8119</v>
      </c>
    </row>
    <row r="2113" spans="1:19" x14ac:dyDescent="0.45">
      <c r="A2113" t="s">
        <v>1308</v>
      </c>
      <c r="B2113" t="s">
        <v>20</v>
      </c>
      <c r="C2113" t="s">
        <v>1309</v>
      </c>
      <c r="D2113" t="s">
        <v>1310</v>
      </c>
      <c r="E2113" t="s">
        <v>38</v>
      </c>
      <c r="F2113" t="s">
        <v>2948</v>
      </c>
      <c r="G2113" t="s">
        <v>23</v>
      </c>
      <c r="H2113" t="s">
        <v>11884</v>
      </c>
      <c r="I2113" t="s">
        <v>11885</v>
      </c>
      <c r="J2113" t="s">
        <v>11886</v>
      </c>
      <c r="K2113" t="s">
        <v>11887</v>
      </c>
      <c r="L2113" t="s">
        <v>9155</v>
      </c>
      <c r="M2113" t="s">
        <v>1311</v>
      </c>
      <c r="N2113" t="s">
        <v>195</v>
      </c>
      <c r="O2113" t="s">
        <v>4798</v>
      </c>
      <c r="P2113" t="s">
        <v>6524</v>
      </c>
      <c r="Q2113" t="s">
        <v>20</v>
      </c>
      <c r="R2113" t="s">
        <v>4799</v>
      </c>
      <c r="S2113" t="s">
        <v>11883</v>
      </c>
    </row>
    <row r="2114" spans="1:19" x14ac:dyDescent="0.45">
      <c r="A2114" t="s">
        <v>5294</v>
      </c>
      <c r="B2114" t="s">
        <v>9767</v>
      </c>
      <c r="C2114" t="s">
        <v>9768</v>
      </c>
      <c r="D2114" t="s">
        <v>5603</v>
      </c>
      <c r="E2114" t="s">
        <v>38</v>
      </c>
      <c r="F2114" t="s">
        <v>2722</v>
      </c>
      <c r="G2114" t="s">
        <v>23</v>
      </c>
      <c r="H2114" t="s">
        <v>8992</v>
      </c>
      <c r="I2114" t="s">
        <v>9769</v>
      </c>
      <c r="J2114" t="s">
        <v>9770</v>
      </c>
      <c r="K2114" t="s">
        <v>9771</v>
      </c>
      <c r="L2114" t="s">
        <v>6523</v>
      </c>
      <c r="M2114" t="s">
        <v>9772</v>
      </c>
      <c r="N2114" t="s">
        <v>137</v>
      </c>
      <c r="O2114" t="s">
        <v>4798</v>
      </c>
      <c r="P2114" t="s">
        <v>6523</v>
      </c>
      <c r="Q2114" t="s">
        <v>20</v>
      </c>
      <c r="R2114" t="s">
        <v>4799</v>
      </c>
      <c r="S2114" t="s">
        <v>138</v>
      </c>
    </row>
    <row r="2115" spans="1:19" x14ac:dyDescent="0.45">
      <c r="A2115" t="s">
        <v>572</v>
      </c>
      <c r="B2115" t="s">
        <v>5302</v>
      </c>
      <c r="C2115" t="s">
        <v>2407</v>
      </c>
      <c r="D2115" t="s">
        <v>2408</v>
      </c>
      <c r="E2115" t="s">
        <v>38</v>
      </c>
      <c r="F2115" t="s">
        <v>2785</v>
      </c>
      <c r="G2115" t="s">
        <v>23</v>
      </c>
      <c r="H2115" t="s">
        <v>5303</v>
      </c>
      <c r="I2115" t="s">
        <v>5304</v>
      </c>
      <c r="J2115" t="s">
        <v>5305</v>
      </c>
      <c r="K2115" t="s">
        <v>5306</v>
      </c>
      <c r="L2115" t="s">
        <v>296</v>
      </c>
      <c r="M2115" t="s">
        <v>297</v>
      </c>
      <c r="N2115" t="s">
        <v>146</v>
      </c>
      <c r="O2115" t="s">
        <v>4798</v>
      </c>
      <c r="P2115" t="s">
        <v>296</v>
      </c>
      <c r="Q2115" t="s">
        <v>20</v>
      </c>
      <c r="R2115" t="s">
        <v>4799</v>
      </c>
      <c r="S2115" t="s">
        <v>20</v>
      </c>
    </row>
    <row r="2116" spans="1:19" x14ac:dyDescent="0.45">
      <c r="A2116" t="s">
        <v>943</v>
      </c>
      <c r="B2116" t="s">
        <v>20</v>
      </c>
      <c r="C2116" t="s">
        <v>2562</v>
      </c>
      <c r="D2116" t="s">
        <v>2563</v>
      </c>
      <c r="E2116" t="s">
        <v>38</v>
      </c>
      <c r="F2116" t="s">
        <v>2755</v>
      </c>
      <c r="G2116" t="s">
        <v>23</v>
      </c>
      <c r="H2116" t="s">
        <v>7751</v>
      </c>
      <c r="I2116" t="s">
        <v>7752</v>
      </c>
      <c r="J2116" t="s">
        <v>7753</v>
      </c>
      <c r="K2116" t="s">
        <v>7754</v>
      </c>
      <c r="L2116" t="s">
        <v>6875</v>
      </c>
      <c r="M2116" t="s">
        <v>538</v>
      </c>
      <c r="N2116" t="s">
        <v>119</v>
      </c>
      <c r="O2116" t="s">
        <v>4798</v>
      </c>
      <c r="P2116" t="s">
        <v>2769</v>
      </c>
      <c r="Q2116" t="s">
        <v>20</v>
      </c>
      <c r="R2116" t="s">
        <v>4799</v>
      </c>
      <c r="S2116" t="s">
        <v>9316</v>
      </c>
    </row>
    <row r="2117" spans="1:19" x14ac:dyDescent="0.45">
      <c r="A2117" t="s">
        <v>310</v>
      </c>
      <c r="B2117" t="s">
        <v>20</v>
      </c>
      <c r="C2117" t="s">
        <v>2946</v>
      </c>
      <c r="D2117" t="s">
        <v>2947</v>
      </c>
      <c r="E2117" t="s">
        <v>38</v>
      </c>
      <c r="F2117" t="s">
        <v>2948</v>
      </c>
      <c r="G2117" t="s">
        <v>23</v>
      </c>
      <c r="H2117" t="s">
        <v>2949</v>
      </c>
      <c r="I2117" t="s">
        <v>2950</v>
      </c>
      <c r="J2117" t="s">
        <v>2951</v>
      </c>
      <c r="K2117" t="s">
        <v>2952</v>
      </c>
      <c r="L2117" t="s">
        <v>296</v>
      </c>
      <c r="M2117" t="s">
        <v>2953</v>
      </c>
      <c r="N2117" t="s">
        <v>146</v>
      </c>
      <c r="O2117" t="s">
        <v>4798</v>
      </c>
      <c r="P2117" t="s">
        <v>6525</v>
      </c>
      <c r="Q2117" t="s">
        <v>20</v>
      </c>
      <c r="R2117" t="s">
        <v>4799</v>
      </c>
      <c r="S2117" t="s">
        <v>20</v>
      </c>
    </row>
    <row r="2118" spans="1:19" x14ac:dyDescent="0.45">
      <c r="A2118" t="s">
        <v>446</v>
      </c>
      <c r="B2118" t="s">
        <v>14724</v>
      </c>
      <c r="C2118" t="s">
        <v>575</v>
      </c>
      <c r="D2118" t="s">
        <v>576</v>
      </c>
      <c r="E2118" t="s">
        <v>38</v>
      </c>
      <c r="F2118" t="s">
        <v>2722</v>
      </c>
      <c r="G2118" t="s">
        <v>23</v>
      </c>
      <c r="H2118" t="s">
        <v>14725</v>
      </c>
      <c r="I2118" t="s">
        <v>14726</v>
      </c>
      <c r="J2118" t="s">
        <v>14727</v>
      </c>
      <c r="K2118" t="s">
        <v>14728</v>
      </c>
      <c r="L2118" t="s">
        <v>6525</v>
      </c>
      <c r="M2118" t="s">
        <v>3145</v>
      </c>
      <c r="N2118" t="s">
        <v>2858</v>
      </c>
      <c r="O2118" t="s">
        <v>4798</v>
      </c>
      <c r="P2118" t="s">
        <v>6525</v>
      </c>
      <c r="Q2118" t="s">
        <v>20</v>
      </c>
      <c r="R2118" t="s">
        <v>4799</v>
      </c>
      <c r="S2118" t="s">
        <v>20</v>
      </c>
    </row>
    <row r="2119" spans="1:19" x14ac:dyDescent="0.45">
      <c r="A2119" t="s">
        <v>802</v>
      </c>
      <c r="B2119" t="s">
        <v>2846</v>
      </c>
      <c r="C2119" t="s">
        <v>2638</v>
      </c>
      <c r="D2119" t="s">
        <v>2639</v>
      </c>
      <c r="E2119" t="s">
        <v>29</v>
      </c>
      <c r="F2119" t="s">
        <v>14729</v>
      </c>
      <c r="G2119" t="s">
        <v>23</v>
      </c>
      <c r="H2119" t="s">
        <v>2847</v>
      </c>
      <c r="I2119" t="s">
        <v>2848</v>
      </c>
      <c r="J2119" t="s">
        <v>2849</v>
      </c>
      <c r="K2119" t="s">
        <v>2850</v>
      </c>
      <c r="L2119" t="s">
        <v>214</v>
      </c>
      <c r="M2119" t="s">
        <v>112</v>
      </c>
      <c r="N2119" t="s">
        <v>33</v>
      </c>
      <c r="O2119" t="s">
        <v>4798</v>
      </c>
      <c r="P2119" t="s">
        <v>6521</v>
      </c>
      <c r="Q2119" t="s">
        <v>20</v>
      </c>
      <c r="R2119" t="s">
        <v>4799</v>
      </c>
      <c r="S2119" t="s">
        <v>8119</v>
      </c>
    </row>
    <row r="2120" spans="1:19" x14ac:dyDescent="0.45">
      <c r="A2120" t="s">
        <v>276</v>
      </c>
      <c r="B2120" t="s">
        <v>14264</v>
      </c>
      <c r="C2120" t="s">
        <v>1447</v>
      </c>
      <c r="D2120" t="s">
        <v>1448</v>
      </c>
      <c r="E2120" t="s">
        <v>38</v>
      </c>
      <c r="F2120" t="s">
        <v>14265</v>
      </c>
      <c r="G2120" t="s">
        <v>23</v>
      </c>
      <c r="H2120" t="s">
        <v>1449</v>
      </c>
      <c r="I2120" t="s">
        <v>1450</v>
      </c>
      <c r="J2120" t="s">
        <v>1451</v>
      </c>
      <c r="K2120" t="s">
        <v>1452</v>
      </c>
      <c r="L2120" t="s">
        <v>101</v>
      </c>
      <c r="M2120" t="s">
        <v>112</v>
      </c>
      <c r="N2120" t="s">
        <v>33</v>
      </c>
      <c r="O2120" t="s">
        <v>4798</v>
      </c>
      <c r="P2120" t="s">
        <v>8094</v>
      </c>
      <c r="Q2120" t="s">
        <v>20</v>
      </c>
      <c r="R2120" t="s">
        <v>4799</v>
      </c>
      <c r="S2120" t="s">
        <v>20</v>
      </c>
    </row>
    <row r="2121" spans="1:19" x14ac:dyDescent="0.45">
      <c r="A2121" t="s">
        <v>94</v>
      </c>
      <c r="B2121" t="s">
        <v>14065</v>
      </c>
      <c r="C2121" t="s">
        <v>1532</v>
      </c>
      <c r="D2121" t="s">
        <v>1533</v>
      </c>
      <c r="E2121" t="s">
        <v>38</v>
      </c>
      <c r="F2121" t="s">
        <v>14066</v>
      </c>
      <c r="G2121" t="s">
        <v>23</v>
      </c>
      <c r="H2121" t="s">
        <v>10319</v>
      </c>
      <c r="I2121" t="s">
        <v>10320</v>
      </c>
      <c r="J2121" t="s">
        <v>10786</v>
      </c>
      <c r="K2121" t="s">
        <v>10787</v>
      </c>
      <c r="L2121" t="s">
        <v>10764</v>
      </c>
      <c r="M2121" t="s">
        <v>32</v>
      </c>
      <c r="N2121" t="s">
        <v>146</v>
      </c>
      <c r="O2121" t="s">
        <v>4798</v>
      </c>
      <c r="P2121" t="s">
        <v>8094</v>
      </c>
      <c r="Q2121" t="s">
        <v>20</v>
      </c>
      <c r="R2121" t="s">
        <v>4799</v>
      </c>
      <c r="S2121" t="s">
        <v>10321</v>
      </c>
    </row>
    <row r="2122" spans="1:19" x14ac:dyDescent="0.45">
      <c r="A2122" t="s">
        <v>310</v>
      </c>
      <c r="B2122" t="s">
        <v>12309</v>
      </c>
      <c r="C2122" t="s">
        <v>311</v>
      </c>
      <c r="D2122" t="s">
        <v>312</v>
      </c>
      <c r="E2122" t="s">
        <v>38</v>
      </c>
      <c r="F2122" t="s">
        <v>3062</v>
      </c>
      <c r="G2122" t="s">
        <v>23</v>
      </c>
      <c r="H2122" t="s">
        <v>11826</v>
      </c>
      <c r="I2122" t="s">
        <v>11827</v>
      </c>
      <c r="J2122" t="s">
        <v>11828</v>
      </c>
      <c r="K2122" t="s">
        <v>11829</v>
      </c>
      <c r="L2122" t="s">
        <v>6527</v>
      </c>
      <c r="M2122" t="s">
        <v>112</v>
      </c>
      <c r="N2122" t="s">
        <v>33</v>
      </c>
      <c r="O2122" t="s">
        <v>4798</v>
      </c>
      <c r="P2122" t="s">
        <v>8094</v>
      </c>
      <c r="Q2122" t="s">
        <v>20</v>
      </c>
      <c r="R2122" t="s">
        <v>4799</v>
      </c>
      <c r="S2122" t="s">
        <v>20</v>
      </c>
    </row>
    <row r="2123" spans="1:19" x14ac:dyDescent="0.45">
      <c r="A2123" t="s">
        <v>1308</v>
      </c>
      <c r="B2123" t="s">
        <v>8790</v>
      </c>
      <c r="C2123" t="s">
        <v>2284</v>
      </c>
      <c r="D2123" t="s">
        <v>2285</v>
      </c>
      <c r="E2123" t="s">
        <v>21</v>
      </c>
      <c r="F2123" t="s">
        <v>3062</v>
      </c>
      <c r="G2123" t="s">
        <v>23</v>
      </c>
      <c r="H2123" t="s">
        <v>6466</v>
      </c>
      <c r="I2123" t="s">
        <v>6537</v>
      </c>
      <c r="J2123" t="s">
        <v>8791</v>
      </c>
      <c r="K2123" t="s">
        <v>8792</v>
      </c>
      <c r="L2123" t="s">
        <v>3998</v>
      </c>
      <c r="M2123" t="s">
        <v>1311</v>
      </c>
      <c r="N2123" t="s">
        <v>1224</v>
      </c>
      <c r="O2123" t="s">
        <v>4798</v>
      </c>
      <c r="P2123" t="s">
        <v>902</v>
      </c>
      <c r="Q2123" t="s">
        <v>20</v>
      </c>
      <c r="R2123" t="s">
        <v>4799</v>
      </c>
      <c r="S2123" t="s">
        <v>20</v>
      </c>
    </row>
    <row r="2124" spans="1:19" x14ac:dyDescent="0.45">
      <c r="A2124" t="s">
        <v>310</v>
      </c>
      <c r="B2124" t="s">
        <v>13027</v>
      </c>
      <c r="C2124" t="s">
        <v>1920</v>
      </c>
      <c r="D2124" t="s">
        <v>1921</v>
      </c>
      <c r="E2124" t="s">
        <v>38</v>
      </c>
      <c r="F2124" t="s">
        <v>2787</v>
      </c>
      <c r="G2124" t="s">
        <v>23</v>
      </c>
      <c r="H2124" t="s">
        <v>7797</v>
      </c>
      <c r="I2124" t="s">
        <v>7798</v>
      </c>
      <c r="J2124" t="s">
        <v>7799</v>
      </c>
      <c r="K2124" t="s">
        <v>7800</v>
      </c>
      <c r="L2124" t="s">
        <v>722</v>
      </c>
      <c r="M2124" t="s">
        <v>2100</v>
      </c>
      <c r="N2124" t="s">
        <v>33</v>
      </c>
      <c r="O2124" t="s">
        <v>4798</v>
      </c>
      <c r="P2124" t="s">
        <v>2330</v>
      </c>
      <c r="Q2124" t="s">
        <v>20</v>
      </c>
      <c r="R2124" t="s">
        <v>4799</v>
      </c>
      <c r="S2124" t="s">
        <v>20</v>
      </c>
    </row>
    <row r="2125" spans="1:19" x14ac:dyDescent="0.45">
      <c r="A2125" t="s">
        <v>104</v>
      </c>
      <c r="B2125" t="s">
        <v>4919</v>
      </c>
      <c r="C2125" t="s">
        <v>180</v>
      </c>
      <c r="D2125" t="s">
        <v>181</v>
      </c>
      <c r="E2125" t="s">
        <v>38</v>
      </c>
      <c r="F2125" t="s">
        <v>2722</v>
      </c>
      <c r="G2125" t="s">
        <v>23</v>
      </c>
      <c r="H2125" t="s">
        <v>4920</v>
      </c>
      <c r="I2125" t="s">
        <v>4921</v>
      </c>
      <c r="J2125" t="s">
        <v>4922</v>
      </c>
      <c r="K2125" t="s">
        <v>4923</v>
      </c>
      <c r="L2125" t="s">
        <v>168</v>
      </c>
      <c r="M2125" t="s">
        <v>1223</v>
      </c>
      <c r="N2125" t="s">
        <v>2727</v>
      </c>
      <c r="O2125" t="s">
        <v>4798</v>
      </c>
      <c r="P2125" t="s">
        <v>214</v>
      </c>
      <c r="Q2125" t="s">
        <v>20</v>
      </c>
      <c r="R2125" t="s">
        <v>4799</v>
      </c>
      <c r="S2125" t="s">
        <v>20</v>
      </c>
    </row>
    <row r="2126" spans="1:19" x14ac:dyDescent="0.45">
      <c r="A2126" t="s">
        <v>508</v>
      </c>
      <c r="B2126" t="s">
        <v>9756</v>
      </c>
      <c r="C2126" t="s">
        <v>509</v>
      </c>
      <c r="D2126" t="s">
        <v>510</v>
      </c>
      <c r="E2126" t="s">
        <v>21</v>
      </c>
      <c r="F2126" t="s">
        <v>2722</v>
      </c>
      <c r="G2126" t="s">
        <v>23</v>
      </c>
      <c r="H2126" t="s">
        <v>8989</v>
      </c>
      <c r="I2126" t="s">
        <v>9057</v>
      </c>
      <c r="J2126" t="s">
        <v>9757</v>
      </c>
      <c r="K2126" t="s">
        <v>9758</v>
      </c>
      <c r="L2126" t="s">
        <v>6523</v>
      </c>
      <c r="M2126" t="s">
        <v>112</v>
      </c>
      <c r="N2126" t="s">
        <v>2858</v>
      </c>
      <c r="O2126" t="s">
        <v>4798</v>
      </c>
      <c r="P2126" t="s">
        <v>6523</v>
      </c>
      <c r="Q2126" t="s">
        <v>20</v>
      </c>
      <c r="R2126" t="s">
        <v>4799</v>
      </c>
      <c r="S2126" t="s">
        <v>20</v>
      </c>
    </row>
    <row r="2127" spans="1:19" x14ac:dyDescent="0.45">
      <c r="A2127" t="s">
        <v>592</v>
      </c>
      <c r="B2127" t="s">
        <v>8290</v>
      </c>
      <c r="C2127" t="s">
        <v>1708</v>
      </c>
      <c r="D2127" t="s">
        <v>1709</v>
      </c>
      <c r="E2127" t="s">
        <v>38</v>
      </c>
      <c r="F2127" t="s">
        <v>2787</v>
      </c>
      <c r="G2127" t="s">
        <v>23</v>
      </c>
      <c r="H2127" t="s">
        <v>2034</v>
      </c>
      <c r="I2127" t="s">
        <v>2035</v>
      </c>
      <c r="J2127" t="s">
        <v>2036</v>
      </c>
      <c r="K2127" t="s">
        <v>1013</v>
      </c>
      <c r="L2127" t="s">
        <v>6521</v>
      </c>
      <c r="M2127" t="s">
        <v>6532</v>
      </c>
      <c r="N2127" t="s">
        <v>8353</v>
      </c>
      <c r="O2127" t="s">
        <v>4798</v>
      </c>
      <c r="P2127" t="s">
        <v>6513</v>
      </c>
      <c r="Q2127" t="s">
        <v>20</v>
      </c>
      <c r="R2127" t="s">
        <v>4799</v>
      </c>
      <c r="S2127" t="s">
        <v>2037</v>
      </c>
    </row>
    <row r="2128" spans="1:19" x14ac:dyDescent="0.45">
      <c r="A2128" t="s">
        <v>81</v>
      </c>
      <c r="B2128" t="s">
        <v>10550</v>
      </c>
      <c r="C2128" t="s">
        <v>82</v>
      </c>
      <c r="D2128" t="s">
        <v>83</v>
      </c>
      <c r="E2128" t="s">
        <v>21</v>
      </c>
      <c r="F2128" t="s">
        <v>2787</v>
      </c>
      <c r="G2128" t="s">
        <v>23</v>
      </c>
      <c r="H2128" t="s">
        <v>10551</v>
      </c>
      <c r="I2128" t="s">
        <v>10485</v>
      </c>
      <c r="J2128" t="s">
        <v>10552</v>
      </c>
      <c r="K2128" t="s">
        <v>10553</v>
      </c>
      <c r="L2128" t="s">
        <v>2769</v>
      </c>
      <c r="M2128" t="s">
        <v>2100</v>
      </c>
      <c r="N2128" t="s">
        <v>2858</v>
      </c>
      <c r="O2128" t="s">
        <v>4798</v>
      </c>
      <c r="P2128" t="s">
        <v>2769</v>
      </c>
      <c r="Q2128" t="s">
        <v>20</v>
      </c>
      <c r="R2128" t="s">
        <v>4799</v>
      </c>
      <c r="S2128" t="s">
        <v>20</v>
      </c>
    </row>
    <row r="2129" spans="1:19" x14ac:dyDescent="0.45">
      <c r="A2129" t="s">
        <v>269</v>
      </c>
      <c r="B2129" t="s">
        <v>14067</v>
      </c>
      <c r="C2129" t="s">
        <v>270</v>
      </c>
      <c r="D2129" t="s">
        <v>271</v>
      </c>
      <c r="E2129" t="s">
        <v>57</v>
      </c>
      <c r="F2129" t="s">
        <v>2795</v>
      </c>
      <c r="G2129" t="s">
        <v>23</v>
      </c>
      <c r="H2129" t="s">
        <v>272</v>
      </c>
      <c r="I2129" t="s">
        <v>273</v>
      </c>
      <c r="J2129" t="s">
        <v>274</v>
      </c>
      <c r="K2129" t="s">
        <v>275</v>
      </c>
      <c r="L2129" t="s">
        <v>8094</v>
      </c>
      <c r="M2129" t="s">
        <v>6932</v>
      </c>
      <c r="N2129" t="s">
        <v>62</v>
      </c>
      <c r="O2129" t="s">
        <v>4798</v>
      </c>
      <c r="P2129" t="s">
        <v>8094</v>
      </c>
      <c r="Q2129" t="s">
        <v>20</v>
      </c>
      <c r="R2129" t="s">
        <v>4799</v>
      </c>
      <c r="S2129" t="s">
        <v>20</v>
      </c>
    </row>
    <row r="2130" spans="1:19" x14ac:dyDescent="0.45">
      <c r="A2130" t="s">
        <v>516</v>
      </c>
      <c r="B2130" t="s">
        <v>2825</v>
      </c>
      <c r="C2130" t="s">
        <v>539</v>
      </c>
      <c r="D2130" t="s">
        <v>540</v>
      </c>
      <c r="E2130" t="s">
        <v>38</v>
      </c>
      <c r="F2130" t="s">
        <v>2722</v>
      </c>
      <c r="G2130" t="s">
        <v>23</v>
      </c>
      <c r="H2130" t="s">
        <v>2826</v>
      </c>
      <c r="I2130" t="s">
        <v>2827</v>
      </c>
      <c r="J2130" t="s">
        <v>2828</v>
      </c>
      <c r="K2130" t="s">
        <v>2829</v>
      </c>
      <c r="L2130" t="s">
        <v>118</v>
      </c>
      <c r="M2130" t="s">
        <v>1223</v>
      </c>
      <c r="N2130" t="s">
        <v>119</v>
      </c>
      <c r="O2130" t="s">
        <v>4798</v>
      </c>
      <c r="P2130" t="s">
        <v>290</v>
      </c>
      <c r="Q2130" t="s">
        <v>20</v>
      </c>
      <c r="R2130" t="s">
        <v>5023</v>
      </c>
      <c r="S2130" t="s">
        <v>20</v>
      </c>
    </row>
    <row r="2131" spans="1:19" x14ac:dyDescent="0.45">
      <c r="A2131" t="s">
        <v>358</v>
      </c>
      <c r="B2131" t="s">
        <v>8901</v>
      </c>
      <c r="C2131" t="s">
        <v>1264</v>
      </c>
      <c r="D2131" t="s">
        <v>1265</v>
      </c>
      <c r="E2131" t="s">
        <v>21</v>
      </c>
      <c r="F2131" t="s">
        <v>2785</v>
      </c>
      <c r="G2131" t="s">
        <v>23</v>
      </c>
      <c r="H2131" t="s">
        <v>8902</v>
      </c>
      <c r="I2131" t="s">
        <v>8903</v>
      </c>
      <c r="J2131" t="s">
        <v>8904</v>
      </c>
      <c r="K2131" t="s">
        <v>8905</v>
      </c>
      <c r="L2131" t="s">
        <v>722</v>
      </c>
      <c r="M2131" t="s">
        <v>112</v>
      </c>
      <c r="N2131" t="s">
        <v>146</v>
      </c>
      <c r="O2131" t="s">
        <v>4798</v>
      </c>
      <c r="P2131" t="s">
        <v>902</v>
      </c>
      <c r="Q2131" t="s">
        <v>20</v>
      </c>
      <c r="R2131" t="s">
        <v>4799</v>
      </c>
      <c r="S2131" t="s">
        <v>20</v>
      </c>
    </row>
    <row r="2132" spans="1:19" x14ac:dyDescent="0.45">
      <c r="A2132" t="s">
        <v>1308</v>
      </c>
      <c r="B2132" t="s">
        <v>12018</v>
      </c>
      <c r="C2132" t="s">
        <v>2810</v>
      </c>
      <c r="D2132" t="s">
        <v>2811</v>
      </c>
      <c r="E2132" t="s">
        <v>38</v>
      </c>
      <c r="F2132" t="s">
        <v>2787</v>
      </c>
      <c r="G2132" t="s">
        <v>23</v>
      </c>
      <c r="H2132" t="s">
        <v>9537</v>
      </c>
      <c r="I2132" t="s">
        <v>9558</v>
      </c>
      <c r="J2132" t="s">
        <v>10392</v>
      </c>
      <c r="K2132" t="s">
        <v>10393</v>
      </c>
      <c r="L2132" t="s">
        <v>8377</v>
      </c>
      <c r="M2132" t="s">
        <v>112</v>
      </c>
      <c r="N2132" t="s">
        <v>195</v>
      </c>
      <c r="O2132" t="s">
        <v>4798</v>
      </c>
      <c r="P2132" t="s">
        <v>8109</v>
      </c>
      <c r="Q2132" t="s">
        <v>20</v>
      </c>
      <c r="R2132" t="s">
        <v>4799</v>
      </c>
      <c r="S2132" t="s">
        <v>20</v>
      </c>
    </row>
    <row r="2133" spans="1:19" x14ac:dyDescent="0.45">
      <c r="A2133" t="s">
        <v>1043</v>
      </c>
      <c r="B2133" t="s">
        <v>2890</v>
      </c>
      <c r="C2133" t="s">
        <v>2891</v>
      </c>
      <c r="D2133" t="s">
        <v>2892</v>
      </c>
      <c r="E2133" t="s">
        <v>38</v>
      </c>
      <c r="F2133" t="s">
        <v>22</v>
      </c>
      <c r="G2133" t="s">
        <v>23</v>
      </c>
      <c r="H2133" t="s">
        <v>2893</v>
      </c>
      <c r="I2133" t="s">
        <v>2894</v>
      </c>
      <c r="J2133" t="s">
        <v>2895</v>
      </c>
      <c r="K2133" t="s">
        <v>2896</v>
      </c>
      <c r="L2133" t="s">
        <v>194</v>
      </c>
      <c r="M2133" t="s">
        <v>112</v>
      </c>
      <c r="N2133" t="s">
        <v>9484</v>
      </c>
      <c r="O2133" t="s">
        <v>4798</v>
      </c>
      <c r="P2133" t="s">
        <v>8377</v>
      </c>
      <c r="Q2133" t="s">
        <v>20</v>
      </c>
      <c r="R2133" t="s">
        <v>4799</v>
      </c>
      <c r="S2133" t="s">
        <v>20</v>
      </c>
    </row>
    <row r="2134" spans="1:19" x14ac:dyDescent="0.45">
      <c r="A2134" t="s">
        <v>1043</v>
      </c>
      <c r="B2134" t="s">
        <v>5289</v>
      </c>
      <c r="C2134" t="s">
        <v>2852</v>
      </c>
      <c r="D2134" t="s">
        <v>2853</v>
      </c>
      <c r="E2134" t="s">
        <v>21</v>
      </c>
      <c r="F2134" t="s">
        <v>2722</v>
      </c>
      <c r="G2134" t="s">
        <v>23</v>
      </c>
      <c r="H2134" t="s">
        <v>5290</v>
      </c>
      <c r="I2134" t="s">
        <v>5291</v>
      </c>
      <c r="J2134" t="s">
        <v>5292</v>
      </c>
      <c r="K2134" t="s">
        <v>5293</v>
      </c>
      <c r="L2134" t="s">
        <v>2769</v>
      </c>
      <c r="M2134" t="s">
        <v>1223</v>
      </c>
      <c r="N2134" t="s">
        <v>2727</v>
      </c>
      <c r="O2134" t="s">
        <v>4798</v>
      </c>
      <c r="P2134" t="s">
        <v>168</v>
      </c>
      <c r="Q2134" t="s">
        <v>20</v>
      </c>
      <c r="R2134" t="s">
        <v>4799</v>
      </c>
      <c r="S2134" t="s">
        <v>20</v>
      </c>
    </row>
    <row r="2135" spans="1:19" x14ac:dyDescent="0.45">
      <c r="A2135" t="s">
        <v>379</v>
      </c>
      <c r="B2135" t="s">
        <v>3516</v>
      </c>
      <c r="C2135" t="s">
        <v>1063</v>
      </c>
      <c r="D2135" t="s">
        <v>1064</v>
      </c>
      <c r="E2135" t="s">
        <v>21</v>
      </c>
      <c r="F2135" t="s">
        <v>2787</v>
      </c>
      <c r="G2135" t="s">
        <v>23</v>
      </c>
      <c r="H2135" t="s">
        <v>3517</v>
      </c>
      <c r="I2135" t="s">
        <v>3518</v>
      </c>
      <c r="J2135" t="s">
        <v>3519</v>
      </c>
      <c r="K2135" t="s">
        <v>3520</v>
      </c>
      <c r="L2135" t="s">
        <v>168</v>
      </c>
      <c r="M2135" t="s">
        <v>1223</v>
      </c>
      <c r="N2135" t="s">
        <v>33</v>
      </c>
      <c r="O2135" t="s">
        <v>4798</v>
      </c>
      <c r="P2135" t="s">
        <v>677</v>
      </c>
      <c r="Q2135" t="s">
        <v>20</v>
      </c>
      <c r="R2135" t="s">
        <v>4799</v>
      </c>
      <c r="S2135" t="s">
        <v>20</v>
      </c>
    </row>
    <row r="2136" spans="1:19" x14ac:dyDescent="0.45">
      <c r="A2136" t="s">
        <v>94</v>
      </c>
      <c r="B2136" t="s">
        <v>3465</v>
      </c>
      <c r="C2136" t="s">
        <v>1754</v>
      </c>
      <c r="D2136" t="s">
        <v>1755</v>
      </c>
      <c r="E2136" t="s">
        <v>38</v>
      </c>
      <c r="F2136" t="s">
        <v>2785</v>
      </c>
      <c r="G2136" t="s">
        <v>23</v>
      </c>
      <c r="H2136" t="s">
        <v>3466</v>
      </c>
      <c r="I2136" t="s">
        <v>3467</v>
      </c>
      <c r="J2136" t="s">
        <v>3468</v>
      </c>
      <c r="K2136" t="s">
        <v>3469</v>
      </c>
      <c r="L2136" t="s">
        <v>168</v>
      </c>
      <c r="M2136" t="s">
        <v>112</v>
      </c>
      <c r="N2136" t="s">
        <v>33</v>
      </c>
      <c r="O2136" t="s">
        <v>4798</v>
      </c>
      <c r="P2136" t="s">
        <v>168</v>
      </c>
      <c r="Q2136" t="s">
        <v>20</v>
      </c>
      <c r="R2136" t="s">
        <v>4799</v>
      </c>
      <c r="S2136" t="s">
        <v>20</v>
      </c>
    </row>
    <row r="2137" spans="1:19" x14ac:dyDescent="0.45">
      <c r="A2137" t="s">
        <v>246</v>
      </c>
      <c r="B2137" t="s">
        <v>5329</v>
      </c>
      <c r="C2137" t="s">
        <v>879</v>
      </c>
      <c r="D2137" t="s">
        <v>880</v>
      </c>
      <c r="E2137" t="s">
        <v>21</v>
      </c>
      <c r="F2137" t="s">
        <v>5330</v>
      </c>
      <c r="G2137" t="s">
        <v>23</v>
      </c>
      <c r="H2137" t="s">
        <v>5331</v>
      </c>
      <c r="I2137" t="s">
        <v>5332</v>
      </c>
      <c r="J2137" t="s">
        <v>5333</v>
      </c>
      <c r="K2137" t="s">
        <v>5334</v>
      </c>
      <c r="L2137" t="s">
        <v>2413</v>
      </c>
      <c r="M2137" t="s">
        <v>1223</v>
      </c>
      <c r="N2137" t="s">
        <v>1224</v>
      </c>
      <c r="O2137" t="s">
        <v>4798</v>
      </c>
      <c r="P2137" t="s">
        <v>2413</v>
      </c>
      <c r="Q2137" t="s">
        <v>20</v>
      </c>
      <c r="R2137" t="s">
        <v>5335</v>
      </c>
      <c r="S2137" t="s">
        <v>5336</v>
      </c>
    </row>
    <row r="2138" spans="1:19" x14ac:dyDescent="0.45">
      <c r="A2138" t="s">
        <v>395</v>
      </c>
      <c r="B2138" t="s">
        <v>20</v>
      </c>
      <c r="C2138" t="s">
        <v>3543</v>
      </c>
      <c r="D2138" t="s">
        <v>3544</v>
      </c>
      <c r="E2138" t="s">
        <v>38</v>
      </c>
      <c r="F2138" t="s">
        <v>2755</v>
      </c>
      <c r="G2138" t="s">
        <v>23</v>
      </c>
      <c r="H2138" t="s">
        <v>3545</v>
      </c>
      <c r="I2138" t="s">
        <v>3546</v>
      </c>
      <c r="J2138" t="s">
        <v>3547</v>
      </c>
      <c r="K2138" t="s">
        <v>3548</v>
      </c>
      <c r="L2138" t="s">
        <v>131</v>
      </c>
      <c r="M2138" t="s">
        <v>132</v>
      </c>
      <c r="N2138" t="s">
        <v>33</v>
      </c>
      <c r="O2138" t="s">
        <v>4798</v>
      </c>
      <c r="P2138" t="s">
        <v>118</v>
      </c>
      <c r="Q2138" t="s">
        <v>20</v>
      </c>
      <c r="R2138" t="s">
        <v>4799</v>
      </c>
      <c r="S2138" t="s">
        <v>805</v>
      </c>
    </row>
    <row r="2139" spans="1:19" x14ac:dyDescent="0.45">
      <c r="A2139" t="s">
        <v>1308</v>
      </c>
      <c r="B2139" t="s">
        <v>4867</v>
      </c>
      <c r="C2139" t="s">
        <v>2228</v>
      </c>
      <c r="D2139" t="s">
        <v>2229</v>
      </c>
      <c r="E2139" t="s">
        <v>21</v>
      </c>
      <c r="F2139" t="s">
        <v>2722</v>
      </c>
      <c r="G2139" t="s">
        <v>23</v>
      </c>
      <c r="H2139" t="s">
        <v>4868</v>
      </c>
      <c r="I2139" t="s">
        <v>4869</v>
      </c>
      <c r="J2139" t="s">
        <v>4870</v>
      </c>
      <c r="K2139" t="s">
        <v>4871</v>
      </c>
      <c r="L2139" t="s">
        <v>635</v>
      </c>
      <c r="M2139" t="s">
        <v>1223</v>
      </c>
      <c r="N2139" t="s">
        <v>678</v>
      </c>
      <c r="O2139" t="s">
        <v>4798</v>
      </c>
      <c r="P2139" t="s">
        <v>635</v>
      </c>
      <c r="Q2139" t="s">
        <v>20</v>
      </c>
      <c r="R2139" t="s">
        <v>4799</v>
      </c>
      <c r="S2139" t="s">
        <v>20</v>
      </c>
    </row>
    <row r="2140" spans="1:19" x14ac:dyDescent="0.45">
      <c r="A2140" t="s">
        <v>19</v>
      </c>
      <c r="B2140" t="s">
        <v>14730</v>
      </c>
      <c r="C2140" t="s">
        <v>1654</v>
      </c>
      <c r="D2140" t="s">
        <v>1655</v>
      </c>
      <c r="E2140" t="s">
        <v>38</v>
      </c>
      <c r="F2140" t="s">
        <v>2785</v>
      </c>
      <c r="G2140" t="s">
        <v>23</v>
      </c>
      <c r="H2140" t="s">
        <v>14731</v>
      </c>
      <c r="I2140" t="s">
        <v>14732</v>
      </c>
      <c r="J2140" t="s">
        <v>14733</v>
      </c>
      <c r="K2140" t="s">
        <v>14734</v>
      </c>
      <c r="L2140" t="s">
        <v>6525</v>
      </c>
      <c r="M2140" t="s">
        <v>112</v>
      </c>
      <c r="N2140" t="s">
        <v>146</v>
      </c>
      <c r="O2140" t="s">
        <v>4798</v>
      </c>
      <c r="P2140" t="s">
        <v>6525</v>
      </c>
      <c r="Q2140" t="s">
        <v>20</v>
      </c>
      <c r="R2140" t="s">
        <v>4799</v>
      </c>
      <c r="S2140" t="s">
        <v>20</v>
      </c>
    </row>
    <row r="2141" spans="1:19" x14ac:dyDescent="0.45">
      <c r="A2141" t="s">
        <v>246</v>
      </c>
      <c r="B2141" t="s">
        <v>14266</v>
      </c>
      <c r="C2141" t="s">
        <v>823</v>
      </c>
      <c r="D2141" t="s">
        <v>824</v>
      </c>
      <c r="E2141" t="s">
        <v>57</v>
      </c>
      <c r="F2141" t="s">
        <v>2795</v>
      </c>
      <c r="G2141" t="s">
        <v>23</v>
      </c>
      <c r="H2141" t="s">
        <v>825</v>
      </c>
      <c r="I2141" t="s">
        <v>826</v>
      </c>
      <c r="J2141" t="s">
        <v>827</v>
      </c>
      <c r="K2141" t="s">
        <v>828</v>
      </c>
      <c r="L2141" t="s">
        <v>6525</v>
      </c>
      <c r="M2141" t="s">
        <v>112</v>
      </c>
      <c r="N2141" t="s">
        <v>62</v>
      </c>
      <c r="O2141" t="s">
        <v>4798</v>
      </c>
      <c r="P2141" t="s">
        <v>11782</v>
      </c>
      <c r="Q2141" t="s">
        <v>20</v>
      </c>
      <c r="R2141" t="s">
        <v>4799</v>
      </c>
      <c r="S2141" t="s">
        <v>20</v>
      </c>
    </row>
    <row r="2142" spans="1:19" x14ac:dyDescent="0.45">
      <c r="A2142" t="s">
        <v>1308</v>
      </c>
      <c r="B2142" t="s">
        <v>20</v>
      </c>
      <c r="C2142" t="s">
        <v>6906</v>
      </c>
      <c r="D2142" t="s">
        <v>6289</v>
      </c>
      <c r="E2142" t="s">
        <v>38</v>
      </c>
      <c r="F2142" t="s">
        <v>2948</v>
      </c>
      <c r="G2142" t="s">
        <v>23</v>
      </c>
      <c r="H2142" t="s">
        <v>8968</v>
      </c>
      <c r="I2142" t="s">
        <v>9236</v>
      </c>
      <c r="J2142" t="s">
        <v>9237</v>
      </c>
      <c r="K2142" t="s">
        <v>9238</v>
      </c>
      <c r="L2142" t="s">
        <v>9126</v>
      </c>
      <c r="M2142" t="s">
        <v>112</v>
      </c>
      <c r="N2142" t="s">
        <v>33</v>
      </c>
      <c r="O2142" t="s">
        <v>4798</v>
      </c>
      <c r="P2142" t="s">
        <v>6524</v>
      </c>
      <c r="Q2142" t="s">
        <v>20</v>
      </c>
      <c r="R2142" t="s">
        <v>4799</v>
      </c>
      <c r="S2142" t="s">
        <v>11853</v>
      </c>
    </row>
    <row r="2143" spans="1:19" x14ac:dyDescent="0.45">
      <c r="A2143" t="s">
        <v>1278</v>
      </c>
      <c r="B2143" t="s">
        <v>3656</v>
      </c>
      <c r="C2143" t="s">
        <v>3657</v>
      </c>
      <c r="D2143" t="s">
        <v>3658</v>
      </c>
      <c r="E2143" t="s">
        <v>21</v>
      </c>
      <c r="F2143" t="s">
        <v>3659</v>
      </c>
      <c r="G2143" t="s">
        <v>23</v>
      </c>
      <c r="H2143" t="s">
        <v>3660</v>
      </c>
      <c r="I2143" t="s">
        <v>3661</v>
      </c>
      <c r="J2143" t="s">
        <v>3662</v>
      </c>
      <c r="K2143" t="s">
        <v>3663</v>
      </c>
      <c r="L2143" t="s">
        <v>147</v>
      </c>
      <c r="M2143" t="s">
        <v>3664</v>
      </c>
      <c r="N2143" t="s">
        <v>12413</v>
      </c>
      <c r="O2143" t="s">
        <v>4798</v>
      </c>
      <c r="P2143" t="s">
        <v>6525</v>
      </c>
      <c r="Q2143" t="s">
        <v>20</v>
      </c>
      <c r="R2143" t="s">
        <v>4799</v>
      </c>
      <c r="S2143" t="s">
        <v>20</v>
      </c>
    </row>
    <row r="2144" spans="1:19" x14ac:dyDescent="0.45">
      <c r="A2144" t="s">
        <v>515</v>
      </c>
      <c r="B2144" t="s">
        <v>20</v>
      </c>
      <c r="C2144" t="s">
        <v>4669</v>
      </c>
      <c r="D2144" t="s">
        <v>4670</v>
      </c>
      <c r="E2144" t="s">
        <v>38</v>
      </c>
      <c r="F2144" t="s">
        <v>2948</v>
      </c>
      <c r="G2144" t="s">
        <v>23</v>
      </c>
      <c r="H2144" t="s">
        <v>9037</v>
      </c>
      <c r="I2144" t="s">
        <v>9069</v>
      </c>
      <c r="J2144" t="s">
        <v>9658</v>
      </c>
      <c r="K2144" t="s">
        <v>9659</v>
      </c>
      <c r="L2144" t="s">
        <v>3418</v>
      </c>
      <c r="M2144" t="s">
        <v>132</v>
      </c>
      <c r="N2144" t="s">
        <v>195</v>
      </c>
      <c r="O2144" t="s">
        <v>4798</v>
      </c>
      <c r="P2144" t="s">
        <v>8377</v>
      </c>
      <c r="Q2144" t="s">
        <v>20</v>
      </c>
      <c r="R2144" t="s">
        <v>4799</v>
      </c>
      <c r="S2144" t="s">
        <v>10295</v>
      </c>
    </row>
    <row r="2145" spans="1:19" x14ac:dyDescent="0.45">
      <c r="A2145" t="s">
        <v>3096</v>
      </c>
      <c r="B2145" t="s">
        <v>5219</v>
      </c>
      <c r="C2145" t="s">
        <v>4590</v>
      </c>
      <c r="D2145" t="s">
        <v>4591</v>
      </c>
      <c r="E2145" t="s">
        <v>21</v>
      </c>
      <c r="F2145" t="s">
        <v>5220</v>
      </c>
      <c r="G2145" t="s">
        <v>23</v>
      </c>
      <c r="H2145" t="s">
        <v>5221</v>
      </c>
      <c r="I2145" t="s">
        <v>5222</v>
      </c>
      <c r="J2145" t="s">
        <v>5223</v>
      </c>
      <c r="K2145" t="s">
        <v>5224</v>
      </c>
      <c r="L2145" t="s">
        <v>118</v>
      </c>
      <c r="M2145" t="s">
        <v>3105</v>
      </c>
      <c r="N2145" t="s">
        <v>1224</v>
      </c>
      <c r="O2145" t="s">
        <v>4798</v>
      </c>
      <c r="P2145" t="s">
        <v>118</v>
      </c>
      <c r="Q2145" t="s">
        <v>20</v>
      </c>
      <c r="R2145" t="s">
        <v>4799</v>
      </c>
      <c r="S2145" t="s">
        <v>20</v>
      </c>
    </row>
    <row r="2146" spans="1:19" x14ac:dyDescent="0.45">
      <c r="A2146" t="s">
        <v>511</v>
      </c>
      <c r="B2146" t="s">
        <v>5136</v>
      </c>
      <c r="C2146" t="s">
        <v>1394</v>
      </c>
      <c r="D2146" t="s">
        <v>1395</v>
      </c>
      <c r="E2146" t="s">
        <v>38</v>
      </c>
      <c r="F2146" t="s">
        <v>2787</v>
      </c>
      <c r="G2146" t="s">
        <v>23</v>
      </c>
      <c r="H2146" t="s">
        <v>5137</v>
      </c>
      <c r="I2146" t="s">
        <v>5138</v>
      </c>
      <c r="J2146" t="s">
        <v>5139</v>
      </c>
      <c r="K2146" t="s">
        <v>5140</v>
      </c>
      <c r="L2146" t="s">
        <v>168</v>
      </c>
      <c r="M2146" t="s">
        <v>2100</v>
      </c>
      <c r="N2146" t="s">
        <v>62</v>
      </c>
      <c r="O2146" t="s">
        <v>4798</v>
      </c>
      <c r="P2146" t="s">
        <v>168</v>
      </c>
      <c r="Q2146" t="s">
        <v>20</v>
      </c>
      <c r="R2146" t="s">
        <v>5141</v>
      </c>
      <c r="S2146" t="s">
        <v>20</v>
      </c>
    </row>
    <row r="2147" spans="1:19" x14ac:dyDescent="0.45">
      <c r="A2147" t="s">
        <v>46</v>
      </c>
      <c r="B2147" t="s">
        <v>20</v>
      </c>
      <c r="C2147" t="s">
        <v>460</v>
      </c>
      <c r="D2147" t="s">
        <v>461</v>
      </c>
      <c r="E2147" t="s">
        <v>57</v>
      </c>
      <c r="F2147" t="s">
        <v>2795</v>
      </c>
      <c r="G2147" t="s">
        <v>23</v>
      </c>
      <c r="H2147" t="s">
        <v>3312</v>
      </c>
      <c r="I2147" t="s">
        <v>3313</v>
      </c>
      <c r="J2147" t="s">
        <v>3314</v>
      </c>
      <c r="K2147" t="s">
        <v>3315</v>
      </c>
      <c r="L2147" t="s">
        <v>209</v>
      </c>
      <c r="M2147" t="s">
        <v>538</v>
      </c>
      <c r="N2147" t="s">
        <v>119</v>
      </c>
      <c r="O2147" t="s">
        <v>4798</v>
      </c>
      <c r="P2147" t="s">
        <v>290</v>
      </c>
      <c r="Q2147" t="s">
        <v>20</v>
      </c>
      <c r="R2147" t="s">
        <v>4799</v>
      </c>
      <c r="S2147" t="s">
        <v>20</v>
      </c>
    </row>
    <row r="2148" spans="1:19" x14ac:dyDescent="0.45">
      <c r="A2148" t="s">
        <v>921</v>
      </c>
      <c r="B2148" t="s">
        <v>20</v>
      </c>
      <c r="C2148" t="s">
        <v>922</v>
      </c>
      <c r="D2148" t="s">
        <v>923</v>
      </c>
      <c r="E2148" t="s">
        <v>38</v>
      </c>
      <c r="F2148" t="s">
        <v>3182</v>
      </c>
      <c r="G2148" t="s">
        <v>23</v>
      </c>
      <c r="H2148" t="s">
        <v>924</v>
      </c>
      <c r="I2148" t="s">
        <v>925</v>
      </c>
      <c r="J2148" t="s">
        <v>926</v>
      </c>
      <c r="K2148" t="s">
        <v>927</v>
      </c>
      <c r="L2148" t="s">
        <v>9155</v>
      </c>
      <c r="M2148" t="s">
        <v>112</v>
      </c>
      <c r="N2148" t="s">
        <v>33</v>
      </c>
      <c r="O2148" t="s">
        <v>4798</v>
      </c>
      <c r="P2148" t="s">
        <v>6524</v>
      </c>
      <c r="Q2148" t="s">
        <v>20</v>
      </c>
      <c r="R2148" t="s">
        <v>4799</v>
      </c>
      <c r="S2148" t="s">
        <v>10300</v>
      </c>
    </row>
    <row r="2149" spans="1:19" x14ac:dyDescent="0.45">
      <c r="A2149" t="s">
        <v>425</v>
      </c>
      <c r="B2149" t="s">
        <v>14322</v>
      </c>
      <c r="C2149" t="s">
        <v>1441</v>
      </c>
      <c r="D2149" t="s">
        <v>1442</v>
      </c>
      <c r="E2149" t="s">
        <v>38</v>
      </c>
      <c r="F2149" t="s">
        <v>2787</v>
      </c>
      <c r="G2149" t="s">
        <v>23</v>
      </c>
      <c r="H2149" t="s">
        <v>12196</v>
      </c>
      <c r="I2149" t="s">
        <v>12197</v>
      </c>
      <c r="J2149" t="s">
        <v>12391</v>
      </c>
      <c r="K2149" t="s">
        <v>12392</v>
      </c>
      <c r="L2149" t="s">
        <v>6524</v>
      </c>
      <c r="M2149" t="s">
        <v>112</v>
      </c>
      <c r="N2149" t="s">
        <v>195</v>
      </c>
      <c r="O2149" t="s">
        <v>4798</v>
      </c>
      <c r="P2149" t="s">
        <v>6525</v>
      </c>
      <c r="Q2149" t="s">
        <v>20</v>
      </c>
      <c r="R2149" t="s">
        <v>4799</v>
      </c>
      <c r="S2149" t="s">
        <v>13321</v>
      </c>
    </row>
    <row r="2150" spans="1:19" x14ac:dyDescent="0.45">
      <c r="A2150" t="s">
        <v>46</v>
      </c>
      <c r="B2150" t="s">
        <v>3475</v>
      </c>
      <c r="C2150" t="s">
        <v>1505</v>
      </c>
      <c r="D2150" t="s">
        <v>1506</v>
      </c>
      <c r="E2150" t="s">
        <v>38</v>
      </c>
      <c r="F2150" t="s">
        <v>2787</v>
      </c>
      <c r="G2150" t="s">
        <v>23</v>
      </c>
      <c r="H2150" t="s">
        <v>3476</v>
      </c>
      <c r="I2150" t="s">
        <v>3477</v>
      </c>
      <c r="J2150" t="s">
        <v>3478</v>
      </c>
      <c r="K2150" t="s">
        <v>3479</v>
      </c>
      <c r="L2150" t="s">
        <v>168</v>
      </c>
      <c r="M2150" t="s">
        <v>2100</v>
      </c>
      <c r="N2150" t="s">
        <v>119</v>
      </c>
      <c r="O2150" t="s">
        <v>4798</v>
      </c>
      <c r="P2150" t="s">
        <v>6522</v>
      </c>
      <c r="Q2150" t="s">
        <v>20</v>
      </c>
      <c r="R2150" t="s">
        <v>4799</v>
      </c>
      <c r="S2150" t="s">
        <v>4901</v>
      </c>
    </row>
    <row r="2151" spans="1:19" x14ac:dyDescent="0.45">
      <c r="A2151" t="s">
        <v>2432</v>
      </c>
      <c r="B2151" t="s">
        <v>10304</v>
      </c>
      <c r="C2151" t="s">
        <v>9061</v>
      </c>
      <c r="D2151" t="s">
        <v>6311</v>
      </c>
      <c r="E2151" t="s">
        <v>38</v>
      </c>
      <c r="F2151" t="s">
        <v>2787</v>
      </c>
      <c r="G2151" t="s">
        <v>23</v>
      </c>
      <c r="H2151" t="s">
        <v>8969</v>
      </c>
      <c r="I2151" t="s">
        <v>9062</v>
      </c>
      <c r="J2151" t="s">
        <v>10305</v>
      </c>
      <c r="K2151" t="s">
        <v>10306</v>
      </c>
      <c r="L2151" t="s">
        <v>3998</v>
      </c>
      <c r="M2151" t="s">
        <v>112</v>
      </c>
      <c r="N2151" t="s">
        <v>195</v>
      </c>
      <c r="O2151" t="s">
        <v>4798</v>
      </c>
      <c r="P2151" t="s">
        <v>2769</v>
      </c>
      <c r="Q2151" t="s">
        <v>20</v>
      </c>
      <c r="R2151" t="s">
        <v>4799</v>
      </c>
      <c r="S2151" t="s">
        <v>20</v>
      </c>
    </row>
    <row r="2152" spans="1:19" x14ac:dyDescent="0.45">
      <c r="A2152" t="s">
        <v>2761</v>
      </c>
      <c r="B2152" t="s">
        <v>4825</v>
      </c>
      <c r="C2152" t="s">
        <v>2818</v>
      </c>
      <c r="D2152" t="s">
        <v>2819</v>
      </c>
      <c r="E2152" t="s">
        <v>21</v>
      </c>
      <c r="F2152" t="s">
        <v>2722</v>
      </c>
      <c r="G2152" t="s">
        <v>23</v>
      </c>
      <c r="H2152" t="s">
        <v>4826</v>
      </c>
      <c r="I2152" t="s">
        <v>4827</v>
      </c>
      <c r="J2152" t="s">
        <v>4828</v>
      </c>
      <c r="K2152" t="s">
        <v>4829</v>
      </c>
      <c r="L2152" t="s">
        <v>1125</v>
      </c>
      <c r="M2152" t="s">
        <v>1223</v>
      </c>
      <c r="N2152" t="s">
        <v>678</v>
      </c>
      <c r="O2152" t="s">
        <v>4798</v>
      </c>
      <c r="P2152" t="s">
        <v>1125</v>
      </c>
      <c r="Q2152" t="s">
        <v>20</v>
      </c>
      <c r="R2152" t="s">
        <v>4799</v>
      </c>
      <c r="S2152" t="s">
        <v>20</v>
      </c>
    </row>
    <row r="2153" spans="1:19" x14ac:dyDescent="0.45">
      <c r="A2153" t="s">
        <v>395</v>
      </c>
      <c r="B2153" t="s">
        <v>3579</v>
      </c>
      <c r="C2153" t="s">
        <v>3580</v>
      </c>
      <c r="D2153" t="s">
        <v>3581</v>
      </c>
      <c r="E2153" t="s">
        <v>38</v>
      </c>
      <c r="F2153" t="s">
        <v>14735</v>
      </c>
      <c r="G2153" t="s">
        <v>23</v>
      </c>
      <c r="H2153" t="s">
        <v>3582</v>
      </c>
      <c r="I2153" t="s">
        <v>3583</v>
      </c>
      <c r="J2153" t="s">
        <v>3584</v>
      </c>
      <c r="K2153" t="s">
        <v>3585</v>
      </c>
      <c r="L2153" t="s">
        <v>3418</v>
      </c>
      <c r="M2153" t="s">
        <v>1223</v>
      </c>
      <c r="N2153" t="s">
        <v>3815</v>
      </c>
      <c r="O2153" t="s">
        <v>4798</v>
      </c>
      <c r="P2153" t="s">
        <v>6527</v>
      </c>
      <c r="Q2153" t="s">
        <v>20</v>
      </c>
      <c r="R2153" t="s">
        <v>4799</v>
      </c>
      <c r="S2153" t="s">
        <v>20</v>
      </c>
    </row>
    <row r="2154" spans="1:19" x14ac:dyDescent="0.45">
      <c r="A2154" t="s">
        <v>246</v>
      </c>
      <c r="B2154" t="s">
        <v>5387</v>
      </c>
      <c r="C2154" t="s">
        <v>2266</v>
      </c>
      <c r="D2154" t="s">
        <v>2267</v>
      </c>
      <c r="E2154" t="s">
        <v>38</v>
      </c>
      <c r="F2154" t="s">
        <v>3182</v>
      </c>
      <c r="G2154" t="s">
        <v>23</v>
      </c>
      <c r="H2154" t="s">
        <v>5388</v>
      </c>
      <c r="I2154" t="s">
        <v>4011</v>
      </c>
      <c r="J2154" t="s">
        <v>5389</v>
      </c>
      <c r="K2154" t="s">
        <v>5390</v>
      </c>
      <c r="L2154" t="s">
        <v>474</v>
      </c>
      <c r="M2154" t="s">
        <v>112</v>
      </c>
      <c r="N2154" t="s">
        <v>146</v>
      </c>
      <c r="O2154" t="s">
        <v>4798</v>
      </c>
      <c r="P2154" t="s">
        <v>194</v>
      </c>
      <c r="Q2154" t="s">
        <v>20</v>
      </c>
      <c r="R2154" t="s">
        <v>4799</v>
      </c>
      <c r="S2154" t="s">
        <v>20</v>
      </c>
    </row>
    <row r="2155" spans="1:19" x14ac:dyDescent="0.45">
      <c r="A2155" t="s">
        <v>71</v>
      </c>
      <c r="B2155" t="s">
        <v>20</v>
      </c>
      <c r="C2155" t="s">
        <v>1873</v>
      </c>
      <c r="D2155" t="s">
        <v>1874</v>
      </c>
      <c r="E2155" t="s">
        <v>38</v>
      </c>
      <c r="F2155" t="s">
        <v>3062</v>
      </c>
      <c r="G2155" t="s">
        <v>23</v>
      </c>
      <c r="H2155" t="s">
        <v>1875</v>
      </c>
      <c r="I2155" t="s">
        <v>1876</v>
      </c>
      <c r="J2155" t="s">
        <v>1877</v>
      </c>
      <c r="K2155" t="s">
        <v>821</v>
      </c>
      <c r="L2155" t="s">
        <v>504</v>
      </c>
      <c r="M2155" t="s">
        <v>102</v>
      </c>
      <c r="N2155" t="s">
        <v>33</v>
      </c>
      <c r="O2155" t="s">
        <v>4798</v>
      </c>
      <c r="P2155" t="s">
        <v>296</v>
      </c>
      <c r="Q2155" t="s">
        <v>20</v>
      </c>
      <c r="R2155" t="s">
        <v>4799</v>
      </c>
      <c r="S2155" t="s">
        <v>20</v>
      </c>
    </row>
    <row r="2156" spans="1:19" x14ac:dyDescent="0.45">
      <c r="A2156" t="s">
        <v>501</v>
      </c>
      <c r="B2156" t="s">
        <v>20</v>
      </c>
      <c r="C2156" t="s">
        <v>502</v>
      </c>
      <c r="D2156" t="s">
        <v>503</v>
      </c>
      <c r="E2156" t="s">
        <v>38</v>
      </c>
      <c r="F2156" t="s">
        <v>2904</v>
      </c>
      <c r="G2156" t="s">
        <v>23</v>
      </c>
      <c r="H2156" t="s">
        <v>3146</v>
      </c>
      <c r="I2156" t="s">
        <v>3147</v>
      </c>
      <c r="J2156" t="s">
        <v>3148</v>
      </c>
      <c r="K2156" t="s">
        <v>3149</v>
      </c>
      <c r="L2156" t="s">
        <v>214</v>
      </c>
      <c r="M2156" t="s">
        <v>132</v>
      </c>
      <c r="N2156" t="s">
        <v>9484</v>
      </c>
      <c r="O2156" t="s">
        <v>4798</v>
      </c>
      <c r="P2156" t="s">
        <v>6523</v>
      </c>
      <c r="Q2156" t="s">
        <v>20</v>
      </c>
      <c r="R2156" t="s">
        <v>4799</v>
      </c>
      <c r="S2156" t="s">
        <v>20</v>
      </c>
    </row>
    <row r="2157" spans="1:19" x14ac:dyDescent="0.45">
      <c r="A2157" t="s">
        <v>1043</v>
      </c>
      <c r="B2157" t="s">
        <v>8828</v>
      </c>
      <c r="C2157" t="s">
        <v>1584</v>
      </c>
      <c r="D2157" t="s">
        <v>1585</v>
      </c>
      <c r="E2157" t="s">
        <v>38</v>
      </c>
      <c r="F2157" t="s">
        <v>14736</v>
      </c>
      <c r="G2157" t="s">
        <v>23</v>
      </c>
      <c r="H2157" t="s">
        <v>1586</v>
      </c>
      <c r="I2157" t="s">
        <v>1587</v>
      </c>
      <c r="J2157" t="s">
        <v>1588</v>
      </c>
      <c r="K2157" t="s">
        <v>1589</v>
      </c>
      <c r="L2157" t="s">
        <v>474</v>
      </c>
      <c r="M2157" t="s">
        <v>112</v>
      </c>
      <c r="N2157" t="s">
        <v>1224</v>
      </c>
      <c r="O2157" t="s">
        <v>4798</v>
      </c>
      <c r="P2157" t="s">
        <v>290</v>
      </c>
      <c r="Q2157" t="s">
        <v>20</v>
      </c>
      <c r="R2157" t="s">
        <v>4799</v>
      </c>
      <c r="S2157" t="s">
        <v>20</v>
      </c>
    </row>
    <row r="2158" spans="1:19" x14ac:dyDescent="0.45">
      <c r="A2158" t="s">
        <v>501</v>
      </c>
      <c r="B2158" t="s">
        <v>6693</v>
      </c>
      <c r="C2158" t="s">
        <v>3330</v>
      </c>
      <c r="D2158" t="s">
        <v>3331</v>
      </c>
      <c r="E2158" t="s">
        <v>38</v>
      </c>
      <c r="F2158" t="s">
        <v>2755</v>
      </c>
      <c r="G2158" t="s">
        <v>23</v>
      </c>
      <c r="H2158" t="s">
        <v>6453</v>
      </c>
      <c r="I2158" t="s">
        <v>6694</v>
      </c>
      <c r="J2158" t="s">
        <v>6695</v>
      </c>
      <c r="K2158" t="s">
        <v>6696</v>
      </c>
      <c r="L2158" t="s">
        <v>7506</v>
      </c>
      <c r="M2158" t="s">
        <v>132</v>
      </c>
      <c r="N2158" t="s">
        <v>9484</v>
      </c>
      <c r="O2158" t="s">
        <v>4798</v>
      </c>
      <c r="P2158" t="s">
        <v>7506</v>
      </c>
      <c r="Q2158" t="s">
        <v>20</v>
      </c>
      <c r="R2158" t="s">
        <v>4799</v>
      </c>
      <c r="S2158" t="s">
        <v>10300</v>
      </c>
    </row>
    <row r="2159" spans="1:19" x14ac:dyDescent="0.45">
      <c r="A2159" t="s">
        <v>413</v>
      </c>
      <c r="B2159" t="s">
        <v>20</v>
      </c>
      <c r="C2159" t="s">
        <v>414</v>
      </c>
      <c r="D2159" t="s">
        <v>415</v>
      </c>
      <c r="E2159" t="s">
        <v>2487</v>
      </c>
      <c r="F2159" t="s">
        <v>11633</v>
      </c>
      <c r="G2159" t="s">
        <v>23</v>
      </c>
      <c r="H2159" t="s">
        <v>6960</v>
      </c>
      <c r="I2159" t="s">
        <v>6961</v>
      </c>
      <c r="J2159" t="s">
        <v>6962</v>
      </c>
      <c r="K2159" t="s">
        <v>6963</v>
      </c>
      <c r="L2159" t="s">
        <v>6521</v>
      </c>
      <c r="M2159" t="s">
        <v>32</v>
      </c>
      <c r="N2159" t="s">
        <v>119</v>
      </c>
      <c r="O2159" t="s">
        <v>4798</v>
      </c>
      <c r="P2159" t="s">
        <v>8109</v>
      </c>
      <c r="Q2159" t="s">
        <v>20</v>
      </c>
      <c r="R2159" t="s">
        <v>4799</v>
      </c>
      <c r="S2159" t="s">
        <v>20</v>
      </c>
    </row>
    <row r="2160" spans="1:19" x14ac:dyDescent="0.45">
      <c r="A2160" t="s">
        <v>592</v>
      </c>
      <c r="B2160" t="s">
        <v>20</v>
      </c>
      <c r="C2160" t="s">
        <v>2859</v>
      </c>
      <c r="D2160" t="s">
        <v>2860</v>
      </c>
      <c r="E2160" t="s">
        <v>29</v>
      </c>
      <c r="F2160" t="s">
        <v>2785</v>
      </c>
      <c r="G2160" t="s">
        <v>23</v>
      </c>
      <c r="H2160" t="s">
        <v>12604</v>
      </c>
      <c r="I2160" t="s">
        <v>12605</v>
      </c>
      <c r="J2160" t="s">
        <v>12606</v>
      </c>
      <c r="K2160" t="s">
        <v>12607</v>
      </c>
      <c r="L2160" t="s">
        <v>6527</v>
      </c>
      <c r="M2160" t="s">
        <v>416</v>
      </c>
      <c r="N2160" t="s">
        <v>119</v>
      </c>
      <c r="O2160" t="s">
        <v>4798</v>
      </c>
      <c r="P2160" t="s">
        <v>6525</v>
      </c>
      <c r="Q2160" t="s">
        <v>20</v>
      </c>
      <c r="R2160" t="s">
        <v>4799</v>
      </c>
      <c r="S2160" t="s">
        <v>20</v>
      </c>
    </row>
    <row r="2161" spans="1:19" x14ac:dyDescent="0.45">
      <c r="A2161" t="s">
        <v>501</v>
      </c>
      <c r="B2161" t="s">
        <v>20</v>
      </c>
      <c r="C2161" t="s">
        <v>3823</v>
      </c>
      <c r="D2161" t="s">
        <v>3824</v>
      </c>
      <c r="E2161" t="s">
        <v>117</v>
      </c>
      <c r="F2161" t="s">
        <v>2785</v>
      </c>
      <c r="G2161" t="s">
        <v>23</v>
      </c>
      <c r="H2161" t="s">
        <v>8192</v>
      </c>
      <c r="I2161" t="s">
        <v>8193</v>
      </c>
      <c r="J2161" t="s">
        <v>8194</v>
      </c>
      <c r="K2161" t="s">
        <v>8195</v>
      </c>
      <c r="L2161" t="s">
        <v>2769</v>
      </c>
      <c r="M2161" t="s">
        <v>132</v>
      </c>
      <c r="N2161" t="s">
        <v>9484</v>
      </c>
      <c r="O2161" t="s">
        <v>4798</v>
      </c>
      <c r="P2161" t="s">
        <v>2769</v>
      </c>
      <c r="Q2161" t="s">
        <v>20</v>
      </c>
      <c r="R2161" t="s">
        <v>4799</v>
      </c>
      <c r="S2161" t="s">
        <v>8119</v>
      </c>
    </row>
    <row r="2162" spans="1:19" x14ac:dyDescent="0.45">
      <c r="A2162" t="s">
        <v>516</v>
      </c>
      <c r="B2162" t="s">
        <v>5116</v>
      </c>
      <c r="C2162" t="s">
        <v>794</v>
      </c>
      <c r="D2162" t="s">
        <v>795</v>
      </c>
      <c r="E2162" t="s">
        <v>21</v>
      </c>
      <c r="F2162" t="s">
        <v>2722</v>
      </c>
      <c r="G2162" t="s">
        <v>23</v>
      </c>
      <c r="H2162" t="s">
        <v>5117</v>
      </c>
      <c r="I2162" t="s">
        <v>5118</v>
      </c>
      <c r="J2162" t="s">
        <v>5119</v>
      </c>
      <c r="K2162" t="s">
        <v>5120</v>
      </c>
      <c r="L2162" t="s">
        <v>131</v>
      </c>
      <c r="M2162" t="s">
        <v>1223</v>
      </c>
      <c r="N2162" t="s">
        <v>137</v>
      </c>
      <c r="O2162" t="s">
        <v>4798</v>
      </c>
      <c r="P2162" t="s">
        <v>296</v>
      </c>
      <c r="Q2162" t="s">
        <v>20</v>
      </c>
      <c r="R2162" t="s">
        <v>4799</v>
      </c>
      <c r="S2162" t="s">
        <v>138</v>
      </c>
    </row>
    <row r="2163" spans="1:19" x14ac:dyDescent="0.45">
      <c r="A2163" t="s">
        <v>1043</v>
      </c>
      <c r="B2163" t="s">
        <v>3316</v>
      </c>
      <c r="C2163" t="s">
        <v>3317</v>
      </c>
      <c r="D2163" t="s">
        <v>3318</v>
      </c>
      <c r="E2163" t="s">
        <v>38</v>
      </c>
      <c r="F2163" t="s">
        <v>3062</v>
      </c>
      <c r="G2163" t="s">
        <v>23</v>
      </c>
      <c r="H2163" t="s">
        <v>3319</v>
      </c>
      <c r="I2163" t="s">
        <v>3320</v>
      </c>
      <c r="J2163" t="s">
        <v>3321</v>
      </c>
      <c r="K2163" t="s">
        <v>3322</v>
      </c>
      <c r="L2163" t="s">
        <v>635</v>
      </c>
      <c r="M2163" t="s">
        <v>1223</v>
      </c>
      <c r="N2163" t="s">
        <v>9484</v>
      </c>
      <c r="O2163" t="s">
        <v>4798</v>
      </c>
      <c r="P2163" t="s">
        <v>6523</v>
      </c>
      <c r="Q2163" t="s">
        <v>20</v>
      </c>
      <c r="R2163" t="s">
        <v>4799</v>
      </c>
      <c r="S2163" t="s">
        <v>20</v>
      </c>
    </row>
    <row r="2164" spans="1:19" x14ac:dyDescent="0.45">
      <c r="A2164" t="s">
        <v>35</v>
      </c>
      <c r="B2164" t="s">
        <v>13274</v>
      </c>
      <c r="C2164" t="s">
        <v>2607</v>
      </c>
      <c r="D2164" t="s">
        <v>2608</v>
      </c>
      <c r="E2164" t="s">
        <v>38</v>
      </c>
      <c r="F2164" t="s">
        <v>2948</v>
      </c>
      <c r="G2164" t="s">
        <v>23</v>
      </c>
      <c r="H2164" t="s">
        <v>10480</v>
      </c>
      <c r="I2164" t="s">
        <v>10481</v>
      </c>
      <c r="J2164" t="s">
        <v>10482</v>
      </c>
      <c r="K2164" t="s">
        <v>10483</v>
      </c>
      <c r="L2164" t="s">
        <v>2769</v>
      </c>
      <c r="M2164" t="s">
        <v>112</v>
      </c>
      <c r="N2164" t="s">
        <v>12413</v>
      </c>
      <c r="O2164" t="s">
        <v>4798</v>
      </c>
      <c r="P2164" t="s">
        <v>3998</v>
      </c>
      <c r="Q2164" t="s">
        <v>20</v>
      </c>
      <c r="R2164" t="s">
        <v>4799</v>
      </c>
      <c r="S2164" t="s">
        <v>20</v>
      </c>
    </row>
    <row r="2165" spans="1:19" x14ac:dyDescent="0.45">
      <c r="A2165" t="s">
        <v>19</v>
      </c>
      <c r="B2165" t="s">
        <v>14737</v>
      </c>
      <c r="C2165" t="s">
        <v>6777</v>
      </c>
      <c r="D2165" t="s">
        <v>6188</v>
      </c>
      <c r="E2165" t="s">
        <v>38</v>
      </c>
      <c r="F2165" t="s">
        <v>2948</v>
      </c>
      <c r="G2165" t="s">
        <v>23</v>
      </c>
      <c r="H2165" t="s">
        <v>14738</v>
      </c>
      <c r="I2165" t="s">
        <v>14388</v>
      </c>
      <c r="J2165" t="s">
        <v>14739</v>
      </c>
      <c r="K2165" t="s">
        <v>14740</v>
      </c>
      <c r="L2165" t="s">
        <v>6525</v>
      </c>
      <c r="M2165" t="s">
        <v>112</v>
      </c>
      <c r="N2165" t="s">
        <v>146</v>
      </c>
      <c r="O2165" t="s">
        <v>4798</v>
      </c>
      <c r="P2165" t="s">
        <v>6525</v>
      </c>
      <c r="Q2165" t="s">
        <v>20</v>
      </c>
      <c r="R2165" t="s">
        <v>4799</v>
      </c>
      <c r="S2165" t="s">
        <v>20</v>
      </c>
    </row>
    <row r="2166" spans="1:19" x14ac:dyDescent="0.45">
      <c r="A2166" t="s">
        <v>64</v>
      </c>
      <c r="B2166" t="s">
        <v>12338</v>
      </c>
      <c r="C2166" t="s">
        <v>2115</v>
      </c>
      <c r="D2166" t="s">
        <v>2116</v>
      </c>
      <c r="E2166" t="s">
        <v>38</v>
      </c>
      <c r="F2166" t="s">
        <v>2785</v>
      </c>
      <c r="G2166" t="s">
        <v>23</v>
      </c>
      <c r="H2166" t="s">
        <v>11904</v>
      </c>
      <c r="I2166" t="s">
        <v>11905</v>
      </c>
      <c r="J2166" t="s">
        <v>11906</v>
      </c>
      <c r="K2166" t="s">
        <v>11907</v>
      </c>
      <c r="L2166" t="s">
        <v>6524</v>
      </c>
      <c r="M2166" t="s">
        <v>112</v>
      </c>
      <c r="N2166" t="s">
        <v>146</v>
      </c>
      <c r="O2166" t="s">
        <v>4798</v>
      </c>
      <c r="P2166" t="s">
        <v>8377</v>
      </c>
      <c r="Q2166" t="s">
        <v>20</v>
      </c>
      <c r="R2166" t="s">
        <v>12349</v>
      </c>
      <c r="S2166" t="s">
        <v>11892</v>
      </c>
    </row>
    <row r="2167" spans="1:19" x14ac:dyDescent="0.45">
      <c r="A2167" t="s">
        <v>79</v>
      </c>
      <c r="B2167" t="s">
        <v>3282</v>
      </c>
      <c r="C2167" t="s">
        <v>1862</v>
      </c>
      <c r="D2167" t="s">
        <v>1863</v>
      </c>
      <c r="E2167" t="s">
        <v>29</v>
      </c>
      <c r="F2167" t="s">
        <v>14741</v>
      </c>
      <c r="G2167" t="s">
        <v>23</v>
      </c>
      <c r="H2167" t="s">
        <v>3283</v>
      </c>
      <c r="I2167" t="s">
        <v>3284</v>
      </c>
      <c r="J2167" t="s">
        <v>3285</v>
      </c>
      <c r="K2167" t="s">
        <v>3286</v>
      </c>
      <c r="L2167" t="s">
        <v>147</v>
      </c>
      <c r="M2167" t="s">
        <v>112</v>
      </c>
      <c r="N2167" t="s">
        <v>119</v>
      </c>
      <c r="O2167" t="s">
        <v>4798</v>
      </c>
      <c r="P2167" t="s">
        <v>6527</v>
      </c>
      <c r="Q2167" t="s">
        <v>20</v>
      </c>
      <c r="R2167" t="s">
        <v>13002</v>
      </c>
      <c r="S2167" t="s">
        <v>8119</v>
      </c>
    </row>
    <row r="2168" spans="1:19" x14ac:dyDescent="0.45">
      <c r="A2168" t="s">
        <v>19</v>
      </c>
      <c r="B2168" t="s">
        <v>11874</v>
      </c>
      <c r="C2168" t="s">
        <v>3883</v>
      </c>
      <c r="D2168" t="s">
        <v>3884</v>
      </c>
      <c r="E2168" t="s">
        <v>38</v>
      </c>
      <c r="F2168" t="s">
        <v>4092</v>
      </c>
      <c r="G2168" t="s">
        <v>23</v>
      </c>
      <c r="H2168" t="s">
        <v>11875</v>
      </c>
      <c r="I2168" t="s">
        <v>11876</v>
      </c>
      <c r="J2168" t="s">
        <v>11877</v>
      </c>
      <c r="K2168" t="s">
        <v>11878</v>
      </c>
      <c r="L2168" t="s">
        <v>8109</v>
      </c>
      <c r="M2168" t="s">
        <v>1223</v>
      </c>
      <c r="N2168" t="s">
        <v>33</v>
      </c>
      <c r="O2168" t="s">
        <v>4798</v>
      </c>
      <c r="P2168" t="s">
        <v>8377</v>
      </c>
      <c r="Q2168" t="s">
        <v>20</v>
      </c>
      <c r="R2168" t="s">
        <v>4799</v>
      </c>
      <c r="S2168" t="s">
        <v>20</v>
      </c>
    </row>
    <row r="2169" spans="1:19" x14ac:dyDescent="0.45">
      <c r="A2169" t="s">
        <v>79</v>
      </c>
      <c r="B2169" t="s">
        <v>12956</v>
      </c>
      <c r="C2169" t="s">
        <v>1576</v>
      </c>
      <c r="D2169" t="s">
        <v>1577</v>
      </c>
      <c r="E2169" t="s">
        <v>21</v>
      </c>
      <c r="F2169" t="s">
        <v>2831</v>
      </c>
      <c r="G2169" t="s">
        <v>23</v>
      </c>
      <c r="H2169" t="s">
        <v>12957</v>
      </c>
      <c r="I2169" t="s">
        <v>12958</v>
      </c>
      <c r="J2169" t="s">
        <v>12959</v>
      </c>
      <c r="K2169" t="s">
        <v>12960</v>
      </c>
      <c r="L2169" t="s">
        <v>6527</v>
      </c>
      <c r="M2169" t="s">
        <v>112</v>
      </c>
      <c r="N2169" t="s">
        <v>678</v>
      </c>
      <c r="O2169" t="s">
        <v>4798</v>
      </c>
      <c r="P2169" t="s">
        <v>6527</v>
      </c>
      <c r="Q2169" t="s">
        <v>20</v>
      </c>
      <c r="R2169" t="s">
        <v>13003</v>
      </c>
      <c r="S2169" t="s">
        <v>20</v>
      </c>
    </row>
    <row r="2170" spans="1:19" x14ac:dyDescent="0.45">
      <c r="A2170" t="s">
        <v>104</v>
      </c>
      <c r="B2170" t="s">
        <v>20</v>
      </c>
      <c r="C2170" t="s">
        <v>936</v>
      </c>
      <c r="D2170" t="s">
        <v>937</v>
      </c>
      <c r="E2170" t="s">
        <v>38</v>
      </c>
      <c r="F2170" t="s">
        <v>12313</v>
      </c>
      <c r="G2170" t="s">
        <v>23</v>
      </c>
      <c r="H2170" t="s">
        <v>9018</v>
      </c>
      <c r="I2170" t="s">
        <v>9067</v>
      </c>
      <c r="J2170" t="s">
        <v>10278</v>
      </c>
      <c r="K2170" t="s">
        <v>10279</v>
      </c>
      <c r="L2170" t="s">
        <v>7506</v>
      </c>
      <c r="M2170" t="s">
        <v>2953</v>
      </c>
      <c r="N2170" t="s">
        <v>9484</v>
      </c>
      <c r="O2170" t="s">
        <v>4798</v>
      </c>
      <c r="P2170" t="s">
        <v>6527</v>
      </c>
      <c r="Q2170" t="s">
        <v>20</v>
      </c>
      <c r="R2170" t="s">
        <v>4799</v>
      </c>
      <c r="S2170" t="s">
        <v>9068</v>
      </c>
    </row>
    <row r="2171" spans="1:19" x14ac:dyDescent="0.45">
      <c r="A2171" t="s">
        <v>869</v>
      </c>
      <c r="B2171" t="s">
        <v>10260</v>
      </c>
      <c r="C2171" t="s">
        <v>2583</v>
      </c>
      <c r="D2171" t="s">
        <v>2584</v>
      </c>
      <c r="E2171" t="s">
        <v>21</v>
      </c>
      <c r="F2171" t="s">
        <v>2722</v>
      </c>
      <c r="G2171" t="s">
        <v>23</v>
      </c>
      <c r="H2171" t="s">
        <v>10261</v>
      </c>
      <c r="I2171" t="s">
        <v>10262</v>
      </c>
      <c r="J2171" t="s">
        <v>10263</v>
      </c>
      <c r="K2171" t="s">
        <v>10264</v>
      </c>
      <c r="L2171" t="s">
        <v>2769</v>
      </c>
      <c r="M2171" t="s">
        <v>112</v>
      </c>
      <c r="N2171" t="s">
        <v>146</v>
      </c>
      <c r="O2171" t="s">
        <v>4798</v>
      </c>
      <c r="P2171" t="s">
        <v>6522</v>
      </c>
      <c r="Q2171" t="s">
        <v>20</v>
      </c>
      <c r="R2171" t="s">
        <v>4799</v>
      </c>
      <c r="S2171" t="s">
        <v>20</v>
      </c>
    </row>
    <row r="2172" spans="1:19" x14ac:dyDescent="0.45">
      <c r="A2172" t="s">
        <v>6977</v>
      </c>
      <c r="B2172" t="s">
        <v>12407</v>
      </c>
      <c r="C2172" t="s">
        <v>7670</v>
      </c>
      <c r="D2172" t="s">
        <v>5771</v>
      </c>
      <c r="E2172" t="s">
        <v>38</v>
      </c>
      <c r="F2172" t="s">
        <v>2904</v>
      </c>
      <c r="G2172" t="s">
        <v>23</v>
      </c>
      <c r="H2172" t="s">
        <v>9541</v>
      </c>
      <c r="I2172" t="s">
        <v>9566</v>
      </c>
      <c r="J2172" t="s">
        <v>10542</v>
      </c>
      <c r="K2172" t="s">
        <v>10543</v>
      </c>
      <c r="L2172" t="s">
        <v>3418</v>
      </c>
      <c r="M2172" t="s">
        <v>112</v>
      </c>
      <c r="N2172" t="s">
        <v>195</v>
      </c>
      <c r="O2172" t="s">
        <v>4798</v>
      </c>
      <c r="P2172" t="s">
        <v>6527</v>
      </c>
      <c r="Q2172" t="s">
        <v>20</v>
      </c>
      <c r="R2172" t="s">
        <v>4799</v>
      </c>
      <c r="S2172" t="s">
        <v>11635</v>
      </c>
    </row>
    <row r="2173" spans="1:19" x14ac:dyDescent="0.45">
      <c r="A2173" t="s">
        <v>563</v>
      </c>
      <c r="B2173" t="s">
        <v>5337</v>
      </c>
      <c r="C2173" t="s">
        <v>2520</v>
      </c>
      <c r="D2173" t="s">
        <v>2521</v>
      </c>
      <c r="E2173" t="s">
        <v>38</v>
      </c>
      <c r="F2173" t="s">
        <v>2755</v>
      </c>
      <c r="G2173" t="s">
        <v>23</v>
      </c>
      <c r="H2173" t="s">
        <v>5338</v>
      </c>
      <c r="I2173" t="s">
        <v>5339</v>
      </c>
      <c r="J2173" t="s">
        <v>5340</v>
      </c>
      <c r="K2173" t="s">
        <v>5341</v>
      </c>
      <c r="L2173" t="s">
        <v>290</v>
      </c>
      <c r="M2173" t="s">
        <v>112</v>
      </c>
      <c r="N2173" t="s">
        <v>62</v>
      </c>
      <c r="O2173" t="s">
        <v>4798</v>
      </c>
      <c r="P2173" t="s">
        <v>43</v>
      </c>
      <c r="Q2173" t="s">
        <v>20</v>
      </c>
      <c r="R2173" t="s">
        <v>4799</v>
      </c>
      <c r="S2173" t="s">
        <v>20</v>
      </c>
    </row>
    <row r="2174" spans="1:19" x14ac:dyDescent="0.45">
      <c r="A2174" t="s">
        <v>592</v>
      </c>
      <c r="B2174" t="s">
        <v>9759</v>
      </c>
      <c r="C2174" t="s">
        <v>3416</v>
      </c>
      <c r="D2174" t="s">
        <v>3417</v>
      </c>
      <c r="E2174" t="s">
        <v>38</v>
      </c>
      <c r="F2174" t="s">
        <v>2722</v>
      </c>
      <c r="G2174" t="s">
        <v>23</v>
      </c>
      <c r="H2174" t="s">
        <v>9760</v>
      </c>
      <c r="I2174" t="s">
        <v>9761</v>
      </c>
      <c r="J2174" t="s">
        <v>9762</v>
      </c>
      <c r="K2174" t="s">
        <v>9763</v>
      </c>
      <c r="L2174" t="s">
        <v>6522</v>
      </c>
      <c r="M2174" t="s">
        <v>112</v>
      </c>
      <c r="N2174" t="s">
        <v>113</v>
      </c>
      <c r="O2174" t="s">
        <v>4798</v>
      </c>
      <c r="P2174" t="s">
        <v>6523</v>
      </c>
      <c r="Q2174" t="s">
        <v>20</v>
      </c>
      <c r="R2174" t="s">
        <v>4799</v>
      </c>
      <c r="S2174" t="s">
        <v>20</v>
      </c>
    </row>
    <row r="2175" spans="1:19" x14ac:dyDescent="0.45">
      <c r="A2175" t="s">
        <v>777</v>
      </c>
      <c r="B2175" t="s">
        <v>5131</v>
      </c>
      <c r="C2175" t="s">
        <v>4330</v>
      </c>
      <c r="D2175" t="s">
        <v>4331</v>
      </c>
      <c r="E2175" t="s">
        <v>21</v>
      </c>
      <c r="F2175" t="s">
        <v>2722</v>
      </c>
      <c r="G2175" t="s">
        <v>23</v>
      </c>
      <c r="H2175" t="s">
        <v>5132</v>
      </c>
      <c r="I2175" t="s">
        <v>5133</v>
      </c>
      <c r="J2175" t="s">
        <v>5134</v>
      </c>
      <c r="K2175" t="s">
        <v>5135</v>
      </c>
      <c r="L2175" t="s">
        <v>895</v>
      </c>
      <c r="M2175" t="s">
        <v>1223</v>
      </c>
      <c r="N2175" t="s">
        <v>678</v>
      </c>
      <c r="O2175" t="s">
        <v>4798</v>
      </c>
      <c r="P2175" t="s">
        <v>895</v>
      </c>
      <c r="Q2175" t="s">
        <v>20</v>
      </c>
      <c r="R2175" t="s">
        <v>4799</v>
      </c>
      <c r="S2175" t="s">
        <v>20</v>
      </c>
    </row>
    <row r="2176" spans="1:19" x14ac:dyDescent="0.45">
      <c r="A2176" t="s">
        <v>2432</v>
      </c>
      <c r="B2176" t="s">
        <v>13428</v>
      </c>
      <c r="C2176" t="s">
        <v>13209</v>
      </c>
      <c r="D2176" t="s">
        <v>6352</v>
      </c>
      <c r="E2176" t="s">
        <v>21</v>
      </c>
      <c r="F2176" t="s">
        <v>2787</v>
      </c>
      <c r="G2176" t="s">
        <v>23</v>
      </c>
      <c r="H2176" t="s">
        <v>13429</v>
      </c>
      <c r="I2176" t="s">
        <v>13430</v>
      </c>
      <c r="J2176" t="s">
        <v>13431</v>
      </c>
      <c r="K2176" t="s">
        <v>13432</v>
      </c>
      <c r="L2176" t="s">
        <v>6524</v>
      </c>
      <c r="M2176" t="s">
        <v>2981</v>
      </c>
      <c r="N2176" t="s">
        <v>2809</v>
      </c>
      <c r="O2176" t="s">
        <v>4798</v>
      </c>
      <c r="P2176" t="s">
        <v>6524</v>
      </c>
      <c r="Q2176" t="s">
        <v>20</v>
      </c>
      <c r="R2176" t="s">
        <v>4799</v>
      </c>
      <c r="S2176" t="s">
        <v>20</v>
      </c>
    </row>
    <row r="2177" spans="1:19" x14ac:dyDescent="0.45">
      <c r="A2177" t="s">
        <v>572</v>
      </c>
      <c r="B2177" t="s">
        <v>13004</v>
      </c>
      <c r="C2177" t="s">
        <v>3565</v>
      </c>
      <c r="D2177" t="s">
        <v>3566</v>
      </c>
      <c r="E2177" t="s">
        <v>38</v>
      </c>
      <c r="F2177" t="s">
        <v>3182</v>
      </c>
      <c r="G2177" t="s">
        <v>23</v>
      </c>
      <c r="H2177" t="s">
        <v>13005</v>
      </c>
      <c r="I2177" t="s">
        <v>13006</v>
      </c>
      <c r="J2177" t="s">
        <v>13007</v>
      </c>
      <c r="K2177" t="s">
        <v>13008</v>
      </c>
      <c r="L2177" t="s">
        <v>6527</v>
      </c>
      <c r="M2177" t="s">
        <v>112</v>
      </c>
      <c r="N2177" t="s">
        <v>33</v>
      </c>
      <c r="O2177" t="s">
        <v>4798</v>
      </c>
      <c r="P2177" t="s">
        <v>6527</v>
      </c>
      <c r="Q2177" t="s">
        <v>20</v>
      </c>
      <c r="R2177" t="s">
        <v>4799</v>
      </c>
      <c r="S2177" t="s">
        <v>20</v>
      </c>
    </row>
    <row r="2178" spans="1:19" x14ac:dyDescent="0.45">
      <c r="A2178" t="s">
        <v>139</v>
      </c>
      <c r="B2178" t="s">
        <v>5251</v>
      </c>
      <c r="C2178" t="s">
        <v>2208</v>
      </c>
      <c r="D2178" t="s">
        <v>2209</v>
      </c>
      <c r="E2178" t="s">
        <v>38</v>
      </c>
      <c r="F2178" t="s">
        <v>2785</v>
      </c>
      <c r="G2178" t="s">
        <v>23</v>
      </c>
      <c r="H2178" t="s">
        <v>5252</v>
      </c>
      <c r="I2178" t="s">
        <v>5253</v>
      </c>
      <c r="J2178" t="s">
        <v>5254</v>
      </c>
      <c r="K2178" t="s">
        <v>5255</v>
      </c>
      <c r="L2178" t="s">
        <v>504</v>
      </c>
      <c r="M2178" t="s">
        <v>112</v>
      </c>
      <c r="N2178" t="s">
        <v>146</v>
      </c>
      <c r="O2178" t="s">
        <v>4798</v>
      </c>
      <c r="P2178" t="s">
        <v>2413</v>
      </c>
      <c r="Q2178" t="s">
        <v>20</v>
      </c>
      <c r="R2178" t="s">
        <v>4799</v>
      </c>
      <c r="S2178" t="s">
        <v>20</v>
      </c>
    </row>
    <row r="2179" spans="1:19" x14ac:dyDescent="0.45">
      <c r="A2179" t="s">
        <v>2432</v>
      </c>
      <c r="B2179" t="s">
        <v>8139</v>
      </c>
      <c r="C2179" t="s">
        <v>8140</v>
      </c>
      <c r="D2179" t="s">
        <v>6362</v>
      </c>
      <c r="E2179" t="s">
        <v>38</v>
      </c>
      <c r="F2179" t="s">
        <v>2787</v>
      </c>
      <c r="G2179" t="s">
        <v>23</v>
      </c>
      <c r="H2179" t="s">
        <v>8141</v>
      </c>
      <c r="I2179" t="s">
        <v>8142</v>
      </c>
      <c r="J2179" t="s">
        <v>8143</v>
      </c>
      <c r="K2179" t="s">
        <v>8144</v>
      </c>
      <c r="L2179" t="s">
        <v>6523</v>
      </c>
      <c r="M2179" t="s">
        <v>112</v>
      </c>
      <c r="N2179" t="s">
        <v>195</v>
      </c>
      <c r="O2179" t="s">
        <v>4798</v>
      </c>
      <c r="P2179" t="s">
        <v>6523</v>
      </c>
      <c r="Q2179" t="s">
        <v>20</v>
      </c>
      <c r="R2179" t="s">
        <v>4799</v>
      </c>
      <c r="S2179" t="s">
        <v>20</v>
      </c>
    </row>
    <row r="2180" spans="1:19" x14ac:dyDescent="0.45">
      <c r="A2180" t="s">
        <v>3902</v>
      </c>
      <c r="B2180" t="s">
        <v>20</v>
      </c>
      <c r="C2180" t="s">
        <v>4997</v>
      </c>
      <c r="D2180" t="s">
        <v>4998</v>
      </c>
      <c r="E2180" t="s">
        <v>38</v>
      </c>
      <c r="F2180" t="s">
        <v>2831</v>
      </c>
      <c r="G2180" t="s">
        <v>23</v>
      </c>
      <c r="H2180" t="s">
        <v>4999</v>
      </c>
      <c r="I2180" t="s">
        <v>5000</v>
      </c>
      <c r="J2180" t="s">
        <v>5001</v>
      </c>
      <c r="K2180" t="s">
        <v>5002</v>
      </c>
      <c r="L2180" t="s">
        <v>168</v>
      </c>
      <c r="M2180" t="s">
        <v>3910</v>
      </c>
      <c r="N2180" t="s">
        <v>119</v>
      </c>
      <c r="O2180" t="s">
        <v>4798</v>
      </c>
      <c r="P2180" t="s">
        <v>43</v>
      </c>
      <c r="Q2180" t="s">
        <v>20</v>
      </c>
      <c r="R2180" t="s">
        <v>4799</v>
      </c>
      <c r="S2180" t="s">
        <v>4901</v>
      </c>
    </row>
    <row r="2181" spans="1:19" x14ac:dyDescent="0.45">
      <c r="A2181" t="s">
        <v>2225</v>
      </c>
      <c r="B2181" t="s">
        <v>14742</v>
      </c>
      <c r="C2181" t="s">
        <v>3390</v>
      </c>
      <c r="D2181" t="s">
        <v>3391</v>
      </c>
      <c r="E2181" t="s">
        <v>38</v>
      </c>
      <c r="F2181" t="s">
        <v>14743</v>
      </c>
      <c r="G2181" t="s">
        <v>23</v>
      </c>
      <c r="H2181" t="s">
        <v>9999</v>
      </c>
      <c r="I2181" t="s">
        <v>10000</v>
      </c>
      <c r="J2181" t="s">
        <v>10001</v>
      </c>
      <c r="K2181" t="s">
        <v>10002</v>
      </c>
      <c r="L2181" t="s">
        <v>6533</v>
      </c>
      <c r="M2181" t="s">
        <v>112</v>
      </c>
      <c r="N2181" t="s">
        <v>9484</v>
      </c>
      <c r="O2181" t="s">
        <v>4798</v>
      </c>
      <c r="P2181" t="s">
        <v>6524</v>
      </c>
      <c r="Q2181" t="s">
        <v>20</v>
      </c>
      <c r="R2181" t="s">
        <v>4799</v>
      </c>
      <c r="S2181" t="s">
        <v>14281</v>
      </c>
    </row>
    <row r="2182" spans="1:19" x14ac:dyDescent="0.45">
      <c r="A2182" t="s">
        <v>379</v>
      </c>
      <c r="B2182" t="s">
        <v>11215</v>
      </c>
      <c r="C2182" t="s">
        <v>380</v>
      </c>
      <c r="D2182" t="s">
        <v>381</v>
      </c>
      <c r="E2182" t="s">
        <v>38</v>
      </c>
      <c r="F2182" t="s">
        <v>2904</v>
      </c>
      <c r="G2182" t="s">
        <v>23</v>
      </c>
      <c r="H2182" t="s">
        <v>2030</v>
      </c>
      <c r="I2182" t="s">
        <v>2031</v>
      </c>
      <c r="J2182" t="s">
        <v>2032</v>
      </c>
      <c r="K2182" t="s">
        <v>2033</v>
      </c>
      <c r="L2182" t="s">
        <v>9619</v>
      </c>
      <c r="M2182" t="s">
        <v>112</v>
      </c>
      <c r="N2182" t="s">
        <v>33</v>
      </c>
      <c r="O2182" t="s">
        <v>4798</v>
      </c>
      <c r="P2182" t="s">
        <v>168</v>
      </c>
      <c r="Q2182" t="s">
        <v>20</v>
      </c>
      <c r="R2182" t="s">
        <v>4799</v>
      </c>
      <c r="S2182" t="s">
        <v>20</v>
      </c>
    </row>
    <row r="2183" spans="1:19" x14ac:dyDescent="0.45">
      <c r="A2183" t="s">
        <v>379</v>
      </c>
      <c r="B2183" t="s">
        <v>4947</v>
      </c>
      <c r="C2183" t="s">
        <v>380</v>
      </c>
      <c r="D2183" t="s">
        <v>381</v>
      </c>
      <c r="E2183" t="s">
        <v>21</v>
      </c>
      <c r="F2183" t="s">
        <v>2722</v>
      </c>
      <c r="G2183" t="s">
        <v>23</v>
      </c>
      <c r="H2183" t="s">
        <v>4948</v>
      </c>
      <c r="I2183" t="s">
        <v>4949</v>
      </c>
      <c r="J2183" t="s">
        <v>4950</v>
      </c>
      <c r="K2183" t="s">
        <v>4951</v>
      </c>
      <c r="L2183" t="s">
        <v>168</v>
      </c>
      <c r="M2183" t="s">
        <v>1223</v>
      </c>
      <c r="N2183" t="s">
        <v>2727</v>
      </c>
      <c r="O2183" t="s">
        <v>4798</v>
      </c>
      <c r="P2183" t="s">
        <v>504</v>
      </c>
      <c r="Q2183" t="s">
        <v>20</v>
      </c>
      <c r="R2183" t="s">
        <v>4799</v>
      </c>
      <c r="S2183" t="s">
        <v>20</v>
      </c>
    </row>
    <row r="2184" spans="1:19" x14ac:dyDescent="0.45">
      <c r="A2184" t="s">
        <v>379</v>
      </c>
      <c r="B2184" t="s">
        <v>11211</v>
      </c>
      <c r="C2184" t="s">
        <v>380</v>
      </c>
      <c r="D2184" t="s">
        <v>381</v>
      </c>
      <c r="E2184" t="s">
        <v>21</v>
      </c>
      <c r="F2184" t="s">
        <v>2831</v>
      </c>
      <c r="G2184" t="s">
        <v>23</v>
      </c>
      <c r="H2184" t="s">
        <v>10016</v>
      </c>
      <c r="I2184" t="s">
        <v>10017</v>
      </c>
      <c r="J2184" t="s">
        <v>10018</v>
      </c>
      <c r="K2184" t="s">
        <v>10019</v>
      </c>
      <c r="L2184" t="s">
        <v>3998</v>
      </c>
      <c r="M2184" t="s">
        <v>112</v>
      </c>
      <c r="N2184" t="s">
        <v>33</v>
      </c>
      <c r="O2184" t="s">
        <v>4798</v>
      </c>
      <c r="P2184" t="s">
        <v>296</v>
      </c>
      <c r="Q2184" t="s">
        <v>20</v>
      </c>
      <c r="R2184" t="s">
        <v>4799</v>
      </c>
      <c r="S2184" t="s">
        <v>20</v>
      </c>
    </row>
    <row r="2185" spans="1:19" x14ac:dyDescent="0.45">
      <c r="A2185" t="s">
        <v>379</v>
      </c>
      <c r="B2185" t="s">
        <v>12408</v>
      </c>
      <c r="C2185" t="s">
        <v>380</v>
      </c>
      <c r="D2185" t="s">
        <v>381</v>
      </c>
      <c r="E2185" t="s">
        <v>21</v>
      </c>
      <c r="F2185" t="s">
        <v>3221</v>
      </c>
      <c r="G2185" t="s">
        <v>23</v>
      </c>
      <c r="H2185" t="s">
        <v>3679</v>
      </c>
      <c r="I2185" t="s">
        <v>3680</v>
      </c>
      <c r="J2185" t="s">
        <v>3681</v>
      </c>
      <c r="K2185" t="s">
        <v>3682</v>
      </c>
      <c r="L2185" t="s">
        <v>9619</v>
      </c>
      <c r="M2185" t="s">
        <v>1223</v>
      </c>
      <c r="N2185" t="s">
        <v>2809</v>
      </c>
      <c r="O2185" t="s">
        <v>4798</v>
      </c>
      <c r="P2185" t="s">
        <v>6527</v>
      </c>
      <c r="Q2185" t="s">
        <v>20</v>
      </c>
      <c r="R2185" t="s">
        <v>4799</v>
      </c>
      <c r="S2185" t="s">
        <v>20</v>
      </c>
    </row>
    <row r="2186" spans="1:19" x14ac:dyDescent="0.45">
      <c r="A2186" t="s">
        <v>525</v>
      </c>
      <c r="B2186" t="s">
        <v>13034</v>
      </c>
      <c r="C2186" t="s">
        <v>2498</v>
      </c>
      <c r="D2186" t="s">
        <v>2499</v>
      </c>
      <c r="E2186" t="s">
        <v>38</v>
      </c>
      <c r="F2186" t="s">
        <v>2722</v>
      </c>
      <c r="G2186" t="s">
        <v>23</v>
      </c>
      <c r="H2186" t="s">
        <v>13035</v>
      </c>
      <c r="I2186" t="s">
        <v>13036</v>
      </c>
      <c r="J2186" t="s">
        <v>13037</v>
      </c>
      <c r="K2186" t="s">
        <v>13038</v>
      </c>
      <c r="L2186" t="s">
        <v>3418</v>
      </c>
      <c r="M2186" t="s">
        <v>112</v>
      </c>
      <c r="N2186" t="s">
        <v>195</v>
      </c>
      <c r="O2186" t="s">
        <v>4798</v>
      </c>
      <c r="P2186" t="s">
        <v>6527</v>
      </c>
      <c r="Q2186" t="s">
        <v>20</v>
      </c>
      <c r="R2186" t="s">
        <v>4799</v>
      </c>
      <c r="S2186" t="s">
        <v>20</v>
      </c>
    </row>
    <row r="2187" spans="1:19" x14ac:dyDescent="0.45">
      <c r="A2187" t="s">
        <v>1278</v>
      </c>
      <c r="B2187" t="s">
        <v>5143</v>
      </c>
      <c r="C2187" t="s">
        <v>5144</v>
      </c>
      <c r="D2187" t="s">
        <v>5145</v>
      </c>
      <c r="E2187" t="s">
        <v>21</v>
      </c>
      <c r="F2187" t="s">
        <v>3062</v>
      </c>
      <c r="G2187" t="s">
        <v>23</v>
      </c>
      <c r="H2187" t="s">
        <v>5146</v>
      </c>
      <c r="I2187" t="s">
        <v>5147</v>
      </c>
      <c r="J2187" t="s">
        <v>5148</v>
      </c>
      <c r="K2187" t="s">
        <v>5149</v>
      </c>
      <c r="L2187" t="s">
        <v>118</v>
      </c>
      <c r="M2187" t="s">
        <v>1223</v>
      </c>
      <c r="N2187" t="s">
        <v>2858</v>
      </c>
      <c r="O2187" t="s">
        <v>4798</v>
      </c>
      <c r="P2187" t="s">
        <v>118</v>
      </c>
      <c r="Q2187" t="s">
        <v>20</v>
      </c>
      <c r="R2187" t="s">
        <v>4799</v>
      </c>
      <c r="S2187" t="s">
        <v>20</v>
      </c>
    </row>
    <row r="2188" spans="1:19" x14ac:dyDescent="0.45">
      <c r="A2188" t="s">
        <v>246</v>
      </c>
      <c r="B2188" t="s">
        <v>14744</v>
      </c>
      <c r="C2188" t="s">
        <v>779</v>
      </c>
      <c r="D2188" t="s">
        <v>780</v>
      </c>
      <c r="E2188" t="s">
        <v>57</v>
      </c>
      <c r="F2188" t="s">
        <v>2795</v>
      </c>
      <c r="G2188" t="s">
        <v>23</v>
      </c>
      <c r="H2188" t="s">
        <v>14745</v>
      </c>
      <c r="I2188" t="s">
        <v>14746</v>
      </c>
      <c r="J2188" t="s">
        <v>14747</v>
      </c>
      <c r="K2188" t="s">
        <v>14748</v>
      </c>
      <c r="L2188" t="s">
        <v>3418</v>
      </c>
      <c r="M2188" t="s">
        <v>5352</v>
      </c>
      <c r="N2188" t="s">
        <v>195</v>
      </c>
      <c r="O2188" t="s">
        <v>4798</v>
      </c>
      <c r="P2188" t="s">
        <v>6525</v>
      </c>
      <c r="Q2188" t="s">
        <v>20</v>
      </c>
      <c r="R2188" t="s">
        <v>4799</v>
      </c>
      <c r="S2188" t="s">
        <v>20</v>
      </c>
    </row>
    <row r="2189" spans="1:19" x14ac:dyDescent="0.45">
      <c r="A2189" t="s">
        <v>1613</v>
      </c>
      <c r="B2189" t="s">
        <v>20</v>
      </c>
      <c r="C2189" t="s">
        <v>8711</v>
      </c>
      <c r="D2189" t="s">
        <v>6351</v>
      </c>
      <c r="E2189" t="s">
        <v>38</v>
      </c>
      <c r="F2189" t="s">
        <v>2785</v>
      </c>
      <c r="G2189" t="s">
        <v>23</v>
      </c>
      <c r="H2189" t="s">
        <v>8712</v>
      </c>
      <c r="I2189" t="s">
        <v>8713</v>
      </c>
      <c r="J2189" t="s">
        <v>8714</v>
      </c>
      <c r="K2189" t="s">
        <v>8715</v>
      </c>
      <c r="L2189" t="s">
        <v>8094</v>
      </c>
      <c r="M2189" t="s">
        <v>1391</v>
      </c>
      <c r="N2189" t="s">
        <v>195</v>
      </c>
      <c r="O2189" t="s">
        <v>4798</v>
      </c>
      <c r="P2189" t="s">
        <v>6521</v>
      </c>
      <c r="Q2189" t="s">
        <v>20</v>
      </c>
      <c r="R2189" t="s">
        <v>4799</v>
      </c>
      <c r="S2189" t="s">
        <v>8119</v>
      </c>
    </row>
    <row r="2190" spans="1:19" x14ac:dyDescent="0.45">
      <c r="A2190" t="s">
        <v>943</v>
      </c>
      <c r="B2190" t="s">
        <v>20</v>
      </c>
      <c r="C2190" t="s">
        <v>4966</v>
      </c>
      <c r="D2190" t="s">
        <v>4967</v>
      </c>
      <c r="E2190" t="s">
        <v>38</v>
      </c>
      <c r="F2190" t="s">
        <v>2985</v>
      </c>
      <c r="G2190" t="s">
        <v>23</v>
      </c>
      <c r="H2190" t="s">
        <v>9005</v>
      </c>
      <c r="I2190" t="s">
        <v>9261</v>
      </c>
      <c r="J2190" t="s">
        <v>9262</v>
      </c>
      <c r="K2190" t="s">
        <v>9263</v>
      </c>
      <c r="L2190" t="s">
        <v>6513</v>
      </c>
      <c r="M2190" t="s">
        <v>538</v>
      </c>
      <c r="N2190" t="s">
        <v>119</v>
      </c>
      <c r="O2190" t="s">
        <v>4798</v>
      </c>
      <c r="P2190" t="s">
        <v>6522</v>
      </c>
      <c r="Q2190" t="s">
        <v>20</v>
      </c>
      <c r="R2190" t="s">
        <v>4799</v>
      </c>
      <c r="S2190" t="s">
        <v>9798</v>
      </c>
    </row>
    <row r="2191" spans="1:19" x14ac:dyDescent="0.45">
      <c r="A2191" t="s">
        <v>943</v>
      </c>
      <c r="B2191" t="s">
        <v>4965</v>
      </c>
      <c r="C2191" t="s">
        <v>4966</v>
      </c>
      <c r="D2191" t="s">
        <v>4967</v>
      </c>
      <c r="E2191" t="s">
        <v>38</v>
      </c>
      <c r="F2191" t="s">
        <v>3062</v>
      </c>
      <c r="G2191" t="s">
        <v>23</v>
      </c>
      <c r="H2191" t="s">
        <v>4968</v>
      </c>
      <c r="I2191" t="s">
        <v>4969</v>
      </c>
      <c r="J2191" t="s">
        <v>4970</v>
      </c>
      <c r="K2191" t="s">
        <v>4971</v>
      </c>
      <c r="L2191" t="s">
        <v>214</v>
      </c>
      <c r="M2191" t="s">
        <v>538</v>
      </c>
      <c r="N2191" t="s">
        <v>119</v>
      </c>
      <c r="O2191" t="s">
        <v>4798</v>
      </c>
      <c r="P2191" t="s">
        <v>31</v>
      </c>
      <c r="Q2191" t="s">
        <v>20</v>
      </c>
      <c r="R2191" t="s">
        <v>4799</v>
      </c>
      <c r="S2191" t="s">
        <v>4972</v>
      </c>
    </row>
    <row r="2192" spans="1:19" x14ac:dyDescent="0.45">
      <c r="A2192" t="s">
        <v>35</v>
      </c>
      <c r="B2192" t="s">
        <v>20</v>
      </c>
      <c r="C2192" t="s">
        <v>2485</v>
      </c>
      <c r="D2192" t="s">
        <v>2486</v>
      </c>
      <c r="E2192" t="s">
        <v>2487</v>
      </c>
      <c r="F2192" t="s">
        <v>3062</v>
      </c>
      <c r="G2192" t="s">
        <v>23</v>
      </c>
      <c r="H2192" t="s">
        <v>2488</v>
      </c>
      <c r="I2192" t="s">
        <v>2489</v>
      </c>
      <c r="J2192" t="s">
        <v>2490</v>
      </c>
      <c r="K2192" t="s">
        <v>2491</v>
      </c>
      <c r="L2192" t="s">
        <v>53</v>
      </c>
      <c r="M2192" t="s">
        <v>297</v>
      </c>
      <c r="N2192" t="s">
        <v>33</v>
      </c>
      <c r="O2192" t="s">
        <v>4798</v>
      </c>
      <c r="P2192" t="s">
        <v>722</v>
      </c>
      <c r="Q2192" t="s">
        <v>20</v>
      </c>
      <c r="R2192" t="s">
        <v>4799</v>
      </c>
      <c r="S2192" t="s">
        <v>20</v>
      </c>
    </row>
    <row r="2193" spans="1:19" x14ac:dyDescent="0.45">
      <c r="A2193" t="s">
        <v>139</v>
      </c>
      <c r="B2193" t="s">
        <v>8616</v>
      </c>
      <c r="C2193" t="s">
        <v>140</v>
      </c>
      <c r="D2193" t="s">
        <v>141</v>
      </c>
      <c r="E2193" t="s">
        <v>38</v>
      </c>
      <c r="F2193" t="s">
        <v>2755</v>
      </c>
      <c r="G2193" t="s">
        <v>23</v>
      </c>
      <c r="H2193" t="s">
        <v>142</v>
      </c>
      <c r="I2193" t="s">
        <v>143</v>
      </c>
      <c r="J2193" t="s">
        <v>144</v>
      </c>
      <c r="K2193" t="s">
        <v>145</v>
      </c>
      <c r="L2193" t="s">
        <v>43</v>
      </c>
      <c r="M2193" t="s">
        <v>112</v>
      </c>
      <c r="N2193" t="s">
        <v>146</v>
      </c>
      <c r="O2193" t="s">
        <v>4798</v>
      </c>
      <c r="P2193" t="s">
        <v>6521</v>
      </c>
      <c r="Q2193" t="s">
        <v>20</v>
      </c>
      <c r="R2193" t="s">
        <v>4799</v>
      </c>
      <c r="S2193" t="s">
        <v>20</v>
      </c>
    </row>
    <row r="2194" spans="1:19" x14ac:dyDescent="0.45">
      <c r="A2194" t="s">
        <v>139</v>
      </c>
      <c r="B2194" t="s">
        <v>14074</v>
      </c>
      <c r="C2194" t="s">
        <v>140</v>
      </c>
      <c r="D2194" t="s">
        <v>141</v>
      </c>
      <c r="E2194" t="s">
        <v>38</v>
      </c>
      <c r="F2194" t="s">
        <v>3062</v>
      </c>
      <c r="G2194" t="s">
        <v>23</v>
      </c>
      <c r="H2194" t="s">
        <v>14075</v>
      </c>
      <c r="I2194" t="s">
        <v>14076</v>
      </c>
      <c r="J2194" t="s">
        <v>14077</v>
      </c>
      <c r="K2194" t="s">
        <v>14078</v>
      </c>
      <c r="L2194" t="s">
        <v>8094</v>
      </c>
      <c r="M2194" t="s">
        <v>112</v>
      </c>
      <c r="N2194" t="s">
        <v>146</v>
      </c>
      <c r="O2194" t="s">
        <v>4798</v>
      </c>
      <c r="P2194" t="s">
        <v>8094</v>
      </c>
      <c r="Q2194" t="s">
        <v>20</v>
      </c>
      <c r="R2194" t="s">
        <v>4799</v>
      </c>
      <c r="S2194" t="s">
        <v>20</v>
      </c>
    </row>
    <row r="2195" spans="1:19" x14ac:dyDescent="0.45">
      <c r="A2195" t="s">
        <v>139</v>
      </c>
      <c r="B2195" t="s">
        <v>9404</v>
      </c>
      <c r="C2195" t="s">
        <v>140</v>
      </c>
      <c r="D2195" t="s">
        <v>141</v>
      </c>
      <c r="E2195" t="s">
        <v>38</v>
      </c>
      <c r="F2195" t="s">
        <v>2948</v>
      </c>
      <c r="G2195" t="s">
        <v>23</v>
      </c>
      <c r="H2195" t="s">
        <v>6463</v>
      </c>
      <c r="I2195" t="s">
        <v>6539</v>
      </c>
      <c r="J2195" t="s">
        <v>7809</v>
      </c>
      <c r="K2195" t="s">
        <v>7810</v>
      </c>
      <c r="L2195" t="s">
        <v>6875</v>
      </c>
      <c r="M2195" t="s">
        <v>538</v>
      </c>
      <c r="N2195" t="s">
        <v>33</v>
      </c>
      <c r="O2195" t="s">
        <v>4798</v>
      </c>
      <c r="P2195" t="s">
        <v>6875</v>
      </c>
      <c r="Q2195" t="s">
        <v>20</v>
      </c>
      <c r="R2195" t="s">
        <v>4799</v>
      </c>
      <c r="S2195" t="s">
        <v>20</v>
      </c>
    </row>
    <row r="2196" spans="1:19" x14ac:dyDescent="0.45">
      <c r="A2196" t="s">
        <v>563</v>
      </c>
      <c r="B2196" t="s">
        <v>12314</v>
      </c>
      <c r="C2196" t="s">
        <v>2017</v>
      </c>
      <c r="D2196" t="s">
        <v>2018</v>
      </c>
      <c r="E2196" t="s">
        <v>38</v>
      </c>
      <c r="F2196" t="s">
        <v>2785</v>
      </c>
      <c r="G2196" t="s">
        <v>23</v>
      </c>
      <c r="H2196" t="s">
        <v>12315</v>
      </c>
      <c r="I2196" t="s">
        <v>12316</v>
      </c>
      <c r="J2196" t="s">
        <v>12317</v>
      </c>
      <c r="K2196" t="s">
        <v>12318</v>
      </c>
      <c r="L2196" t="s">
        <v>3998</v>
      </c>
      <c r="M2196" t="s">
        <v>112</v>
      </c>
      <c r="N2196" t="s">
        <v>62</v>
      </c>
      <c r="O2196" t="s">
        <v>4798</v>
      </c>
      <c r="P2196" t="s">
        <v>3998</v>
      </c>
      <c r="Q2196" t="s">
        <v>20</v>
      </c>
      <c r="R2196" t="s">
        <v>4799</v>
      </c>
      <c r="S2196" t="s">
        <v>20</v>
      </c>
    </row>
    <row r="2197" spans="1:19" x14ac:dyDescent="0.45">
      <c r="A2197" t="s">
        <v>563</v>
      </c>
      <c r="B2197" t="s">
        <v>12050</v>
      </c>
      <c r="C2197" t="s">
        <v>2017</v>
      </c>
      <c r="D2197" t="s">
        <v>2018</v>
      </c>
      <c r="E2197" t="s">
        <v>38</v>
      </c>
      <c r="F2197" t="s">
        <v>2863</v>
      </c>
      <c r="G2197" t="s">
        <v>23</v>
      </c>
      <c r="H2197" t="s">
        <v>10749</v>
      </c>
      <c r="I2197" t="s">
        <v>10750</v>
      </c>
      <c r="J2197" t="s">
        <v>10751</v>
      </c>
      <c r="K2197" t="s">
        <v>10752</v>
      </c>
      <c r="L2197" t="s">
        <v>7506</v>
      </c>
      <c r="M2197" t="s">
        <v>112</v>
      </c>
      <c r="N2197" t="s">
        <v>1224</v>
      </c>
      <c r="O2197" t="s">
        <v>4798</v>
      </c>
      <c r="P2197" t="s">
        <v>8109</v>
      </c>
      <c r="Q2197" t="s">
        <v>20</v>
      </c>
      <c r="R2197" t="s">
        <v>4799</v>
      </c>
      <c r="S2197" t="s">
        <v>20</v>
      </c>
    </row>
    <row r="2198" spans="1:19" x14ac:dyDescent="0.45">
      <c r="A2198" t="s">
        <v>563</v>
      </c>
      <c r="B2198" t="s">
        <v>20</v>
      </c>
      <c r="C2198" t="s">
        <v>2017</v>
      </c>
      <c r="D2198" t="s">
        <v>2018</v>
      </c>
      <c r="E2198" t="s">
        <v>38</v>
      </c>
      <c r="F2198" t="s">
        <v>2948</v>
      </c>
      <c r="G2198" t="s">
        <v>23</v>
      </c>
      <c r="H2198" t="s">
        <v>8328</v>
      </c>
      <c r="I2198" t="s">
        <v>8329</v>
      </c>
      <c r="J2198" t="s">
        <v>8330</v>
      </c>
      <c r="K2198" t="s">
        <v>8331</v>
      </c>
      <c r="L2198" t="s">
        <v>6513</v>
      </c>
      <c r="M2198" t="s">
        <v>132</v>
      </c>
      <c r="N2198" t="s">
        <v>9484</v>
      </c>
      <c r="O2198" t="s">
        <v>4798</v>
      </c>
      <c r="P2198" t="s">
        <v>6513</v>
      </c>
      <c r="Q2198" t="s">
        <v>20</v>
      </c>
      <c r="R2198" t="s">
        <v>4799</v>
      </c>
      <c r="S2198" t="s">
        <v>8119</v>
      </c>
    </row>
    <row r="2199" spans="1:19" x14ac:dyDescent="0.45">
      <c r="A2199" t="s">
        <v>563</v>
      </c>
      <c r="B2199" t="s">
        <v>10131</v>
      </c>
      <c r="C2199" t="s">
        <v>2017</v>
      </c>
      <c r="D2199" t="s">
        <v>2018</v>
      </c>
      <c r="E2199" t="s">
        <v>21</v>
      </c>
      <c r="F2199" t="s">
        <v>2722</v>
      </c>
      <c r="G2199" t="s">
        <v>23</v>
      </c>
      <c r="H2199" t="s">
        <v>10132</v>
      </c>
      <c r="I2199" t="s">
        <v>10133</v>
      </c>
      <c r="J2199" t="s">
        <v>10134</v>
      </c>
      <c r="K2199" t="s">
        <v>10135</v>
      </c>
      <c r="L2199" t="s">
        <v>9126</v>
      </c>
      <c r="M2199" t="s">
        <v>3145</v>
      </c>
      <c r="N2199" t="s">
        <v>1224</v>
      </c>
      <c r="O2199" t="s">
        <v>4798</v>
      </c>
      <c r="P2199" t="s">
        <v>2769</v>
      </c>
      <c r="Q2199" t="s">
        <v>20</v>
      </c>
      <c r="R2199" t="s">
        <v>4799</v>
      </c>
      <c r="S2199" t="s">
        <v>20</v>
      </c>
    </row>
    <row r="2200" spans="1:19" x14ac:dyDescent="0.45">
      <c r="A2200" t="s">
        <v>211</v>
      </c>
      <c r="B2200" t="s">
        <v>14079</v>
      </c>
      <c r="C2200" t="s">
        <v>292</v>
      </c>
      <c r="D2200" t="s">
        <v>293</v>
      </c>
      <c r="E2200" t="s">
        <v>38</v>
      </c>
      <c r="F2200" t="s">
        <v>3062</v>
      </c>
      <c r="G2200" t="s">
        <v>23</v>
      </c>
      <c r="H2200" t="s">
        <v>10068</v>
      </c>
      <c r="I2200" t="s">
        <v>10069</v>
      </c>
      <c r="J2200" t="s">
        <v>10070</v>
      </c>
      <c r="K2200" t="s">
        <v>10071</v>
      </c>
      <c r="L2200" t="s">
        <v>6522</v>
      </c>
      <c r="M2200" t="s">
        <v>112</v>
      </c>
      <c r="N2200" t="s">
        <v>146</v>
      </c>
      <c r="O2200" t="s">
        <v>4798</v>
      </c>
      <c r="P2200" t="s">
        <v>3998</v>
      </c>
      <c r="Q2200" t="s">
        <v>20</v>
      </c>
      <c r="R2200" t="s">
        <v>4799</v>
      </c>
      <c r="S2200" t="s">
        <v>9797</v>
      </c>
    </row>
    <row r="2201" spans="1:19" x14ac:dyDescent="0.45">
      <c r="A2201" t="s">
        <v>211</v>
      </c>
      <c r="B2201" t="s">
        <v>12409</v>
      </c>
      <c r="C2201" t="s">
        <v>292</v>
      </c>
      <c r="D2201" t="s">
        <v>293</v>
      </c>
      <c r="E2201" t="s">
        <v>38</v>
      </c>
      <c r="F2201" t="s">
        <v>3182</v>
      </c>
      <c r="G2201" t="s">
        <v>23</v>
      </c>
      <c r="H2201" t="s">
        <v>8235</v>
      </c>
      <c r="I2201" t="s">
        <v>8236</v>
      </c>
      <c r="J2201" t="s">
        <v>8237</v>
      </c>
      <c r="K2201" t="s">
        <v>8238</v>
      </c>
      <c r="L2201" t="s">
        <v>8094</v>
      </c>
      <c r="M2201" t="s">
        <v>112</v>
      </c>
      <c r="N2201" t="s">
        <v>33</v>
      </c>
      <c r="O2201" t="s">
        <v>4798</v>
      </c>
      <c r="P2201" t="s">
        <v>6522</v>
      </c>
      <c r="Q2201" t="s">
        <v>20</v>
      </c>
      <c r="R2201" t="s">
        <v>4799</v>
      </c>
      <c r="S2201" t="s">
        <v>20</v>
      </c>
    </row>
    <row r="2202" spans="1:19" x14ac:dyDescent="0.45">
      <c r="A2202" t="s">
        <v>869</v>
      </c>
      <c r="B2202" t="s">
        <v>20</v>
      </c>
      <c r="C2202" t="s">
        <v>1037</v>
      </c>
      <c r="D2202" t="s">
        <v>1038</v>
      </c>
      <c r="E2202" t="s">
        <v>21</v>
      </c>
      <c r="F2202" t="s">
        <v>2785</v>
      </c>
      <c r="G2202" t="s">
        <v>23</v>
      </c>
      <c r="H2202" t="s">
        <v>4835</v>
      </c>
      <c r="I2202" t="s">
        <v>4836</v>
      </c>
      <c r="J2202" t="s">
        <v>4837</v>
      </c>
      <c r="K2202" t="s">
        <v>4838</v>
      </c>
      <c r="L2202" t="s">
        <v>1125</v>
      </c>
      <c r="M2202" t="s">
        <v>3632</v>
      </c>
      <c r="N2202" t="s">
        <v>119</v>
      </c>
      <c r="O2202" t="s">
        <v>4798</v>
      </c>
      <c r="P2202" t="s">
        <v>43</v>
      </c>
      <c r="Q2202" t="s">
        <v>20</v>
      </c>
      <c r="R2202" t="s">
        <v>4799</v>
      </c>
      <c r="S2202" t="s">
        <v>3269</v>
      </c>
    </row>
    <row r="2203" spans="1:19" x14ac:dyDescent="0.45">
      <c r="A2203" t="s">
        <v>211</v>
      </c>
      <c r="B2203" t="s">
        <v>11218</v>
      </c>
      <c r="C2203" t="s">
        <v>550</v>
      </c>
      <c r="D2203" t="s">
        <v>551</v>
      </c>
      <c r="E2203" t="s">
        <v>38</v>
      </c>
      <c r="F2203" t="s">
        <v>4086</v>
      </c>
      <c r="G2203" t="s">
        <v>23</v>
      </c>
      <c r="H2203" t="s">
        <v>1344</v>
      </c>
      <c r="I2203" t="s">
        <v>1345</v>
      </c>
      <c r="J2203" t="s">
        <v>1346</v>
      </c>
      <c r="K2203" t="s">
        <v>1347</v>
      </c>
      <c r="L2203" t="s">
        <v>194</v>
      </c>
      <c r="M2203" t="s">
        <v>102</v>
      </c>
      <c r="N2203" t="s">
        <v>33</v>
      </c>
      <c r="O2203" t="s">
        <v>4798</v>
      </c>
      <c r="P2203" t="s">
        <v>635</v>
      </c>
      <c r="Q2203" t="s">
        <v>20</v>
      </c>
      <c r="R2203" t="s">
        <v>4799</v>
      </c>
      <c r="S2203" t="s">
        <v>20</v>
      </c>
    </row>
    <row r="2204" spans="1:19" x14ac:dyDescent="0.45">
      <c r="A2204" t="s">
        <v>1016</v>
      </c>
      <c r="B2204" t="s">
        <v>8895</v>
      </c>
      <c r="C2204" t="s">
        <v>3441</v>
      </c>
      <c r="D2204" t="s">
        <v>3442</v>
      </c>
      <c r="E2204" t="s">
        <v>38</v>
      </c>
      <c r="F2204" t="s">
        <v>2795</v>
      </c>
      <c r="G2204" t="s">
        <v>23</v>
      </c>
      <c r="H2204" t="s">
        <v>8896</v>
      </c>
      <c r="I2204" t="s">
        <v>8897</v>
      </c>
      <c r="J2204" t="s">
        <v>8898</v>
      </c>
      <c r="K2204" t="s">
        <v>8899</v>
      </c>
      <c r="L2204" t="s">
        <v>6513</v>
      </c>
      <c r="M2204" t="s">
        <v>132</v>
      </c>
      <c r="N2204" t="s">
        <v>195</v>
      </c>
      <c r="O2204" t="s">
        <v>4798</v>
      </c>
      <c r="P2204" t="s">
        <v>2330</v>
      </c>
      <c r="Q2204" t="s">
        <v>20</v>
      </c>
      <c r="R2204" t="s">
        <v>4799</v>
      </c>
      <c r="S2204" t="s">
        <v>20</v>
      </c>
    </row>
    <row r="2205" spans="1:19" x14ac:dyDescent="0.45">
      <c r="A2205" t="s">
        <v>26</v>
      </c>
      <c r="B2205" t="s">
        <v>20</v>
      </c>
      <c r="C2205" t="s">
        <v>203</v>
      </c>
      <c r="D2205" t="s">
        <v>204</v>
      </c>
      <c r="E2205" t="s">
        <v>38</v>
      </c>
      <c r="F2205" t="s">
        <v>2722</v>
      </c>
      <c r="G2205" t="s">
        <v>23</v>
      </c>
      <c r="H2205" t="s">
        <v>8154</v>
      </c>
      <c r="I2205" t="s">
        <v>8155</v>
      </c>
      <c r="J2205" t="s">
        <v>8156</v>
      </c>
      <c r="K2205" t="s">
        <v>8157</v>
      </c>
      <c r="L2205" t="s">
        <v>722</v>
      </c>
      <c r="M2205" t="s">
        <v>8158</v>
      </c>
      <c r="N2205" t="s">
        <v>33</v>
      </c>
      <c r="O2205" t="s">
        <v>4798</v>
      </c>
      <c r="P2205" t="s">
        <v>2330</v>
      </c>
      <c r="Q2205" t="s">
        <v>20</v>
      </c>
      <c r="R2205" t="s">
        <v>4799</v>
      </c>
      <c r="S2205" t="s">
        <v>20</v>
      </c>
    </row>
    <row r="2206" spans="1:19" x14ac:dyDescent="0.45">
      <c r="A2206" t="s">
        <v>26</v>
      </c>
      <c r="B2206" t="s">
        <v>20</v>
      </c>
      <c r="C2206" t="s">
        <v>203</v>
      </c>
      <c r="D2206" t="s">
        <v>204</v>
      </c>
      <c r="E2206" t="s">
        <v>38</v>
      </c>
      <c r="F2206" t="s">
        <v>2948</v>
      </c>
      <c r="G2206" t="s">
        <v>23</v>
      </c>
      <c r="H2206" t="s">
        <v>8891</v>
      </c>
      <c r="I2206" t="s">
        <v>8892</v>
      </c>
      <c r="J2206" t="s">
        <v>8893</v>
      </c>
      <c r="K2206" t="s">
        <v>8894</v>
      </c>
      <c r="L2206" t="s">
        <v>722</v>
      </c>
      <c r="M2206" t="s">
        <v>205</v>
      </c>
      <c r="N2206" t="s">
        <v>119</v>
      </c>
      <c r="O2206" t="s">
        <v>4798</v>
      </c>
      <c r="P2206" t="s">
        <v>722</v>
      </c>
      <c r="Q2206" t="s">
        <v>20</v>
      </c>
      <c r="R2206" t="s">
        <v>4799</v>
      </c>
      <c r="S2206" t="s">
        <v>20</v>
      </c>
    </row>
    <row r="2207" spans="1:19" x14ac:dyDescent="0.45">
      <c r="A2207" t="s">
        <v>94</v>
      </c>
      <c r="B2207" t="s">
        <v>11219</v>
      </c>
      <c r="C2207" t="s">
        <v>2107</v>
      </c>
      <c r="D2207" t="s">
        <v>2108</v>
      </c>
      <c r="E2207" t="s">
        <v>38</v>
      </c>
      <c r="F2207" t="s">
        <v>2948</v>
      </c>
      <c r="G2207" t="s">
        <v>23</v>
      </c>
      <c r="H2207" t="s">
        <v>6507</v>
      </c>
      <c r="I2207" t="s">
        <v>6512</v>
      </c>
      <c r="J2207" t="s">
        <v>6647</v>
      </c>
      <c r="K2207" t="s">
        <v>6648</v>
      </c>
      <c r="L2207" t="s">
        <v>722</v>
      </c>
      <c r="M2207" t="s">
        <v>112</v>
      </c>
      <c r="N2207" t="s">
        <v>33</v>
      </c>
      <c r="O2207" t="s">
        <v>4798</v>
      </c>
      <c r="P2207" t="s">
        <v>43</v>
      </c>
      <c r="Q2207" t="s">
        <v>20</v>
      </c>
      <c r="R2207" t="s">
        <v>4799</v>
      </c>
      <c r="S2207" t="s">
        <v>20</v>
      </c>
    </row>
    <row r="2208" spans="1:19" x14ac:dyDescent="0.45">
      <c r="A2208" t="s">
        <v>173</v>
      </c>
      <c r="B2208" t="s">
        <v>8694</v>
      </c>
      <c r="C2208" t="s">
        <v>2902</v>
      </c>
      <c r="D2208" t="s">
        <v>2903</v>
      </c>
      <c r="E2208" t="s">
        <v>57</v>
      </c>
      <c r="F2208" t="s">
        <v>2795</v>
      </c>
      <c r="G2208" t="s">
        <v>23</v>
      </c>
      <c r="H2208" t="s">
        <v>8695</v>
      </c>
      <c r="I2208" t="s">
        <v>8696</v>
      </c>
      <c r="J2208" t="s">
        <v>8697</v>
      </c>
      <c r="K2208" t="s">
        <v>8698</v>
      </c>
      <c r="L2208" t="s">
        <v>290</v>
      </c>
      <c r="M2208" t="s">
        <v>112</v>
      </c>
      <c r="N2208" t="s">
        <v>146</v>
      </c>
      <c r="O2208" t="s">
        <v>4798</v>
      </c>
      <c r="P2208" t="s">
        <v>290</v>
      </c>
      <c r="Q2208" t="s">
        <v>20</v>
      </c>
      <c r="R2208" t="s">
        <v>4799</v>
      </c>
      <c r="S2208" t="s">
        <v>20</v>
      </c>
    </row>
    <row r="2209" spans="1:19" x14ac:dyDescent="0.45">
      <c r="A2209" t="s">
        <v>94</v>
      </c>
      <c r="B2209" t="s">
        <v>11205</v>
      </c>
      <c r="C2209" t="s">
        <v>2746</v>
      </c>
      <c r="D2209" t="s">
        <v>2747</v>
      </c>
      <c r="E2209" t="s">
        <v>38</v>
      </c>
      <c r="F2209" t="s">
        <v>2948</v>
      </c>
      <c r="G2209" t="s">
        <v>23</v>
      </c>
      <c r="H2209" t="s">
        <v>6486</v>
      </c>
      <c r="I2209" t="s">
        <v>6590</v>
      </c>
      <c r="J2209" t="s">
        <v>6591</v>
      </c>
      <c r="K2209" t="s">
        <v>6592</v>
      </c>
      <c r="L2209" t="s">
        <v>722</v>
      </c>
      <c r="M2209" t="s">
        <v>112</v>
      </c>
      <c r="N2209" t="s">
        <v>33</v>
      </c>
      <c r="O2209" t="s">
        <v>4798</v>
      </c>
      <c r="P2209" t="s">
        <v>43</v>
      </c>
      <c r="Q2209" t="s">
        <v>20</v>
      </c>
      <c r="R2209" t="s">
        <v>4799</v>
      </c>
      <c r="S2209" t="s">
        <v>20</v>
      </c>
    </row>
    <row r="2210" spans="1:19" x14ac:dyDescent="0.45">
      <c r="A2210" t="s">
        <v>94</v>
      </c>
      <c r="B2210" t="s">
        <v>3057</v>
      </c>
      <c r="C2210" t="s">
        <v>2746</v>
      </c>
      <c r="D2210" t="s">
        <v>2747</v>
      </c>
      <c r="E2210" t="s">
        <v>38</v>
      </c>
      <c r="F2210" t="s">
        <v>14749</v>
      </c>
      <c r="G2210" t="s">
        <v>23</v>
      </c>
      <c r="H2210" t="s">
        <v>3058</v>
      </c>
      <c r="I2210" t="s">
        <v>3059</v>
      </c>
      <c r="J2210" t="s">
        <v>3060</v>
      </c>
      <c r="K2210" t="s">
        <v>3061</v>
      </c>
      <c r="L2210" t="s">
        <v>131</v>
      </c>
      <c r="M2210" t="s">
        <v>538</v>
      </c>
      <c r="N2210" t="s">
        <v>33</v>
      </c>
      <c r="O2210" t="s">
        <v>4798</v>
      </c>
      <c r="P2210" t="s">
        <v>101</v>
      </c>
      <c r="Q2210" t="s">
        <v>20</v>
      </c>
      <c r="R2210" t="s">
        <v>4799</v>
      </c>
      <c r="S2210" t="s">
        <v>9333</v>
      </c>
    </row>
    <row r="2211" spans="1:19" x14ac:dyDescent="0.45">
      <c r="A2211" t="s">
        <v>94</v>
      </c>
      <c r="B2211" t="s">
        <v>11220</v>
      </c>
      <c r="C2211" t="s">
        <v>2746</v>
      </c>
      <c r="D2211" t="s">
        <v>2747</v>
      </c>
      <c r="E2211" t="s">
        <v>38</v>
      </c>
      <c r="F2211" t="s">
        <v>3062</v>
      </c>
      <c r="G2211" t="s">
        <v>23</v>
      </c>
      <c r="H2211" t="s">
        <v>9011</v>
      </c>
      <c r="I2211" t="s">
        <v>9571</v>
      </c>
      <c r="J2211" t="s">
        <v>10946</v>
      </c>
      <c r="K2211" t="s">
        <v>10873</v>
      </c>
      <c r="L2211" t="s">
        <v>3998</v>
      </c>
      <c r="M2211" t="s">
        <v>32</v>
      </c>
      <c r="N2211" t="s">
        <v>33</v>
      </c>
      <c r="O2211" t="s">
        <v>4798</v>
      </c>
      <c r="P2211" t="s">
        <v>6523</v>
      </c>
      <c r="Q2211" t="s">
        <v>20</v>
      </c>
      <c r="R2211" t="s">
        <v>4799</v>
      </c>
      <c r="S2211" t="s">
        <v>20</v>
      </c>
    </row>
    <row r="2212" spans="1:19" x14ac:dyDescent="0.45">
      <c r="A2212" t="s">
        <v>94</v>
      </c>
      <c r="B2212" t="s">
        <v>11227</v>
      </c>
      <c r="C2212" t="s">
        <v>2746</v>
      </c>
      <c r="D2212" t="s">
        <v>2747</v>
      </c>
      <c r="E2212" t="s">
        <v>38</v>
      </c>
      <c r="F2212" t="s">
        <v>2948</v>
      </c>
      <c r="G2212" t="s">
        <v>23</v>
      </c>
      <c r="H2212" t="s">
        <v>7973</v>
      </c>
      <c r="I2212" t="s">
        <v>7974</v>
      </c>
      <c r="J2212" t="s">
        <v>7975</v>
      </c>
      <c r="K2212" t="s">
        <v>7976</v>
      </c>
      <c r="L2212" t="s">
        <v>722</v>
      </c>
      <c r="M2212" t="s">
        <v>112</v>
      </c>
      <c r="N2212" t="s">
        <v>33</v>
      </c>
      <c r="O2212" t="s">
        <v>4798</v>
      </c>
      <c r="P2212" t="s">
        <v>722</v>
      </c>
      <c r="Q2212" t="s">
        <v>20</v>
      </c>
      <c r="R2212" t="s">
        <v>4799</v>
      </c>
      <c r="S2212" t="s">
        <v>20</v>
      </c>
    </row>
    <row r="2213" spans="1:19" x14ac:dyDescent="0.45">
      <c r="A2213" t="s">
        <v>94</v>
      </c>
      <c r="B2213" t="s">
        <v>11199</v>
      </c>
      <c r="C2213" t="s">
        <v>2746</v>
      </c>
      <c r="D2213" t="s">
        <v>2747</v>
      </c>
      <c r="E2213" t="s">
        <v>38</v>
      </c>
      <c r="F2213" t="s">
        <v>2948</v>
      </c>
      <c r="G2213" t="s">
        <v>23</v>
      </c>
      <c r="H2213" t="s">
        <v>10353</v>
      </c>
      <c r="I2213" t="s">
        <v>10354</v>
      </c>
      <c r="J2213" t="s">
        <v>11055</v>
      </c>
      <c r="K2213" t="s">
        <v>11056</v>
      </c>
      <c r="L2213" t="s">
        <v>10764</v>
      </c>
      <c r="M2213" t="s">
        <v>32</v>
      </c>
      <c r="N2213" t="s">
        <v>146</v>
      </c>
      <c r="O2213" t="s">
        <v>4798</v>
      </c>
      <c r="P2213" t="s">
        <v>8377</v>
      </c>
      <c r="Q2213" t="s">
        <v>20</v>
      </c>
      <c r="R2213" t="s">
        <v>4799</v>
      </c>
      <c r="S2213" t="s">
        <v>20</v>
      </c>
    </row>
    <row r="2214" spans="1:19" x14ac:dyDescent="0.45">
      <c r="A2214" t="s">
        <v>94</v>
      </c>
      <c r="B2214" t="s">
        <v>20</v>
      </c>
      <c r="C2214" t="s">
        <v>2746</v>
      </c>
      <c r="D2214" t="s">
        <v>2747</v>
      </c>
      <c r="E2214" t="s">
        <v>2487</v>
      </c>
      <c r="F2214" t="s">
        <v>12245</v>
      </c>
      <c r="G2214" t="s">
        <v>23</v>
      </c>
      <c r="H2214" t="s">
        <v>7715</v>
      </c>
      <c r="I2214" t="s">
        <v>7716</v>
      </c>
      <c r="J2214" t="s">
        <v>7717</v>
      </c>
      <c r="K2214" t="s">
        <v>7718</v>
      </c>
      <c r="L2214" t="s">
        <v>3418</v>
      </c>
      <c r="M2214" t="s">
        <v>32</v>
      </c>
      <c r="N2214" t="s">
        <v>146</v>
      </c>
      <c r="O2214" t="s">
        <v>4798</v>
      </c>
      <c r="P2214" t="s">
        <v>8109</v>
      </c>
      <c r="Q2214" t="s">
        <v>20</v>
      </c>
      <c r="R2214" t="s">
        <v>4799</v>
      </c>
      <c r="S2214" t="s">
        <v>11853</v>
      </c>
    </row>
    <row r="2215" spans="1:19" x14ac:dyDescent="0.45">
      <c r="A2215" t="s">
        <v>592</v>
      </c>
      <c r="B2215" t="s">
        <v>20</v>
      </c>
      <c r="C2215" t="s">
        <v>1488</v>
      </c>
      <c r="D2215" t="s">
        <v>1489</v>
      </c>
      <c r="E2215" t="s">
        <v>38</v>
      </c>
      <c r="F2215" t="s">
        <v>2904</v>
      </c>
      <c r="G2215" t="s">
        <v>23</v>
      </c>
      <c r="H2215" t="s">
        <v>1731</v>
      </c>
      <c r="I2215" t="s">
        <v>1732</v>
      </c>
      <c r="J2215" t="s">
        <v>1733</v>
      </c>
      <c r="K2215" t="s">
        <v>1734</v>
      </c>
      <c r="L2215" t="s">
        <v>6513</v>
      </c>
      <c r="M2215" t="s">
        <v>416</v>
      </c>
      <c r="N2215" t="s">
        <v>119</v>
      </c>
      <c r="O2215" t="s">
        <v>4798</v>
      </c>
      <c r="P2215" t="s">
        <v>8377</v>
      </c>
      <c r="Q2215" t="s">
        <v>20</v>
      </c>
      <c r="R2215" t="s">
        <v>4799</v>
      </c>
      <c r="S2215" t="s">
        <v>4901</v>
      </c>
    </row>
    <row r="2216" spans="1:19" x14ac:dyDescent="0.45">
      <c r="A2216" t="s">
        <v>592</v>
      </c>
      <c r="B2216" t="s">
        <v>12040</v>
      </c>
      <c r="C2216" t="s">
        <v>1488</v>
      </c>
      <c r="D2216" t="s">
        <v>1489</v>
      </c>
      <c r="E2216" t="s">
        <v>21</v>
      </c>
      <c r="F2216" t="s">
        <v>2787</v>
      </c>
      <c r="G2216" t="s">
        <v>23</v>
      </c>
      <c r="H2216" t="s">
        <v>12041</v>
      </c>
      <c r="I2216" t="s">
        <v>12042</v>
      </c>
      <c r="J2216" t="s">
        <v>12043</v>
      </c>
      <c r="K2216" t="s">
        <v>12044</v>
      </c>
      <c r="L2216" t="s">
        <v>8109</v>
      </c>
      <c r="M2216" t="s">
        <v>2100</v>
      </c>
      <c r="N2216" t="s">
        <v>678</v>
      </c>
      <c r="O2216" t="s">
        <v>4798</v>
      </c>
      <c r="P2216" t="s">
        <v>8109</v>
      </c>
      <c r="Q2216" t="s">
        <v>20</v>
      </c>
      <c r="R2216" t="s">
        <v>4799</v>
      </c>
      <c r="S2216" t="s">
        <v>20</v>
      </c>
    </row>
    <row r="2217" spans="1:19" x14ac:dyDescent="0.45">
      <c r="A2217" t="s">
        <v>592</v>
      </c>
      <c r="B2217" t="s">
        <v>8318</v>
      </c>
      <c r="C2217" t="s">
        <v>1488</v>
      </c>
      <c r="D2217" t="s">
        <v>1489</v>
      </c>
      <c r="E2217" t="s">
        <v>38</v>
      </c>
      <c r="F2217" t="s">
        <v>3954</v>
      </c>
      <c r="G2217" t="s">
        <v>23</v>
      </c>
      <c r="H2217" t="s">
        <v>8319</v>
      </c>
      <c r="I2217" t="s">
        <v>8320</v>
      </c>
      <c r="J2217" t="s">
        <v>8321</v>
      </c>
      <c r="K2217" t="s">
        <v>8322</v>
      </c>
      <c r="L2217" t="s">
        <v>6521</v>
      </c>
      <c r="M2217" t="s">
        <v>6532</v>
      </c>
      <c r="N2217" t="s">
        <v>8353</v>
      </c>
      <c r="O2217" t="s">
        <v>4798</v>
      </c>
      <c r="P2217" t="s">
        <v>6513</v>
      </c>
      <c r="Q2217" t="s">
        <v>20</v>
      </c>
      <c r="R2217" t="s">
        <v>4799</v>
      </c>
      <c r="S2217" t="s">
        <v>8323</v>
      </c>
    </row>
    <row r="2218" spans="1:19" x14ac:dyDescent="0.45">
      <c r="A2218" t="s">
        <v>54</v>
      </c>
      <c r="B2218" t="s">
        <v>11232</v>
      </c>
      <c r="C2218" t="s">
        <v>440</v>
      </c>
      <c r="D2218" t="s">
        <v>441</v>
      </c>
      <c r="E2218" t="s">
        <v>38</v>
      </c>
      <c r="F2218" t="s">
        <v>2948</v>
      </c>
      <c r="G2218" t="s">
        <v>23</v>
      </c>
      <c r="H2218" t="s">
        <v>442</v>
      </c>
      <c r="I2218" t="s">
        <v>443</v>
      </c>
      <c r="J2218" t="s">
        <v>444</v>
      </c>
      <c r="K2218" t="s">
        <v>445</v>
      </c>
      <c r="L2218" t="s">
        <v>6875</v>
      </c>
      <c r="M2218" t="s">
        <v>32</v>
      </c>
      <c r="N2218" t="s">
        <v>33</v>
      </c>
      <c r="O2218" t="s">
        <v>4798</v>
      </c>
      <c r="P2218" t="s">
        <v>290</v>
      </c>
      <c r="Q2218" t="s">
        <v>20</v>
      </c>
      <c r="R2218" t="s">
        <v>4799</v>
      </c>
      <c r="S2218" t="s">
        <v>20</v>
      </c>
    </row>
    <row r="2219" spans="1:19" x14ac:dyDescent="0.45">
      <c r="A2219" t="s">
        <v>446</v>
      </c>
      <c r="B2219" t="s">
        <v>5353</v>
      </c>
      <c r="C2219" t="s">
        <v>3401</v>
      </c>
      <c r="D2219" t="s">
        <v>3402</v>
      </c>
      <c r="E2219" t="s">
        <v>21</v>
      </c>
      <c r="F2219" t="s">
        <v>3062</v>
      </c>
      <c r="G2219" t="s">
        <v>23</v>
      </c>
      <c r="H2219" t="s">
        <v>5354</v>
      </c>
      <c r="I2219" t="s">
        <v>5355</v>
      </c>
      <c r="J2219" t="s">
        <v>5356</v>
      </c>
      <c r="K2219" t="s">
        <v>5357</v>
      </c>
      <c r="L2219" t="s">
        <v>1125</v>
      </c>
      <c r="M2219" t="s">
        <v>1223</v>
      </c>
      <c r="N2219" t="s">
        <v>3407</v>
      </c>
      <c r="O2219" t="s">
        <v>4798</v>
      </c>
      <c r="P2219" t="s">
        <v>1125</v>
      </c>
      <c r="Q2219" t="s">
        <v>20</v>
      </c>
      <c r="R2219" t="s">
        <v>4799</v>
      </c>
      <c r="S2219" t="s">
        <v>20</v>
      </c>
    </row>
    <row r="2220" spans="1:19" x14ac:dyDescent="0.45">
      <c r="A2220" t="s">
        <v>2761</v>
      </c>
      <c r="B2220" t="s">
        <v>13394</v>
      </c>
      <c r="C2220" t="s">
        <v>13395</v>
      </c>
      <c r="D2220" t="s">
        <v>5697</v>
      </c>
      <c r="E2220" t="s">
        <v>38</v>
      </c>
      <c r="F2220" t="s">
        <v>2722</v>
      </c>
      <c r="G2220" t="s">
        <v>23</v>
      </c>
      <c r="H2220" t="s">
        <v>13396</v>
      </c>
      <c r="I2220" t="s">
        <v>13397</v>
      </c>
      <c r="J2220" t="s">
        <v>13398</v>
      </c>
      <c r="K2220" t="s">
        <v>13399</v>
      </c>
      <c r="L2220" t="s">
        <v>6524</v>
      </c>
      <c r="M2220" t="s">
        <v>3145</v>
      </c>
      <c r="N2220" t="s">
        <v>2858</v>
      </c>
      <c r="O2220" t="s">
        <v>4798</v>
      </c>
      <c r="P2220" t="s">
        <v>3998</v>
      </c>
      <c r="Q2220" t="s">
        <v>20</v>
      </c>
      <c r="R2220" t="s">
        <v>4799</v>
      </c>
      <c r="S2220" t="s">
        <v>20</v>
      </c>
    </row>
    <row r="2221" spans="1:19" x14ac:dyDescent="0.45">
      <c r="A2221" t="s">
        <v>6989</v>
      </c>
      <c r="B2221" t="s">
        <v>9804</v>
      </c>
      <c r="C2221" t="s">
        <v>1747</v>
      </c>
      <c r="D2221" t="s">
        <v>1748</v>
      </c>
      <c r="E2221" t="s">
        <v>21</v>
      </c>
      <c r="F2221" t="s">
        <v>2787</v>
      </c>
      <c r="G2221" t="s">
        <v>23</v>
      </c>
      <c r="H2221" t="s">
        <v>7086</v>
      </c>
      <c r="I2221" t="s">
        <v>7087</v>
      </c>
      <c r="J2221" t="s">
        <v>7088</v>
      </c>
      <c r="K2221" t="s">
        <v>7089</v>
      </c>
      <c r="L2221" t="s">
        <v>5398</v>
      </c>
      <c r="M2221" t="s">
        <v>2981</v>
      </c>
      <c r="N2221" t="s">
        <v>2809</v>
      </c>
      <c r="O2221" t="s">
        <v>4798</v>
      </c>
      <c r="P2221" t="s">
        <v>6522</v>
      </c>
      <c r="Q2221" t="s">
        <v>20</v>
      </c>
      <c r="R2221" t="s">
        <v>4799</v>
      </c>
      <c r="S2221" t="s">
        <v>20</v>
      </c>
    </row>
    <row r="2222" spans="1:19" x14ac:dyDescent="0.45">
      <c r="A2222" t="s">
        <v>6989</v>
      </c>
      <c r="B2222" t="s">
        <v>2830</v>
      </c>
      <c r="C2222" t="s">
        <v>1747</v>
      </c>
      <c r="D2222" t="s">
        <v>1748</v>
      </c>
      <c r="E2222" t="s">
        <v>38</v>
      </c>
      <c r="F2222" t="s">
        <v>2831</v>
      </c>
      <c r="G2222" t="s">
        <v>23</v>
      </c>
      <c r="H2222" t="s">
        <v>2832</v>
      </c>
      <c r="I2222" t="s">
        <v>2833</v>
      </c>
      <c r="J2222" t="s">
        <v>2834</v>
      </c>
      <c r="K2222" t="s">
        <v>2835</v>
      </c>
      <c r="L2222" t="s">
        <v>2769</v>
      </c>
      <c r="M2222" t="s">
        <v>112</v>
      </c>
      <c r="N2222" t="s">
        <v>33</v>
      </c>
      <c r="O2222" t="s">
        <v>4798</v>
      </c>
      <c r="P2222" t="s">
        <v>290</v>
      </c>
      <c r="Q2222" t="s">
        <v>20</v>
      </c>
      <c r="R2222" t="s">
        <v>4799</v>
      </c>
      <c r="S2222" t="s">
        <v>20</v>
      </c>
    </row>
    <row r="2223" spans="1:19" x14ac:dyDescent="0.45">
      <c r="A2223" t="s">
        <v>802</v>
      </c>
      <c r="B2223" t="s">
        <v>3133</v>
      </c>
      <c r="C2223" t="s">
        <v>1741</v>
      </c>
      <c r="D2223" t="s">
        <v>1742</v>
      </c>
      <c r="E2223" t="s">
        <v>38</v>
      </c>
      <c r="F2223" t="s">
        <v>2940</v>
      </c>
      <c r="G2223" t="s">
        <v>23</v>
      </c>
      <c r="H2223" t="s">
        <v>3134</v>
      </c>
      <c r="I2223" t="s">
        <v>3135</v>
      </c>
      <c r="J2223" t="s">
        <v>3136</v>
      </c>
      <c r="K2223" t="s">
        <v>3137</v>
      </c>
      <c r="L2223" t="s">
        <v>296</v>
      </c>
      <c r="M2223" t="s">
        <v>112</v>
      </c>
      <c r="N2223" t="s">
        <v>33</v>
      </c>
      <c r="O2223" t="s">
        <v>4798</v>
      </c>
      <c r="P2223" t="s">
        <v>296</v>
      </c>
      <c r="Q2223" t="s">
        <v>20</v>
      </c>
      <c r="R2223" t="s">
        <v>4799</v>
      </c>
      <c r="S2223" t="s">
        <v>12269</v>
      </c>
    </row>
    <row r="2224" spans="1:19" x14ac:dyDescent="0.45">
      <c r="A2224" t="s">
        <v>211</v>
      </c>
      <c r="B2224" t="s">
        <v>20</v>
      </c>
      <c r="C2224" t="s">
        <v>1053</v>
      </c>
      <c r="D2224" t="s">
        <v>1054</v>
      </c>
      <c r="E2224" t="s">
        <v>38</v>
      </c>
      <c r="F2224" t="s">
        <v>5396</v>
      </c>
      <c r="G2224" t="s">
        <v>23</v>
      </c>
      <c r="H2224" t="s">
        <v>8134</v>
      </c>
      <c r="I2224" t="s">
        <v>8135</v>
      </c>
      <c r="J2224" t="s">
        <v>8136</v>
      </c>
      <c r="K2224" t="s">
        <v>8137</v>
      </c>
      <c r="L2224" t="s">
        <v>902</v>
      </c>
      <c r="M2224" t="s">
        <v>112</v>
      </c>
      <c r="N2224" t="s">
        <v>33</v>
      </c>
      <c r="O2224" t="s">
        <v>4798</v>
      </c>
      <c r="P2224" t="s">
        <v>5398</v>
      </c>
      <c r="Q2224" t="s">
        <v>20</v>
      </c>
      <c r="R2224" t="s">
        <v>4799</v>
      </c>
      <c r="S2224" t="s">
        <v>8138</v>
      </c>
    </row>
    <row r="2225" spans="1:19" x14ac:dyDescent="0.45">
      <c r="A2225" t="s">
        <v>187</v>
      </c>
      <c r="B2225" t="s">
        <v>3049</v>
      </c>
      <c r="C2225" t="s">
        <v>3050</v>
      </c>
      <c r="D2225" t="s">
        <v>3051</v>
      </c>
      <c r="E2225" t="s">
        <v>38</v>
      </c>
      <c r="F2225" t="s">
        <v>3052</v>
      </c>
      <c r="G2225" t="s">
        <v>23</v>
      </c>
      <c r="H2225" t="s">
        <v>3053</v>
      </c>
      <c r="I2225" t="s">
        <v>3054</v>
      </c>
      <c r="J2225" t="s">
        <v>3055</v>
      </c>
      <c r="K2225" t="s">
        <v>3056</v>
      </c>
      <c r="L2225" t="s">
        <v>9155</v>
      </c>
      <c r="M2225" t="s">
        <v>1311</v>
      </c>
      <c r="N2225" t="s">
        <v>195</v>
      </c>
      <c r="O2225" t="s">
        <v>4798</v>
      </c>
      <c r="P2225" t="s">
        <v>6525</v>
      </c>
      <c r="Q2225" t="s">
        <v>20</v>
      </c>
      <c r="R2225" t="s">
        <v>4799</v>
      </c>
      <c r="S2225" t="s">
        <v>10295</v>
      </c>
    </row>
    <row r="2226" spans="1:19" x14ac:dyDescent="0.45">
      <c r="A2226" t="s">
        <v>1189</v>
      </c>
      <c r="B2226" t="s">
        <v>14080</v>
      </c>
      <c r="C2226" t="s">
        <v>14081</v>
      </c>
      <c r="D2226" t="s">
        <v>5723</v>
      </c>
      <c r="E2226" t="s">
        <v>38</v>
      </c>
      <c r="F2226" t="s">
        <v>2863</v>
      </c>
      <c r="G2226" t="s">
        <v>23</v>
      </c>
      <c r="H2226" t="s">
        <v>14082</v>
      </c>
      <c r="I2226" t="s">
        <v>14083</v>
      </c>
      <c r="J2226" t="s">
        <v>14084</v>
      </c>
      <c r="K2226" t="s">
        <v>14085</v>
      </c>
      <c r="L2226" t="s">
        <v>13871</v>
      </c>
      <c r="M2226" t="s">
        <v>112</v>
      </c>
      <c r="N2226" t="s">
        <v>12413</v>
      </c>
      <c r="O2226" t="s">
        <v>4798</v>
      </c>
      <c r="P2226" t="s">
        <v>8094</v>
      </c>
      <c r="Q2226" t="s">
        <v>20</v>
      </c>
      <c r="R2226" t="s">
        <v>4799</v>
      </c>
      <c r="S2226" t="s">
        <v>20</v>
      </c>
    </row>
    <row r="2227" spans="1:19" x14ac:dyDescent="0.45">
      <c r="A2227" t="s">
        <v>169</v>
      </c>
      <c r="B2227" t="s">
        <v>14323</v>
      </c>
      <c r="C2227" t="s">
        <v>170</v>
      </c>
      <c r="D2227" t="s">
        <v>171</v>
      </c>
      <c r="E2227" t="s">
        <v>38</v>
      </c>
      <c r="F2227" t="s">
        <v>2785</v>
      </c>
      <c r="G2227" t="s">
        <v>23</v>
      </c>
      <c r="H2227" t="s">
        <v>9548</v>
      </c>
      <c r="I2227" t="s">
        <v>9629</v>
      </c>
      <c r="J2227" t="s">
        <v>9630</v>
      </c>
      <c r="K2227" t="s">
        <v>9631</v>
      </c>
      <c r="L2227" t="s">
        <v>3998</v>
      </c>
      <c r="M2227" t="s">
        <v>112</v>
      </c>
      <c r="N2227" t="s">
        <v>9484</v>
      </c>
      <c r="O2227" t="s">
        <v>4798</v>
      </c>
      <c r="P2227" t="s">
        <v>3998</v>
      </c>
      <c r="Q2227" t="s">
        <v>20</v>
      </c>
      <c r="R2227" t="s">
        <v>4799</v>
      </c>
      <c r="S2227" t="s">
        <v>12953</v>
      </c>
    </row>
    <row r="2228" spans="1:19" x14ac:dyDescent="0.45">
      <c r="A2228" t="s">
        <v>169</v>
      </c>
      <c r="B2228" t="s">
        <v>9788</v>
      </c>
      <c r="C2228" t="s">
        <v>170</v>
      </c>
      <c r="D2228" t="s">
        <v>171</v>
      </c>
      <c r="E2228" t="s">
        <v>38</v>
      </c>
      <c r="F2228" t="s">
        <v>2785</v>
      </c>
      <c r="G2228" t="s">
        <v>23</v>
      </c>
      <c r="H2228" t="s">
        <v>9789</v>
      </c>
      <c r="I2228" t="s">
        <v>9790</v>
      </c>
      <c r="J2228" t="s">
        <v>9791</v>
      </c>
      <c r="K2228" t="s">
        <v>9792</v>
      </c>
      <c r="L2228" t="s">
        <v>9126</v>
      </c>
      <c r="M2228" t="s">
        <v>112</v>
      </c>
      <c r="N2228" t="s">
        <v>2727</v>
      </c>
      <c r="O2228" t="s">
        <v>4798</v>
      </c>
      <c r="P2228" t="s">
        <v>6522</v>
      </c>
      <c r="Q2228" t="s">
        <v>20</v>
      </c>
      <c r="R2228" t="s">
        <v>4799</v>
      </c>
      <c r="S2228" t="s">
        <v>20</v>
      </c>
    </row>
    <row r="2229" spans="1:19" x14ac:dyDescent="0.45">
      <c r="A2229" t="s">
        <v>169</v>
      </c>
      <c r="B2229" t="s">
        <v>9783</v>
      </c>
      <c r="C2229" t="s">
        <v>170</v>
      </c>
      <c r="D2229" t="s">
        <v>171</v>
      </c>
      <c r="E2229" t="s">
        <v>38</v>
      </c>
      <c r="F2229" t="s">
        <v>2785</v>
      </c>
      <c r="G2229" t="s">
        <v>23</v>
      </c>
      <c r="H2229" t="s">
        <v>9784</v>
      </c>
      <c r="I2229" t="s">
        <v>9785</v>
      </c>
      <c r="J2229" t="s">
        <v>9786</v>
      </c>
      <c r="K2229" t="s">
        <v>9787</v>
      </c>
      <c r="L2229" t="s">
        <v>9126</v>
      </c>
      <c r="M2229" t="s">
        <v>112</v>
      </c>
      <c r="N2229" t="s">
        <v>2727</v>
      </c>
      <c r="O2229" t="s">
        <v>4798</v>
      </c>
      <c r="P2229" t="s">
        <v>6522</v>
      </c>
      <c r="Q2229" t="s">
        <v>20</v>
      </c>
      <c r="R2229" t="s">
        <v>4799</v>
      </c>
      <c r="S2229" t="s">
        <v>20</v>
      </c>
    </row>
    <row r="2230" spans="1:19" x14ac:dyDescent="0.45">
      <c r="A2230" t="s">
        <v>120</v>
      </c>
      <c r="B2230" t="s">
        <v>8797</v>
      </c>
      <c r="C2230" t="s">
        <v>1002</v>
      </c>
      <c r="D2230" t="s">
        <v>1003</v>
      </c>
      <c r="E2230" t="s">
        <v>38</v>
      </c>
      <c r="F2230" t="s">
        <v>2722</v>
      </c>
      <c r="G2230" t="s">
        <v>23</v>
      </c>
      <c r="H2230" t="s">
        <v>1004</v>
      </c>
      <c r="I2230" t="s">
        <v>1005</v>
      </c>
      <c r="J2230" t="s">
        <v>1006</v>
      </c>
      <c r="K2230" t="s">
        <v>1007</v>
      </c>
      <c r="L2230" t="s">
        <v>111</v>
      </c>
      <c r="M2230" t="s">
        <v>112</v>
      </c>
      <c r="N2230" t="s">
        <v>113</v>
      </c>
      <c r="O2230" t="s">
        <v>4798</v>
      </c>
      <c r="P2230" t="s">
        <v>902</v>
      </c>
      <c r="Q2230" t="s">
        <v>20</v>
      </c>
      <c r="R2230" t="s">
        <v>4799</v>
      </c>
      <c r="S2230" t="s">
        <v>20</v>
      </c>
    </row>
    <row r="2231" spans="1:19" x14ac:dyDescent="0.45">
      <c r="A2231" t="s">
        <v>3096</v>
      </c>
      <c r="B2231" t="s">
        <v>9405</v>
      </c>
      <c r="C2231" t="s">
        <v>3299</v>
      </c>
      <c r="D2231" t="s">
        <v>3300</v>
      </c>
      <c r="E2231" t="s">
        <v>57</v>
      </c>
      <c r="F2231" t="s">
        <v>14750</v>
      </c>
      <c r="G2231" t="s">
        <v>23</v>
      </c>
      <c r="H2231" t="s">
        <v>3301</v>
      </c>
      <c r="I2231" t="s">
        <v>3302</v>
      </c>
      <c r="J2231" t="s">
        <v>3303</v>
      </c>
      <c r="K2231" t="s">
        <v>3304</v>
      </c>
      <c r="L2231" t="s">
        <v>168</v>
      </c>
      <c r="M2231" t="s">
        <v>3105</v>
      </c>
      <c r="N2231" t="s">
        <v>119</v>
      </c>
      <c r="O2231" t="s">
        <v>4798</v>
      </c>
      <c r="P2231" t="s">
        <v>6522</v>
      </c>
      <c r="Q2231" t="s">
        <v>20</v>
      </c>
      <c r="R2231" t="s">
        <v>4799</v>
      </c>
      <c r="S2231" t="s">
        <v>9363</v>
      </c>
    </row>
    <row r="2232" spans="1:19" x14ac:dyDescent="0.45">
      <c r="A2232" t="s">
        <v>104</v>
      </c>
      <c r="B2232" t="s">
        <v>6762</v>
      </c>
      <c r="C2232" t="s">
        <v>105</v>
      </c>
      <c r="D2232" t="s">
        <v>106</v>
      </c>
      <c r="E2232" t="s">
        <v>38</v>
      </c>
      <c r="F2232" t="s">
        <v>2785</v>
      </c>
      <c r="G2232" t="s">
        <v>23</v>
      </c>
      <c r="H2232" t="s">
        <v>107</v>
      </c>
      <c r="I2232" t="s">
        <v>108</v>
      </c>
      <c r="J2232" t="s">
        <v>109</v>
      </c>
      <c r="K2232" t="s">
        <v>110</v>
      </c>
      <c r="L2232" t="s">
        <v>111</v>
      </c>
      <c r="M2232" t="s">
        <v>112</v>
      </c>
      <c r="N2232" t="s">
        <v>113</v>
      </c>
      <c r="O2232" t="s">
        <v>4798</v>
      </c>
      <c r="P2232" t="s">
        <v>290</v>
      </c>
      <c r="Q2232" t="s">
        <v>20</v>
      </c>
      <c r="R2232" t="s">
        <v>4799</v>
      </c>
      <c r="S2232" t="s">
        <v>20</v>
      </c>
    </row>
    <row r="2233" spans="1:19" x14ac:dyDescent="0.45">
      <c r="A2233" t="s">
        <v>104</v>
      </c>
      <c r="B2233" t="s">
        <v>8687</v>
      </c>
      <c r="C2233" t="s">
        <v>105</v>
      </c>
      <c r="D2233" t="s">
        <v>106</v>
      </c>
      <c r="E2233" t="s">
        <v>38</v>
      </c>
      <c r="F2233" t="s">
        <v>8688</v>
      </c>
      <c r="G2233" t="s">
        <v>23</v>
      </c>
      <c r="H2233" t="s">
        <v>631</v>
      </c>
      <c r="I2233" t="s">
        <v>632</v>
      </c>
      <c r="J2233" t="s">
        <v>633</v>
      </c>
      <c r="K2233" t="s">
        <v>634</v>
      </c>
      <c r="L2233" t="s">
        <v>635</v>
      </c>
      <c r="M2233" t="s">
        <v>132</v>
      </c>
      <c r="N2233" t="s">
        <v>119</v>
      </c>
      <c r="O2233" t="s">
        <v>4798</v>
      </c>
      <c r="P2233" t="s">
        <v>722</v>
      </c>
      <c r="Q2233" t="s">
        <v>20</v>
      </c>
      <c r="R2233" t="s">
        <v>4799</v>
      </c>
      <c r="S2233" t="s">
        <v>20</v>
      </c>
    </row>
    <row r="2234" spans="1:19" x14ac:dyDescent="0.45">
      <c r="A2234" t="s">
        <v>3096</v>
      </c>
      <c r="B2234" t="s">
        <v>3211</v>
      </c>
      <c r="C2234" t="s">
        <v>3212</v>
      </c>
      <c r="D2234" t="s">
        <v>3213</v>
      </c>
      <c r="E2234" t="s">
        <v>29</v>
      </c>
      <c r="F2234" t="s">
        <v>3182</v>
      </c>
      <c r="G2234" t="s">
        <v>23</v>
      </c>
      <c r="H2234" t="s">
        <v>3214</v>
      </c>
      <c r="I2234" t="s">
        <v>3215</v>
      </c>
      <c r="J2234" t="s">
        <v>3216</v>
      </c>
      <c r="K2234" t="s">
        <v>3217</v>
      </c>
      <c r="L2234" t="s">
        <v>53</v>
      </c>
      <c r="M2234" t="s">
        <v>3105</v>
      </c>
      <c r="N2234" t="s">
        <v>12413</v>
      </c>
      <c r="O2234" t="s">
        <v>4798</v>
      </c>
      <c r="P2234" t="s">
        <v>6527</v>
      </c>
      <c r="Q2234" t="s">
        <v>20</v>
      </c>
      <c r="R2234" t="s">
        <v>4799</v>
      </c>
      <c r="S2234" t="s">
        <v>12319</v>
      </c>
    </row>
    <row r="2235" spans="1:19" x14ac:dyDescent="0.45">
      <c r="A2235" t="s">
        <v>535</v>
      </c>
      <c r="B2235" t="s">
        <v>20</v>
      </c>
      <c r="C2235" t="s">
        <v>2771</v>
      </c>
      <c r="D2235" t="s">
        <v>2772</v>
      </c>
      <c r="E2235" t="s">
        <v>38</v>
      </c>
      <c r="F2235" t="s">
        <v>14751</v>
      </c>
      <c r="G2235" t="s">
        <v>23</v>
      </c>
      <c r="H2235" t="s">
        <v>8919</v>
      </c>
      <c r="I2235" t="s">
        <v>9321</v>
      </c>
      <c r="J2235" t="s">
        <v>9322</v>
      </c>
      <c r="K2235" t="s">
        <v>9323</v>
      </c>
      <c r="L2235" t="s">
        <v>7506</v>
      </c>
      <c r="M2235" t="s">
        <v>44</v>
      </c>
      <c r="N2235" t="s">
        <v>9484</v>
      </c>
      <c r="O2235" t="s">
        <v>4798</v>
      </c>
      <c r="P2235" t="s">
        <v>8109</v>
      </c>
      <c r="Q2235" t="s">
        <v>20</v>
      </c>
      <c r="R2235" t="s">
        <v>4799</v>
      </c>
      <c r="S2235" t="s">
        <v>9797</v>
      </c>
    </row>
    <row r="2236" spans="1:19" x14ac:dyDescent="0.45">
      <c r="A2236" t="s">
        <v>54</v>
      </c>
      <c r="B2236" t="s">
        <v>11195</v>
      </c>
      <c r="C2236" t="s">
        <v>162</v>
      </c>
      <c r="D2236" t="s">
        <v>163</v>
      </c>
      <c r="E2236" t="s">
        <v>38</v>
      </c>
      <c r="F2236" t="s">
        <v>2787</v>
      </c>
      <c r="G2236" t="s">
        <v>23</v>
      </c>
      <c r="H2236" t="s">
        <v>164</v>
      </c>
      <c r="I2236" t="s">
        <v>165</v>
      </c>
      <c r="J2236" t="s">
        <v>166</v>
      </c>
      <c r="K2236" t="s">
        <v>167</v>
      </c>
      <c r="L2236" t="s">
        <v>168</v>
      </c>
      <c r="M2236" t="s">
        <v>32</v>
      </c>
      <c r="N2236" t="s">
        <v>33</v>
      </c>
      <c r="O2236" t="s">
        <v>4798</v>
      </c>
      <c r="P2236" t="s">
        <v>168</v>
      </c>
      <c r="Q2236" t="s">
        <v>20</v>
      </c>
      <c r="R2236" t="s">
        <v>4799</v>
      </c>
      <c r="S2236" t="s">
        <v>20</v>
      </c>
    </row>
    <row r="2237" spans="1:19" x14ac:dyDescent="0.45">
      <c r="A2237" t="s">
        <v>1598</v>
      </c>
      <c r="B2237" t="s">
        <v>13039</v>
      </c>
      <c r="C2237" t="s">
        <v>2592</v>
      </c>
      <c r="D2237" t="s">
        <v>2593</v>
      </c>
      <c r="E2237" t="s">
        <v>21</v>
      </c>
      <c r="F2237" t="s">
        <v>2722</v>
      </c>
      <c r="G2237" t="s">
        <v>23</v>
      </c>
      <c r="H2237" t="s">
        <v>13040</v>
      </c>
      <c r="I2237" t="s">
        <v>13041</v>
      </c>
      <c r="J2237" t="s">
        <v>13042</v>
      </c>
      <c r="K2237" t="s">
        <v>13043</v>
      </c>
      <c r="L2237" t="s">
        <v>6527</v>
      </c>
      <c r="M2237" t="s">
        <v>3145</v>
      </c>
      <c r="N2237" t="s">
        <v>1224</v>
      </c>
      <c r="O2237" t="s">
        <v>4798</v>
      </c>
      <c r="P2237" t="s">
        <v>6527</v>
      </c>
      <c r="Q2237" t="s">
        <v>20</v>
      </c>
      <c r="R2237" t="s">
        <v>4799</v>
      </c>
      <c r="S2237" t="s">
        <v>20</v>
      </c>
    </row>
    <row r="2238" spans="1:19" x14ac:dyDescent="0.45">
      <c r="A2238" t="s">
        <v>715</v>
      </c>
      <c r="B2238" t="s">
        <v>20</v>
      </c>
      <c r="C2238" t="s">
        <v>984</v>
      </c>
      <c r="D2238" t="s">
        <v>985</v>
      </c>
      <c r="E2238" t="s">
        <v>38</v>
      </c>
      <c r="F2238" t="s">
        <v>2787</v>
      </c>
      <c r="G2238" t="s">
        <v>23</v>
      </c>
      <c r="H2238" t="s">
        <v>3167</v>
      </c>
      <c r="I2238" t="s">
        <v>3168</v>
      </c>
      <c r="J2238" t="s">
        <v>3169</v>
      </c>
      <c r="K2238" t="s">
        <v>3170</v>
      </c>
      <c r="L2238" t="s">
        <v>296</v>
      </c>
      <c r="M2238" t="s">
        <v>2100</v>
      </c>
      <c r="N2238" t="s">
        <v>678</v>
      </c>
      <c r="O2238" t="s">
        <v>4798</v>
      </c>
      <c r="P2238" t="s">
        <v>6521</v>
      </c>
      <c r="Q2238" t="s">
        <v>20</v>
      </c>
      <c r="R2238" t="s">
        <v>4799</v>
      </c>
      <c r="S2238" t="s">
        <v>20</v>
      </c>
    </row>
    <row r="2239" spans="1:19" x14ac:dyDescent="0.45">
      <c r="A2239" t="s">
        <v>715</v>
      </c>
      <c r="B2239" t="s">
        <v>10715</v>
      </c>
      <c r="C2239" t="s">
        <v>984</v>
      </c>
      <c r="D2239" t="s">
        <v>985</v>
      </c>
      <c r="E2239" t="s">
        <v>38</v>
      </c>
      <c r="F2239" t="s">
        <v>2831</v>
      </c>
      <c r="G2239" t="s">
        <v>23</v>
      </c>
      <c r="H2239" t="s">
        <v>10716</v>
      </c>
      <c r="I2239" t="s">
        <v>10717</v>
      </c>
      <c r="J2239" t="s">
        <v>10718</v>
      </c>
      <c r="K2239" t="s">
        <v>10719</v>
      </c>
      <c r="L2239" t="s">
        <v>2769</v>
      </c>
      <c r="M2239" t="s">
        <v>3198</v>
      </c>
      <c r="N2239" t="s">
        <v>137</v>
      </c>
      <c r="O2239" t="s">
        <v>4798</v>
      </c>
      <c r="P2239" t="s">
        <v>2769</v>
      </c>
      <c r="Q2239" t="s">
        <v>20</v>
      </c>
      <c r="R2239" t="s">
        <v>4799</v>
      </c>
      <c r="S2239" t="s">
        <v>138</v>
      </c>
    </row>
    <row r="2240" spans="1:19" x14ac:dyDescent="0.45">
      <c r="A2240" t="s">
        <v>269</v>
      </c>
      <c r="B2240" t="s">
        <v>20</v>
      </c>
      <c r="C2240" t="s">
        <v>2569</v>
      </c>
      <c r="D2240" t="s">
        <v>2570</v>
      </c>
      <c r="E2240" t="s">
        <v>21</v>
      </c>
      <c r="F2240" t="s">
        <v>14752</v>
      </c>
      <c r="G2240" t="s">
        <v>23</v>
      </c>
      <c r="H2240" t="s">
        <v>4821</v>
      </c>
      <c r="I2240" t="s">
        <v>4822</v>
      </c>
      <c r="J2240" t="s">
        <v>4823</v>
      </c>
      <c r="K2240" t="s">
        <v>4824</v>
      </c>
      <c r="L2240" t="s">
        <v>118</v>
      </c>
      <c r="M2240" t="s">
        <v>112</v>
      </c>
      <c r="N2240" t="s">
        <v>146</v>
      </c>
      <c r="O2240" t="s">
        <v>4798</v>
      </c>
      <c r="P2240" t="s">
        <v>118</v>
      </c>
      <c r="Q2240" t="s">
        <v>20</v>
      </c>
      <c r="R2240" t="s">
        <v>4799</v>
      </c>
      <c r="S2240" t="s">
        <v>20</v>
      </c>
    </row>
    <row r="2241" spans="1:19" x14ac:dyDescent="0.45">
      <c r="A2241" t="s">
        <v>2225</v>
      </c>
      <c r="B2241" t="s">
        <v>13384</v>
      </c>
      <c r="C2241" t="s">
        <v>3390</v>
      </c>
      <c r="D2241" t="s">
        <v>3391</v>
      </c>
      <c r="E2241" t="s">
        <v>38</v>
      </c>
      <c r="F2241" t="s">
        <v>2722</v>
      </c>
      <c r="G2241" t="s">
        <v>23</v>
      </c>
      <c r="H2241" t="s">
        <v>13385</v>
      </c>
      <c r="I2241" t="s">
        <v>13386</v>
      </c>
      <c r="J2241" t="s">
        <v>13387</v>
      </c>
      <c r="K2241" t="s">
        <v>13388</v>
      </c>
      <c r="L2241" t="s">
        <v>8094</v>
      </c>
      <c r="M2241" t="s">
        <v>112</v>
      </c>
      <c r="N2241" t="s">
        <v>195</v>
      </c>
      <c r="O2241" t="s">
        <v>4798</v>
      </c>
      <c r="P2241" t="s">
        <v>6524</v>
      </c>
      <c r="Q2241" t="s">
        <v>20</v>
      </c>
      <c r="R2241" t="s">
        <v>4799</v>
      </c>
      <c r="S2241" t="s">
        <v>20</v>
      </c>
    </row>
    <row r="2242" spans="1:19" x14ac:dyDescent="0.45">
      <c r="A2242" t="s">
        <v>525</v>
      </c>
      <c r="B2242" t="s">
        <v>5325</v>
      </c>
      <c r="C2242" t="s">
        <v>2498</v>
      </c>
      <c r="D2242" t="s">
        <v>2499</v>
      </c>
      <c r="E2242" t="s">
        <v>21</v>
      </c>
      <c r="F2242" t="s">
        <v>2722</v>
      </c>
      <c r="G2242" t="s">
        <v>23</v>
      </c>
      <c r="H2242" t="s">
        <v>5326</v>
      </c>
      <c r="I2242" t="s">
        <v>3392</v>
      </c>
      <c r="J2242" t="s">
        <v>5327</v>
      </c>
      <c r="K2242" t="s">
        <v>5328</v>
      </c>
      <c r="L2242" t="s">
        <v>2769</v>
      </c>
      <c r="M2242" t="s">
        <v>1223</v>
      </c>
      <c r="N2242" t="s">
        <v>2727</v>
      </c>
      <c r="O2242" t="s">
        <v>4798</v>
      </c>
      <c r="P2242" t="s">
        <v>194</v>
      </c>
      <c r="Q2242" t="s">
        <v>20</v>
      </c>
      <c r="R2242" t="s">
        <v>4799</v>
      </c>
      <c r="S2242" t="s">
        <v>20</v>
      </c>
    </row>
    <row r="2243" spans="1:19" x14ac:dyDescent="0.45">
      <c r="A2243" t="s">
        <v>269</v>
      </c>
      <c r="B2243" t="s">
        <v>14086</v>
      </c>
      <c r="C2243" t="s">
        <v>1775</v>
      </c>
      <c r="D2243" t="s">
        <v>1776</v>
      </c>
      <c r="E2243" t="s">
        <v>57</v>
      </c>
      <c r="F2243" t="s">
        <v>3673</v>
      </c>
      <c r="G2243" t="s">
        <v>23</v>
      </c>
      <c r="H2243" t="s">
        <v>1777</v>
      </c>
      <c r="I2243" t="s">
        <v>1778</v>
      </c>
      <c r="J2243" t="s">
        <v>1779</v>
      </c>
      <c r="K2243" t="s">
        <v>1780</v>
      </c>
      <c r="L2243" t="s">
        <v>8094</v>
      </c>
      <c r="M2243" t="s">
        <v>32</v>
      </c>
      <c r="N2243" t="s">
        <v>62</v>
      </c>
      <c r="O2243" t="s">
        <v>4798</v>
      </c>
      <c r="P2243" t="s">
        <v>8094</v>
      </c>
      <c r="Q2243" t="s">
        <v>20</v>
      </c>
      <c r="R2243" t="s">
        <v>4799</v>
      </c>
      <c r="S2243" t="s">
        <v>20</v>
      </c>
    </row>
    <row r="2244" spans="1:19" x14ac:dyDescent="0.45">
      <c r="A2244" t="s">
        <v>26</v>
      </c>
      <c r="B2244" t="s">
        <v>3176</v>
      </c>
      <c r="C2244" t="s">
        <v>2793</v>
      </c>
      <c r="D2244" t="s">
        <v>2794</v>
      </c>
      <c r="E2244" t="s">
        <v>38</v>
      </c>
      <c r="F2244" t="s">
        <v>14267</v>
      </c>
      <c r="G2244" t="s">
        <v>23</v>
      </c>
      <c r="H2244" t="s">
        <v>3177</v>
      </c>
      <c r="I2244" t="s">
        <v>3178</v>
      </c>
      <c r="J2244" t="s">
        <v>3179</v>
      </c>
      <c r="K2244" t="s">
        <v>3180</v>
      </c>
      <c r="L2244" t="s">
        <v>6527</v>
      </c>
      <c r="M2244" t="s">
        <v>205</v>
      </c>
      <c r="N2244" t="s">
        <v>33</v>
      </c>
      <c r="O2244" t="s">
        <v>4798</v>
      </c>
      <c r="P2244" t="s">
        <v>6524</v>
      </c>
      <c r="Q2244" t="s">
        <v>20</v>
      </c>
      <c r="R2244" t="s">
        <v>4799</v>
      </c>
      <c r="S2244" t="s">
        <v>9333</v>
      </c>
    </row>
    <row r="2245" spans="1:19" x14ac:dyDescent="0.45">
      <c r="A2245" t="s">
        <v>211</v>
      </c>
      <c r="B2245" t="s">
        <v>11206</v>
      </c>
      <c r="C2245" t="s">
        <v>550</v>
      </c>
      <c r="D2245" t="s">
        <v>551</v>
      </c>
      <c r="E2245" t="s">
        <v>38</v>
      </c>
      <c r="F2245" t="s">
        <v>11207</v>
      </c>
      <c r="G2245" t="s">
        <v>23</v>
      </c>
      <c r="H2245" t="s">
        <v>1433</v>
      </c>
      <c r="I2245" t="s">
        <v>1434</v>
      </c>
      <c r="J2245" t="s">
        <v>1435</v>
      </c>
      <c r="K2245" t="s">
        <v>1436</v>
      </c>
      <c r="L2245" t="s">
        <v>168</v>
      </c>
      <c r="M2245" t="s">
        <v>112</v>
      </c>
      <c r="N2245" t="s">
        <v>33</v>
      </c>
      <c r="O2245" t="s">
        <v>4798</v>
      </c>
      <c r="P2245" t="s">
        <v>635</v>
      </c>
      <c r="Q2245" t="s">
        <v>20</v>
      </c>
      <c r="R2245" t="s">
        <v>4799</v>
      </c>
      <c r="S2245" t="s">
        <v>20</v>
      </c>
    </row>
    <row r="2246" spans="1:19" x14ac:dyDescent="0.45">
      <c r="A2246" t="s">
        <v>120</v>
      </c>
      <c r="B2246" t="s">
        <v>14087</v>
      </c>
      <c r="C2246" t="s">
        <v>1232</v>
      </c>
      <c r="D2246" t="s">
        <v>1233</v>
      </c>
      <c r="E2246" t="s">
        <v>38</v>
      </c>
      <c r="F2246" t="s">
        <v>2722</v>
      </c>
      <c r="G2246" t="s">
        <v>23</v>
      </c>
      <c r="H2246" t="s">
        <v>14088</v>
      </c>
      <c r="I2246" t="s">
        <v>14089</v>
      </c>
      <c r="J2246" t="s">
        <v>14090</v>
      </c>
      <c r="K2246" t="s">
        <v>14091</v>
      </c>
      <c r="L2246" t="s">
        <v>3998</v>
      </c>
      <c r="M2246" t="s">
        <v>3145</v>
      </c>
      <c r="N2246" t="s">
        <v>1224</v>
      </c>
      <c r="O2246" t="s">
        <v>4798</v>
      </c>
      <c r="P2246" t="s">
        <v>3998</v>
      </c>
      <c r="Q2246" t="s">
        <v>20</v>
      </c>
      <c r="R2246" t="s">
        <v>4799</v>
      </c>
      <c r="S2246" t="s">
        <v>20</v>
      </c>
    </row>
    <row r="2247" spans="1:19" x14ac:dyDescent="0.45">
      <c r="A2247" t="s">
        <v>3902</v>
      </c>
      <c r="B2247" t="s">
        <v>10271</v>
      </c>
      <c r="C2247" t="s">
        <v>9283</v>
      </c>
      <c r="D2247" t="s">
        <v>5879</v>
      </c>
      <c r="E2247" t="s">
        <v>38</v>
      </c>
      <c r="F2247" t="s">
        <v>2863</v>
      </c>
      <c r="G2247" t="s">
        <v>23</v>
      </c>
      <c r="H2247" t="s">
        <v>9017</v>
      </c>
      <c r="I2247" t="s">
        <v>9284</v>
      </c>
      <c r="J2247" t="s">
        <v>9285</v>
      </c>
      <c r="K2247" t="s">
        <v>9286</v>
      </c>
      <c r="L2247" t="s">
        <v>6513</v>
      </c>
      <c r="M2247" t="s">
        <v>3910</v>
      </c>
      <c r="N2247" t="s">
        <v>119</v>
      </c>
      <c r="O2247" t="s">
        <v>4798</v>
      </c>
      <c r="P2247" t="s">
        <v>2769</v>
      </c>
      <c r="Q2247" t="s">
        <v>20</v>
      </c>
      <c r="R2247" t="s">
        <v>4799</v>
      </c>
      <c r="S2247" t="s">
        <v>4901</v>
      </c>
    </row>
    <row r="2248" spans="1:19" x14ac:dyDescent="0.45">
      <c r="A2248" t="s">
        <v>310</v>
      </c>
      <c r="B2248" t="s">
        <v>14753</v>
      </c>
      <c r="C2248" t="s">
        <v>419</v>
      </c>
      <c r="D2248" t="s">
        <v>420</v>
      </c>
      <c r="E2248" t="s">
        <v>38</v>
      </c>
      <c r="F2248" t="s">
        <v>2795</v>
      </c>
      <c r="G2248" t="s">
        <v>23</v>
      </c>
      <c r="H2248" t="s">
        <v>421</v>
      </c>
      <c r="I2248" t="s">
        <v>422</v>
      </c>
      <c r="J2248" t="s">
        <v>423</v>
      </c>
      <c r="K2248" t="s">
        <v>424</v>
      </c>
      <c r="L2248" t="s">
        <v>101</v>
      </c>
      <c r="M2248" t="s">
        <v>112</v>
      </c>
      <c r="N2248" t="s">
        <v>146</v>
      </c>
      <c r="O2248" t="s">
        <v>4798</v>
      </c>
      <c r="P2248" t="s">
        <v>6525</v>
      </c>
      <c r="Q2248" t="s">
        <v>20</v>
      </c>
      <c r="R2248" t="s">
        <v>4799</v>
      </c>
      <c r="S2248" t="s">
        <v>20</v>
      </c>
    </row>
    <row r="2249" spans="1:19" x14ac:dyDescent="0.45">
      <c r="A2249" t="s">
        <v>446</v>
      </c>
      <c r="B2249" t="s">
        <v>3400</v>
      </c>
      <c r="C2249" t="s">
        <v>3401</v>
      </c>
      <c r="D2249" t="s">
        <v>3402</v>
      </c>
      <c r="E2249" t="s">
        <v>21</v>
      </c>
      <c r="F2249" t="s">
        <v>3062</v>
      </c>
      <c r="G2249" t="s">
        <v>23</v>
      </c>
      <c r="H2249" t="s">
        <v>3403</v>
      </c>
      <c r="I2249" t="s">
        <v>3404</v>
      </c>
      <c r="J2249" t="s">
        <v>3405</v>
      </c>
      <c r="K2249" t="s">
        <v>3406</v>
      </c>
      <c r="L2249" t="s">
        <v>118</v>
      </c>
      <c r="M2249" t="s">
        <v>1223</v>
      </c>
      <c r="N2249" t="s">
        <v>3407</v>
      </c>
      <c r="O2249" t="s">
        <v>4798</v>
      </c>
      <c r="P2249" t="s">
        <v>118</v>
      </c>
      <c r="Q2249" t="s">
        <v>20</v>
      </c>
      <c r="R2249" t="s">
        <v>4799</v>
      </c>
      <c r="S2249" t="s">
        <v>20</v>
      </c>
    </row>
    <row r="2250" spans="1:19" x14ac:dyDescent="0.45">
      <c r="A2250" t="s">
        <v>211</v>
      </c>
      <c r="B2250" t="s">
        <v>11667</v>
      </c>
      <c r="C2250" t="s">
        <v>1197</v>
      </c>
      <c r="D2250" t="s">
        <v>1198</v>
      </c>
      <c r="E2250" t="s">
        <v>38</v>
      </c>
      <c r="F2250" t="s">
        <v>2898</v>
      </c>
      <c r="G2250" t="s">
        <v>23</v>
      </c>
      <c r="H2250" t="s">
        <v>9533</v>
      </c>
      <c r="I2250" t="s">
        <v>9572</v>
      </c>
      <c r="J2250" t="s">
        <v>9805</v>
      </c>
      <c r="K2250" t="s">
        <v>9806</v>
      </c>
      <c r="L2250" t="s">
        <v>8109</v>
      </c>
      <c r="M2250" t="s">
        <v>3632</v>
      </c>
      <c r="N2250" t="s">
        <v>33</v>
      </c>
      <c r="O2250" t="s">
        <v>4798</v>
      </c>
      <c r="P2250" t="s">
        <v>8109</v>
      </c>
      <c r="Q2250" t="s">
        <v>20</v>
      </c>
      <c r="R2250" t="s">
        <v>4799</v>
      </c>
      <c r="S2250" t="s">
        <v>9573</v>
      </c>
    </row>
    <row r="2251" spans="1:19" x14ac:dyDescent="0.45">
      <c r="A2251" t="s">
        <v>54</v>
      </c>
      <c r="B2251" t="s">
        <v>11235</v>
      </c>
      <c r="C2251" t="s">
        <v>1290</v>
      </c>
      <c r="D2251" t="s">
        <v>1291</v>
      </c>
      <c r="E2251" t="s">
        <v>38</v>
      </c>
      <c r="F2251" t="s">
        <v>2787</v>
      </c>
      <c r="G2251" t="s">
        <v>23</v>
      </c>
      <c r="H2251" t="s">
        <v>1292</v>
      </c>
      <c r="I2251" t="s">
        <v>1293</v>
      </c>
      <c r="J2251" t="s">
        <v>1294</v>
      </c>
      <c r="K2251" t="s">
        <v>1295</v>
      </c>
      <c r="L2251" t="s">
        <v>168</v>
      </c>
      <c r="M2251" t="s">
        <v>32</v>
      </c>
      <c r="N2251" t="s">
        <v>33</v>
      </c>
      <c r="O2251" t="s">
        <v>4798</v>
      </c>
      <c r="P2251" t="s">
        <v>290</v>
      </c>
      <c r="Q2251" t="s">
        <v>20</v>
      </c>
      <c r="R2251" t="s">
        <v>4799</v>
      </c>
      <c r="S2251" t="s">
        <v>20</v>
      </c>
    </row>
    <row r="2252" spans="1:19" x14ac:dyDescent="0.45">
      <c r="A2252" t="s">
        <v>446</v>
      </c>
      <c r="B2252" t="s">
        <v>4931</v>
      </c>
      <c r="C2252" t="s">
        <v>3889</v>
      </c>
      <c r="D2252" t="s">
        <v>3890</v>
      </c>
      <c r="E2252" t="s">
        <v>21</v>
      </c>
      <c r="F2252" t="s">
        <v>2785</v>
      </c>
      <c r="G2252" t="s">
        <v>23</v>
      </c>
      <c r="H2252" t="s">
        <v>4932</v>
      </c>
      <c r="I2252" t="s">
        <v>4933</v>
      </c>
      <c r="J2252" t="s">
        <v>4934</v>
      </c>
      <c r="K2252" t="s">
        <v>4935</v>
      </c>
      <c r="L2252" t="s">
        <v>1605</v>
      </c>
      <c r="M2252" t="s">
        <v>1223</v>
      </c>
      <c r="N2252" t="s">
        <v>678</v>
      </c>
      <c r="O2252" t="s">
        <v>4798</v>
      </c>
      <c r="P2252" t="s">
        <v>1605</v>
      </c>
      <c r="Q2252" t="s">
        <v>20</v>
      </c>
      <c r="R2252" t="s">
        <v>4799</v>
      </c>
      <c r="S2252" t="s">
        <v>20</v>
      </c>
    </row>
    <row r="2253" spans="1:19" x14ac:dyDescent="0.45">
      <c r="A2253" t="s">
        <v>2561</v>
      </c>
      <c r="B2253" t="s">
        <v>20</v>
      </c>
      <c r="C2253" t="s">
        <v>1191</v>
      </c>
      <c r="D2253" t="s">
        <v>1192</v>
      </c>
      <c r="E2253" t="s">
        <v>38</v>
      </c>
      <c r="F2253" t="s">
        <v>2929</v>
      </c>
      <c r="G2253" t="s">
        <v>23</v>
      </c>
      <c r="H2253" t="s">
        <v>2930</v>
      </c>
      <c r="I2253" t="s">
        <v>2931</v>
      </c>
      <c r="J2253" t="s">
        <v>2932</v>
      </c>
      <c r="K2253" t="s">
        <v>2933</v>
      </c>
      <c r="L2253" t="s">
        <v>3418</v>
      </c>
      <c r="M2253" t="s">
        <v>2934</v>
      </c>
      <c r="N2253" t="s">
        <v>119</v>
      </c>
      <c r="O2253" t="s">
        <v>4798</v>
      </c>
      <c r="P2253" t="s">
        <v>6522</v>
      </c>
      <c r="Q2253" t="s">
        <v>20</v>
      </c>
      <c r="R2253" t="s">
        <v>4799</v>
      </c>
      <c r="S2253" t="s">
        <v>2935</v>
      </c>
    </row>
    <row r="2254" spans="1:19" x14ac:dyDescent="0.45">
      <c r="A2254" t="s">
        <v>535</v>
      </c>
      <c r="B2254" t="s">
        <v>5235</v>
      </c>
      <c r="C2254" t="s">
        <v>5236</v>
      </c>
      <c r="D2254" t="s">
        <v>5237</v>
      </c>
      <c r="E2254" t="s">
        <v>38</v>
      </c>
      <c r="F2254" t="s">
        <v>14754</v>
      </c>
      <c r="G2254" t="s">
        <v>23</v>
      </c>
      <c r="H2254" t="s">
        <v>5238</v>
      </c>
      <c r="I2254" t="s">
        <v>5239</v>
      </c>
      <c r="J2254" t="s">
        <v>5240</v>
      </c>
      <c r="K2254" t="s">
        <v>5241</v>
      </c>
      <c r="L2254" t="s">
        <v>135</v>
      </c>
      <c r="M2254" t="s">
        <v>2100</v>
      </c>
      <c r="N2254" t="s">
        <v>119</v>
      </c>
      <c r="O2254" t="s">
        <v>4798</v>
      </c>
      <c r="P2254" t="s">
        <v>43</v>
      </c>
      <c r="Q2254" t="s">
        <v>20</v>
      </c>
      <c r="R2254" t="s">
        <v>4799</v>
      </c>
      <c r="S2254" t="s">
        <v>5242</v>
      </c>
    </row>
    <row r="2255" spans="1:19" x14ac:dyDescent="0.45">
      <c r="A2255" t="s">
        <v>395</v>
      </c>
      <c r="B2255" t="s">
        <v>5380</v>
      </c>
      <c r="C2255" t="s">
        <v>5381</v>
      </c>
      <c r="D2255" t="s">
        <v>5382</v>
      </c>
      <c r="E2255" t="s">
        <v>38</v>
      </c>
      <c r="F2255" t="s">
        <v>3221</v>
      </c>
      <c r="G2255" t="s">
        <v>23</v>
      </c>
      <c r="H2255" t="s">
        <v>5383</v>
      </c>
      <c r="I2255" t="s">
        <v>5384</v>
      </c>
      <c r="J2255" t="s">
        <v>5385</v>
      </c>
      <c r="K2255" t="s">
        <v>5386</v>
      </c>
      <c r="L2255" t="s">
        <v>131</v>
      </c>
      <c r="M2255" t="s">
        <v>132</v>
      </c>
      <c r="N2255" t="s">
        <v>195</v>
      </c>
      <c r="O2255" t="s">
        <v>4798</v>
      </c>
      <c r="P2255" t="s">
        <v>168</v>
      </c>
      <c r="Q2255" t="s">
        <v>20</v>
      </c>
      <c r="R2255" t="s">
        <v>4799</v>
      </c>
      <c r="S2255" t="s">
        <v>20</v>
      </c>
    </row>
    <row r="2256" spans="1:19" x14ac:dyDescent="0.45">
      <c r="A2256" t="s">
        <v>81</v>
      </c>
      <c r="B2256" t="s">
        <v>14755</v>
      </c>
      <c r="C2256" t="s">
        <v>919</v>
      </c>
      <c r="D2256" t="s">
        <v>920</v>
      </c>
      <c r="E2256" t="s">
        <v>4208</v>
      </c>
      <c r="F2256" t="s">
        <v>3182</v>
      </c>
      <c r="G2256" t="s">
        <v>23</v>
      </c>
      <c r="H2256" t="s">
        <v>14756</v>
      </c>
      <c r="I2256" t="s">
        <v>14757</v>
      </c>
      <c r="J2256" t="s">
        <v>20</v>
      </c>
      <c r="K2256" t="s">
        <v>20</v>
      </c>
      <c r="L2256" t="s">
        <v>20</v>
      </c>
      <c r="M2256" t="s">
        <v>2760</v>
      </c>
      <c r="N2256" t="s">
        <v>14758</v>
      </c>
      <c r="O2256" t="s">
        <v>14759</v>
      </c>
      <c r="P2256" t="s">
        <v>6513</v>
      </c>
      <c r="Q2256" t="s">
        <v>20</v>
      </c>
      <c r="R2256" t="s">
        <v>20</v>
      </c>
      <c r="S2256" t="s">
        <v>20</v>
      </c>
    </row>
    <row r="2257" spans="1:19" x14ac:dyDescent="0.45">
      <c r="A2257" t="s">
        <v>3120</v>
      </c>
      <c r="B2257" t="s">
        <v>14760</v>
      </c>
      <c r="C2257" t="s">
        <v>9434</v>
      </c>
      <c r="D2257" t="s">
        <v>5642</v>
      </c>
      <c r="E2257" t="s">
        <v>21</v>
      </c>
      <c r="F2257" t="s">
        <v>2722</v>
      </c>
      <c r="G2257" t="s">
        <v>23</v>
      </c>
      <c r="H2257" t="s">
        <v>14761</v>
      </c>
      <c r="I2257" t="s">
        <v>14762</v>
      </c>
      <c r="J2257" t="s">
        <v>20</v>
      </c>
      <c r="K2257" t="s">
        <v>20</v>
      </c>
      <c r="L2257" t="s">
        <v>20</v>
      </c>
      <c r="M2257" t="s">
        <v>9439</v>
      </c>
      <c r="N2257" t="s">
        <v>14758</v>
      </c>
      <c r="O2257" t="s">
        <v>14759</v>
      </c>
      <c r="P2257" t="s">
        <v>6522</v>
      </c>
      <c r="Q2257" t="s">
        <v>20</v>
      </c>
      <c r="R2257" t="s">
        <v>20</v>
      </c>
      <c r="S2257" t="s">
        <v>20</v>
      </c>
    </row>
    <row r="2258" spans="1:19" x14ac:dyDescent="0.45">
      <c r="A2258" t="s">
        <v>54</v>
      </c>
      <c r="B2258" t="s">
        <v>14763</v>
      </c>
      <c r="C2258" t="s">
        <v>440</v>
      </c>
      <c r="D2258" t="s">
        <v>441</v>
      </c>
      <c r="E2258" t="s">
        <v>29</v>
      </c>
      <c r="F2258" t="s">
        <v>3891</v>
      </c>
      <c r="G2258" t="s">
        <v>23</v>
      </c>
      <c r="H2258" t="s">
        <v>14764</v>
      </c>
      <c r="I2258" t="s">
        <v>14765</v>
      </c>
      <c r="J2258" t="s">
        <v>20</v>
      </c>
      <c r="K2258" t="s">
        <v>20</v>
      </c>
      <c r="L2258" t="s">
        <v>20</v>
      </c>
      <c r="M2258" t="s">
        <v>32</v>
      </c>
      <c r="N2258" t="s">
        <v>14758</v>
      </c>
      <c r="O2258" t="s">
        <v>14759</v>
      </c>
      <c r="P2258" t="s">
        <v>3998</v>
      </c>
      <c r="Q2258" t="s">
        <v>20</v>
      </c>
      <c r="R2258" t="s">
        <v>20</v>
      </c>
      <c r="S2258" t="s">
        <v>20</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C641D6-65C2-49A0-8BA0-166879F4BF98}">
  <dimension ref="A1:P1773"/>
  <sheetViews>
    <sheetView tabSelected="1" workbookViewId="0">
      <selection sqref="A1:M1773"/>
    </sheetView>
  </sheetViews>
  <sheetFormatPr defaultRowHeight="14.25" x14ac:dyDescent="0.45"/>
  <cols>
    <col min="1" max="1" width="16.33203125" bestFit="1" customWidth="1"/>
    <col min="2" max="2" width="19.86328125" bestFit="1" customWidth="1"/>
    <col min="3" max="3" width="27.6640625" bestFit="1" customWidth="1"/>
    <col min="4" max="4" width="12.1328125" bestFit="1" customWidth="1"/>
    <col min="5" max="5" width="12" bestFit="1" customWidth="1"/>
    <col min="6" max="6" width="8.33203125" bestFit="1" customWidth="1"/>
    <col min="7" max="7" width="12.33203125" bestFit="1" customWidth="1"/>
    <col min="8" max="8" width="23.53125" bestFit="1" customWidth="1"/>
    <col min="9" max="9" width="10.1328125" bestFit="1" customWidth="1"/>
    <col min="10" max="10" width="11.19921875" bestFit="1" customWidth="1"/>
    <col min="11" max="11" width="11.6640625" bestFit="1" customWidth="1"/>
    <col min="12" max="12" width="14.6640625" bestFit="1" customWidth="1"/>
    <col min="13" max="13" width="10.86328125" bestFit="1" customWidth="1"/>
    <col min="14" max="14" width="14.86328125" bestFit="1" customWidth="1"/>
    <col min="15" max="15" width="24.86328125" bestFit="1" customWidth="1"/>
    <col min="16" max="16" width="14.33203125" bestFit="1" customWidth="1"/>
  </cols>
  <sheetData>
    <row r="1" spans="1:16" x14ac:dyDescent="0.45">
      <c r="A1" t="s">
        <v>6449</v>
      </c>
      <c r="B1" t="s">
        <v>6450</v>
      </c>
      <c r="C1" t="s">
        <v>9817</v>
      </c>
      <c r="D1" t="s">
        <v>9818</v>
      </c>
      <c r="E1" t="s">
        <v>9819</v>
      </c>
      <c r="F1" t="s">
        <v>13454</v>
      </c>
      <c r="G1" t="s">
        <v>13455</v>
      </c>
      <c r="H1" t="s">
        <v>13456</v>
      </c>
      <c r="I1" t="s">
        <v>29</v>
      </c>
      <c r="J1" t="s">
        <v>6461</v>
      </c>
      <c r="K1" t="s">
        <v>13457</v>
      </c>
      <c r="L1" t="s">
        <v>13458</v>
      </c>
      <c r="M1" t="s">
        <v>13459</v>
      </c>
      <c r="N1" s="2" t="s">
        <v>14092</v>
      </c>
      <c r="O1" s="2" t="s">
        <v>14093</v>
      </c>
      <c r="P1" t="s">
        <v>14133</v>
      </c>
    </row>
    <row r="2" spans="1:16" x14ac:dyDescent="0.45">
      <c r="A2" t="s">
        <v>5443</v>
      </c>
      <c r="B2" t="s">
        <v>5458</v>
      </c>
      <c r="C2" t="s">
        <v>5608</v>
      </c>
      <c r="D2" t="s">
        <v>6304</v>
      </c>
      <c r="E2" t="s">
        <v>6451</v>
      </c>
      <c r="F2" t="s">
        <v>13460</v>
      </c>
      <c r="G2" t="s">
        <v>13461</v>
      </c>
      <c r="H2" t="s">
        <v>13462</v>
      </c>
      <c r="I2" t="s">
        <v>29</v>
      </c>
      <c r="J2" t="s">
        <v>13463</v>
      </c>
      <c r="K2">
        <v>2</v>
      </c>
      <c r="L2" t="s">
        <v>13464</v>
      </c>
      <c r="M2" t="s">
        <v>20</v>
      </c>
      <c r="N2" t="str">
        <f>_xlfn.XLOOKUP(C:C,'Resource Table'!A:A,'Resource Table'!B:B,"NOT FOUND",0,1)</f>
        <v>Dedicated</v>
      </c>
      <c r="O2" t="str">
        <f>_xlfn.XLOOKUP(N:N,'Resource Table'!B:B,'Resource Table'!C:C,"n/a",0,1)</f>
        <v>AFS Dedicated Tech</v>
      </c>
      <c r="P2" t="str">
        <f>_xlfn.XLOOKUP(N:N,'Resource Table'!B:B,'Resource Table'!D:D,"n/a",0,1)</f>
        <v>Dedicated</v>
      </c>
    </row>
    <row r="3" spans="1:16" x14ac:dyDescent="0.45">
      <c r="A3" t="s">
        <v>5443</v>
      </c>
      <c r="B3" t="s">
        <v>5458</v>
      </c>
      <c r="C3" t="s">
        <v>5608</v>
      </c>
      <c r="D3" t="s">
        <v>6301</v>
      </c>
      <c r="E3" t="s">
        <v>6451</v>
      </c>
      <c r="F3" t="s">
        <v>13460</v>
      </c>
      <c r="G3" t="s">
        <v>13461</v>
      </c>
      <c r="H3" t="s">
        <v>13462</v>
      </c>
      <c r="I3" t="s">
        <v>6479</v>
      </c>
      <c r="J3" t="s">
        <v>13463</v>
      </c>
      <c r="K3">
        <v>0</v>
      </c>
      <c r="L3" t="s">
        <v>20</v>
      </c>
      <c r="M3" t="s">
        <v>20</v>
      </c>
      <c r="N3" t="str">
        <f>_xlfn.XLOOKUP(C:C,'Resource Table'!A:A,'Resource Table'!B:B,"NOT FOUND",0,1)</f>
        <v>Dedicated</v>
      </c>
      <c r="O3" t="str">
        <f>_xlfn.XLOOKUP(N:N,'Resource Table'!B:B,'Resource Table'!C:C,"n/a",0,1)</f>
        <v>AFS Dedicated Tech</v>
      </c>
      <c r="P3" t="str">
        <f>_xlfn.XLOOKUP(N:N,'Resource Table'!B:B,'Resource Table'!D:D,"n/a",0,1)</f>
        <v>Dedicated</v>
      </c>
    </row>
    <row r="4" spans="1:16" x14ac:dyDescent="0.45">
      <c r="A4" t="s">
        <v>5443</v>
      </c>
      <c r="B4" t="s">
        <v>5458</v>
      </c>
      <c r="C4" t="s">
        <v>5608</v>
      </c>
      <c r="D4" t="s">
        <v>6291</v>
      </c>
      <c r="E4" t="s">
        <v>6451</v>
      </c>
      <c r="F4" t="s">
        <v>13460</v>
      </c>
      <c r="G4" t="s">
        <v>13461</v>
      </c>
      <c r="H4" t="s">
        <v>13465</v>
      </c>
      <c r="I4" t="s">
        <v>6479</v>
      </c>
      <c r="J4" t="s">
        <v>13463</v>
      </c>
      <c r="K4">
        <v>0</v>
      </c>
      <c r="L4" t="s">
        <v>20</v>
      </c>
      <c r="M4" t="s">
        <v>20</v>
      </c>
      <c r="N4" t="str">
        <f>_xlfn.XLOOKUP(C:C,'Resource Table'!A:A,'Resource Table'!B:B,"NOT FOUND",0,1)</f>
        <v>Dedicated</v>
      </c>
      <c r="O4" t="str">
        <f>_xlfn.XLOOKUP(N:N,'Resource Table'!B:B,'Resource Table'!C:C,"n/a",0,1)</f>
        <v>AFS Dedicated Tech</v>
      </c>
      <c r="P4" t="str">
        <f>_xlfn.XLOOKUP(N:N,'Resource Table'!B:B,'Resource Table'!D:D,"n/a",0,1)</f>
        <v>Dedicated</v>
      </c>
    </row>
    <row r="5" spans="1:16" x14ac:dyDescent="0.45">
      <c r="A5" t="s">
        <v>5443</v>
      </c>
      <c r="B5" t="s">
        <v>5458</v>
      </c>
      <c r="C5" t="s">
        <v>5608</v>
      </c>
      <c r="D5" t="s">
        <v>5609</v>
      </c>
      <c r="E5" t="s">
        <v>6451</v>
      </c>
      <c r="F5" t="s">
        <v>13460</v>
      </c>
      <c r="G5" t="s">
        <v>13461</v>
      </c>
      <c r="H5" t="s">
        <v>13465</v>
      </c>
      <c r="I5" t="s">
        <v>6479</v>
      </c>
      <c r="J5" t="s">
        <v>13463</v>
      </c>
      <c r="K5">
        <v>1</v>
      </c>
      <c r="L5" t="s">
        <v>13466</v>
      </c>
      <c r="M5" t="s">
        <v>20</v>
      </c>
      <c r="N5" t="str">
        <f>_xlfn.XLOOKUP(C:C,'Resource Table'!A:A,'Resource Table'!B:B,"NOT FOUND",0,1)</f>
        <v>Dedicated</v>
      </c>
      <c r="O5" t="str">
        <f>_xlfn.XLOOKUP(N:N,'Resource Table'!B:B,'Resource Table'!C:C,"n/a",0,1)</f>
        <v>AFS Dedicated Tech</v>
      </c>
      <c r="P5" t="str">
        <f>_xlfn.XLOOKUP(N:N,'Resource Table'!B:B,'Resource Table'!D:D,"n/a",0,1)</f>
        <v>Dedicated</v>
      </c>
    </row>
    <row r="6" spans="1:16" x14ac:dyDescent="0.45">
      <c r="A6" t="s">
        <v>5443</v>
      </c>
      <c r="B6" t="s">
        <v>5458</v>
      </c>
      <c r="C6" t="s">
        <v>5608</v>
      </c>
      <c r="D6" t="s">
        <v>6398</v>
      </c>
      <c r="E6" t="s">
        <v>6451</v>
      </c>
      <c r="F6" t="s">
        <v>13460</v>
      </c>
      <c r="G6" t="s">
        <v>13461</v>
      </c>
      <c r="H6" t="s">
        <v>13467</v>
      </c>
      <c r="I6" t="s">
        <v>6479</v>
      </c>
      <c r="J6" t="s">
        <v>13463</v>
      </c>
      <c r="K6">
        <v>0</v>
      </c>
      <c r="L6" t="s">
        <v>20</v>
      </c>
      <c r="M6" t="s">
        <v>20</v>
      </c>
      <c r="N6" t="str">
        <f>_xlfn.XLOOKUP(C:C,'Resource Table'!A:A,'Resource Table'!B:B,"NOT FOUND",0,1)</f>
        <v>Dedicated</v>
      </c>
      <c r="O6" t="str">
        <f>_xlfn.XLOOKUP(N:N,'Resource Table'!B:B,'Resource Table'!C:C,"n/a",0,1)</f>
        <v>AFS Dedicated Tech</v>
      </c>
      <c r="P6" t="str">
        <f>_xlfn.XLOOKUP(N:N,'Resource Table'!B:B,'Resource Table'!D:D,"n/a",0,1)</f>
        <v>Dedicated</v>
      </c>
    </row>
    <row r="7" spans="1:16" x14ac:dyDescent="0.45">
      <c r="A7" t="s">
        <v>5443</v>
      </c>
      <c r="B7" t="s">
        <v>5458</v>
      </c>
      <c r="C7" t="s">
        <v>5608</v>
      </c>
      <c r="D7" t="s">
        <v>6306</v>
      </c>
      <c r="E7" t="s">
        <v>6451</v>
      </c>
      <c r="F7" t="s">
        <v>13460</v>
      </c>
      <c r="G7" t="s">
        <v>13461</v>
      </c>
      <c r="H7" t="s">
        <v>13462</v>
      </c>
      <c r="I7" t="s">
        <v>6479</v>
      </c>
      <c r="J7" t="s">
        <v>13463</v>
      </c>
      <c r="K7">
        <v>1</v>
      </c>
      <c r="L7" t="s">
        <v>13468</v>
      </c>
      <c r="M7" t="s">
        <v>20</v>
      </c>
      <c r="N7" t="str">
        <f>_xlfn.XLOOKUP(C:C,'Resource Table'!A:A,'Resource Table'!B:B,"NOT FOUND",0,1)</f>
        <v>Dedicated</v>
      </c>
      <c r="O7" t="str">
        <f>_xlfn.XLOOKUP(N:N,'Resource Table'!B:B,'Resource Table'!C:C,"n/a",0,1)</f>
        <v>AFS Dedicated Tech</v>
      </c>
      <c r="P7" t="str">
        <f>_xlfn.XLOOKUP(N:N,'Resource Table'!B:B,'Resource Table'!D:D,"n/a",0,1)</f>
        <v>Dedicated</v>
      </c>
    </row>
    <row r="8" spans="1:16" x14ac:dyDescent="0.45">
      <c r="A8" t="s">
        <v>5443</v>
      </c>
      <c r="B8" t="s">
        <v>5458</v>
      </c>
      <c r="C8" t="s">
        <v>5608</v>
      </c>
      <c r="D8" t="s">
        <v>6408</v>
      </c>
      <c r="E8" t="s">
        <v>6451</v>
      </c>
      <c r="F8" t="s">
        <v>13460</v>
      </c>
      <c r="G8" t="s">
        <v>13461</v>
      </c>
      <c r="H8" t="s">
        <v>13467</v>
      </c>
      <c r="I8" t="s">
        <v>6479</v>
      </c>
      <c r="J8" t="s">
        <v>13463</v>
      </c>
      <c r="K8">
        <v>1</v>
      </c>
      <c r="L8" t="s">
        <v>13469</v>
      </c>
      <c r="M8" t="s">
        <v>20</v>
      </c>
      <c r="N8" t="str">
        <f>_xlfn.XLOOKUP(C:C,'Resource Table'!A:A,'Resource Table'!B:B,"NOT FOUND",0,1)</f>
        <v>Dedicated</v>
      </c>
      <c r="O8" t="str">
        <f>_xlfn.XLOOKUP(N:N,'Resource Table'!B:B,'Resource Table'!C:C,"n/a",0,1)</f>
        <v>AFS Dedicated Tech</v>
      </c>
      <c r="P8" t="str">
        <f>_xlfn.XLOOKUP(N:N,'Resource Table'!B:B,'Resource Table'!D:D,"n/a",0,1)</f>
        <v>Dedicated</v>
      </c>
    </row>
    <row r="9" spans="1:16" x14ac:dyDescent="0.45">
      <c r="A9" t="s">
        <v>5443</v>
      </c>
      <c r="B9" t="s">
        <v>5458</v>
      </c>
      <c r="C9" t="s">
        <v>5608</v>
      </c>
      <c r="D9" t="s">
        <v>6412</v>
      </c>
      <c r="E9" t="s">
        <v>6451</v>
      </c>
      <c r="F9" t="s">
        <v>13460</v>
      </c>
      <c r="G9" t="s">
        <v>13461</v>
      </c>
      <c r="H9" t="s">
        <v>13467</v>
      </c>
      <c r="I9" t="s">
        <v>6479</v>
      </c>
      <c r="J9" t="s">
        <v>13463</v>
      </c>
      <c r="K9">
        <v>3</v>
      </c>
      <c r="L9" t="s">
        <v>13470</v>
      </c>
      <c r="M9" t="s">
        <v>20</v>
      </c>
      <c r="N9" t="str">
        <f>_xlfn.XLOOKUP(C:C,'Resource Table'!A:A,'Resource Table'!B:B,"NOT FOUND",0,1)</f>
        <v>Dedicated</v>
      </c>
      <c r="O9" t="str">
        <f>_xlfn.XLOOKUP(N:N,'Resource Table'!B:B,'Resource Table'!C:C,"n/a",0,1)</f>
        <v>AFS Dedicated Tech</v>
      </c>
      <c r="P9" t="str">
        <f>_xlfn.XLOOKUP(N:N,'Resource Table'!B:B,'Resource Table'!D:D,"n/a",0,1)</f>
        <v>Dedicated</v>
      </c>
    </row>
    <row r="10" spans="1:16" x14ac:dyDescent="0.45">
      <c r="A10" t="s">
        <v>5443</v>
      </c>
      <c r="B10" t="s">
        <v>5458</v>
      </c>
      <c r="C10" t="s">
        <v>5608</v>
      </c>
      <c r="D10" t="s">
        <v>6386</v>
      </c>
      <c r="E10" t="s">
        <v>6451</v>
      </c>
      <c r="F10" t="s">
        <v>13460</v>
      </c>
      <c r="G10" t="s">
        <v>13461</v>
      </c>
      <c r="H10" t="s">
        <v>13471</v>
      </c>
      <c r="I10" t="s">
        <v>6479</v>
      </c>
      <c r="J10" t="s">
        <v>13463</v>
      </c>
      <c r="K10">
        <v>0</v>
      </c>
      <c r="L10" t="s">
        <v>20</v>
      </c>
      <c r="M10" t="s">
        <v>20</v>
      </c>
      <c r="N10" t="str">
        <f>_xlfn.XLOOKUP(C:C,'Resource Table'!A:A,'Resource Table'!B:B,"NOT FOUND",0,1)</f>
        <v>Dedicated</v>
      </c>
      <c r="O10" t="str">
        <f>_xlfn.XLOOKUP(N:N,'Resource Table'!B:B,'Resource Table'!C:C,"n/a",0,1)</f>
        <v>AFS Dedicated Tech</v>
      </c>
      <c r="P10" t="str">
        <f>_xlfn.XLOOKUP(N:N,'Resource Table'!B:B,'Resource Table'!D:D,"n/a",0,1)</f>
        <v>Dedicated</v>
      </c>
    </row>
    <row r="11" spans="1:16" x14ac:dyDescent="0.45">
      <c r="A11" t="s">
        <v>5443</v>
      </c>
      <c r="B11" t="s">
        <v>5458</v>
      </c>
      <c r="C11" t="s">
        <v>5608</v>
      </c>
      <c r="D11" t="s">
        <v>6307</v>
      </c>
      <c r="E11" t="s">
        <v>6451</v>
      </c>
      <c r="F11" t="s">
        <v>13460</v>
      </c>
      <c r="G11" t="s">
        <v>13461</v>
      </c>
      <c r="H11" t="s">
        <v>13462</v>
      </c>
      <c r="I11" t="s">
        <v>6479</v>
      </c>
      <c r="J11" t="s">
        <v>13463</v>
      </c>
      <c r="K11">
        <v>0</v>
      </c>
      <c r="L11" t="s">
        <v>20</v>
      </c>
      <c r="M11" t="s">
        <v>20</v>
      </c>
      <c r="N11" t="str">
        <f>_xlfn.XLOOKUP(C:C,'Resource Table'!A:A,'Resource Table'!B:B,"NOT FOUND",0,1)</f>
        <v>Dedicated</v>
      </c>
      <c r="O11" t="str">
        <f>_xlfn.XLOOKUP(N:N,'Resource Table'!B:B,'Resource Table'!C:C,"n/a",0,1)</f>
        <v>AFS Dedicated Tech</v>
      </c>
      <c r="P11" t="str">
        <f>_xlfn.XLOOKUP(N:N,'Resource Table'!B:B,'Resource Table'!D:D,"n/a",0,1)</f>
        <v>Dedicated</v>
      </c>
    </row>
    <row r="12" spans="1:16" x14ac:dyDescent="0.45">
      <c r="A12" t="s">
        <v>5443</v>
      </c>
      <c r="B12" t="s">
        <v>5458</v>
      </c>
      <c r="C12" t="s">
        <v>5608</v>
      </c>
      <c r="D12" t="s">
        <v>6274</v>
      </c>
      <c r="E12" t="s">
        <v>6451</v>
      </c>
      <c r="F12" t="s">
        <v>13460</v>
      </c>
      <c r="G12" t="s">
        <v>13461</v>
      </c>
      <c r="H12" t="s">
        <v>13465</v>
      </c>
      <c r="I12" t="s">
        <v>6479</v>
      </c>
      <c r="J12" t="s">
        <v>13463</v>
      </c>
      <c r="K12">
        <v>0</v>
      </c>
      <c r="L12" t="s">
        <v>20</v>
      </c>
      <c r="M12" t="s">
        <v>20</v>
      </c>
      <c r="N12" t="str">
        <f>_xlfn.XLOOKUP(C:C,'Resource Table'!A:A,'Resource Table'!B:B,"NOT FOUND",0,1)</f>
        <v>Dedicated</v>
      </c>
      <c r="O12" t="str">
        <f>_xlfn.XLOOKUP(N:N,'Resource Table'!B:B,'Resource Table'!C:C,"n/a",0,1)</f>
        <v>AFS Dedicated Tech</v>
      </c>
      <c r="P12" t="str">
        <f>_xlfn.XLOOKUP(N:N,'Resource Table'!B:B,'Resource Table'!D:D,"n/a",0,1)</f>
        <v>Dedicated</v>
      </c>
    </row>
    <row r="13" spans="1:16" x14ac:dyDescent="0.45">
      <c r="A13" t="s">
        <v>5443</v>
      </c>
      <c r="B13" t="s">
        <v>5458</v>
      </c>
      <c r="C13" t="s">
        <v>5608</v>
      </c>
      <c r="D13" t="s">
        <v>6392</v>
      </c>
      <c r="E13" t="s">
        <v>6451</v>
      </c>
      <c r="F13" t="s">
        <v>13460</v>
      </c>
      <c r="G13" t="s">
        <v>13461</v>
      </c>
      <c r="H13" t="s">
        <v>13471</v>
      </c>
      <c r="I13" t="s">
        <v>6479</v>
      </c>
      <c r="J13" t="s">
        <v>13463</v>
      </c>
      <c r="K13">
        <v>1</v>
      </c>
      <c r="L13" t="s">
        <v>13468</v>
      </c>
      <c r="M13" t="s">
        <v>20</v>
      </c>
      <c r="N13" t="str">
        <f>_xlfn.XLOOKUP(C:C,'Resource Table'!A:A,'Resource Table'!B:B,"NOT FOUND",0,1)</f>
        <v>Dedicated</v>
      </c>
      <c r="O13" t="str">
        <f>_xlfn.XLOOKUP(N:N,'Resource Table'!B:B,'Resource Table'!C:C,"n/a",0,1)</f>
        <v>AFS Dedicated Tech</v>
      </c>
      <c r="P13" t="str">
        <f>_xlfn.XLOOKUP(N:N,'Resource Table'!B:B,'Resource Table'!D:D,"n/a",0,1)</f>
        <v>Dedicated</v>
      </c>
    </row>
    <row r="14" spans="1:16" x14ac:dyDescent="0.45">
      <c r="A14" t="s">
        <v>5443</v>
      </c>
      <c r="B14" t="s">
        <v>5458</v>
      </c>
      <c r="C14" t="s">
        <v>5608</v>
      </c>
      <c r="D14" t="s">
        <v>6396</v>
      </c>
      <c r="E14" t="s">
        <v>6451</v>
      </c>
      <c r="F14" t="s">
        <v>13460</v>
      </c>
      <c r="G14" t="s">
        <v>13461</v>
      </c>
      <c r="H14" t="s">
        <v>13467</v>
      </c>
      <c r="I14" t="s">
        <v>6479</v>
      </c>
      <c r="J14" t="s">
        <v>13463</v>
      </c>
      <c r="K14">
        <v>1</v>
      </c>
      <c r="L14" t="s">
        <v>13469</v>
      </c>
      <c r="M14" t="s">
        <v>20</v>
      </c>
      <c r="N14" t="str">
        <f>_xlfn.XLOOKUP(C:C,'Resource Table'!A:A,'Resource Table'!B:B,"NOT FOUND",0,1)</f>
        <v>Dedicated</v>
      </c>
      <c r="O14" t="str">
        <f>_xlfn.XLOOKUP(N:N,'Resource Table'!B:B,'Resource Table'!C:C,"n/a",0,1)</f>
        <v>AFS Dedicated Tech</v>
      </c>
      <c r="P14" t="str">
        <f>_xlfn.XLOOKUP(N:N,'Resource Table'!B:B,'Resource Table'!D:D,"n/a",0,1)</f>
        <v>Dedicated</v>
      </c>
    </row>
    <row r="15" spans="1:16" x14ac:dyDescent="0.45">
      <c r="A15" t="s">
        <v>5443</v>
      </c>
      <c r="B15" t="s">
        <v>5458</v>
      </c>
      <c r="C15" t="s">
        <v>5608</v>
      </c>
      <c r="D15" t="s">
        <v>6318</v>
      </c>
      <c r="E15" t="s">
        <v>6451</v>
      </c>
      <c r="F15" t="s">
        <v>13460</v>
      </c>
      <c r="G15" t="s">
        <v>13461</v>
      </c>
      <c r="H15" t="s">
        <v>13471</v>
      </c>
      <c r="I15" t="s">
        <v>6479</v>
      </c>
      <c r="J15" t="s">
        <v>13463</v>
      </c>
      <c r="K15">
        <v>2</v>
      </c>
      <c r="L15" t="s">
        <v>13472</v>
      </c>
      <c r="M15" t="s">
        <v>20</v>
      </c>
      <c r="N15" t="str">
        <f>_xlfn.XLOOKUP(C:C,'Resource Table'!A:A,'Resource Table'!B:B,"NOT FOUND",0,1)</f>
        <v>Dedicated</v>
      </c>
      <c r="O15" t="str">
        <f>_xlfn.XLOOKUP(N:N,'Resource Table'!B:B,'Resource Table'!C:C,"n/a",0,1)</f>
        <v>AFS Dedicated Tech</v>
      </c>
      <c r="P15" t="str">
        <f>_xlfn.XLOOKUP(N:N,'Resource Table'!B:B,'Resource Table'!D:D,"n/a",0,1)</f>
        <v>Dedicated</v>
      </c>
    </row>
    <row r="16" spans="1:16" x14ac:dyDescent="0.45">
      <c r="A16" t="s">
        <v>5443</v>
      </c>
      <c r="B16" t="s">
        <v>5458</v>
      </c>
      <c r="C16" t="s">
        <v>5608</v>
      </c>
      <c r="D16" t="s">
        <v>6406</v>
      </c>
      <c r="E16" t="s">
        <v>6451</v>
      </c>
      <c r="F16" t="s">
        <v>13460</v>
      </c>
      <c r="G16" t="s">
        <v>13461</v>
      </c>
      <c r="H16" t="s">
        <v>13467</v>
      </c>
      <c r="I16" t="s">
        <v>6479</v>
      </c>
      <c r="J16" t="s">
        <v>13463</v>
      </c>
      <c r="K16">
        <v>0</v>
      </c>
      <c r="L16" t="s">
        <v>20</v>
      </c>
      <c r="M16" t="s">
        <v>20</v>
      </c>
      <c r="N16" t="str">
        <f>_xlfn.XLOOKUP(C:C,'Resource Table'!A:A,'Resource Table'!B:B,"NOT FOUND",0,1)</f>
        <v>Dedicated</v>
      </c>
      <c r="O16" t="str">
        <f>_xlfn.XLOOKUP(N:N,'Resource Table'!B:B,'Resource Table'!C:C,"n/a",0,1)</f>
        <v>AFS Dedicated Tech</v>
      </c>
      <c r="P16" t="str">
        <f>_xlfn.XLOOKUP(N:N,'Resource Table'!B:B,'Resource Table'!D:D,"n/a",0,1)</f>
        <v>Dedicated</v>
      </c>
    </row>
    <row r="17" spans="1:16" x14ac:dyDescent="0.45">
      <c r="A17" t="s">
        <v>5443</v>
      </c>
      <c r="B17" t="s">
        <v>5458</v>
      </c>
      <c r="C17" t="s">
        <v>5608</v>
      </c>
      <c r="D17" t="s">
        <v>5898</v>
      </c>
      <c r="E17" t="s">
        <v>6451</v>
      </c>
      <c r="F17" t="s">
        <v>13473</v>
      </c>
      <c r="G17" t="s">
        <v>13474</v>
      </c>
      <c r="H17" t="s">
        <v>13475</v>
      </c>
      <c r="I17" t="s">
        <v>6479</v>
      </c>
      <c r="J17" t="s">
        <v>13463</v>
      </c>
      <c r="K17">
        <v>1</v>
      </c>
      <c r="L17" t="s">
        <v>13466</v>
      </c>
      <c r="M17" t="s">
        <v>20</v>
      </c>
      <c r="N17" t="str">
        <f>_xlfn.XLOOKUP(C:C,'Resource Table'!A:A,'Resource Table'!B:B,"NOT FOUND",0,1)</f>
        <v>Dedicated</v>
      </c>
      <c r="O17" t="str">
        <f>_xlfn.XLOOKUP(N:N,'Resource Table'!B:B,'Resource Table'!C:C,"n/a",0,1)</f>
        <v>AFS Dedicated Tech</v>
      </c>
      <c r="P17" t="str">
        <f>_xlfn.XLOOKUP(N:N,'Resource Table'!B:B,'Resource Table'!D:D,"n/a",0,1)</f>
        <v>Dedicated</v>
      </c>
    </row>
    <row r="18" spans="1:16" x14ac:dyDescent="0.45">
      <c r="A18" t="s">
        <v>5443</v>
      </c>
      <c r="B18" t="s">
        <v>5458</v>
      </c>
      <c r="C18" t="s">
        <v>5608</v>
      </c>
      <c r="D18" t="s">
        <v>6310</v>
      </c>
      <c r="E18" t="s">
        <v>6451</v>
      </c>
      <c r="F18" t="s">
        <v>13460</v>
      </c>
      <c r="G18" t="s">
        <v>13461</v>
      </c>
      <c r="H18" t="s">
        <v>13471</v>
      </c>
      <c r="I18" t="s">
        <v>6479</v>
      </c>
      <c r="J18" t="s">
        <v>13463</v>
      </c>
      <c r="K18">
        <v>0</v>
      </c>
      <c r="L18" t="s">
        <v>20</v>
      </c>
      <c r="M18" t="s">
        <v>20</v>
      </c>
      <c r="N18" s="2" t="str">
        <f>_xlfn.XLOOKUP(C:C,'Resource Table'!A:A,'Resource Table'!B:B,"NOT FOUND",0,1)</f>
        <v>Dedicated</v>
      </c>
      <c r="O18" t="str">
        <f>_xlfn.XLOOKUP(N:N,'Resource Table'!B:B,'Resource Table'!C:C,"n/a",0,1)</f>
        <v>AFS Dedicated Tech</v>
      </c>
      <c r="P18" t="str">
        <f>_xlfn.XLOOKUP(N:N,'Resource Table'!B:B,'Resource Table'!D:D,"n/a",0,1)</f>
        <v>Dedicated</v>
      </c>
    </row>
    <row r="19" spans="1:16" x14ac:dyDescent="0.45">
      <c r="A19" t="s">
        <v>5443</v>
      </c>
      <c r="B19" t="s">
        <v>5458</v>
      </c>
      <c r="C19" t="s">
        <v>5608</v>
      </c>
      <c r="D19" t="s">
        <v>5900</v>
      </c>
      <c r="E19" t="s">
        <v>6451</v>
      </c>
      <c r="F19" t="s">
        <v>13473</v>
      </c>
      <c r="G19" t="s">
        <v>13474</v>
      </c>
      <c r="H19" t="s">
        <v>13475</v>
      </c>
      <c r="I19" t="s">
        <v>6479</v>
      </c>
      <c r="J19" t="s">
        <v>13463</v>
      </c>
      <c r="K19">
        <v>0</v>
      </c>
      <c r="L19" t="s">
        <v>20</v>
      </c>
      <c r="M19" t="s">
        <v>20</v>
      </c>
      <c r="N19" t="str">
        <f>_xlfn.XLOOKUP(C:C,'Resource Table'!A:A,'Resource Table'!B:B,"NOT FOUND",0,1)</f>
        <v>Dedicated</v>
      </c>
      <c r="O19" t="str">
        <f>_xlfn.XLOOKUP(N:N,'Resource Table'!B:B,'Resource Table'!C:C,"n/a",0,1)</f>
        <v>AFS Dedicated Tech</v>
      </c>
      <c r="P19" t="str">
        <f>_xlfn.XLOOKUP(N:N,'Resource Table'!B:B,'Resource Table'!D:D,"n/a",0,1)</f>
        <v>Dedicated</v>
      </c>
    </row>
    <row r="20" spans="1:16" x14ac:dyDescent="0.45">
      <c r="A20" t="s">
        <v>5443</v>
      </c>
      <c r="B20" t="s">
        <v>5458</v>
      </c>
      <c r="C20" t="s">
        <v>5608</v>
      </c>
      <c r="D20" t="s">
        <v>6391</v>
      </c>
      <c r="E20" t="s">
        <v>6451</v>
      </c>
      <c r="F20" t="s">
        <v>13460</v>
      </c>
      <c r="G20" t="s">
        <v>13461</v>
      </c>
      <c r="H20" t="s">
        <v>13471</v>
      </c>
      <c r="I20" t="s">
        <v>6479</v>
      </c>
      <c r="J20" t="s">
        <v>13463</v>
      </c>
      <c r="K20">
        <v>0</v>
      </c>
      <c r="L20" t="s">
        <v>20</v>
      </c>
      <c r="M20" t="s">
        <v>20</v>
      </c>
      <c r="N20" t="str">
        <f>_xlfn.XLOOKUP(C:C,'Resource Table'!A:A,'Resource Table'!B:B,"NOT FOUND",0,1)</f>
        <v>Dedicated</v>
      </c>
      <c r="O20" t="str">
        <f>_xlfn.XLOOKUP(N:N,'Resource Table'!B:B,'Resource Table'!C:C,"n/a",0,1)</f>
        <v>AFS Dedicated Tech</v>
      </c>
      <c r="P20" t="str">
        <f>_xlfn.XLOOKUP(N:N,'Resource Table'!B:B,'Resource Table'!D:D,"n/a",0,1)</f>
        <v>Dedicated</v>
      </c>
    </row>
    <row r="21" spans="1:16" x14ac:dyDescent="0.45">
      <c r="A21" t="s">
        <v>5443</v>
      </c>
      <c r="B21" t="s">
        <v>5450</v>
      </c>
      <c r="C21" t="s">
        <v>5853</v>
      </c>
      <c r="D21" t="s">
        <v>5854</v>
      </c>
      <c r="E21" t="s">
        <v>6451</v>
      </c>
      <c r="F21" t="s">
        <v>13473</v>
      </c>
      <c r="G21" t="s">
        <v>13474</v>
      </c>
      <c r="H21" t="s">
        <v>13475</v>
      </c>
      <c r="I21" t="s">
        <v>6479</v>
      </c>
      <c r="J21" t="s">
        <v>13463</v>
      </c>
      <c r="K21">
        <v>0</v>
      </c>
      <c r="L21" t="s">
        <v>20</v>
      </c>
      <c r="M21" t="s">
        <v>20</v>
      </c>
      <c r="N21" t="str">
        <f>_xlfn.XLOOKUP(C:C,'Resource Table'!A:A,'Resource Table'!B:B,"NOT FOUND",0,1)</f>
        <v>Hollie Francis</v>
      </c>
      <c r="O21" t="str">
        <f>_xlfn.XLOOKUP(N:N,'Resource Table'!B:B,'Resource Table'!C:C,"n/a",0,1)</f>
        <v>hfrancis@ameritfleet.com</v>
      </c>
      <c r="P21" t="str">
        <f>_xlfn.XLOOKUP(N:N,'Resource Table'!B:B,'Resource Table'!D:D,"n/a",0,1)</f>
        <v>Vended Repair</v>
      </c>
    </row>
    <row r="22" spans="1:16" x14ac:dyDescent="0.45">
      <c r="A22" t="s">
        <v>5403</v>
      </c>
      <c r="B22" t="s">
        <v>5421</v>
      </c>
      <c r="C22" t="s">
        <v>5422</v>
      </c>
      <c r="D22" t="s">
        <v>13062</v>
      </c>
      <c r="E22" t="s">
        <v>6451</v>
      </c>
      <c r="F22" t="s">
        <v>13460</v>
      </c>
      <c r="G22" t="s">
        <v>13476</v>
      </c>
      <c r="H22" t="s">
        <v>13477</v>
      </c>
      <c r="I22" t="s">
        <v>6479</v>
      </c>
      <c r="J22" t="s">
        <v>13463</v>
      </c>
      <c r="K22">
        <v>0</v>
      </c>
      <c r="L22" t="s">
        <v>20</v>
      </c>
      <c r="M22" t="s">
        <v>20</v>
      </c>
      <c r="N22" t="str">
        <f>_xlfn.XLOOKUP(C:C,'Resource Table'!A:A,'Resource Table'!B:B,"NOT FOUND",0,1)</f>
        <v>Brittany Williams</v>
      </c>
      <c r="O22" t="str">
        <f>_xlfn.XLOOKUP(N:N,'Resource Table'!B:B,'Resource Table'!C:C,"n/a",0,1)</f>
        <v>bwilliams5@ameritfleet.com</v>
      </c>
      <c r="P22" t="str">
        <f>_xlfn.XLOOKUP(N:N,'Resource Table'!B:B,'Resource Table'!D:D,"n/a",0,1)</f>
        <v>Vended Repair</v>
      </c>
    </row>
    <row r="23" spans="1:16" x14ac:dyDescent="0.45">
      <c r="A23" t="s">
        <v>5403</v>
      </c>
      <c r="B23" t="s">
        <v>5421</v>
      </c>
      <c r="C23" t="s">
        <v>5422</v>
      </c>
      <c r="D23" t="s">
        <v>198</v>
      </c>
      <c r="E23" t="s">
        <v>6451</v>
      </c>
      <c r="F23" t="s">
        <v>13460</v>
      </c>
      <c r="G23" t="s">
        <v>13476</v>
      </c>
      <c r="H23" t="s">
        <v>13478</v>
      </c>
      <c r="I23" t="s">
        <v>29</v>
      </c>
      <c r="J23" t="s">
        <v>13463</v>
      </c>
      <c r="K23">
        <v>1</v>
      </c>
      <c r="L23" t="s">
        <v>13479</v>
      </c>
      <c r="M23" t="s">
        <v>13480</v>
      </c>
      <c r="N23" t="str">
        <f>_xlfn.XLOOKUP(C:C,'Resource Table'!A:A,'Resource Table'!B:B,"NOT FOUND",0,1)</f>
        <v>Brittany Williams</v>
      </c>
      <c r="O23" t="str">
        <f>_xlfn.XLOOKUP(N:N,'Resource Table'!B:B,'Resource Table'!C:C,"n/a",0,1)</f>
        <v>bwilliams5@ameritfleet.com</v>
      </c>
      <c r="P23" t="str">
        <f>_xlfn.XLOOKUP(N:N,'Resource Table'!B:B,'Resource Table'!D:D,"n/a",0,1)</f>
        <v>Vended Repair</v>
      </c>
    </row>
    <row r="24" spans="1:16" x14ac:dyDescent="0.45">
      <c r="A24" t="s">
        <v>5403</v>
      </c>
      <c r="B24" t="s">
        <v>5421</v>
      </c>
      <c r="C24" t="s">
        <v>5422</v>
      </c>
      <c r="D24" t="s">
        <v>1415</v>
      </c>
      <c r="E24" t="s">
        <v>6461</v>
      </c>
      <c r="F24" t="s">
        <v>13460</v>
      </c>
      <c r="G24" t="s">
        <v>13481</v>
      </c>
      <c r="H24" t="s">
        <v>13482</v>
      </c>
      <c r="I24" t="s">
        <v>29</v>
      </c>
      <c r="J24" t="s">
        <v>13463</v>
      </c>
      <c r="K24">
        <v>2</v>
      </c>
      <c r="L24" t="s">
        <v>13483</v>
      </c>
      <c r="M24" t="s">
        <v>13484</v>
      </c>
      <c r="N24" t="str">
        <f>_xlfn.XLOOKUP(C:C,'Resource Table'!A:A,'Resource Table'!B:B,"NOT FOUND",0,1)</f>
        <v>Brittany Williams</v>
      </c>
      <c r="O24" t="str">
        <f>_xlfn.XLOOKUP(N:N,'Resource Table'!B:B,'Resource Table'!C:C,"n/a",0,1)</f>
        <v>bwilliams5@ameritfleet.com</v>
      </c>
      <c r="P24" t="str">
        <f>_xlfn.XLOOKUP(N:N,'Resource Table'!B:B,'Resource Table'!D:D,"n/a",0,1)</f>
        <v>Vended Repair</v>
      </c>
    </row>
    <row r="25" spans="1:16" x14ac:dyDescent="0.45">
      <c r="A25" t="s">
        <v>5403</v>
      </c>
      <c r="B25" t="s">
        <v>5421</v>
      </c>
      <c r="C25" t="s">
        <v>5422</v>
      </c>
      <c r="D25" t="s">
        <v>890</v>
      </c>
      <c r="E25" t="s">
        <v>6462</v>
      </c>
      <c r="F25" t="s">
        <v>13460</v>
      </c>
      <c r="G25" t="s">
        <v>13481</v>
      </c>
      <c r="H25" t="s">
        <v>13485</v>
      </c>
      <c r="I25" t="s">
        <v>6479</v>
      </c>
      <c r="J25" t="s">
        <v>13486</v>
      </c>
      <c r="K25">
        <v>2</v>
      </c>
      <c r="L25" t="s">
        <v>13487</v>
      </c>
      <c r="M25" t="s">
        <v>13468</v>
      </c>
      <c r="N25" t="str">
        <f>_xlfn.XLOOKUP(C:C,'Resource Table'!A:A,'Resource Table'!B:B,"NOT FOUND",0,1)</f>
        <v>Brittany Williams</v>
      </c>
      <c r="O25" t="str">
        <f>_xlfn.XLOOKUP(N:N,'Resource Table'!B:B,'Resource Table'!C:C,"n/a",0,1)</f>
        <v>bwilliams5@ameritfleet.com</v>
      </c>
      <c r="P25" t="str">
        <f>_xlfn.XLOOKUP(N:N,'Resource Table'!B:B,'Resource Table'!D:D,"n/a",0,1)</f>
        <v>Vended Repair</v>
      </c>
    </row>
    <row r="26" spans="1:16" x14ac:dyDescent="0.45">
      <c r="A26" t="s">
        <v>5403</v>
      </c>
      <c r="B26" t="s">
        <v>5421</v>
      </c>
      <c r="C26" t="s">
        <v>5422</v>
      </c>
      <c r="D26" t="s">
        <v>1707</v>
      </c>
      <c r="E26" t="s">
        <v>6461</v>
      </c>
      <c r="F26" t="s">
        <v>13460</v>
      </c>
      <c r="G26" t="s">
        <v>13461</v>
      </c>
      <c r="H26" t="s">
        <v>13488</v>
      </c>
      <c r="I26" t="s">
        <v>6479</v>
      </c>
      <c r="J26" t="s">
        <v>13463</v>
      </c>
      <c r="K26">
        <v>0</v>
      </c>
      <c r="L26" t="s">
        <v>20</v>
      </c>
      <c r="M26" t="s">
        <v>20</v>
      </c>
      <c r="N26" t="str">
        <f>_xlfn.XLOOKUP(C:C,'Resource Table'!A:A,'Resource Table'!B:B,"NOT FOUND",0,1)</f>
        <v>Brittany Williams</v>
      </c>
      <c r="O26" t="str">
        <f>_xlfn.XLOOKUP(N:N,'Resource Table'!B:B,'Resource Table'!C:C,"n/a",0,1)</f>
        <v>bwilliams5@ameritfleet.com</v>
      </c>
      <c r="P26" t="str">
        <f>_xlfn.XLOOKUP(N:N,'Resource Table'!B:B,'Resource Table'!D:D,"n/a",0,1)</f>
        <v>Vended Repair</v>
      </c>
    </row>
    <row r="27" spans="1:16" x14ac:dyDescent="0.45">
      <c r="A27" t="s">
        <v>5403</v>
      </c>
      <c r="B27" t="s">
        <v>5421</v>
      </c>
      <c r="C27" t="s">
        <v>5422</v>
      </c>
      <c r="D27" t="s">
        <v>461</v>
      </c>
      <c r="E27" t="s">
        <v>6461</v>
      </c>
      <c r="F27" t="s">
        <v>13460</v>
      </c>
      <c r="G27" t="s">
        <v>13481</v>
      </c>
      <c r="H27" t="s">
        <v>13482</v>
      </c>
      <c r="I27" t="s">
        <v>6479</v>
      </c>
      <c r="J27" t="s">
        <v>13463</v>
      </c>
      <c r="K27">
        <v>4</v>
      </c>
      <c r="L27" t="s">
        <v>13489</v>
      </c>
      <c r="M27" t="s">
        <v>13491</v>
      </c>
      <c r="N27" t="str">
        <f>_xlfn.XLOOKUP(C:C,'Resource Table'!A:A,'Resource Table'!B:B,"NOT FOUND",0,1)</f>
        <v>Brittany Williams</v>
      </c>
      <c r="O27" t="str">
        <f>_xlfn.XLOOKUP(N:N,'Resource Table'!B:B,'Resource Table'!C:C,"n/a",0,1)</f>
        <v>bwilliams5@ameritfleet.com</v>
      </c>
      <c r="P27" t="str">
        <f>_xlfn.XLOOKUP(N:N,'Resource Table'!B:B,'Resource Table'!D:D,"n/a",0,1)</f>
        <v>Vended Repair</v>
      </c>
    </row>
    <row r="28" spans="1:16" x14ac:dyDescent="0.45">
      <c r="A28" t="s">
        <v>5403</v>
      </c>
      <c r="B28" t="s">
        <v>5421</v>
      </c>
      <c r="C28" t="s">
        <v>5422</v>
      </c>
      <c r="D28" t="s">
        <v>1506</v>
      </c>
      <c r="E28" t="s">
        <v>6451</v>
      </c>
      <c r="F28" t="s">
        <v>13473</v>
      </c>
      <c r="G28" t="s">
        <v>13474</v>
      </c>
      <c r="H28" t="s">
        <v>13492</v>
      </c>
      <c r="I28" t="s">
        <v>6479</v>
      </c>
      <c r="J28" t="s">
        <v>13463</v>
      </c>
      <c r="K28">
        <v>2</v>
      </c>
      <c r="L28" t="s">
        <v>13542</v>
      </c>
      <c r="M28" t="s">
        <v>13505</v>
      </c>
      <c r="N28" t="str">
        <f>_xlfn.XLOOKUP(C:C,'Resource Table'!A:A,'Resource Table'!B:B,"NOT FOUND",0,1)</f>
        <v>Brittany Williams</v>
      </c>
      <c r="O28" t="str">
        <f>_xlfn.XLOOKUP(N:N,'Resource Table'!B:B,'Resource Table'!C:C,"n/a",0,1)</f>
        <v>bwilliams5@ameritfleet.com</v>
      </c>
      <c r="P28" t="str">
        <f>_xlfn.XLOOKUP(N:N,'Resource Table'!B:B,'Resource Table'!D:D,"n/a",0,1)</f>
        <v>Vended Repair</v>
      </c>
    </row>
    <row r="29" spans="1:16" x14ac:dyDescent="0.45">
      <c r="A29" t="s">
        <v>5403</v>
      </c>
      <c r="B29" t="s">
        <v>5421</v>
      </c>
      <c r="C29" t="s">
        <v>5422</v>
      </c>
      <c r="D29" t="s">
        <v>3410</v>
      </c>
      <c r="E29" t="s">
        <v>6461</v>
      </c>
      <c r="F29" t="s">
        <v>13460</v>
      </c>
      <c r="G29" t="s">
        <v>13481</v>
      </c>
      <c r="H29" t="s">
        <v>13482</v>
      </c>
      <c r="I29" t="s">
        <v>6479</v>
      </c>
      <c r="J29" t="s">
        <v>13463</v>
      </c>
      <c r="K29">
        <v>2</v>
      </c>
      <c r="L29" t="s">
        <v>13464</v>
      </c>
      <c r="M29" t="s">
        <v>13464</v>
      </c>
      <c r="N29" t="str">
        <f>_xlfn.XLOOKUP(C:C,'Resource Table'!A:A,'Resource Table'!B:B,"NOT FOUND",0,1)</f>
        <v>Brittany Williams</v>
      </c>
      <c r="O29" t="str">
        <f>_xlfn.XLOOKUP(N:N,'Resource Table'!B:B,'Resource Table'!C:C,"n/a",0,1)</f>
        <v>bwilliams5@ameritfleet.com</v>
      </c>
      <c r="P29" t="str">
        <f>_xlfn.XLOOKUP(N:N,'Resource Table'!B:B,'Resource Table'!D:D,"n/a",0,1)</f>
        <v>Vended Repair</v>
      </c>
    </row>
    <row r="30" spans="1:16" x14ac:dyDescent="0.45">
      <c r="A30" t="s">
        <v>5403</v>
      </c>
      <c r="B30" t="s">
        <v>5421</v>
      </c>
      <c r="C30" t="s">
        <v>5422</v>
      </c>
      <c r="D30" t="s">
        <v>406</v>
      </c>
      <c r="E30" t="s">
        <v>6461</v>
      </c>
      <c r="F30" t="s">
        <v>13460</v>
      </c>
      <c r="G30" t="s">
        <v>13481</v>
      </c>
      <c r="H30" t="s">
        <v>13490</v>
      </c>
      <c r="I30" t="s">
        <v>6479</v>
      </c>
      <c r="J30" t="s">
        <v>13463</v>
      </c>
      <c r="K30">
        <v>1</v>
      </c>
      <c r="L30" t="s">
        <v>13483</v>
      </c>
      <c r="M30" t="s">
        <v>13529</v>
      </c>
      <c r="N30" t="str">
        <f>_xlfn.XLOOKUP(C:C,'Resource Table'!A:A,'Resource Table'!B:B,"NOT FOUND",0,1)</f>
        <v>Brittany Williams</v>
      </c>
      <c r="O30" t="str">
        <f>_xlfn.XLOOKUP(N:N,'Resource Table'!B:B,'Resource Table'!C:C,"n/a",0,1)</f>
        <v>bwilliams5@ameritfleet.com</v>
      </c>
      <c r="P30" t="str">
        <f>_xlfn.XLOOKUP(N:N,'Resource Table'!B:B,'Resource Table'!D:D,"n/a",0,1)</f>
        <v>Vended Repair</v>
      </c>
    </row>
    <row r="31" spans="1:16" x14ac:dyDescent="0.45">
      <c r="A31" t="s">
        <v>5403</v>
      </c>
      <c r="B31" t="s">
        <v>5421</v>
      </c>
      <c r="C31" t="s">
        <v>5422</v>
      </c>
      <c r="D31" t="s">
        <v>48</v>
      </c>
      <c r="E31" t="s">
        <v>6451</v>
      </c>
      <c r="F31" t="s">
        <v>13473</v>
      </c>
      <c r="G31" t="s">
        <v>13474</v>
      </c>
      <c r="H31" t="s">
        <v>13492</v>
      </c>
      <c r="I31" t="s">
        <v>29</v>
      </c>
      <c r="J31" t="s">
        <v>13463</v>
      </c>
      <c r="K31">
        <v>1</v>
      </c>
      <c r="L31" t="s">
        <v>13479</v>
      </c>
      <c r="M31" t="s">
        <v>13487</v>
      </c>
      <c r="N31" t="str">
        <f>_xlfn.XLOOKUP(C:C,'Resource Table'!A:A,'Resource Table'!B:B,"NOT FOUND",0,1)</f>
        <v>Brittany Williams</v>
      </c>
      <c r="O31" t="str">
        <f>_xlfn.XLOOKUP(N:N,'Resource Table'!B:B,'Resource Table'!C:C,"n/a",0,1)</f>
        <v>bwilliams5@ameritfleet.com</v>
      </c>
      <c r="P31" t="str">
        <f>_xlfn.XLOOKUP(N:N,'Resource Table'!B:B,'Resource Table'!D:D,"n/a",0,1)</f>
        <v>Vended Repair</v>
      </c>
    </row>
    <row r="32" spans="1:16" x14ac:dyDescent="0.45">
      <c r="A32" t="s">
        <v>5403</v>
      </c>
      <c r="B32" t="s">
        <v>5421</v>
      </c>
      <c r="C32" t="s">
        <v>5422</v>
      </c>
      <c r="D32" t="s">
        <v>1987</v>
      </c>
      <c r="E32" t="s">
        <v>6461</v>
      </c>
      <c r="F32" t="s">
        <v>13460</v>
      </c>
      <c r="G32" t="s">
        <v>13481</v>
      </c>
      <c r="H32" t="s">
        <v>13482</v>
      </c>
      <c r="I32" t="s">
        <v>29</v>
      </c>
      <c r="J32" t="s">
        <v>13463</v>
      </c>
      <c r="K32">
        <v>3</v>
      </c>
      <c r="L32" t="s">
        <v>13479</v>
      </c>
      <c r="M32" t="s">
        <v>13480</v>
      </c>
      <c r="N32" t="str">
        <f>_xlfn.XLOOKUP(C:C,'Resource Table'!A:A,'Resource Table'!B:B,"NOT FOUND",0,1)</f>
        <v>Brittany Williams</v>
      </c>
      <c r="O32" t="str">
        <f>_xlfn.XLOOKUP(N:N,'Resource Table'!B:B,'Resource Table'!C:C,"n/a",0,1)</f>
        <v>bwilliams5@ameritfleet.com</v>
      </c>
      <c r="P32" t="str">
        <f>_xlfn.XLOOKUP(N:N,'Resource Table'!B:B,'Resource Table'!D:D,"n/a",0,1)</f>
        <v>Vended Repair</v>
      </c>
    </row>
    <row r="33" spans="1:16" x14ac:dyDescent="0.45">
      <c r="A33" t="s">
        <v>5403</v>
      </c>
      <c r="B33" t="s">
        <v>5421</v>
      </c>
      <c r="C33" t="s">
        <v>5425</v>
      </c>
      <c r="D33" t="s">
        <v>5648</v>
      </c>
      <c r="E33" t="s">
        <v>6451</v>
      </c>
      <c r="F33" t="s">
        <v>13460</v>
      </c>
      <c r="G33" t="s">
        <v>13476</v>
      </c>
      <c r="H33" t="s">
        <v>13478</v>
      </c>
      <c r="I33" t="s">
        <v>29</v>
      </c>
      <c r="J33" t="s">
        <v>13463</v>
      </c>
      <c r="K33">
        <v>1</v>
      </c>
      <c r="L33" t="s">
        <v>13472</v>
      </c>
      <c r="M33" t="s">
        <v>13498</v>
      </c>
      <c r="N33" t="str">
        <f>_xlfn.XLOOKUP(C:C,'Resource Table'!A:A,'Resource Table'!B:B,"NOT FOUND",0,1)</f>
        <v>Dedicated</v>
      </c>
      <c r="O33" t="str">
        <f>_xlfn.XLOOKUP(N:N,'Resource Table'!B:B,'Resource Table'!C:C,"n/a",0,1)</f>
        <v>AFS Dedicated Tech</v>
      </c>
      <c r="P33" t="str">
        <f>_xlfn.XLOOKUP(N:N,'Resource Table'!B:B,'Resource Table'!D:D,"n/a",0,1)</f>
        <v>Dedicated</v>
      </c>
    </row>
    <row r="34" spans="1:16" x14ac:dyDescent="0.45">
      <c r="A34" t="s">
        <v>5403</v>
      </c>
      <c r="B34" t="s">
        <v>5421</v>
      </c>
      <c r="C34" t="s">
        <v>5425</v>
      </c>
      <c r="D34" t="s">
        <v>5563</v>
      </c>
      <c r="E34" t="s">
        <v>6469</v>
      </c>
      <c r="F34" t="s">
        <v>13494</v>
      </c>
      <c r="G34" t="s">
        <v>13500</v>
      </c>
      <c r="H34" t="s">
        <v>13501</v>
      </c>
      <c r="I34" t="s">
        <v>29</v>
      </c>
      <c r="J34" t="s">
        <v>13463</v>
      </c>
      <c r="K34">
        <v>1</v>
      </c>
      <c r="L34" t="s">
        <v>13468</v>
      </c>
      <c r="M34" t="s">
        <v>20</v>
      </c>
      <c r="N34" t="str">
        <f>_xlfn.XLOOKUP(C:C,'Resource Table'!A:A,'Resource Table'!B:B,"NOT FOUND",0,1)</f>
        <v>Dedicated</v>
      </c>
      <c r="O34" t="str">
        <f>_xlfn.XLOOKUP(N:N,'Resource Table'!B:B,'Resource Table'!C:C,"n/a",0,1)</f>
        <v>AFS Dedicated Tech</v>
      </c>
      <c r="P34" t="str">
        <f>_xlfn.XLOOKUP(N:N,'Resource Table'!B:B,'Resource Table'!D:D,"n/a",0,1)</f>
        <v>Dedicated</v>
      </c>
    </row>
    <row r="35" spans="1:16" x14ac:dyDescent="0.45">
      <c r="A35" t="s">
        <v>5403</v>
      </c>
      <c r="B35" t="s">
        <v>5421</v>
      </c>
      <c r="C35" t="s">
        <v>5425</v>
      </c>
      <c r="D35" t="s">
        <v>6124</v>
      </c>
      <c r="E35" t="s">
        <v>6469</v>
      </c>
      <c r="F35" t="s">
        <v>13494</v>
      </c>
      <c r="G35" t="s">
        <v>13500</v>
      </c>
      <c r="H35" t="s">
        <v>13502</v>
      </c>
      <c r="I35" t="s">
        <v>6479</v>
      </c>
      <c r="J35" t="s">
        <v>13463</v>
      </c>
      <c r="K35">
        <v>1</v>
      </c>
      <c r="L35" t="s">
        <v>13480</v>
      </c>
      <c r="M35" t="s">
        <v>20</v>
      </c>
      <c r="N35" t="str">
        <f>_xlfn.XLOOKUP(C:C,'Resource Table'!A:A,'Resource Table'!B:B,"NOT FOUND",0,1)</f>
        <v>Dedicated</v>
      </c>
      <c r="O35" t="str">
        <f>_xlfn.XLOOKUP(N:N,'Resource Table'!B:B,'Resource Table'!C:C,"n/a",0,1)</f>
        <v>AFS Dedicated Tech</v>
      </c>
      <c r="P35" t="str">
        <f>_xlfn.XLOOKUP(N:N,'Resource Table'!B:B,'Resource Table'!D:D,"n/a",0,1)</f>
        <v>Dedicated</v>
      </c>
    </row>
    <row r="36" spans="1:16" x14ac:dyDescent="0.45">
      <c r="A36" t="s">
        <v>5403</v>
      </c>
      <c r="B36" t="s">
        <v>5421</v>
      </c>
      <c r="C36" t="s">
        <v>5425</v>
      </c>
      <c r="D36" t="s">
        <v>6126</v>
      </c>
      <c r="E36" t="s">
        <v>6469</v>
      </c>
      <c r="F36" t="s">
        <v>13494</v>
      </c>
      <c r="G36" t="s">
        <v>13500</v>
      </c>
      <c r="H36" t="s">
        <v>13502</v>
      </c>
      <c r="I36" t="s">
        <v>6479</v>
      </c>
      <c r="J36" t="s">
        <v>13463</v>
      </c>
      <c r="K36">
        <v>0</v>
      </c>
      <c r="L36" t="s">
        <v>20</v>
      </c>
      <c r="M36" t="s">
        <v>20</v>
      </c>
      <c r="N36" t="str">
        <f>_xlfn.XLOOKUP(C:C,'Resource Table'!A:A,'Resource Table'!B:B,"NOT FOUND",0,1)</f>
        <v>Dedicated</v>
      </c>
      <c r="O36" t="str">
        <f>_xlfn.XLOOKUP(N:N,'Resource Table'!B:B,'Resource Table'!C:C,"n/a",0,1)</f>
        <v>AFS Dedicated Tech</v>
      </c>
      <c r="P36" t="str">
        <f>_xlfn.XLOOKUP(N:N,'Resource Table'!B:B,'Resource Table'!D:D,"n/a",0,1)</f>
        <v>Dedicated</v>
      </c>
    </row>
    <row r="37" spans="1:16" x14ac:dyDescent="0.45">
      <c r="A37" t="s">
        <v>5403</v>
      </c>
      <c r="B37" t="s">
        <v>5421</v>
      </c>
      <c r="C37" t="s">
        <v>5425</v>
      </c>
      <c r="D37" t="s">
        <v>6269</v>
      </c>
      <c r="E37" t="s">
        <v>6451</v>
      </c>
      <c r="F37" t="s">
        <v>13460</v>
      </c>
      <c r="G37" t="s">
        <v>13461</v>
      </c>
      <c r="H37" t="s">
        <v>13465</v>
      </c>
      <c r="I37" t="s">
        <v>29</v>
      </c>
      <c r="J37" t="s">
        <v>13463</v>
      </c>
      <c r="K37">
        <v>1</v>
      </c>
      <c r="L37" t="s">
        <v>13503</v>
      </c>
      <c r="M37" t="s">
        <v>20</v>
      </c>
      <c r="N37" t="str">
        <f>_xlfn.XLOOKUP(C:C,'Resource Table'!A:A,'Resource Table'!B:B,"NOT FOUND",0,1)</f>
        <v>Dedicated</v>
      </c>
      <c r="O37" t="str">
        <f>_xlfn.XLOOKUP(N:N,'Resource Table'!B:B,'Resource Table'!C:C,"n/a",0,1)</f>
        <v>AFS Dedicated Tech</v>
      </c>
      <c r="P37" t="str">
        <f>_xlfn.XLOOKUP(N:N,'Resource Table'!B:B,'Resource Table'!D:D,"n/a",0,1)</f>
        <v>Dedicated</v>
      </c>
    </row>
    <row r="38" spans="1:16" x14ac:dyDescent="0.45">
      <c r="A38" t="s">
        <v>5403</v>
      </c>
      <c r="B38" t="s">
        <v>5421</v>
      </c>
      <c r="C38" t="s">
        <v>5425</v>
      </c>
      <c r="D38" t="s">
        <v>6125</v>
      </c>
      <c r="E38" t="s">
        <v>6469</v>
      </c>
      <c r="F38" t="s">
        <v>13494</v>
      </c>
      <c r="G38" t="s">
        <v>13500</v>
      </c>
      <c r="H38" t="s">
        <v>13502</v>
      </c>
      <c r="I38" t="s">
        <v>6479</v>
      </c>
      <c r="J38" t="s">
        <v>13463</v>
      </c>
      <c r="K38">
        <v>0</v>
      </c>
      <c r="L38" t="s">
        <v>20</v>
      </c>
      <c r="M38" t="s">
        <v>20</v>
      </c>
      <c r="N38" t="str">
        <f>_xlfn.XLOOKUP(C:C,'Resource Table'!A:A,'Resource Table'!B:B,"NOT FOUND",0,1)</f>
        <v>Dedicated</v>
      </c>
      <c r="O38" t="str">
        <f>_xlfn.XLOOKUP(N:N,'Resource Table'!B:B,'Resource Table'!C:C,"n/a",0,1)</f>
        <v>AFS Dedicated Tech</v>
      </c>
      <c r="P38" t="str">
        <f>_xlfn.XLOOKUP(N:N,'Resource Table'!B:B,'Resource Table'!D:D,"n/a",0,1)</f>
        <v>Dedicated</v>
      </c>
    </row>
    <row r="39" spans="1:16" x14ac:dyDescent="0.45">
      <c r="A39" t="s">
        <v>5403</v>
      </c>
      <c r="B39" t="s">
        <v>5421</v>
      </c>
      <c r="C39" t="s">
        <v>5425</v>
      </c>
      <c r="D39" t="s">
        <v>5650</v>
      </c>
      <c r="E39" t="s">
        <v>6451</v>
      </c>
      <c r="F39" t="s">
        <v>13460</v>
      </c>
      <c r="G39" t="s">
        <v>13476</v>
      </c>
      <c r="H39" t="s">
        <v>13478</v>
      </c>
      <c r="I39" t="s">
        <v>6479</v>
      </c>
      <c r="J39" t="s">
        <v>13463</v>
      </c>
      <c r="K39">
        <v>1</v>
      </c>
      <c r="L39" t="s">
        <v>13504</v>
      </c>
      <c r="M39" t="s">
        <v>13505</v>
      </c>
      <c r="N39" t="str">
        <f>_xlfn.XLOOKUP(C:C,'Resource Table'!A:A,'Resource Table'!B:B,"NOT FOUND",0,1)</f>
        <v>Dedicated</v>
      </c>
      <c r="O39" t="str">
        <f>_xlfn.XLOOKUP(N:N,'Resource Table'!B:B,'Resource Table'!C:C,"n/a",0,1)</f>
        <v>AFS Dedicated Tech</v>
      </c>
      <c r="P39" t="str">
        <f>_xlfn.XLOOKUP(N:N,'Resource Table'!B:B,'Resource Table'!D:D,"n/a",0,1)</f>
        <v>Dedicated</v>
      </c>
    </row>
    <row r="40" spans="1:16" x14ac:dyDescent="0.45">
      <c r="A40" t="s">
        <v>5403</v>
      </c>
      <c r="B40" t="s">
        <v>5421</v>
      </c>
      <c r="C40" t="s">
        <v>5425</v>
      </c>
      <c r="D40" t="s">
        <v>6127</v>
      </c>
      <c r="E40" t="s">
        <v>6469</v>
      </c>
      <c r="F40" t="s">
        <v>13494</v>
      </c>
      <c r="G40" t="s">
        <v>13500</v>
      </c>
      <c r="H40" t="s">
        <v>13502</v>
      </c>
      <c r="I40" t="s">
        <v>6479</v>
      </c>
      <c r="J40" t="s">
        <v>13486</v>
      </c>
      <c r="K40">
        <v>1</v>
      </c>
      <c r="L40" t="s">
        <v>13468</v>
      </c>
      <c r="M40" t="s">
        <v>20</v>
      </c>
      <c r="N40" t="str">
        <f>_xlfn.XLOOKUP(C:C,'Resource Table'!A:A,'Resource Table'!B:B,"NOT FOUND",0,1)</f>
        <v>Dedicated</v>
      </c>
      <c r="O40" t="str">
        <f>_xlfn.XLOOKUP(N:N,'Resource Table'!B:B,'Resource Table'!C:C,"n/a",0,1)</f>
        <v>AFS Dedicated Tech</v>
      </c>
      <c r="P40" t="str">
        <f>_xlfn.XLOOKUP(N:N,'Resource Table'!B:B,'Resource Table'!D:D,"n/a",0,1)</f>
        <v>Dedicated</v>
      </c>
    </row>
    <row r="41" spans="1:16" x14ac:dyDescent="0.45">
      <c r="A41" t="s">
        <v>5403</v>
      </c>
      <c r="B41" t="s">
        <v>5421</v>
      </c>
      <c r="C41" t="s">
        <v>5425</v>
      </c>
      <c r="D41" t="s">
        <v>6128</v>
      </c>
      <c r="E41" t="s">
        <v>6469</v>
      </c>
      <c r="F41" t="s">
        <v>13494</v>
      </c>
      <c r="G41" t="s">
        <v>13500</v>
      </c>
      <c r="H41" t="s">
        <v>13501</v>
      </c>
      <c r="I41" t="s">
        <v>6479</v>
      </c>
      <c r="J41" t="s">
        <v>13463</v>
      </c>
      <c r="K41">
        <v>0</v>
      </c>
      <c r="L41" t="s">
        <v>20</v>
      </c>
      <c r="M41" t="s">
        <v>20</v>
      </c>
      <c r="N41" t="str">
        <f>_xlfn.XLOOKUP(C:C,'Resource Table'!A:A,'Resource Table'!B:B,"NOT FOUND",0,1)</f>
        <v>Dedicated</v>
      </c>
      <c r="O41" t="str">
        <f>_xlfn.XLOOKUP(N:N,'Resource Table'!B:B,'Resource Table'!C:C,"n/a",0,1)</f>
        <v>AFS Dedicated Tech</v>
      </c>
      <c r="P41" t="str">
        <f>_xlfn.XLOOKUP(N:N,'Resource Table'!B:B,'Resource Table'!D:D,"n/a",0,1)</f>
        <v>Dedicated</v>
      </c>
    </row>
    <row r="42" spans="1:16" x14ac:dyDescent="0.45">
      <c r="A42" t="s">
        <v>5403</v>
      </c>
      <c r="B42" t="s">
        <v>5421</v>
      </c>
      <c r="C42" t="s">
        <v>5425</v>
      </c>
      <c r="D42" t="s">
        <v>5565</v>
      </c>
      <c r="E42" t="s">
        <v>6461</v>
      </c>
      <c r="F42" t="s">
        <v>13494</v>
      </c>
      <c r="G42" t="s">
        <v>13495</v>
      </c>
      <c r="H42" t="s">
        <v>13496</v>
      </c>
      <c r="I42" t="s">
        <v>6479</v>
      </c>
      <c r="J42" t="s">
        <v>13463</v>
      </c>
      <c r="K42">
        <v>1</v>
      </c>
      <c r="L42" t="s">
        <v>13497</v>
      </c>
      <c r="M42" t="s">
        <v>13498</v>
      </c>
      <c r="N42" t="str">
        <f>_xlfn.XLOOKUP(C:C,'Resource Table'!A:A,'Resource Table'!B:B,"NOT FOUND",0,1)</f>
        <v>Dedicated</v>
      </c>
      <c r="O42" t="str">
        <f>_xlfn.XLOOKUP(N:N,'Resource Table'!B:B,'Resource Table'!C:C,"n/a",0,1)</f>
        <v>AFS Dedicated Tech</v>
      </c>
      <c r="P42" t="str">
        <f>_xlfn.XLOOKUP(N:N,'Resource Table'!B:B,'Resource Table'!D:D,"n/a",0,1)</f>
        <v>Dedicated</v>
      </c>
    </row>
    <row r="43" spans="1:16" x14ac:dyDescent="0.45">
      <c r="A43" t="s">
        <v>5403</v>
      </c>
      <c r="B43" t="s">
        <v>5421</v>
      </c>
      <c r="C43" t="s">
        <v>5425</v>
      </c>
      <c r="D43" t="s">
        <v>5426</v>
      </c>
      <c r="E43" t="s">
        <v>6451</v>
      </c>
      <c r="F43" t="s">
        <v>13460</v>
      </c>
      <c r="G43" t="s">
        <v>13476</v>
      </c>
      <c r="H43" t="s">
        <v>13478</v>
      </c>
      <c r="I43" t="s">
        <v>6479</v>
      </c>
      <c r="J43" t="s">
        <v>13463</v>
      </c>
      <c r="K43">
        <v>0</v>
      </c>
      <c r="L43" t="s">
        <v>20</v>
      </c>
      <c r="M43" t="s">
        <v>20</v>
      </c>
      <c r="N43" t="str">
        <f>_xlfn.XLOOKUP(C:C,'Resource Table'!A:A,'Resource Table'!B:B,"NOT FOUND",0,1)</f>
        <v>Dedicated</v>
      </c>
      <c r="O43" t="str">
        <f>_xlfn.XLOOKUP(N:N,'Resource Table'!B:B,'Resource Table'!C:C,"n/a",0,1)</f>
        <v>AFS Dedicated Tech</v>
      </c>
      <c r="P43" t="str">
        <f>_xlfn.XLOOKUP(N:N,'Resource Table'!B:B,'Resource Table'!D:D,"n/a",0,1)</f>
        <v>Dedicated</v>
      </c>
    </row>
    <row r="44" spans="1:16" x14ac:dyDescent="0.45">
      <c r="A44" t="s">
        <v>5403</v>
      </c>
      <c r="B44" t="s">
        <v>5421</v>
      </c>
      <c r="C44" t="s">
        <v>5425</v>
      </c>
      <c r="D44" t="s">
        <v>329</v>
      </c>
      <c r="E44" t="s">
        <v>6451</v>
      </c>
      <c r="F44" t="s">
        <v>13473</v>
      </c>
      <c r="G44" t="s">
        <v>13474</v>
      </c>
      <c r="H44" t="s">
        <v>13492</v>
      </c>
      <c r="I44" t="s">
        <v>29</v>
      </c>
      <c r="J44" t="s">
        <v>13463</v>
      </c>
      <c r="K44">
        <v>1</v>
      </c>
      <c r="L44" t="s">
        <v>13499</v>
      </c>
      <c r="M44" t="s">
        <v>13498</v>
      </c>
      <c r="N44" t="str">
        <f>_xlfn.XLOOKUP(C:C,'Resource Table'!A:A,'Resource Table'!B:B,"NOT FOUND",0,1)</f>
        <v>Dedicated</v>
      </c>
      <c r="O44" t="str">
        <f>_xlfn.XLOOKUP(N:N,'Resource Table'!B:B,'Resource Table'!C:C,"n/a",0,1)</f>
        <v>AFS Dedicated Tech</v>
      </c>
      <c r="P44" t="str">
        <f>_xlfn.XLOOKUP(N:N,'Resource Table'!B:B,'Resource Table'!D:D,"n/a",0,1)</f>
        <v>Dedicated</v>
      </c>
    </row>
    <row r="45" spans="1:16" x14ac:dyDescent="0.45">
      <c r="A45" t="s">
        <v>5403</v>
      </c>
      <c r="B45" t="s">
        <v>5421</v>
      </c>
      <c r="C45" t="s">
        <v>5425</v>
      </c>
      <c r="D45" t="s">
        <v>5706</v>
      </c>
      <c r="E45" t="s">
        <v>6451</v>
      </c>
      <c r="F45" t="s">
        <v>13473</v>
      </c>
      <c r="G45" t="s">
        <v>13474</v>
      </c>
      <c r="H45" t="s">
        <v>13492</v>
      </c>
      <c r="I45" t="s">
        <v>29</v>
      </c>
      <c r="J45" t="s">
        <v>13463</v>
      </c>
      <c r="K45">
        <v>2</v>
      </c>
      <c r="L45" t="s">
        <v>13464</v>
      </c>
      <c r="M45" t="s">
        <v>13498</v>
      </c>
      <c r="N45" t="str">
        <f>_xlfn.XLOOKUP(C:C,'Resource Table'!A:A,'Resource Table'!B:B,"NOT FOUND",0,1)</f>
        <v>Dedicated</v>
      </c>
      <c r="O45" t="str">
        <f>_xlfn.XLOOKUP(N:N,'Resource Table'!B:B,'Resource Table'!C:C,"n/a",0,1)</f>
        <v>AFS Dedicated Tech</v>
      </c>
      <c r="P45" t="str">
        <f>_xlfn.XLOOKUP(N:N,'Resource Table'!B:B,'Resource Table'!D:D,"n/a",0,1)</f>
        <v>Dedicated</v>
      </c>
    </row>
    <row r="46" spans="1:16" x14ac:dyDescent="0.45">
      <c r="A46" t="s">
        <v>5403</v>
      </c>
      <c r="B46" t="s">
        <v>5421</v>
      </c>
      <c r="C46" t="s">
        <v>5425</v>
      </c>
      <c r="D46" t="s">
        <v>6179</v>
      </c>
      <c r="E46" t="s">
        <v>6461</v>
      </c>
      <c r="F46" t="s">
        <v>13460</v>
      </c>
      <c r="G46" t="s">
        <v>13481</v>
      </c>
      <c r="H46" t="s">
        <v>13506</v>
      </c>
      <c r="I46" t="s">
        <v>6479</v>
      </c>
      <c r="J46" t="s">
        <v>13463</v>
      </c>
      <c r="K46">
        <v>0</v>
      </c>
      <c r="L46" t="s">
        <v>20</v>
      </c>
      <c r="M46" t="s">
        <v>20</v>
      </c>
      <c r="N46" t="str">
        <f>_xlfn.XLOOKUP(C:C,'Resource Table'!A:A,'Resource Table'!B:B,"NOT FOUND",0,1)</f>
        <v>Dedicated</v>
      </c>
      <c r="O46" t="str">
        <f>_xlfn.XLOOKUP(N:N,'Resource Table'!B:B,'Resource Table'!C:C,"n/a",0,1)</f>
        <v>AFS Dedicated Tech</v>
      </c>
      <c r="P46" t="str">
        <f>_xlfn.XLOOKUP(N:N,'Resource Table'!B:B,'Resource Table'!D:D,"n/a",0,1)</f>
        <v>Dedicated</v>
      </c>
    </row>
    <row r="47" spans="1:16" x14ac:dyDescent="0.45">
      <c r="A47" t="s">
        <v>5403</v>
      </c>
      <c r="B47" t="s">
        <v>5421</v>
      </c>
      <c r="C47" t="s">
        <v>5425</v>
      </c>
      <c r="D47" t="s">
        <v>8954</v>
      </c>
      <c r="E47" t="s">
        <v>6461</v>
      </c>
      <c r="F47" t="s">
        <v>13460</v>
      </c>
      <c r="G47" t="s">
        <v>13481</v>
      </c>
      <c r="H47" t="s">
        <v>13506</v>
      </c>
      <c r="I47" t="s">
        <v>6479</v>
      </c>
      <c r="J47" t="s">
        <v>13463</v>
      </c>
      <c r="K47">
        <v>0</v>
      </c>
      <c r="L47" t="s">
        <v>20</v>
      </c>
      <c r="M47" t="s">
        <v>20</v>
      </c>
      <c r="N47" t="str">
        <f>_xlfn.XLOOKUP(C:C,'Resource Table'!A:A,'Resource Table'!B:B,"NOT FOUND",0,1)</f>
        <v>Dedicated</v>
      </c>
      <c r="O47" t="str">
        <f>_xlfn.XLOOKUP(N:N,'Resource Table'!B:B,'Resource Table'!C:C,"n/a",0,1)</f>
        <v>AFS Dedicated Tech</v>
      </c>
      <c r="P47" t="str">
        <f>_xlfn.XLOOKUP(N:N,'Resource Table'!B:B,'Resource Table'!D:D,"n/a",0,1)</f>
        <v>Dedicated</v>
      </c>
    </row>
    <row r="48" spans="1:16" x14ac:dyDescent="0.45">
      <c r="A48" t="s">
        <v>5403</v>
      </c>
      <c r="B48" t="s">
        <v>5421</v>
      </c>
      <c r="C48" t="s">
        <v>5425</v>
      </c>
      <c r="D48" t="s">
        <v>8947</v>
      </c>
      <c r="E48" t="s">
        <v>6461</v>
      </c>
      <c r="F48" t="s">
        <v>13460</v>
      </c>
      <c r="G48" t="s">
        <v>13481</v>
      </c>
      <c r="H48" t="s">
        <v>13506</v>
      </c>
      <c r="I48" t="s">
        <v>6479</v>
      </c>
      <c r="J48" t="s">
        <v>13463</v>
      </c>
      <c r="K48">
        <v>0</v>
      </c>
      <c r="L48" t="s">
        <v>20</v>
      </c>
      <c r="M48" t="s">
        <v>20</v>
      </c>
      <c r="N48" t="str">
        <f>_xlfn.XLOOKUP(C:C,'Resource Table'!A:A,'Resource Table'!B:B,"NOT FOUND",0,1)</f>
        <v>Dedicated</v>
      </c>
      <c r="O48" t="str">
        <f>_xlfn.XLOOKUP(N:N,'Resource Table'!B:B,'Resource Table'!C:C,"n/a",0,1)</f>
        <v>AFS Dedicated Tech</v>
      </c>
      <c r="P48" t="str">
        <f>_xlfn.XLOOKUP(N:N,'Resource Table'!B:B,'Resource Table'!D:D,"n/a",0,1)</f>
        <v>Dedicated</v>
      </c>
    </row>
    <row r="49" spans="1:16" x14ac:dyDescent="0.45">
      <c r="A49" t="s">
        <v>5403</v>
      </c>
      <c r="B49" t="s">
        <v>5421</v>
      </c>
      <c r="C49" t="s">
        <v>5425</v>
      </c>
      <c r="D49" t="s">
        <v>8948</v>
      </c>
      <c r="E49" t="s">
        <v>6461</v>
      </c>
      <c r="F49" t="s">
        <v>13460</v>
      </c>
      <c r="G49" t="s">
        <v>13481</v>
      </c>
      <c r="H49" t="s">
        <v>13506</v>
      </c>
      <c r="I49" t="s">
        <v>6479</v>
      </c>
      <c r="J49" t="s">
        <v>13463</v>
      </c>
      <c r="K49">
        <v>0</v>
      </c>
      <c r="L49" t="s">
        <v>20</v>
      </c>
      <c r="M49" t="s">
        <v>20</v>
      </c>
      <c r="N49" t="str">
        <f>_xlfn.XLOOKUP(C:C,'Resource Table'!A:A,'Resource Table'!B:B,"NOT FOUND",0,1)</f>
        <v>Dedicated</v>
      </c>
      <c r="O49" t="str">
        <f>_xlfn.XLOOKUP(N:N,'Resource Table'!B:B,'Resource Table'!C:C,"n/a",0,1)</f>
        <v>AFS Dedicated Tech</v>
      </c>
      <c r="P49" t="str">
        <f>_xlfn.XLOOKUP(N:N,'Resource Table'!B:B,'Resource Table'!D:D,"n/a",0,1)</f>
        <v>Dedicated</v>
      </c>
    </row>
    <row r="50" spans="1:16" x14ac:dyDescent="0.45">
      <c r="A50" t="s">
        <v>5403</v>
      </c>
      <c r="B50" t="s">
        <v>5421</v>
      </c>
      <c r="C50" t="s">
        <v>5425</v>
      </c>
      <c r="D50" t="s">
        <v>8949</v>
      </c>
      <c r="E50" t="s">
        <v>6461</v>
      </c>
      <c r="F50" t="s">
        <v>13460</v>
      </c>
      <c r="G50" t="s">
        <v>13481</v>
      </c>
      <c r="H50" t="s">
        <v>13506</v>
      </c>
      <c r="I50" t="s">
        <v>6479</v>
      </c>
      <c r="J50" t="s">
        <v>13463</v>
      </c>
      <c r="K50">
        <v>0</v>
      </c>
      <c r="L50" t="s">
        <v>20</v>
      </c>
      <c r="M50" t="s">
        <v>20</v>
      </c>
      <c r="N50" t="str">
        <f>_xlfn.XLOOKUP(C:C,'Resource Table'!A:A,'Resource Table'!B:B,"NOT FOUND",0,1)</f>
        <v>Dedicated</v>
      </c>
      <c r="O50" t="str">
        <f>_xlfn.XLOOKUP(N:N,'Resource Table'!B:B,'Resource Table'!C:C,"n/a",0,1)</f>
        <v>AFS Dedicated Tech</v>
      </c>
      <c r="P50" t="str">
        <f>_xlfn.XLOOKUP(N:N,'Resource Table'!B:B,'Resource Table'!D:D,"n/a",0,1)</f>
        <v>Dedicated</v>
      </c>
    </row>
    <row r="51" spans="1:16" x14ac:dyDescent="0.45">
      <c r="A51" t="s">
        <v>5403</v>
      </c>
      <c r="B51" t="s">
        <v>5421</v>
      </c>
      <c r="C51" t="s">
        <v>5425</v>
      </c>
      <c r="D51" t="s">
        <v>8950</v>
      </c>
      <c r="E51" t="s">
        <v>6461</v>
      </c>
      <c r="F51" t="s">
        <v>13460</v>
      </c>
      <c r="G51" t="s">
        <v>13481</v>
      </c>
      <c r="H51" t="s">
        <v>13506</v>
      </c>
      <c r="I51" t="s">
        <v>6479</v>
      </c>
      <c r="J51" t="s">
        <v>13463</v>
      </c>
      <c r="K51">
        <v>0</v>
      </c>
      <c r="L51" t="s">
        <v>20</v>
      </c>
      <c r="M51" t="s">
        <v>20</v>
      </c>
      <c r="N51" t="str">
        <f>_xlfn.XLOOKUP(C:C,'Resource Table'!A:A,'Resource Table'!B:B,"NOT FOUND",0,1)</f>
        <v>Dedicated</v>
      </c>
      <c r="O51" t="str">
        <f>_xlfn.XLOOKUP(N:N,'Resource Table'!B:B,'Resource Table'!C:C,"n/a",0,1)</f>
        <v>AFS Dedicated Tech</v>
      </c>
      <c r="P51" t="str">
        <f>_xlfn.XLOOKUP(N:N,'Resource Table'!B:B,'Resource Table'!D:D,"n/a",0,1)</f>
        <v>Dedicated</v>
      </c>
    </row>
    <row r="52" spans="1:16" x14ac:dyDescent="0.45">
      <c r="A52" t="s">
        <v>5403</v>
      </c>
      <c r="B52" t="s">
        <v>5421</v>
      </c>
      <c r="C52" t="s">
        <v>5425</v>
      </c>
      <c r="D52" t="s">
        <v>8951</v>
      </c>
      <c r="E52" t="s">
        <v>6461</v>
      </c>
      <c r="F52" t="s">
        <v>13460</v>
      </c>
      <c r="G52" t="s">
        <v>13481</v>
      </c>
      <c r="H52" t="s">
        <v>13506</v>
      </c>
      <c r="I52" t="s">
        <v>6479</v>
      </c>
      <c r="J52" t="s">
        <v>13463</v>
      </c>
      <c r="K52">
        <v>0</v>
      </c>
      <c r="L52" t="s">
        <v>20</v>
      </c>
      <c r="M52" t="s">
        <v>20</v>
      </c>
      <c r="N52" t="str">
        <f>_xlfn.XLOOKUP(C:C,'Resource Table'!A:A,'Resource Table'!B:B,"NOT FOUND",0,1)</f>
        <v>Dedicated</v>
      </c>
      <c r="O52" t="str">
        <f>_xlfn.XLOOKUP(N:N,'Resource Table'!B:B,'Resource Table'!C:C,"n/a",0,1)</f>
        <v>AFS Dedicated Tech</v>
      </c>
      <c r="P52" t="str">
        <f>_xlfn.XLOOKUP(N:N,'Resource Table'!B:B,'Resource Table'!D:D,"n/a",0,1)</f>
        <v>Dedicated</v>
      </c>
    </row>
    <row r="53" spans="1:16" x14ac:dyDescent="0.45">
      <c r="A53" t="s">
        <v>5403</v>
      </c>
      <c r="B53" t="s">
        <v>5421</v>
      </c>
      <c r="C53" t="s">
        <v>5425</v>
      </c>
      <c r="D53" t="s">
        <v>8952</v>
      </c>
      <c r="E53" t="s">
        <v>6461</v>
      </c>
      <c r="F53" t="s">
        <v>13460</v>
      </c>
      <c r="G53" t="s">
        <v>13481</v>
      </c>
      <c r="H53" t="s">
        <v>13506</v>
      </c>
      <c r="I53" t="s">
        <v>6479</v>
      </c>
      <c r="J53" t="s">
        <v>13463</v>
      </c>
      <c r="K53">
        <v>1</v>
      </c>
      <c r="L53" t="s">
        <v>13466</v>
      </c>
      <c r="M53" t="s">
        <v>20</v>
      </c>
      <c r="N53" t="str">
        <f>_xlfn.XLOOKUP(C:C,'Resource Table'!A:A,'Resource Table'!B:B,"NOT FOUND",0,1)</f>
        <v>Dedicated</v>
      </c>
      <c r="O53" t="str">
        <f>_xlfn.XLOOKUP(N:N,'Resource Table'!B:B,'Resource Table'!C:C,"n/a",0,1)</f>
        <v>AFS Dedicated Tech</v>
      </c>
      <c r="P53" t="str">
        <f>_xlfn.XLOOKUP(N:N,'Resource Table'!B:B,'Resource Table'!D:D,"n/a",0,1)</f>
        <v>Dedicated</v>
      </c>
    </row>
    <row r="54" spans="1:16" x14ac:dyDescent="0.45">
      <c r="A54" t="s">
        <v>5403</v>
      </c>
      <c r="B54" t="s">
        <v>5421</v>
      </c>
      <c r="C54" t="s">
        <v>5425</v>
      </c>
      <c r="D54" t="s">
        <v>8953</v>
      </c>
      <c r="E54" t="s">
        <v>6461</v>
      </c>
      <c r="F54" t="s">
        <v>13460</v>
      </c>
      <c r="G54" t="s">
        <v>13481</v>
      </c>
      <c r="H54" t="s">
        <v>13506</v>
      </c>
      <c r="I54" t="s">
        <v>6479</v>
      </c>
      <c r="J54" t="s">
        <v>13463</v>
      </c>
      <c r="K54">
        <v>0</v>
      </c>
      <c r="L54" t="s">
        <v>20</v>
      </c>
      <c r="M54" t="s">
        <v>20</v>
      </c>
      <c r="N54" t="str">
        <f>_xlfn.XLOOKUP(C:C,'Resource Table'!A:A,'Resource Table'!B:B,"NOT FOUND",0,1)</f>
        <v>Dedicated</v>
      </c>
      <c r="O54" t="str">
        <f>_xlfn.XLOOKUP(N:N,'Resource Table'!B:B,'Resource Table'!C:C,"n/a",0,1)</f>
        <v>AFS Dedicated Tech</v>
      </c>
      <c r="P54" t="str">
        <f>_xlfn.XLOOKUP(N:N,'Resource Table'!B:B,'Resource Table'!D:D,"n/a",0,1)</f>
        <v>Dedicated</v>
      </c>
    </row>
    <row r="55" spans="1:16" x14ac:dyDescent="0.45">
      <c r="A55" t="s">
        <v>5403</v>
      </c>
      <c r="B55" t="s">
        <v>5421</v>
      </c>
      <c r="C55" t="s">
        <v>5425</v>
      </c>
      <c r="D55" t="s">
        <v>8955</v>
      </c>
      <c r="E55" t="s">
        <v>6461</v>
      </c>
      <c r="F55" t="s">
        <v>13460</v>
      </c>
      <c r="G55" t="s">
        <v>13481</v>
      </c>
      <c r="H55" t="s">
        <v>13506</v>
      </c>
      <c r="I55" t="s">
        <v>6479</v>
      </c>
      <c r="J55" t="s">
        <v>13463</v>
      </c>
      <c r="K55">
        <v>2</v>
      </c>
      <c r="L55" t="s">
        <v>13507</v>
      </c>
      <c r="M55" t="s">
        <v>20</v>
      </c>
      <c r="N55" t="str">
        <f>_xlfn.XLOOKUP(C:C,'Resource Table'!A:A,'Resource Table'!B:B,"NOT FOUND",0,1)</f>
        <v>Dedicated</v>
      </c>
      <c r="O55" t="str">
        <f>_xlfn.XLOOKUP(N:N,'Resource Table'!B:B,'Resource Table'!C:C,"n/a",0,1)</f>
        <v>AFS Dedicated Tech</v>
      </c>
      <c r="P55" t="str">
        <f>_xlfn.XLOOKUP(N:N,'Resource Table'!B:B,'Resource Table'!D:D,"n/a",0,1)</f>
        <v>Dedicated</v>
      </c>
    </row>
    <row r="56" spans="1:16" x14ac:dyDescent="0.45">
      <c r="A56" t="s">
        <v>5403</v>
      </c>
      <c r="B56" t="s">
        <v>5421</v>
      </c>
      <c r="C56" t="s">
        <v>5425</v>
      </c>
      <c r="D56" t="s">
        <v>8956</v>
      </c>
      <c r="E56" t="s">
        <v>6461</v>
      </c>
      <c r="F56" t="s">
        <v>13460</v>
      </c>
      <c r="G56" t="s">
        <v>13481</v>
      </c>
      <c r="H56" t="s">
        <v>13506</v>
      </c>
      <c r="I56" t="s">
        <v>6479</v>
      </c>
      <c r="J56" t="s">
        <v>13463</v>
      </c>
      <c r="K56">
        <v>0</v>
      </c>
      <c r="L56" t="s">
        <v>20</v>
      </c>
      <c r="M56" t="s">
        <v>20</v>
      </c>
      <c r="N56" t="str">
        <f>_xlfn.XLOOKUP(C:C,'Resource Table'!A:A,'Resource Table'!B:B,"NOT FOUND",0,1)</f>
        <v>Dedicated</v>
      </c>
      <c r="O56" t="str">
        <f>_xlfn.XLOOKUP(N:N,'Resource Table'!B:B,'Resource Table'!C:C,"n/a",0,1)</f>
        <v>AFS Dedicated Tech</v>
      </c>
      <c r="P56" t="str">
        <f>_xlfn.XLOOKUP(N:N,'Resource Table'!B:B,'Resource Table'!D:D,"n/a",0,1)</f>
        <v>Dedicated</v>
      </c>
    </row>
    <row r="57" spans="1:16" x14ac:dyDescent="0.45">
      <c r="A57" t="s">
        <v>5403</v>
      </c>
      <c r="B57" t="s">
        <v>5421</v>
      </c>
      <c r="C57" t="s">
        <v>5425</v>
      </c>
      <c r="D57" t="s">
        <v>8957</v>
      </c>
      <c r="E57" t="s">
        <v>6461</v>
      </c>
      <c r="F57" t="s">
        <v>13460</v>
      </c>
      <c r="G57" t="s">
        <v>13481</v>
      </c>
      <c r="H57" t="s">
        <v>13506</v>
      </c>
      <c r="I57" t="s">
        <v>6479</v>
      </c>
      <c r="J57" t="s">
        <v>13463</v>
      </c>
      <c r="K57">
        <v>0</v>
      </c>
      <c r="L57" t="s">
        <v>20</v>
      </c>
      <c r="M57" t="s">
        <v>20</v>
      </c>
      <c r="N57" t="str">
        <f>_xlfn.XLOOKUP(C:C,'Resource Table'!A:A,'Resource Table'!B:B,"NOT FOUND",0,1)</f>
        <v>Dedicated</v>
      </c>
      <c r="O57" t="str">
        <f>_xlfn.XLOOKUP(N:N,'Resource Table'!B:B,'Resource Table'!C:C,"n/a",0,1)</f>
        <v>AFS Dedicated Tech</v>
      </c>
      <c r="P57" t="str">
        <f>_xlfn.XLOOKUP(N:N,'Resource Table'!B:B,'Resource Table'!D:D,"n/a",0,1)</f>
        <v>Dedicated</v>
      </c>
    </row>
    <row r="58" spans="1:16" x14ac:dyDescent="0.45">
      <c r="A58" t="s">
        <v>5403</v>
      </c>
      <c r="B58" t="s">
        <v>5421</v>
      </c>
      <c r="C58" t="s">
        <v>5425</v>
      </c>
      <c r="D58" t="s">
        <v>8958</v>
      </c>
      <c r="E58" t="s">
        <v>6461</v>
      </c>
      <c r="F58" t="s">
        <v>13460</v>
      </c>
      <c r="G58" t="s">
        <v>13481</v>
      </c>
      <c r="H58" t="s">
        <v>13506</v>
      </c>
      <c r="I58" t="s">
        <v>6479</v>
      </c>
      <c r="J58" t="s">
        <v>13463</v>
      </c>
      <c r="K58">
        <v>0</v>
      </c>
      <c r="L58" t="s">
        <v>20</v>
      </c>
      <c r="M58" t="s">
        <v>20</v>
      </c>
      <c r="N58" t="str">
        <f>_xlfn.XLOOKUP(C:C,'Resource Table'!A:A,'Resource Table'!B:B,"NOT FOUND",0,1)</f>
        <v>Dedicated</v>
      </c>
      <c r="O58" t="str">
        <f>_xlfn.XLOOKUP(N:N,'Resource Table'!B:B,'Resource Table'!C:C,"n/a",0,1)</f>
        <v>AFS Dedicated Tech</v>
      </c>
      <c r="P58" t="str">
        <f>_xlfn.XLOOKUP(N:N,'Resource Table'!B:B,'Resource Table'!D:D,"n/a",0,1)</f>
        <v>Dedicated</v>
      </c>
    </row>
    <row r="59" spans="1:16" x14ac:dyDescent="0.45">
      <c r="A59" t="s">
        <v>5403</v>
      </c>
      <c r="B59" t="s">
        <v>5421</v>
      </c>
      <c r="C59" t="s">
        <v>5425</v>
      </c>
      <c r="D59" t="s">
        <v>8959</v>
      </c>
      <c r="E59" t="s">
        <v>6461</v>
      </c>
      <c r="F59" t="s">
        <v>13460</v>
      </c>
      <c r="G59" t="s">
        <v>13481</v>
      </c>
      <c r="H59" t="s">
        <v>13506</v>
      </c>
      <c r="I59" t="s">
        <v>6479</v>
      </c>
      <c r="J59" t="s">
        <v>13463</v>
      </c>
      <c r="K59">
        <v>0</v>
      </c>
      <c r="L59" t="s">
        <v>20</v>
      </c>
      <c r="M59" t="s">
        <v>20</v>
      </c>
      <c r="N59" t="str">
        <f>_xlfn.XLOOKUP(C:C,'Resource Table'!A:A,'Resource Table'!B:B,"NOT FOUND",0,1)</f>
        <v>Dedicated</v>
      </c>
      <c r="O59" t="str">
        <f>_xlfn.XLOOKUP(N:N,'Resource Table'!B:B,'Resource Table'!C:C,"n/a",0,1)</f>
        <v>AFS Dedicated Tech</v>
      </c>
      <c r="P59" t="str">
        <f>_xlfn.XLOOKUP(N:N,'Resource Table'!B:B,'Resource Table'!D:D,"n/a",0,1)</f>
        <v>Dedicated</v>
      </c>
    </row>
    <row r="60" spans="1:16" x14ac:dyDescent="0.45">
      <c r="A60" t="s">
        <v>5403</v>
      </c>
      <c r="B60" t="s">
        <v>5421</v>
      </c>
      <c r="C60" t="s">
        <v>5425</v>
      </c>
      <c r="D60" t="s">
        <v>8960</v>
      </c>
      <c r="E60" t="s">
        <v>6461</v>
      </c>
      <c r="F60" t="s">
        <v>13460</v>
      </c>
      <c r="G60" t="s">
        <v>13481</v>
      </c>
      <c r="H60" t="s">
        <v>13506</v>
      </c>
      <c r="I60" t="s">
        <v>6479</v>
      </c>
      <c r="J60" t="s">
        <v>13463</v>
      </c>
      <c r="K60">
        <v>0</v>
      </c>
      <c r="L60" t="s">
        <v>20</v>
      </c>
      <c r="M60" t="s">
        <v>20</v>
      </c>
      <c r="N60" t="str">
        <f>_xlfn.XLOOKUP(C:C,'Resource Table'!A:A,'Resource Table'!B:B,"NOT FOUND",0,1)</f>
        <v>Dedicated</v>
      </c>
      <c r="O60" t="str">
        <f>_xlfn.XLOOKUP(N:N,'Resource Table'!B:B,'Resource Table'!C:C,"n/a",0,1)</f>
        <v>AFS Dedicated Tech</v>
      </c>
      <c r="P60" t="str">
        <f>_xlfn.XLOOKUP(N:N,'Resource Table'!B:B,'Resource Table'!D:D,"n/a",0,1)</f>
        <v>Dedicated</v>
      </c>
    </row>
    <row r="61" spans="1:16" x14ac:dyDescent="0.45">
      <c r="A61" t="s">
        <v>5403</v>
      </c>
      <c r="B61" t="s">
        <v>5421</v>
      </c>
      <c r="C61" t="s">
        <v>5425</v>
      </c>
      <c r="D61" t="s">
        <v>8961</v>
      </c>
      <c r="E61" t="s">
        <v>6461</v>
      </c>
      <c r="F61" t="s">
        <v>13460</v>
      </c>
      <c r="G61" t="s">
        <v>13481</v>
      </c>
      <c r="H61" t="s">
        <v>13506</v>
      </c>
      <c r="I61" t="s">
        <v>6479</v>
      </c>
      <c r="J61" t="s">
        <v>13463</v>
      </c>
      <c r="K61">
        <v>2</v>
      </c>
      <c r="L61" t="s">
        <v>13466</v>
      </c>
      <c r="M61" t="s">
        <v>13508</v>
      </c>
      <c r="N61" t="str">
        <f>_xlfn.XLOOKUP(C:C,'Resource Table'!A:A,'Resource Table'!B:B,"NOT FOUND",0,1)</f>
        <v>Dedicated</v>
      </c>
      <c r="O61" t="str">
        <f>_xlfn.XLOOKUP(N:N,'Resource Table'!B:B,'Resource Table'!C:C,"n/a",0,1)</f>
        <v>AFS Dedicated Tech</v>
      </c>
      <c r="P61" t="str">
        <f>_xlfn.XLOOKUP(N:N,'Resource Table'!B:B,'Resource Table'!D:D,"n/a",0,1)</f>
        <v>Dedicated</v>
      </c>
    </row>
    <row r="62" spans="1:16" x14ac:dyDescent="0.45">
      <c r="A62" t="s">
        <v>5403</v>
      </c>
      <c r="B62" t="s">
        <v>5421</v>
      </c>
      <c r="C62" t="s">
        <v>5425</v>
      </c>
      <c r="D62" t="s">
        <v>8962</v>
      </c>
      <c r="E62" t="s">
        <v>6461</v>
      </c>
      <c r="F62" t="s">
        <v>13460</v>
      </c>
      <c r="G62" t="s">
        <v>13481</v>
      </c>
      <c r="H62" t="s">
        <v>13506</v>
      </c>
      <c r="I62" t="s">
        <v>6479</v>
      </c>
      <c r="J62" t="s">
        <v>13463</v>
      </c>
      <c r="K62">
        <v>0</v>
      </c>
      <c r="L62" t="s">
        <v>20</v>
      </c>
      <c r="M62" t="s">
        <v>20</v>
      </c>
      <c r="N62" t="str">
        <f>_xlfn.XLOOKUP(C:C,'Resource Table'!A:A,'Resource Table'!B:B,"NOT FOUND",0,1)</f>
        <v>Dedicated</v>
      </c>
      <c r="O62" t="str">
        <f>_xlfn.XLOOKUP(N:N,'Resource Table'!B:B,'Resource Table'!C:C,"n/a",0,1)</f>
        <v>AFS Dedicated Tech</v>
      </c>
      <c r="P62" t="str">
        <f>_xlfn.XLOOKUP(N:N,'Resource Table'!B:B,'Resource Table'!D:D,"n/a",0,1)</f>
        <v>Dedicated</v>
      </c>
    </row>
    <row r="63" spans="1:16" x14ac:dyDescent="0.45">
      <c r="A63" t="s">
        <v>5403</v>
      </c>
      <c r="B63" t="s">
        <v>5421</v>
      </c>
      <c r="C63" t="s">
        <v>5425</v>
      </c>
      <c r="D63" t="s">
        <v>8963</v>
      </c>
      <c r="E63" t="s">
        <v>6461</v>
      </c>
      <c r="F63" t="s">
        <v>13460</v>
      </c>
      <c r="G63" t="s">
        <v>13481</v>
      </c>
      <c r="H63" t="s">
        <v>13506</v>
      </c>
      <c r="I63" t="s">
        <v>6479</v>
      </c>
      <c r="J63" t="s">
        <v>13463</v>
      </c>
      <c r="K63">
        <v>0</v>
      </c>
      <c r="L63" t="s">
        <v>20</v>
      </c>
      <c r="M63" t="s">
        <v>20</v>
      </c>
      <c r="N63" t="str">
        <f>_xlfn.XLOOKUP(C:C,'Resource Table'!A:A,'Resource Table'!B:B,"NOT FOUND",0,1)</f>
        <v>Dedicated</v>
      </c>
      <c r="O63" t="str">
        <f>_xlfn.XLOOKUP(N:N,'Resource Table'!B:B,'Resource Table'!C:C,"n/a",0,1)</f>
        <v>AFS Dedicated Tech</v>
      </c>
      <c r="P63" t="str">
        <f>_xlfn.XLOOKUP(N:N,'Resource Table'!B:B,'Resource Table'!D:D,"n/a",0,1)</f>
        <v>Dedicated</v>
      </c>
    </row>
    <row r="64" spans="1:16" x14ac:dyDescent="0.45">
      <c r="A64" t="s">
        <v>5403</v>
      </c>
      <c r="B64" t="s">
        <v>5421</v>
      </c>
      <c r="C64" t="s">
        <v>5425</v>
      </c>
      <c r="D64" t="s">
        <v>8964</v>
      </c>
      <c r="E64" t="s">
        <v>6461</v>
      </c>
      <c r="F64" t="s">
        <v>13460</v>
      </c>
      <c r="G64" t="s">
        <v>13481</v>
      </c>
      <c r="H64" t="s">
        <v>13506</v>
      </c>
      <c r="I64" t="s">
        <v>6479</v>
      </c>
      <c r="J64" t="s">
        <v>13463</v>
      </c>
      <c r="K64">
        <v>0</v>
      </c>
      <c r="L64" t="s">
        <v>20</v>
      </c>
      <c r="M64" t="s">
        <v>20</v>
      </c>
      <c r="N64" t="str">
        <f>_xlfn.XLOOKUP(C:C,'Resource Table'!A:A,'Resource Table'!B:B,"NOT FOUND",0,1)</f>
        <v>Dedicated</v>
      </c>
      <c r="O64" t="str">
        <f>_xlfn.XLOOKUP(N:N,'Resource Table'!B:B,'Resource Table'!C:C,"n/a",0,1)</f>
        <v>AFS Dedicated Tech</v>
      </c>
      <c r="P64" t="str">
        <f>_xlfn.XLOOKUP(N:N,'Resource Table'!B:B,'Resource Table'!D:D,"n/a",0,1)</f>
        <v>Dedicated</v>
      </c>
    </row>
    <row r="65" spans="1:16" x14ac:dyDescent="0.45">
      <c r="A65" t="s">
        <v>5403</v>
      </c>
      <c r="B65" t="s">
        <v>5421</v>
      </c>
      <c r="C65" t="s">
        <v>5425</v>
      </c>
      <c r="D65" t="s">
        <v>8965</v>
      </c>
      <c r="E65" t="s">
        <v>6461</v>
      </c>
      <c r="F65" t="s">
        <v>13460</v>
      </c>
      <c r="G65" t="s">
        <v>13481</v>
      </c>
      <c r="H65" t="s">
        <v>13506</v>
      </c>
      <c r="I65" t="s">
        <v>6479</v>
      </c>
      <c r="J65" t="s">
        <v>13463</v>
      </c>
      <c r="K65">
        <v>0</v>
      </c>
      <c r="L65" t="s">
        <v>20</v>
      </c>
      <c r="M65" t="s">
        <v>20</v>
      </c>
      <c r="N65" t="str">
        <f>_xlfn.XLOOKUP(C:C,'Resource Table'!A:A,'Resource Table'!B:B,"NOT FOUND",0,1)</f>
        <v>Dedicated</v>
      </c>
      <c r="O65" t="str">
        <f>_xlfn.XLOOKUP(N:N,'Resource Table'!B:B,'Resource Table'!C:C,"n/a",0,1)</f>
        <v>AFS Dedicated Tech</v>
      </c>
      <c r="P65" t="str">
        <f>_xlfn.XLOOKUP(N:N,'Resource Table'!B:B,'Resource Table'!D:D,"n/a",0,1)</f>
        <v>Dedicated</v>
      </c>
    </row>
    <row r="66" spans="1:16" x14ac:dyDescent="0.45">
      <c r="A66" t="s">
        <v>5403</v>
      </c>
      <c r="B66" t="s">
        <v>5421</v>
      </c>
      <c r="C66" t="s">
        <v>5453</v>
      </c>
      <c r="D66" t="s">
        <v>6071</v>
      </c>
      <c r="E66" t="s">
        <v>6461</v>
      </c>
      <c r="F66" t="s">
        <v>13460</v>
      </c>
      <c r="G66" t="s">
        <v>13481</v>
      </c>
      <c r="H66" t="s">
        <v>13511</v>
      </c>
      <c r="I66" t="s">
        <v>29</v>
      </c>
      <c r="J66" t="s">
        <v>13463</v>
      </c>
      <c r="K66">
        <v>3</v>
      </c>
      <c r="L66" t="s">
        <v>13512</v>
      </c>
      <c r="M66" t="s">
        <v>13513</v>
      </c>
      <c r="N66" t="str">
        <f>_xlfn.XLOOKUP(C:C,'Resource Table'!A:A,'Resource Table'!B:B,"NOT FOUND",0,1)</f>
        <v>Dedicated</v>
      </c>
      <c r="O66" t="str">
        <f>_xlfn.XLOOKUP(N:N,'Resource Table'!B:B,'Resource Table'!C:C,"n/a",0,1)</f>
        <v>AFS Dedicated Tech</v>
      </c>
      <c r="P66" t="str">
        <f>_xlfn.XLOOKUP(N:N,'Resource Table'!B:B,'Resource Table'!D:D,"n/a",0,1)</f>
        <v>Dedicated</v>
      </c>
    </row>
    <row r="67" spans="1:16" x14ac:dyDescent="0.45">
      <c r="A67" t="s">
        <v>5403</v>
      </c>
      <c r="B67" t="s">
        <v>5421</v>
      </c>
      <c r="C67" t="s">
        <v>5453</v>
      </c>
      <c r="D67" t="s">
        <v>4717</v>
      </c>
      <c r="E67" t="s">
        <v>6451</v>
      </c>
      <c r="F67" t="s">
        <v>13473</v>
      </c>
      <c r="G67" t="s">
        <v>13474</v>
      </c>
      <c r="H67" t="s">
        <v>13492</v>
      </c>
      <c r="I67" t="s">
        <v>29</v>
      </c>
      <c r="J67" t="s">
        <v>13463</v>
      </c>
      <c r="K67">
        <v>1</v>
      </c>
      <c r="L67" t="s">
        <v>13468</v>
      </c>
      <c r="M67" t="s">
        <v>20</v>
      </c>
      <c r="N67" t="str">
        <f>_xlfn.XLOOKUP(C:C,'Resource Table'!A:A,'Resource Table'!B:B,"NOT FOUND",0,1)</f>
        <v>Dedicated</v>
      </c>
      <c r="O67" t="str">
        <f>_xlfn.XLOOKUP(N:N,'Resource Table'!B:B,'Resource Table'!C:C,"n/a",0,1)</f>
        <v>AFS Dedicated Tech</v>
      </c>
      <c r="P67" t="str">
        <f>_xlfn.XLOOKUP(N:N,'Resource Table'!B:B,'Resource Table'!D:D,"n/a",0,1)</f>
        <v>Dedicated</v>
      </c>
    </row>
    <row r="68" spans="1:16" x14ac:dyDescent="0.45">
      <c r="A68" t="s">
        <v>5403</v>
      </c>
      <c r="B68" t="s">
        <v>5421</v>
      </c>
      <c r="C68" t="s">
        <v>5453</v>
      </c>
      <c r="D68" t="s">
        <v>13063</v>
      </c>
      <c r="E68" t="s">
        <v>6451</v>
      </c>
      <c r="F68" t="s">
        <v>13473</v>
      </c>
      <c r="G68" t="s">
        <v>13474</v>
      </c>
      <c r="H68" t="s">
        <v>13517</v>
      </c>
      <c r="I68" t="s">
        <v>6479</v>
      </c>
      <c r="J68" t="s">
        <v>13463</v>
      </c>
      <c r="K68">
        <v>0</v>
      </c>
      <c r="L68" t="s">
        <v>20</v>
      </c>
      <c r="M68" t="s">
        <v>20</v>
      </c>
      <c r="N68" t="str">
        <f>_xlfn.XLOOKUP(C:C,'Resource Table'!A:A,'Resource Table'!B:B,"NOT FOUND",0,1)</f>
        <v>Dedicated</v>
      </c>
      <c r="O68" t="str">
        <f>_xlfn.XLOOKUP(N:N,'Resource Table'!B:B,'Resource Table'!C:C,"n/a",0,1)</f>
        <v>AFS Dedicated Tech</v>
      </c>
      <c r="P68" t="str">
        <f>_xlfn.XLOOKUP(N:N,'Resource Table'!B:B,'Resource Table'!D:D,"n/a",0,1)</f>
        <v>Dedicated</v>
      </c>
    </row>
    <row r="69" spans="1:16" x14ac:dyDescent="0.45">
      <c r="A69" t="s">
        <v>5403</v>
      </c>
      <c r="B69" t="s">
        <v>5421</v>
      </c>
      <c r="C69" t="s">
        <v>5453</v>
      </c>
      <c r="D69" t="s">
        <v>5831</v>
      </c>
      <c r="E69" t="s">
        <v>6451</v>
      </c>
      <c r="F69" t="s">
        <v>13473</v>
      </c>
      <c r="G69" t="s">
        <v>13474</v>
      </c>
      <c r="H69" t="s">
        <v>13475</v>
      </c>
      <c r="I69" t="s">
        <v>29</v>
      </c>
      <c r="J69" t="s">
        <v>13463</v>
      </c>
      <c r="K69">
        <v>1</v>
      </c>
      <c r="L69" t="s">
        <v>13472</v>
      </c>
      <c r="M69" t="s">
        <v>13508</v>
      </c>
      <c r="N69" t="str">
        <f>_xlfn.XLOOKUP(C:C,'Resource Table'!A:A,'Resource Table'!B:B,"NOT FOUND",0,1)</f>
        <v>Dedicated</v>
      </c>
      <c r="O69" t="str">
        <f>_xlfn.XLOOKUP(N:N,'Resource Table'!B:B,'Resource Table'!C:C,"n/a",0,1)</f>
        <v>AFS Dedicated Tech</v>
      </c>
      <c r="P69" t="str">
        <f>_xlfn.XLOOKUP(N:N,'Resource Table'!B:B,'Resource Table'!D:D,"n/a",0,1)</f>
        <v>Dedicated</v>
      </c>
    </row>
    <row r="70" spans="1:16" x14ac:dyDescent="0.45">
      <c r="A70" t="s">
        <v>5403</v>
      </c>
      <c r="B70" t="s">
        <v>5421</v>
      </c>
      <c r="C70" t="s">
        <v>5453</v>
      </c>
      <c r="D70" t="s">
        <v>3510</v>
      </c>
      <c r="E70" t="s">
        <v>6451</v>
      </c>
      <c r="F70" t="s">
        <v>13473</v>
      </c>
      <c r="G70" t="s">
        <v>13474</v>
      </c>
      <c r="H70" t="s">
        <v>13492</v>
      </c>
      <c r="I70" t="s">
        <v>6479</v>
      </c>
      <c r="J70" t="s">
        <v>13463</v>
      </c>
      <c r="K70">
        <v>1</v>
      </c>
      <c r="L70" t="s">
        <v>13537</v>
      </c>
      <c r="M70" t="s">
        <v>20</v>
      </c>
      <c r="N70" t="str">
        <f>_xlfn.XLOOKUP(C:C,'Resource Table'!A:A,'Resource Table'!B:B,"NOT FOUND",0,1)</f>
        <v>Dedicated</v>
      </c>
      <c r="O70" t="str">
        <f>_xlfn.XLOOKUP(N:N,'Resource Table'!B:B,'Resource Table'!C:C,"n/a",0,1)</f>
        <v>AFS Dedicated Tech</v>
      </c>
      <c r="P70" t="str">
        <f>_xlfn.XLOOKUP(N:N,'Resource Table'!B:B,'Resource Table'!D:D,"n/a",0,1)</f>
        <v>Dedicated</v>
      </c>
    </row>
    <row r="71" spans="1:16" x14ac:dyDescent="0.45">
      <c r="A71" t="s">
        <v>5403</v>
      </c>
      <c r="B71" t="s">
        <v>5421</v>
      </c>
      <c r="C71" t="s">
        <v>5453</v>
      </c>
      <c r="D71" t="s">
        <v>6085</v>
      </c>
      <c r="E71" t="s">
        <v>6461</v>
      </c>
      <c r="F71" t="s">
        <v>13460</v>
      </c>
      <c r="G71" t="s">
        <v>13481</v>
      </c>
      <c r="H71" t="s">
        <v>13518</v>
      </c>
      <c r="I71" t="s">
        <v>6479</v>
      </c>
      <c r="J71" t="s">
        <v>13463</v>
      </c>
      <c r="K71">
        <v>0</v>
      </c>
      <c r="L71" t="s">
        <v>20</v>
      </c>
      <c r="M71" t="s">
        <v>20</v>
      </c>
      <c r="N71" t="str">
        <f>_xlfn.XLOOKUP(C:C,'Resource Table'!A:A,'Resource Table'!B:B,"NOT FOUND",0,1)</f>
        <v>Dedicated</v>
      </c>
      <c r="O71" t="str">
        <f>_xlfn.XLOOKUP(N:N,'Resource Table'!B:B,'Resource Table'!C:C,"n/a",0,1)</f>
        <v>AFS Dedicated Tech</v>
      </c>
      <c r="P71" t="str">
        <f>_xlfn.XLOOKUP(N:N,'Resource Table'!B:B,'Resource Table'!D:D,"n/a",0,1)</f>
        <v>Dedicated</v>
      </c>
    </row>
    <row r="72" spans="1:16" x14ac:dyDescent="0.45">
      <c r="A72" t="s">
        <v>5403</v>
      </c>
      <c r="B72" t="s">
        <v>5421</v>
      </c>
      <c r="C72" t="s">
        <v>5453</v>
      </c>
      <c r="D72" t="s">
        <v>5826</v>
      </c>
      <c r="E72" t="s">
        <v>6451</v>
      </c>
      <c r="F72" t="s">
        <v>13473</v>
      </c>
      <c r="G72" t="s">
        <v>13474</v>
      </c>
      <c r="H72" t="s">
        <v>13475</v>
      </c>
      <c r="I72" t="s">
        <v>6479</v>
      </c>
      <c r="J72" t="s">
        <v>13463</v>
      </c>
      <c r="K72">
        <v>0</v>
      </c>
      <c r="L72" t="s">
        <v>20</v>
      </c>
      <c r="M72" t="s">
        <v>20</v>
      </c>
      <c r="N72" t="str">
        <f>_xlfn.XLOOKUP(C:C,'Resource Table'!A:A,'Resource Table'!B:B,"NOT FOUND",0,1)</f>
        <v>Dedicated</v>
      </c>
      <c r="O72" t="str">
        <f>_xlfn.XLOOKUP(N:N,'Resource Table'!B:B,'Resource Table'!C:C,"n/a",0,1)</f>
        <v>AFS Dedicated Tech</v>
      </c>
      <c r="P72" t="str">
        <f>_xlfn.XLOOKUP(N:N,'Resource Table'!B:B,'Resource Table'!D:D,"n/a",0,1)</f>
        <v>Dedicated</v>
      </c>
    </row>
    <row r="73" spans="1:16" x14ac:dyDescent="0.45">
      <c r="A73" t="s">
        <v>5403</v>
      </c>
      <c r="B73" t="s">
        <v>5421</v>
      </c>
      <c r="C73" t="s">
        <v>5453</v>
      </c>
      <c r="D73" t="s">
        <v>5487</v>
      </c>
      <c r="E73" t="s">
        <v>6451</v>
      </c>
      <c r="F73" t="s">
        <v>13473</v>
      </c>
      <c r="G73" t="s">
        <v>13474</v>
      </c>
      <c r="H73" t="s">
        <v>13517</v>
      </c>
      <c r="I73" t="s">
        <v>29</v>
      </c>
      <c r="J73" t="s">
        <v>13463</v>
      </c>
      <c r="K73">
        <v>1</v>
      </c>
      <c r="L73" t="s">
        <v>13519</v>
      </c>
      <c r="M73" t="s">
        <v>13513</v>
      </c>
      <c r="N73" t="str">
        <f>_xlfn.XLOOKUP(C:C,'Resource Table'!A:A,'Resource Table'!B:B,"NOT FOUND",0,1)</f>
        <v>Dedicated</v>
      </c>
      <c r="O73" t="str">
        <f>_xlfn.XLOOKUP(N:N,'Resource Table'!B:B,'Resource Table'!C:C,"n/a",0,1)</f>
        <v>AFS Dedicated Tech</v>
      </c>
      <c r="P73" t="str">
        <f>_xlfn.XLOOKUP(N:N,'Resource Table'!B:B,'Resource Table'!D:D,"n/a",0,1)</f>
        <v>Dedicated</v>
      </c>
    </row>
    <row r="74" spans="1:16" x14ac:dyDescent="0.45">
      <c r="A74" t="s">
        <v>5403</v>
      </c>
      <c r="B74" t="s">
        <v>5421</v>
      </c>
      <c r="C74" t="s">
        <v>5453</v>
      </c>
      <c r="D74" t="s">
        <v>5864</v>
      </c>
      <c r="E74" t="s">
        <v>6451</v>
      </c>
      <c r="F74" t="s">
        <v>13473</v>
      </c>
      <c r="G74" t="s">
        <v>13474</v>
      </c>
      <c r="H74" t="s">
        <v>13475</v>
      </c>
      <c r="I74" t="s">
        <v>29</v>
      </c>
      <c r="J74" t="s">
        <v>13463</v>
      </c>
      <c r="K74">
        <v>2</v>
      </c>
      <c r="L74" t="s">
        <v>13487</v>
      </c>
      <c r="M74" t="s">
        <v>13503</v>
      </c>
      <c r="N74" t="str">
        <f>_xlfn.XLOOKUP(C:C,'Resource Table'!A:A,'Resource Table'!B:B,"NOT FOUND",0,1)</f>
        <v>Dedicated</v>
      </c>
      <c r="O74" t="str">
        <f>_xlfn.XLOOKUP(N:N,'Resource Table'!B:B,'Resource Table'!C:C,"n/a",0,1)</f>
        <v>AFS Dedicated Tech</v>
      </c>
      <c r="P74" t="str">
        <f>_xlfn.XLOOKUP(N:N,'Resource Table'!B:B,'Resource Table'!D:D,"n/a",0,1)</f>
        <v>Dedicated</v>
      </c>
    </row>
    <row r="75" spans="1:16" x14ac:dyDescent="0.45">
      <c r="A75" t="s">
        <v>5403</v>
      </c>
      <c r="B75" t="s">
        <v>5421</v>
      </c>
      <c r="C75" t="s">
        <v>5453</v>
      </c>
      <c r="D75" t="s">
        <v>5757</v>
      </c>
      <c r="E75" t="s">
        <v>6451</v>
      </c>
      <c r="F75" t="s">
        <v>13473</v>
      </c>
      <c r="G75" t="s">
        <v>13474</v>
      </c>
      <c r="H75" t="s">
        <v>13517</v>
      </c>
      <c r="I75" t="s">
        <v>29</v>
      </c>
      <c r="J75" t="s">
        <v>13463</v>
      </c>
      <c r="K75">
        <v>3</v>
      </c>
      <c r="L75" t="s">
        <v>13489</v>
      </c>
      <c r="M75" t="s">
        <v>13487</v>
      </c>
      <c r="N75" t="str">
        <f>_xlfn.XLOOKUP(C:C,'Resource Table'!A:A,'Resource Table'!B:B,"NOT FOUND",0,1)</f>
        <v>Dedicated</v>
      </c>
      <c r="O75" t="str">
        <f>_xlfn.XLOOKUP(N:N,'Resource Table'!B:B,'Resource Table'!C:C,"n/a",0,1)</f>
        <v>AFS Dedicated Tech</v>
      </c>
      <c r="P75" t="str">
        <f>_xlfn.XLOOKUP(N:N,'Resource Table'!B:B,'Resource Table'!D:D,"n/a",0,1)</f>
        <v>Dedicated</v>
      </c>
    </row>
    <row r="76" spans="1:16" x14ac:dyDescent="0.45">
      <c r="A76" t="s">
        <v>5403</v>
      </c>
      <c r="B76" t="s">
        <v>5421</v>
      </c>
      <c r="C76" t="s">
        <v>5453</v>
      </c>
      <c r="D76" t="s">
        <v>5878</v>
      </c>
      <c r="E76" t="s">
        <v>6451</v>
      </c>
      <c r="F76" t="s">
        <v>13473</v>
      </c>
      <c r="G76" t="s">
        <v>13474</v>
      </c>
      <c r="H76" t="s">
        <v>13475</v>
      </c>
      <c r="I76" t="s">
        <v>6479</v>
      </c>
      <c r="J76" t="s">
        <v>13463</v>
      </c>
      <c r="K76">
        <v>2</v>
      </c>
      <c r="L76" t="s">
        <v>13464</v>
      </c>
      <c r="M76" t="s">
        <v>20</v>
      </c>
      <c r="N76" t="str">
        <f>_xlfn.XLOOKUP(C:C,'Resource Table'!A:A,'Resource Table'!B:B,"NOT FOUND",0,1)</f>
        <v>Dedicated</v>
      </c>
      <c r="O76" t="str">
        <f>_xlfn.XLOOKUP(N:N,'Resource Table'!B:B,'Resource Table'!C:C,"n/a",0,1)</f>
        <v>AFS Dedicated Tech</v>
      </c>
      <c r="P76" t="str">
        <f>_xlfn.XLOOKUP(N:N,'Resource Table'!B:B,'Resource Table'!D:D,"n/a",0,1)</f>
        <v>Dedicated</v>
      </c>
    </row>
    <row r="77" spans="1:16" x14ac:dyDescent="0.45">
      <c r="A77" t="s">
        <v>5403</v>
      </c>
      <c r="B77" t="s">
        <v>5421</v>
      </c>
      <c r="C77" t="s">
        <v>5453</v>
      </c>
      <c r="D77" t="s">
        <v>5825</v>
      </c>
      <c r="E77" t="s">
        <v>6451</v>
      </c>
      <c r="F77" t="s">
        <v>13473</v>
      </c>
      <c r="G77" t="s">
        <v>13474</v>
      </c>
      <c r="H77" t="s">
        <v>13475</v>
      </c>
      <c r="I77" t="s">
        <v>6479</v>
      </c>
      <c r="J77" t="s">
        <v>13463</v>
      </c>
      <c r="K77">
        <v>0</v>
      </c>
      <c r="L77" t="s">
        <v>20</v>
      </c>
      <c r="M77" t="s">
        <v>20</v>
      </c>
      <c r="N77" t="str">
        <f>_xlfn.XLOOKUP(C:C,'Resource Table'!A:A,'Resource Table'!B:B,"NOT FOUND",0,1)</f>
        <v>Dedicated</v>
      </c>
      <c r="O77" t="str">
        <f>_xlfn.XLOOKUP(N:N,'Resource Table'!B:B,'Resource Table'!C:C,"n/a",0,1)</f>
        <v>AFS Dedicated Tech</v>
      </c>
      <c r="P77" t="str">
        <f>_xlfn.XLOOKUP(N:N,'Resource Table'!B:B,'Resource Table'!D:D,"n/a",0,1)</f>
        <v>Dedicated</v>
      </c>
    </row>
    <row r="78" spans="1:16" x14ac:dyDescent="0.45">
      <c r="A78" t="s">
        <v>5403</v>
      </c>
      <c r="B78" t="s">
        <v>5421</v>
      </c>
      <c r="C78" t="s">
        <v>5453</v>
      </c>
      <c r="D78" t="s">
        <v>5708</v>
      </c>
      <c r="E78" t="s">
        <v>6451</v>
      </c>
      <c r="F78" t="s">
        <v>13473</v>
      </c>
      <c r="G78" t="s">
        <v>13474</v>
      </c>
      <c r="H78" t="s">
        <v>13492</v>
      </c>
      <c r="I78" t="s">
        <v>6479</v>
      </c>
      <c r="J78" t="s">
        <v>13463</v>
      </c>
      <c r="K78">
        <v>0</v>
      </c>
      <c r="L78" t="s">
        <v>20</v>
      </c>
      <c r="M78" t="s">
        <v>20</v>
      </c>
      <c r="N78" t="str">
        <f>_xlfn.XLOOKUP(C:C,'Resource Table'!A:A,'Resource Table'!B:B,"NOT FOUND",0,1)</f>
        <v>Dedicated</v>
      </c>
      <c r="O78" t="str">
        <f>_xlfn.XLOOKUP(N:N,'Resource Table'!B:B,'Resource Table'!C:C,"n/a",0,1)</f>
        <v>AFS Dedicated Tech</v>
      </c>
      <c r="P78" t="str">
        <f>_xlfn.XLOOKUP(N:N,'Resource Table'!B:B,'Resource Table'!D:D,"n/a",0,1)</f>
        <v>Dedicated</v>
      </c>
    </row>
    <row r="79" spans="1:16" x14ac:dyDescent="0.45">
      <c r="A79" t="s">
        <v>5403</v>
      </c>
      <c r="B79" t="s">
        <v>5421</v>
      </c>
      <c r="C79" t="s">
        <v>5453</v>
      </c>
      <c r="D79" t="s">
        <v>5660</v>
      </c>
      <c r="E79" t="s">
        <v>6451</v>
      </c>
      <c r="F79" t="s">
        <v>13460</v>
      </c>
      <c r="G79" t="s">
        <v>13476</v>
      </c>
      <c r="H79" t="s">
        <v>13478</v>
      </c>
      <c r="I79" t="s">
        <v>6479</v>
      </c>
      <c r="J79" t="s">
        <v>13463</v>
      </c>
      <c r="K79">
        <v>0</v>
      </c>
      <c r="L79" t="s">
        <v>20</v>
      </c>
      <c r="M79" t="s">
        <v>20</v>
      </c>
      <c r="N79" t="str">
        <f>_xlfn.XLOOKUP(C:C,'Resource Table'!A:A,'Resource Table'!B:B,"NOT FOUND",0,1)</f>
        <v>Dedicated</v>
      </c>
      <c r="O79" t="str">
        <f>_xlfn.XLOOKUP(N:N,'Resource Table'!B:B,'Resource Table'!C:C,"n/a",0,1)</f>
        <v>AFS Dedicated Tech</v>
      </c>
      <c r="P79" t="str">
        <f>_xlfn.XLOOKUP(N:N,'Resource Table'!B:B,'Resource Table'!D:D,"n/a",0,1)</f>
        <v>Dedicated</v>
      </c>
    </row>
    <row r="80" spans="1:16" x14ac:dyDescent="0.45">
      <c r="A80" t="s">
        <v>5403</v>
      </c>
      <c r="B80" t="s">
        <v>5421</v>
      </c>
      <c r="C80" t="s">
        <v>5453</v>
      </c>
      <c r="D80" t="s">
        <v>5642</v>
      </c>
      <c r="E80" t="s">
        <v>6451</v>
      </c>
      <c r="F80" t="s">
        <v>13460</v>
      </c>
      <c r="G80" t="s">
        <v>13476</v>
      </c>
      <c r="H80" t="s">
        <v>13478</v>
      </c>
      <c r="I80" t="s">
        <v>29</v>
      </c>
      <c r="J80" t="s">
        <v>13463</v>
      </c>
      <c r="K80">
        <v>3</v>
      </c>
      <c r="L80" t="s">
        <v>13520</v>
      </c>
      <c r="M80" t="s">
        <v>20</v>
      </c>
      <c r="N80" t="str">
        <f>_xlfn.XLOOKUP(C:C,'Resource Table'!A:A,'Resource Table'!B:B,"NOT FOUND",0,1)</f>
        <v>Dedicated</v>
      </c>
      <c r="O80" t="str">
        <f>_xlfn.XLOOKUP(N:N,'Resource Table'!B:B,'Resource Table'!C:C,"n/a",0,1)</f>
        <v>AFS Dedicated Tech</v>
      </c>
      <c r="P80" t="str">
        <f>_xlfn.XLOOKUP(N:N,'Resource Table'!B:B,'Resource Table'!D:D,"n/a",0,1)</f>
        <v>Dedicated</v>
      </c>
    </row>
    <row r="81" spans="1:16" x14ac:dyDescent="0.45">
      <c r="A81" t="s">
        <v>5403</v>
      </c>
      <c r="B81" t="s">
        <v>5421</v>
      </c>
      <c r="C81" t="s">
        <v>5453</v>
      </c>
      <c r="D81" t="s">
        <v>5469</v>
      </c>
      <c r="E81" t="s">
        <v>6451</v>
      </c>
      <c r="F81" t="s">
        <v>13473</v>
      </c>
      <c r="G81" t="s">
        <v>13474</v>
      </c>
      <c r="H81" t="s">
        <v>13517</v>
      </c>
      <c r="I81" t="s">
        <v>6479</v>
      </c>
      <c r="J81" t="s">
        <v>13463</v>
      </c>
      <c r="K81">
        <v>2</v>
      </c>
      <c r="L81" t="s">
        <v>13512</v>
      </c>
      <c r="M81" t="s">
        <v>20</v>
      </c>
      <c r="N81" t="str">
        <f>_xlfn.XLOOKUP(C:C,'Resource Table'!A:A,'Resource Table'!B:B,"NOT FOUND",0,1)</f>
        <v>Dedicated</v>
      </c>
      <c r="O81" t="str">
        <f>_xlfn.XLOOKUP(N:N,'Resource Table'!B:B,'Resource Table'!C:C,"n/a",0,1)</f>
        <v>AFS Dedicated Tech</v>
      </c>
      <c r="P81" t="str">
        <f>_xlfn.XLOOKUP(N:N,'Resource Table'!B:B,'Resource Table'!D:D,"n/a",0,1)</f>
        <v>Dedicated</v>
      </c>
    </row>
    <row r="82" spans="1:16" x14ac:dyDescent="0.45">
      <c r="A82" t="s">
        <v>5403</v>
      </c>
      <c r="B82" t="s">
        <v>5421</v>
      </c>
      <c r="C82" t="s">
        <v>5453</v>
      </c>
      <c r="D82" t="s">
        <v>5734</v>
      </c>
      <c r="E82" t="s">
        <v>6451</v>
      </c>
      <c r="F82" t="s">
        <v>13473</v>
      </c>
      <c r="G82" t="s">
        <v>13474</v>
      </c>
      <c r="H82" t="s">
        <v>13517</v>
      </c>
      <c r="I82" t="s">
        <v>6479</v>
      </c>
      <c r="J82" t="s">
        <v>13463</v>
      </c>
      <c r="K82">
        <v>1</v>
      </c>
      <c r="L82" t="s">
        <v>13512</v>
      </c>
      <c r="M82" t="s">
        <v>20</v>
      </c>
      <c r="N82" t="str">
        <f>_xlfn.XLOOKUP(C:C,'Resource Table'!A:A,'Resource Table'!B:B,"NOT FOUND",0,1)</f>
        <v>Dedicated</v>
      </c>
      <c r="O82" t="str">
        <f>_xlfn.XLOOKUP(N:N,'Resource Table'!B:B,'Resource Table'!C:C,"n/a",0,1)</f>
        <v>AFS Dedicated Tech</v>
      </c>
      <c r="P82" t="str">
        <f>_xlfn.XLOOKUP(N:N,'Resource Table'!B:B,'Resource Table'!D:D,"n/a",0,1)</f>
        <v>Dedicated</v>
      </c>
    </row>
    <row r="83" spans="1:16" x14ac:dyDescent="0.45">
      <c r="A83" t="s">
        <v>5403</v>
      </c>
      <c r="B83" t="s">
        <v>5421</v>
      </c>
      <c r="C83" t="s">
        <v>5453</v>
      </c>
      <c r="D83" t="s">
        <v>3343</v>
      </c>
      <c r="E83" t="s">
        <v>6451</v>
      </c>
      <c r="F83" t="s">
        <v>13473</v>
      </c>
      <c r="G83" t="s">
        <v>13474</v>
      </c>
      <c r="H83" t="s">
        <v>13521</v>
      </c>
      <c r="I83" t="s">
        <v>6479</v>
      </c>
      <c r="J83" t="s">
        <v>13463</v>
      </c>
      <c r="K83">
        <v>0</v>
      </c>
      <c r="L83" t="s">
        <v>20</v>
      </c>
      <c r="M83" t="s">
        <v>20</v>
      </c>
      <c r="N83" t="str">
        <f>_xlfn.XLOOKUP(C:C,'Resource Table'!A:A,'Resource Table'!B:B,"NOT FOUND",0,1)</f>
        <v>Dedicated</v>
      </c>
      <c r="O83" t="str">
        <f>_xlfn.XLOOKUP(N:N,'Resource Table'!B:B,'Resource Table'!C:C,"n/a",0,1)</f>
        <v>AFS Dedicated Tech</v>
      </c>
      <c r="P83" t="str">
        <f>_xlfn.XLOOKUP(N:N,'Resource Table'!B:B,'Resource Table'!D:D,"n/a",0,1)</f>
        <v>Dedicated</v>
      </c>
    </row>
    <row r="84" spans="1:16" x14ac:dyDescent="0.45">
      <c r="A84" t="s">
        <v>5403</v>
      </c>
      <c r="B84" t="s">
        <v>5421</v>
      </c>
      <c r="C84" t="s">
        <v>5453</v>
      </c>
      <c r="D84" t="s">
        <v>5862</v>
      </c>
      <c r="E84" t="s">
        <v>6451</v>
      </c>
      <c r="F84" t="s">
        <v>13473</v>
      </c>
      <c r="G84" t="s">
        <v>13474</v>
      </c>
      <c r="H84" t="s">
        <v>13475</v>
      </c>
      <c r="I84" t="s">
        <v>6479</v>
      </c>
      <c r="J84" t="s">
        <v>13463</v>
      </c>
      <c r="K84">
        <v>0</v>
      </c>
      <c r="L84" t="s">
        <v>20</v>
      </c>
      <c r="M84" t="s">
        <v>20</v>
      </c>
      <c r="N84" t="str">
        <f>_xlfn.XLOOKUP(C:C,'Resource Table'!A:A,'Resource Table'!B:B,"NOT FOUND",0,1)</f>
        <v>Dedicated</v>
      </c>
      <c r="O84" t="str">
        <f>_xlfn.XLOOKUP(N:N,'Resource Table'!B:B,'Resource Table'!C:C,"n/a",0,1)</f>
        <v>AFS Dedicated Tech</v>
      </c>
      <c r="P84" t="str">
        <f>_xlfn.XLOOKUP(N:N,'Resource Table'!B:B,'Resource Table'!D:D,"n/a",0,1)</f>
        <v>Dedicated</v>
      </c>
    </row>
    <row r="85" spans="1:16" x14ac:dyDescent="0.45">
      <c r="A85" t="s">
        <v>5403</v>
      </c>
      <c r="B85" t="s">
        <v>5421</v>
      </c>
      <c r="C85" t="s">
        <v>5453</v>
      </c>
      <c r="D85" t="s">
        <v>2739</v>
      </c>
      <c r="E85" t="s">
        <v>6461</v>
      </c>
      <c r="F85" t="s">
        <v>13460</v>
      </c>
      <c r="G85" t="s">
        <v>13481</v>
      </c>
      <c r="H85" t="s">
        <v>13522</v>
      </c>
      <c r="I85" t="s">
        <v>6479</v>
      </c>
      <c r="J85" t="s">
        <v>13463</v>
      </c>
      <c r="K85">
        <v>2</v>
      </c>
      <c r="L85" t="s">
        <v>13523</v>
      </c>
      <c r="M85" t="s">
        <v>13505</v>
      </c>
      <c r="N85" t="str">
        <f>_xlfn.XLOOKUP(C:C,'Resource Table'!A:A,'Resource Table'!B:B,"NOT FOUND",0,1)</f>
        <v>Dedicated</v>
      </c>
      <c r="O85" t="str">
        <f>_xlfn.XLOOKUP(N:N,'Resource Table'!B:B,'Resource Table'!C:C,"n/a",0,1)</f>
        <v>AFS Dedicated Tech</v>
      </c>
      <c r="P85" t="str">
        <f>_xlfn.XLOOKUP(N:N,'Resource Table'!B:B,'Resource Table'!D:D,"n/a",0,1)</f>
        <v>Dedicated</v>
      </c>
    </row>
    <row r="86" spans="1:16" x14ac:dyDescent="0.45">
      <c r="A86" t="s">
        <v>5403</v>
      </c>
      <c r="B86" t="s">
        <v>5421</v>
      </c>
      <c r="C86" t="s">
        <v>5453</v>
      </c>
      <c r="D86" t="s">
        <v>3123</v>
      </c>
      <c r="E86" t="s">
        <v>6451</v>
      </c>
      <c r="F86" t="s">
        <v>13473</v>
      </c>
      <c r="G86" t="s">
        <v>13474</v>
      </c>
      <c r="H86" t="s">
        <v>13492</v>
      </c>
      <c r="I86" t="s">
        <v>6479</v>
      </c>
      <c r="J86" t="s">
        <v>13463</v>
      </c>
      <c r="K86">
        <v>0</v>
      </c>
      <c r="L86" t="s">
        <v>20</v>
      </c>
      <c r="M86" t="s">
        <v>20</v>
      </c>
      <c r="N86" t="str">
        <f>_xlfn.XLOOKUP(C:C,'Resource Table'!A:A,'Resource Table'!B:B,"NOT FOUND",0,1)</f>
        <v>Dedicated</v>
      </c>
      <c r="O86" t="str">
        <f>_xlfn.XLOOKUP(N:N,'Resource Table'!B:B,'Resource Table'!C:C,"n/a",0,1)</f>
        <v>AFS Dedicated Tech</v>
      </c>
      <c r="P86" t="str">
        <f>_xlfn.XLOOKUP(N:N,'Resource Table'!B:B,'Resource Table'!D:D,"n/a",0,1)</f>
        <v>Dedicated</v>
      </c>
    </row>
    <row r="87" spans="1:16" x14ac:dyDescent="0.45">
      <c r="A87" t="s">
        <v>5403</v>
      </c>
      <c r="B87" t="s">
        <v>5421</v>
      </c>
      <c r="C87" t="s">
        <v>5453</v>
      </c>
      <c r="D87" t="s">
        <v>5733</v>
      </c>
      <c r="E87" t="s">
        <v>6451</v>
      </c>
      <c r="F87" t="s">
        <v>13473</v>
      </c>
      <c r="G87" t="s">
        <v>13474</v>
      </c>
      <c r="H87" t="s">
        <v>13517</v>
      </c>
      <c r="I87" t="s">
        <v>29</v>
      </c>
      <c r="J87" t="s">
        <v>13463</v>
      </c>
      <c r="K87">
        <v>2</v>
      </c>
      <c r="L87" t="s">
        <v>13464</v>
      </c>
      <c r="M87" t="s">
        <v>13513</v>
      </c>
      <c r="N87" t="str">
        <f>_xlfn.XLOOKUP(C:C,'Resource Table'!A:A,'Resource Table'!B:B,"NOT FOUND",0,1)</f>
        <v>Dedicated</v>
      </c>
      <c r="O87" t="str">
        <f>_xlfn.XLOOKUP(N:N,'Resource Table'!B:B,'Resource Table'!C:C,"n/a",0,1)</f>
        <v>AFS Dedicated Tech</v>
      </c>
      <c r="P87" t="str">
        <f>_xlfn.XLOOKUP(N:N,'Resource Table'!B:B,'Resource Table'!D:D,"n/a",0,1)</f>
        <v>Dedicated</v>
      </c>
    </row>
    <row r="88" spans="1:16" x14ac:dyDescent="0.45">
      <c r="A88" t="s">
        <v>5403</v>
      </c>
      <c r="B88" t="s">
        <v>5421</v>
      </c>
      <c r="C88" t="s">
        <v>5453</v>
      </c>
      <c r="D88" t="s">
        <v>5641</v>
      </c>
      <c r="E88" t="s">
        <v>6451</v>
      </c>
      <c r="F88" t="s">
        <v>13460</v>
      </c>
      <c r="G88" t="s">
        <v>13476</v>
      </c>
      <c r="H88" t="s">
        <v>13478</v>
      </c>
      <c r="I88" t="s">
        <v>6479</v>
      </c>
      <c r="J88" t="s">
        <v>13463</v>
      </c>
      <c r="K88">
        <v>3</v>
      </c>
      <c r="L88" t="s">
        <v>13524</v>
      </c>
      <c r="M88" t="s">
        <v>20</v>
      </c>
      <c r="N88" t="str">
        <f>_xlfn.XLOOKUP(C:C,'Resource Table'!A:A,'Resource Table'!B:B,"NOT FOUND",0,1)</f>
        <v>Dedicated</v>
      </c>
      <c r="O88" t="str">
        <f>_xlfn.XLOOKUP(N:N,'Resource Table'!B:B,'Resource Table'!C:C,"n/a",0,1)</f>
        <v>AFS Dedicated Tech</v>
      </c>
      <c r="P88" t="str">
        <f>_xlfn.XLOOKUP(N:N,'Resource Table'!B:B,'Resource Table'!D:D,"n/a",0,1)</f>
        <v>Dedicated</v>
      </c>
    </row>
    <row r="89" spans="1:16" x14ac:dyDescent="0.45">
      <c r="A89" t="s">
        <v>5403</v>
      </c>
      <c r="B89" t="s">
        <v>5421</v>
      </c>
      <c r="C89" t="s">
        <v>5453</v>
      </c>
      <c r="D89" t="s">
        <v>5707</v>
      </c>
      <c r="E89" t="s">
        <v>6451</v>
      </c>
      <c r="F89" t="s">
        <v>13473</v>
      </c>
      <c r="G89" t="s">
        <v>13474</v>
      </c>
      <c r="H89" t="s">
        <v>13492</v>
      </c>
      <c r="I89" t="s">
        <v>29</v>
      </c>
      <c r="J89" t="s">
        <v>13463</v>
      </c>
      <c r="K89">
        <v>1</v>
      </c>
      <c r="L89" t="s">
        <v>13469</v>
      </c>
      <c r="M89" t="s">
        <v>13513</v>
      </c>
      <c r="N89" t="str">
        <f>_xlfn.XLOOKUP(C:C,'Resource Table'!A:A,'Resource Table'!B:B,"NOT FOUND",0,1)</f>
        <v>Dedicated</v>
      </c>
      <c r="O89" t="str">
        <f>_xlfn.XLOOKUP(N:N,'Resource Table'!B:B,'Resource Table'!C:C,"n/a",0,1)</f>
        <v>AFS Dedicated Tech</v>
      </c>
      <c r="P89" t="str">
        <f>_xlfn.XLOOKUP(N:N,'Resource Table'!B:B,'Resource Table'!D:D,"n/a",0,1)</f>
        <v>Dedicated</v>
      </c>
    </row>
    <row r="90" spans="1:16" x14ac:dyDescent="0.45">
      <c r="A90" t="s">
        <v>5403</v>
      </c>
      <c r="B90" t="s">
        <v>5421</v>
      </c>
      <c r="C90" t="s">
        <v>5453</v>
      </c>
      <c r="D90" t="s">
        <v>5745</v>
      </c>
      <c r="E90" t="s">
        <v>6451</v>
      </c>
      <c r="F90" t="s">
        <v>13473</v>
      </c>
      <c r="G90" t="s">
        <v>13474</v>
      </c>
      <c r="H90" t="s">
        <v>13517</v>
      </c>
      <c r="I90" t="s">
        <v>6479</v>
      </c>
      <c r="J90" t="s">
        <v>13463</v>
      </c>
      <c r="K90">
        <v>0</v>
      </c>
      <c r="L90" t="s">
        <v>20</v>
      </c>
      <c r="M90" t="s">
        <v>20</v>
      </c>
      <c r="N90" t="str">
        <f>_xlfn.XLOOKUP(C:C,'Resource Table'!A:A,'Resource Table'!B:B,"NOT FOUND",0,1)</f>
        <v>Dedicated</v>
      </c>
      <c r="O90" t="str">
        <f>_xlfn.XLOOKUP(N:N,'Resource Table'!B:B,'Resource Table'!C:C,"n/a",0,1)</f>
        <v>AFS Dedicated Tech</v>
      </c>
      <c r="P90" t="str">
        <f>_xlfn.XLOOKUP(N:N,'Resource Table'!B:B,'Resource Table'!D:D,"n/a",0,1)</f>
        <v>Dedicated</v>
      </c>
    </row>
    <row r="91" spans="1:16" x14ac:dyDescent="0.45">
      <c r="A91" t="s">
        <v>5403</v>
      </c>
      <c r="B91" t="s">
        <v>5421</v>
      </c>
      <c r="C91" t="s">
        <v>5453</v>
      </c>
      <c r="D91" t="s">
        <v>5747</v>
      </c>
      <c r="E91" t="s">
        <v>6451</v>
      </c>
      <c r="F91" t="s">
        <v>13473</v>
      </c>
      <c r="G91" t="s">
        <v>13474</v>
      </c>
      <c r="H91" t="s">
        <v>13517</v>
      </c>
      <c r="I91" t="s">
        <v>6479</v>
      </c>
      <c r="J91" t="s">
        <v>13463</v>
      </c>
      <c r="K91">
        <v>2</v>
      </c>
      <c r="L91" t="s">
        <v>13503</v>
      </c>
      <c r="M91" t="s">
        <v>20</v>
      </c>
      <c r="N91" t="str">
        <f>_xlfn.XLOOKUP(C:C,'Resource Table'!A:A,'Resource Table'!B:B,"NOT FOUND",0,1)</f>
        <v>Dedicated</v>
      </c>
      <c r="O91" t="str">
        <f>_xlfn.XLOOKUP(N:N,'Resource Table'!B:B,'Resource Table'!C:C,"n/a",0,1)</f>
        <v>AFS Dedicated Tech</v>
      </c>
      <c r="P91" t="str">
        <f>_xlfn.XLOOKUP(N:N,'Resource Table'!B:B,'Resource Table'!D:D,"n/a",0,1)</f>
        <v>Dedicated</v>
      </c>
    </row>
    <row r="92" spans="1:16" x14ac:dyDescent="0.45">
      <c r="A92" t="s">
        <v>5403</v>
      </c>
      <c r="B92" t="s">
        <v>5421</v>
      </c>
      <c r="C92" t="s">
        <v>5453</v>
      </c>
      <c r="D92" t="s">
        <v>6168</v>
      </c>
      <c r="E92" t="s">
        <v>6461</v>
      </c>
      <c r="F92" t="s">
        <v>13460</v>
      </c>
      <c r="G92" t="s">
        <v>13509</v>
      </c>
      <c r="H92" t="s">
        <v>13510</v>
      </c>
      <c r="I92" t="s">
        <v>6479</v>
      </c>
      <c r="J92" t="s">
        <v>13463</v>
      </c>
      <c r="K92">
        <v>2</v>
      </c>
      <c r="L92" t="s">
        <v>13537</v>
      </c>
      <c r="M92" t="s">
        <v>20</v>
      </c>
      <c r="N92" t="str">
        <f>_xlfn.XLOOKUP(C:C,'Resource Table'!A:A,'Resource Table'!B:B,"NOT FOUND",0,1)</f>
        <v>Dedicated</v>
      </c>
      <c r="O92" t="str">
        <f>_xlfn.XLOOKUP(N:N,'Resource Table'!B:B,'Resource Table'!C:C,"n/a",0,1)</f>
        <v>AFS Dedicated Tech</v>
      </c>
      <c r="P92" t="str">
        <f>_xlfn.XLOOKUP(N:N,'Resource Table'!B:B,'Resource Table'!D:D,"n/a",0,1)</f>
        <v>Dedicated</v>
      </c>
    </row>
    <row r="93" spans="1:16" x14ac:dyDescent="0.45">
      <c r="A93" t="s">
        <v>5403</v>
      </c>
      <c r="B93" t="s">
        <v>5421</v>
      </c>
      <c r="C93" t="s">
        <v>5453</v>
      </c>
      <c r="D93" t="s">
        <v>6169</v>
      </c>
      <c r="E93" t="s">
        <v>6461</v>
      </c>
      <c r="F93" t="s">
        <v>13460</v>
      </c>
      <c r="G93" t="s">
        <v>13509</v>
      </c>
      <c r="H93" t="s">
        <v>13510</v>
      </c>
      <c r="I93" t="s">
        <v>6479</v>
      </c>
      <c r="J93" t="s">
        <v>13463</v>
      </c>
      <c r="K93">
        <v>1</v>
      </c>
      <c r="L93" t="s">
        <v>13537</v>
      </c>
      <c r="M93" t="s">
        <v>20</v>
      </c>
      <c r="N93" t="str">
        <f>_xlfn.XLOOKUP(C:C,'Resource Table'!A:A,'Resource Table'!B:B,"NOT FOUND",0,1)</f>
        <v>Dedicated</v>
      </c>
      <c r="O93" t="str">
        <f>_xlfn.XLOOKUP(N:N,'Resource Table'!B:B,'Resource Table'!C:C,"n/a",0,1)</f>
        <v>AFS Dedicated Tech</v>
      </c>
      <c r="P93" t="str">
        <f>_xlfn.XLOOKUP(N:N,'Resource Table'!B:B,'Resource Table'!D:D,"n/a",0,1)</f>
        <v>Dedicated</v>
      </c>
    </row>
    <row r="94" spans="1:16" x14ac:dyDescent="0.45">
      <c r="A94" t="s">
        <v>5403</v>
      </c>
      <c r="B94" t="s">
        <v>5421</v>
      </c>
      <c r="C94" t="s">
        <v>5453</v>
      </c>
      <c r="D94" t="s">
        <v>6170</v>
      </c>
      <c r="E94" t="s">
        <v>6461</v>
      </c>
      <c r="F94" t="s">
        <v>13460</v>
      </c>
      <c r="G94" t="s">
        <v>13509</v>
      </c>
      <c r="H94" t="s">
        <v>13510</v>
      </c>
      <c r="I94" t="s">
        <v>6479</v>
      </c>
      <c r="J94" t="s">
        <v>13463</v>
      </c>
      <c r="K94">
        <v>2</v>
      </c>
      <c r="L94" t="s">
        <v>13487</v>
      </c>
      <c r="M94" t="s">
        <v>20</v>
      </c>
      <c r="N94" t="str">
        <f>_xlfn.XLOOKUP(C:C,'Resource Table'!A:A,'Resource Table'!B:B,"NOT FOUND",0,1)</f>
        <v>Dedicated</v>
      </c>
      <c r="O94" t="str">
        <f>_xlfn.XLOOKUP(N:N,'Resource Table'!B:B,'Resource Table'!C:C,"n/a",0,1)</f>
        <v>AFS Dedicated Tech</v>
      </c>
      <c r="P94" t="str">
        <f>_xlfn.XLOOKUP(N:N,'Resource Table'!B:B,'Resource Table'!D:D,"n/a",0,1)</f>
        <v>Dedicated</v>
      </c>
    </row>
    <row r="95" spans="1:16" x14ac:dyDescent="0.45">
      <c r="A95" t="s">
        <v>5403</v>
      </c>
      <c r="B95" t="s">
        <v>5421</v>
      </c>
      <c r="C95" t="s">
        <v>5453</v>
      </c>
      <c r="D95" t="s">
        <v>6171</v>
      </c>
      <c r="E95" t="s">
        <v>6461</v>
      </c>
      <c r="F95" t="s">
        <v>13460</v>
      </c>
      <c r="G95" t="s">
        <v>13509</v>
      </c>
      <c r="H95" t="s">
        <v>13510</v>
      </c>
      <c r="I95" t="s">
        <v>6479</v>
      </c>
      <c r="J95" t="s">
        <v>13463</v>
      </c>
      <c r="K95">
        <v>1</v>
      </c>
      <c r="L95" t="s">
        <v>13537</v>
      </c>
      <c r="M95" t="s">
        <v>20</v>
      </c>
      <c r="N95" t="str">
        <f>_xlfn.XLOOKUP(C:C,'Resource Table'!A:A,'Resource Table'!B:B,"NOT FOUND",0,1)</f>
        <v>Dedicated</v>
      </c>
      <c r="O95" t="str">
        <f>_xlfn.XLOOKUP(N:N,'Resource Table'!B:B,'Resource Table'!C:C,"n/a",0,1)</f>
        <v>AFS Dedicated Tech</v>
      </c>
      <c r="P95" t="str">
        <f>_xlfn.XLOOKUP(N:N,'Resource Table'!B:B,'Resource Table'!D:D,"n/a",0,1)</f>
        <v>Dedicated</v>
      </c>
    </row>
    <row r="96" spans="1:16" x14ac:dyDescent="0.45">
      <c r="A96" t="s">
        <v>5399</v>
      </c>
      <c r="B96" t="s">
        <v>5410</v>
      </c>
      <c r="C96" t="s">
        <v>5476</v>
      </c>
      <c r="D96" t="s">
        <v>295</v>
      </c>
      <c r="E96" t="s">
        <v>6451</v>
      </c>
      <c r="F96" t="s">
        <v>13473</v>
      </c>
      <c r="G96" t="s">
        <v>13474</v>
      </c>
      <c r="H96" t="s">
        <v>13517</v>
      </c>
      <c r="I96" t="s">
        <v>6479</v>
      </c>
      <c r="J96" t="s">
        <v>13463</v>
      </c>
      <c r="K96">
        <v>1</v>
      </c>
      <c r="L96" t="s">
        <v>13480</v>
      </c>
      <c r="M96" t="s">
        <v>13513</v>
      </c>
      <c r="N96" t="str">
        <f>_xlfn.XLOOKUP(C:C,'Resource Table'!A:A,'Resource Table'!B:B,"NOT FOUND",0,1)</f>
        <v>Ralph Mann</v>
      </c>
      <c r="O96" t="str">
        <f>_xlfn.XLOOKUP(N:N,'Resource Table'!B:B,'Resource Table'!C:C,"n/a",0,1)</f>
        <v>rmann@ameritfleet.com</v>
      </c>
      <c r="P96" t="str">
        <f>_xlfn.XLOOKUP(N:N,'Resource Table'!B:B,'Resource Table'!D:D,"n/a",0,1)</f>
        <v>Vended Repair</v>
      </c>
    </row>
    <row r="97" spans="1:16" x14ac:dyDescent="0.45">
      <c r="A97" t="s">
        <v>5399</v>
      </c>
      <c r="B97" t="s">
        <v>5410</v>
      </c>
      <c r="C97" t="s">
        <v>5476</v>
      </c>
      <c r="D97" t="s">
        <v>4477</v>
      </c>
      <c r="E97" t="s">
        <v>6451</v>
      </c>
      <c r="F97" t="s">
        <v>13473</v>
      </c>
      <c r="G97" t="s">
        <v>13474</v>
      </c>
      <c r="H97" t="s">
        <v>13517</v>
      </c>
      <c r="I97" t="s">
        <v>6479</v>
      </c>
      <c r="J97" t="s">
        <v>13463</v>
      </c>
      <c r="K97">
        <v>3</v>
      </c>
      <c r="L97" t="s">
        <v>13520</v>
      </c>
      <c r="M97" t="s">
        <v>13505</v>
      </c>
      <c r="N97" t="str">
        <f>_xlfn.XLOOKUP(C:C,'Resource Table'!A:A,'Resource Table'!B:B,"NOT FOUND",0,1)</f>
        <v>Ralph Mann</v>
      </c>
      <c r="O97" t="str">
        <f>_xlfn.XLOOKUP(N:N,'Resource Table'!B:B,'Resource Table'!C:C,"n/a",0,1)</f>
        <v>rmann@ameritfleet.com</v>
      </c>
      <c r="P97" t="str">
        <f>_xlfn.XLOOKUP(N:N,'Resource Table'!B:B,'Resource Table'!D:D,"n/a",0,1)</f>
        <v>Vended Repair</v>
      </c>
    </row>
    <row r="98" spans="1:16" x14ac:dyDescent="0.45">
      <c r="A98" t="s">
        <v>5399</v>
      </c>
      <c r="B98" t="s">
        <v>5410</v>
      </c>
      <c r="C98" t="s">
        <v>5476</v>
      </c>
      <c r="D98" t="s">
        <v>1978</v>
      </c>
      <c r="E98" t="s">
        <v>6462</v>
      </c>
      <c r="F98" t="s">
        <v>13460</v>
      </c>
      <c r="G98" t="s">
        <v>13481</v>
      </c>
      <c r="H98" t="s">
        <v>13490</v>
      </c>
      <c r="I98" t="s">
        <v>6479</v>
      </c>
      <c r="J98" t="s">
        <v>13463</v>
      </c>
      <c r="K98">
        <v>2</v>
      </c>
      <c r="L98" t="s">
        <v>13489</v>
      </c>
      <c r="M98" t="s">
        <v>13466</v>
      </c>
      <c r="N98" t="str">
        <f>_xlfn.XLOOKUP(C:C,'Resource Table'!A:A,'Resource Table'!B:B,"NOT FOUND",0,1)</f>
        <v>Ralph Mann</v>
      </c>
      <c r="O98" t="str">
        <f>_xlfn.XLOOKUP(N:N,'Resource Table'!B:B,'Resource Table'!C:C,"n/a",0,1)</f>
        <v>rmann@ameritfleet.com</v>
      </c>
      <c r="P98" t="str">
        <f>_xlfn.XLOOKUP(N:N,'Resource Table'!B:B,'Resource Table'!D:D,"n/a",0,1)</f>
        <v>Vended Repair</v>
      </c>
    </row>
    <row r="99" spans="1:16" x14ac:dyDescent="0.45">
      <c r="A99" t="s">
        <v>5399</v>
      </c>
      <c r="B99" t="s">
        <v>5410</v>
      </c>
      <c r="C99" t="s">
        <v>5476</v>
      </c>
      <c r="D99" t="s">
        <v>1655</v>
      </c>
      <c r="E99" t="s">
        <v>6451</v>
      </c>
      <c r="F99" t="s">
        <v>13460</v>
      </c>
      <c r="G99" t="s">
        <v>13476</v>
      </c>
      <c r="H99" t="s">
        <v>13478</v>
      </c>
      <c r="I99" t="s">
        <v>29</v>
      </c>
      <c r="J99" t="s">
        <v>13463</v>
      </c>
      <c r="K99">
        <v>1</v>
      </c>
      <c r="L99" t="s">
        <v>13487</v>
      </c>
      <c r="M99" t="s">
        <v>13513</v>
      </c>
      <c r="N99" t="str">
        <f>_xlfn.XLOOKUP(C:C,'Resource Table'!A:A,'Resource Table'!B:B,"NOT FOUND",0,1)</f>
        <v>Ralph Mann</v>
      </c>
      <c r="O99" t="str">
        <f>_xlfn.XLOOKUP(N:N,'Resource Table'!B:B,'Resource Table'!C:C,"n/a",0,1)</f>
        <v>rmann@ameritfleet.com</v>
      </c>
      <c r="P99" t="str">
        <f>_xlfn.XLOOKUP(N:N,'Resource Table'!B:B,'Resource Table'!D:D,"n/a",0,1)</f>
        <v>Vended Repair</v>
      </c>
    </row>
    <row r="100" spans="1:16" x14ac:dyDescent="0.45">
      <c r="A100" t="s">
        <v>5399</v>
      </c>
      <c r="B100" t="s">
        <v>5410</v>
      </c>
      <c r="C100" t="s">
        <v>5476</v>
      </c>
      <c r="D100" t="s">
        <v>3859</v>
      </c>
      <c r="E100" t="s">
        <v>6451</v>
      </c>
      <c r="F100" t="s">
        <v>13473</v>
      </c>
      <c r="G100" t="s">
        <v>13474</v>
      </c>
      <c r="H100" t="s">
        <v>13517</v>
      </c>
      <c r="I100" t="s">
        <v>6479</v>
      </c>
      <c r="J100" t="s">
        <v>13463</v>
      </c>
      <c r="K100">
        <v>1</v>
      </c>
      <c r="L100" t="s">
        <v>13480</v>
      </c>
      <c r="M100" t="s">
        <v>20</v>
      </c>
      <c r="N100" t="str">
        <f>_xlfn.XLOOKUP(C:C,'Resource Table'!A:A,'Resource Table'!B:B,"NOT FOUND",0,1)</f>
        <v>Ralph Mann</v>
      </c>
      <c r="O100" t="str">
        <f>_xlfn.XLOOKUP(N:N,'Resource Table'!B:B,'Resource Table'!C:C,"n/a",0,1)</f>
        <v>rmann@ameritfleet.com</v>
      </c>
      <c r="P100" t="str">
        <f>_xlfn.XLOOKUP(N:N,'Resource Table'!B:B,'Resource Table'!D:D,"n/a",0,1)</f>
        <v>Vended Repair</v>
      </c>
    </row>
    <row r="101" spans="1:16" x14ac:dyDescent="0.45">
      <c r="A101" t="s">
        <v>5399</v>
      </c>
      <c r="B101" t="s">
        <v>5410</v>
      </c>
      <c r="C101" t="s">
        <v>5476</v>
      </c>
      <c r="D101" t="s">
        <v>6188</v>
      </c>
      <c r="E101" t="s">
        <v>6451</v>
      </c>
      <c r="F101" t="s">
        <v>13525</v>
      </c>
      <c r="G101" t="s">
        <v>13526</v>
      </c>
      <c r="H101" t="s">
        <v>13527</v>
      </c>
      <c r="I101" t="s">
        <v>29</v>
      </c>
      <c r="J101" t="s">
        <v>13463</v>
      </c>
      <c r="K101">
        <v>2</v>
      </c>
      <c r="L101" t="s">
        <v>13503</v>
      </c>
      <c r="M101" t="s">
        <v>13556</v>
      </c>
      <c r="N101" t="str">
        <f>_xlfn.XLOOKUP(C:C,'Resource Table'!A:A,'Resource Table'!B:B,"NOT FOUND",0,1)</f>
        <v>Ralph Mann</v>
      </c>
      <c r="O101" t="str">
        <f>_xlfn.XLOOKUP(N:N,'Resource Table'!B:B,'Resource Table'!C:C,"n/a",0,1)</f>
        <v>rmann@ameritfleet.com</v>
      </c>
      <c r="P101" t="str">
        <f>_xlfn.XLOOKUP(N:N,'Resource Table'!B:B,'Resource Table'!D:D,"n/a",0,1)</f>
        <v>Vended Repair</v>
      </c>
    </row>
    <row r="102" spans="1:16" x14ac:dyDescent="0.45">
      <c r="A102" t="s">
        <v>5399</v>
      </c>
      <c r="B102" t="s">
        <v>5410</v>
      </c>
      <c r="C102" t="s">
        <v>5476</v>
      </c>
      <c r="D102" t="s">
        <v>3884</v>
      </c>
      <c r="E102" t="s">
        <v>6451</v>
      </c>
      <c r="F102" t="s">
        <v>13473</v>
      </c>
      <c r="G102" t="s">
        <v>13474</v>
      </c>
      <c r="H102" t="s">
        <v>13475</v>
      </c>
      <c r="I102" t="s">
        <v>6479</v>
      </c>
      <c r="J102" t="s">
        <v>13463</v>
      </c>
      <c r="K102">
        <v>4</v>
      </c>
      <c r="L102" t="s">
        <v>13487</v>
      </c>
      <c r="M102" t="s">
        <v>13513</v>
      </c>
      <c r="N102" t="str">
        <f>_xlfn.XLOOKUP(C:C,'Resource Table'!A:A,'Resource Table'!B:B,"NOT FOUND",0,1)</f>
        <v>Ralph Mann</v>
      </c>
      <c r="O102" t="str">
        <f>_xlfn.XLOOKUP(N:N,'Resource Table'!B:B,'Resource Table'!C:C,"n/a",0,1)</f>
        <v>rmann@ameritfleet.com</v>
      </c>
      <c r="P102" t="str">
        <f>_xlfn.XLOOKUP(N:N,'Resource Table'!B:B,'Resource Table'!D:D,"n/a",0,1)</f>
        <v>Vended Repair</v>
      </c>
    </row>
    <row r="103" spans="1:16" x14ac:dyDescent="0.45">
      <c r="A103" t="s">
        <v>5399</v>
      </c>
      <c r="B103" t="s">
        <v>5410</v>
      </c>
      <c r="C103" t="s">
        <v>5476</v>
      </c>
      <c r="D103" t="s">
        <v>797</v>
      </c>
      <c r="E103" t="s">
        <v>6451</v>
      </c>
      <c r="F103" t="s">
        <v>13473</v>
      </c>
      <c r="G103" t="s">
        <v>13474</v>
      </c>
      <c r="H103" t="s">
        <v>13521</v>
      </c>
      <c r="I103" t="s">
        <v>6479</v>
      </c>
      <c r="J103" t="s">
        <v>13463</v>
      </c>
      <c r="K103">
        <v>2</v>
      </c>
      <c r="L103" t="s">
        <v>13528</v>
      </c>
      <c r="M103" t="s">
        <v>13468</v>
      </c>
      <c r="N103" t="str">
        <f>_xlfn.XLOOKUP(C:C,'Resource Table'!A:A,'Resource Table'!B:B,"NOT FOUND",0,1)</f>
        <v>Ralph Mann</v>
      </c>
      <c r="O103" t="str">
        <f>_xlfn.XLOOKUP(N:N,'Resource Table'!B:B,'Resource Table'!C:C,"n/a",0,1)</f>
        <v>rmann@ameritfleet.com</v>
      </c>
      <c r="P103" t="str">
        <f>_xlfn.XLOOKUP(N:N,'Resource Table'!B:B,'Resource Table'!D:D,"n/a",0,1)</f>
        <v>Vended Repair</v>
      </c>
    </row>
    <row r="104" spans="1:16" x14ac:dyDescent="0.45">
      <c r="A104" t="s">
        <v>5399</v>
      </c>
      <c r="B104" t="s">
        <v>5410</v>
      </c>
      <c r="C104" t="s">
        <v>5476</v>
      </c>
      <c r="D104" t="s">
        <v>2085</v>
      </c>
      <c r="E104" t="s">
        <v>6451</v>
      </c>
      <c r="F104" t="s">
        <v>13473</v>
      </c>
      <c r="G104" t="s">
        <v>13474</v>
      </c>
      <c r="H104" t="s">
        <v>13517</v>
      </c>
      <c r="I104" t="s">
        <v>6479</v>
      </c>
      <c r="J104" t="s">
        <v>13463</v>
      </c>
      <c r="K104">
        <v>2</v>
      </c>
      <c r="L104" t="s">
        <v>13529</v>
      </c>
      <c r="M104" t="s">
        <v>13570</v>
      </c>
      <c r="N104" t="str">
        <f>_xlfn.XLOOKUP(C:C,'Resource Table'!A:A,'Resource Table'!B:B,"NOT FOUND",0,1)</f>
        <v>Ralph Mann</v>
      </c>
      <c r="O104" t="str">
        <f>_xlfn.XLOOKUP(N:N,'Resource Table'!B:B,'Resource Table'!C:C,"n/a",0,1)</f>
        <v>rmann@ameritfleet.com</v>
      </c>
      <c r="P104" t="str">
        <f>_xlfn.XLOOKUP(N:N,'Resource Table'!B:B,'Resource Table'!D:D,"n/a",0,1)</f>
        <v>Vended Repair</v>
      </c>
    </row>
    <row r="105" spans="1:16" x14ac:dyDescent="0.45">
      <c r="A105" t="s">
        <v>5399</v>
      </c>
      <c r="B105" t="s">
        <v>5410</v>
      </c>
      <c r="C105" t="s">
        <v>5476</v>
      </c>
      <c r="D105" t="s">
        <v>1842</v>
      </c>
      <c r="E105" t="s">
        <v>6451</v>
      </c>
      <c r="F105" t="s">
        <v>13473</v>
      </c>
      <c r="G105" t="s">
        <v>13474</v>
      </c>
      <c r="H105" t="s">
        <v>13521</v>
      </c>
      <c r="I105" t="s">
        <v>6479</v>
      </c>
      <c r="J105" t="s">
        <v>13463</v>
      </c>
      <c r="K105">
        <v>2</v>
      </c>
      <c r="L105" t="s">
        <v>13528</v>
      </c>
      <c r="M105" t="s">
        <v>13468</v>
      </c>
      <c r="N105" t="str">
        <f>_xlfn.XLOOKUP(C:C,'Resource Table'!A:A,'Resource Table'!B:B,"NOT FOUND",0,1)</f>
        <v>Ralph Mann</v>
      </c>
      <c r="O105" t="str">
        <f>_xlfn.XLOOKUP(N:N,'Resource Table'!B:B,'Resource Table'!C:C,"n/a",0,1)</f>
        <v>rmann@ameritfleet.com</v>
      </c>
      <c r="P105" t="str">
        <f>_xlfn.XLOOKUP(N:N,'Resource Table'!B:B,'Resource Table'!D:D,"n/a",0,1)</f>
        <v>Vended Repair</v>
      </c>
    </row>
    <row r="106" spans="1:16" x14ac:dyDescent="0.45">
      <c r="A106" t="s">
        <v>5399</v>
      </c>
      <c r="B106" t="s">
        <v>5410</v>
      </c>
      <c r="C106" t="s">
        <v>5415</v>
      </c>
      <c r="D106" t="s">
        <v>3228</v>
      </c>
      <c r="E106" t="s">
        <v>6451</v>
      </c>
      <c r="F106" t="s">
        <v>13460</v>
      </c>
      <c r="G106" t="s">
        <v>13476</v>
      </c>
      <c r="H106" t="s">
        <v>13477</v>
      </c>
      <c r="I106" t="s">
        <v>29</v>
      </c>
      <c r="J106" t="s">
        <v>13463</v>
      </c>
      <c r="K106">
        <v>1</v>
      </c>
      <c r="L106" t="s">
        <v>13530</v>
      </c>
      <c r="M106" t="s">
        <v>13505</v>
      </c>
      <c r="N106" t="str">
        <f>_xlfn.XLOOKUP(C:C,'Resource Table'!A:A,'Resource Table'!B:B,"NOT FOUND",0,1)</f>
        <v>Dedicated</v>
      </c>
      <c r="O106" t="str">
        <f>_xlfn.XLOOKUP(N:N,'Resource Table'!B:B,'Resource Table'!C:C,"n/a",0,1)</f>
        <v>AFS Dedicated Tech</v>
      </c>
      <c r="P106" t="str">
        <f>_xlfn.XLOOKUP(N:N,'Resource Table'!B:B,'Resource Table'!D:D,"n/a",0,1)</f>
        <v>Dedicated</v>
      </c>
    </row>
    <row r="107" spans="1:16" x14ac:dyDescent="0.45">
      <c r="A107" t="s">
        <v>5399</v>
      </c>
      <c r="B107" t="s">
        <v>5410</v>
      </c>
      <c r="C107" t="s">
        <v>5415</v>
      </c>
      <c r="D107" t="s">
        <v>2764</v>
      </c>
      <c r="E107" t="s">
        <v>6451</v>
      </c>
      <c r="F107" t="s">
        <v>13460</v>
      </c>
      <c r="G107" t="s">
        <v>13476</v>
      </c>
      <c r="H107" t="s">
        <v>13478</v>
      </c>
      <c r="I107" t="s">
        <v>6479</v>
      </c>
      <c r="J107" t="s">
        <v>13463</v>
      </c>
      <c r="K107">
        <v>1</v>
      </c>
      <c r="L107" t="s">
        <v>13468</v>
      </c>
      <c r="M107" t="s">
        <v>20</v>
      </c>
      <c r="N107" t="str">
        <f>_xlfn.XLOOKUP(C:C,'Resource Table'!A:A,'Resource Table'!B:B,"NOT FOUND",0,1)</f>
        <v>Dedicated</v>
      </c>
      <c r="O107" t="str">
        <f>_xlfn.XLOOKUP(N:N,'Resource Table'!B:B,'Resource Table'!C:C,"n/a",0,1)</f>
        <v>AFS Dedicated Tech</v>
      </c>
      <c r="P107" t="str">
        <f>_xlfn.XLOOKUP(N:N,'Resource Table'!B:B,'Resource Table'!D:D,"n/a",0,1)</f>
        <v>Dedicated</v>
      </c>
    </row>
    <row r="108" spans="1:16" x14ac:dyDescent="0.45">
      <c r="A108" t="s">
        <v>5399</v>
      </c>
      <c r="B108" t="s">
        <v>5410</v>
      </c>
      <c r="C108" t="s">
        <v>5415</v>
      </c>
      <c r="D108" t="s">
        <v>5701</v>
      </c>
      <c r="E108" t="s">
        <v>6451</v>
      </c>
      <c r="F108" t="s">
        <v>13473</v>
      </c>
      <c r="G108" t="s">
        <v>13474</v>
      </c>
      <c r="H108" t="s">
        <v>13492</v>
      </c>
      <c r="I108" t="s">
        <v>6479</v>
      </c>
      <c r="J108" t="s">
        <v>13463</v>
      </c>
      <c r="K108">
        <v>0</v>
      </c>
      <c r="L108" t="s">
        <v>20</v>
      </c>
      <c r="M108" t="s">
        <v>20</v>
      </c>
      <c r="N108" t="str">
        <f>_xlfn.XLOOKUP(C:C,'Resource Table'!A:A,'Resource Table'!B:B,"NOT FOUND",0,1)</f>
        <v>Dedicated</v>
      </c>
      <c r="O108" t="str">
        <f>_xlfn.XLOOKUP(N:N,'Resource Table'!B:B,'Resource Table'!C:C,"n/a",0,1)</f>
        <v>AFS Dedicated Tech</v>
      </c>
      <c r="P108" t="str">
        <f>_xlfn.XLOOKUP(N:N,'Resource Table'!B:B,'Resource Table'!D:D,"n/a",0,1)</f>
        <v>Dedicated</v>
      </c>
    </row>
    <row r="109" spans="1:16" x14ac:dyDescent="0.45">
      <c r="A109" t="s">
        <v>5399</v>
      </c>
      <c r="B109" t="s">
        <v>5410</v>
      </c>
      <c r="C109" t="s">
        <v>5415</v>
      </c>
      <c r="D109" t="s">
        <v>5993</v>
      </c>
      <c r="E109" t="s">
        <v>6461</v>
      </c>
      <c r="F109" t="s">
        <v>13460</v>
      </c>
      <c r="G109" t="s">
        <v>13481</v>
      </c>
      <c r="H109" t="s">
        <v>13482</v>
      </c>
      <c r="I109" t="s">
        <v>6479</v>
      </c>
      <c r="J109" t="s">
        <v>13463</v>
      </c>
      <c r="K109">
        <v>2</v>
      </c>
      <c r="L109" t="s">
        <v>13489</v>
      </c>
      <c r="M109" t="s">
        <v>20</v>
      </c>
      <c r="N109" t="str">
        <f>_xlfn.XLOOKUP(C:C,'Resource Table'!A:A,'Resource Table'!B:B,"NOT FOUND",0,1)</f>
        <v>Dedicated</v>
      </c>
      <c r="O109" t="str">
        <f>_xlfn.XLOOKUP(N:N,'Resource Table'!B:B,'Resource Table'!C:C,"n/a",0,1)</f>
        <v>AFS Dedicated Tech</v>
      </c>
      <c r="P109" t="str">
        <f>_xlfn.XLOOKUP(N:N,'Resource Table'!B:B,'Resource Table'!D:D,"n/a",0,1)</f>
        <v>Dedicated</v>
      </c>
    </row>
    <row r="110" spans="1:16" x14ac:dyDescent="0.45">
      <c r="A110" t="s">
        <v>5399</v>
      </c>
      <c r="B110" t="s">
        <v>5410</v>
      </c>
      <c r="C110" t="s">
        <v>5415</v>
      </c>
      <c r="D110" t="s">
        <v>5688</v>
      </c>
      <c r="E110" t="s">
        <v>6451</v>
      </c>
      <c r="F110" t="s">
        <v>13473</v>
      </c>
      <c r="G110" t="s">
        <v>13474</v>
      </c>
      <c r="H110" t="s">
        <v>13492</v>
      </c>
      <c r="I110" t="s">
        <v>29</v>
      </c>
      <c r="J110" t="s">
        <v>13463</v>
      </c>
      <c r="K110">
        <v>2</v>
      </c>
      <c r="L110" t="s">
        <v>13489</v>
      </c>
      <c r="M110" t="s">
        <v>20</v>
      </c>
      <c r="N110" t="str">
        <f>_xlfn.XLOOKUP(C:C,'Resource Table'!A:A,'Resource Table'!B:B,"NOT FOUND",0,1)</f>
        <v>Dedicated</v>
      </c>
      <c r="O110" t="str">
        <f>_xlfn.XLOOKUP(N:N,'Resource Table'!B:B,'Resource Table'!C:C,"n/a",0,1)</f>
        <v>AFS Dedicated Tech</v>
      </c>
      <c r="P110" t="str">
        <f>_xlfn.XLOOKUP(N:N,'Resource Table'!B:B,'Resource Table'!D:D,"n/a",0,1)</f>
        <v>Dedicated</v>
      </c>
    </row>
    <row r="111" spans="1:16" x14ac:dyDescent="0.45">
      <c r="A111" t="s">
        <v>5399</v>
      </c>
      <c r="B111" t="s">
        <v>5410</v>
      </c>
      <c r="C111" t="s">
        <v>5415</v>
      </c>
      <c r="D111" t="s">
        <v>13064</v>
      </c>
      <c r="E111" t="s">
        <v>6451</v>
      </c>
      <c r="F111" t="s">
        <v>13460</v>
      </c>
      <c r="G111" t="s">
        <v>13476</v>
      </c>
      <c r="H111" t="s">
        <v>13531</v>
      </c>
      <c r="I111" t="s">
        <v>6479</v>
      </c>
      <c r="J111" t="s">
        <v>13463</v>
      </c>
      <c r="K111">
        <v>0</v>
      </c>
      <c r="L111" t="s">
        <v>20</v>
      </c>
      <c r="M111" t="s">
        <v>20</v>
      </c>
      <c r="N111" t="str">
        <f>_xlfn.XLOOKUP(C:C,'Resource Table'!A:A,'Resource Table'!B:B,"NOT FOUND",0,1)</f>
        <v>Dedicated</v>
      </c>
      <c r="O111" t="str">
        <f>_xlfn.XLOOKUP(N:N,'Resource Table'!B:B,'Resource Table'!C:C,"n/a",0,1)</f>
        <v>AFS Dedicated Tech</v>
      </c>
      <c r="P111" t="str">
        <f>_xlfn.XLOOKUP(N:N,'Resource Table'!B:B,'Resource Table'!D:D,"n/a",0,1)</f>
        <v>Dedicated</v>
      </c>
    </row>
    <row r="112" spans="1:16" x14ac:dyDescent="0.45">
      <c r="A112" t="s">
        <v>5399</v>
      </c>
      <c r="B112" t="s">
        <v>5410</v>
      </c>
      <c r="C112" t="s">
        <v>5415</v>
      </c>
      <c r="D112" t="s">
        <v>2819</v>
      </c>
      <c r="E112" t="s">
        <v>6451</v>
      </c>
      <c r="F112" t="s">
        <v>13460</v>
      </c>
      <c r="G112" t="s">
        <v>13476</v>
      </c>
      <c r="H112" t="s">
        <v>13477</v>
      </c>
      <c r="I112" t="s">
        <v>6479</v>
      </c>
      <c r="J112" t="s">
        <v>13463</v>
      </c>
      <c r="K112">
        <v>3</v>
      </c>
      <c r="L112" t="s">
        <v>13532</v>
      </c>
      <c r="M112" t="s">
        <v>13529</v>
      </c>
      <c r="N112" t="str">
        <f>_xlfn.XLOOKUP(C:C,'Resource Table'!A:A,'Resource Table'!B:B,"NOT FOUND",0,1)</f>
        <v>Dedicated</v>
      </c>
      <c r="O112" t="str">
        <f>_xlfn.XLOOKUP(N:N,'Resource Table'!B:B,'Resource Table'!C:C,"n/a",0,1)</f>
        <v>AFS Dedicated Tech</v>
      </c>
      <c r="P112" t="str">
        <f>_xlfn.XLOOKUP(N:N,'Resource Table'!B:B,'Resource Table'!D:D,"n/a",0,1)</f>
        <v>Dedicated</v>
      </c>
    </row>
    <row r="113" spans="1:16" x14ac:dyDescent="0.45">
      <c r="A113" t="s">
        <v>5399</v>
      </c>
      <c r="B113" t="s">
        <v>5410</v>
      </c>
      <c r="C113" t="s">
        <v>5415</v>
      </c>
      <c r="D113" t="s">
        <v>13065</v>
      </c>
      <c r="E113" t="s">
        <v>6451</v>
      </c>
      <c r="F113" t="s">
        <v>13460</v>
      </c>
      <c r="G113" t="s">
        <v>13476</v>
      </c>
      <c r="H113" t="s">
        <v>13533</v>
      </c>
      <c r="I113" t="s">
        <v>6479</v>
      </c>
      <c r="J113" t="s">
        <v>13463</v>
      </c>
      <c r="K113">
        <v>0</v>
      </c>
      <c r="L113" t="s">
        <v>20</v>
      </c>
      <c r="M113" t="s">
        <v>20</v>
      </c>
      <c r="N113" t="str">
        <f>_xlfn.XLOOKUP(C:C,'Resource Table'!A:A,'Resource Table'!B:B,"NOT FOUND",0,1)</f>
        <v>Dedicated</v>
      </c>
      <c r="O113" t="str">
        <f>_xlfn.XLOOKUP(N:N,'Resource Table'!B:B,'Resource Table'!C:C,"n/a",0,1)</f>
        <v>AFS Dedicated Tech</v>
      </c>
      <c r="P113" t="str">
        <f>_xlfn.XLOOKUP(N:N,'Resource Table'!B:B,'Resource Table'!D:D,"n/a",0,1)</f>
        <v>Dedicated</v>
      </c>
    </row>
    <row r="114" spans="1:16" x14ac:dyDescent="0.45">
      <c r="A114" t="s">
        <v>5399</v>
      </c>
      <c r="B114" t="s">
        <v>5410</v>
      </c>
      <c r="C114" t="s">
        <v>5415</v>
      </c>
      <c r="D114" t="s">
        <v>5575</v>
      </c>
      <c r="E114" t="s">
        <v>6451</v>
      </c>
      <c r="F114" t="s">
        <v>13460</v>
      </c>
      <c r="G114" t="s">
        <v>13476</v>
      </c>
      <c r="H114" t="s">
        <v>13533</v>
      </c>
      <c r="I114" t="s">
        <v>6479</v>
      </c>
      <c r="J114" t="s">
        <v>13463</v>
      </c>
      <c r="K114">
        <v>2</v>
      </c>
      <c r="L114" t="s">
        <v>13534</v>
      </c>
      <c r="M114" t="s">
        <v>13534</v>
      </c>
      <c r="N114" t="str">
        <f>_xlfn.XLOOKUP(C:C,'Resource Table'!A:A,'Resource Table'!B:B,"NOT FOUND",0,1)</f>
        <v>Dedicated</v>
      </c>
      <c r="O114" t="str">
        <f>_xlfn.XLOOKUP(N:N,'Resource Table'!B:B,'Resource Table'!C:C,"n/a",0,1)</f>
        <v>AFS Dedicated Tech</v>
      </c>
      <c r="P114" t="str">
        <f>_xlfn.XLOOKUP(N:N,'Resource Table'!B:B,'Resource Table'!D:D,"n/a",0,1)</f>
        <v>Dedicated</v>
      </c>
    </row>
    <row r="115" spans="1:16" x14ac:dyDescent="0.45">
      <c r="A115" t="s">
        <v>5399</v>
      </c>
      <c r="B115" t="s">
        <v>5410</v>
      </c>
      <c r="C115" t="s">
        <v>5415</v>
      </c>
      <c r="D115" t="s">
        <v>5662</v>
      </c>
      <c r="E115" t="s">
        <v>6451</v>
      </c>
      <c r="F115" t="s">
        <v>13460</v>
      </c>
      <c r="G115" t="s">
        <v>13476</v>
      </c>
      <c r="H115" t="s">
        <v>13478</v>
      </c>
      <c r="I115" t="s">
        <v>6479</v>
      </c>
      <c r="J115" t="s">
        <v>13463</v>
      </c>
      <c r="K115">
        <v>2</v>
      </c>
      <c r="L115" t="s">
        <v>13469</v>
      </c>
      <c r="M115" t="s">
        <v>20</v>
      </c>
      <c r="N115" t="str">
        <f>_xlfn.XLOOKUP(C:C,'Resource Table'!A:A,'Resource Table'!B:B,"NOT FOUND",0,1)</f>
        <v>Dedicated</v>
      </c>
      <c r="O115" t="str">
        <f>_xlfn.XLOOKUP(N:N,'Resource Table'!B:B,'Resource Table'!C:C,"n/a",0,1)</f>
        <v>AFS Dedicated Tech</v>
      </c>
      <c r="P115" t="str">
        <f>_xlfn.XLOOKUP(N:N,'Resource Table'!B:B,'Resource Table'!D:D,"n/a",0,1)</f>
        <v>Dedicated</v>
      </c>
    </row>
    <row r="116" spans="1:16" x14ac:dyDescent="0.45">
      <c r="A116" t="s">
        <v>5399</v>
      </c>
      <c r="B116" t="s">
        <v>5410</v>
      </c>
      <c r="C116" t="s">
        <v>5415</v>
      </c>
      <c r="D116" t="s">
        <v>5697</v>
      </c>
      <c r="E116" t="s">
        <v>6451</v>
      </c>
      <c r="F116" t="s">
        <v>13473</v>
      </c>
      <c r="G116" t="s">
        <v>13474</v>
      </c>
      <c r="H116" t="s">
        <v>13492</v>
      </c>
      <c r="I116" t="s">
        <v>6479</v>
      </c>
      <c r="J116" t="s">
        <v>13463</v>
      </c>
      <c r="K116">
        <v>2</v>
      </c>
      <c r="L116" t="s">
        <v>13468</v>
      </c>
      <c r="M116" t="s">
        <v>13468</v>
      </c>
      <c r="N116" t="str">
        <f>_xlfn.XLOOKUP(C:C,'Resource Table'!A:A,'Resource Table'!B:B,"NOT FOUND",0,1)</f>
        <v>Dedicated</v>
      </c>
      <c r="O116" t="str">
        <f>_xlfn.XLOOKUP(N:N,'Resource Table'!B:B,'Resource Table'!C:C,"n/a",0,1)</f>
        <v>AFS Dedicated Tech</v>
      </c>
      <c r="P116" t="str">
        <f>_xlfn.XLOOKUP(N:N,'Resource Table'!B:B,'Resource Table'!D:D,"n/a",0,1)</f>
        <v>Dedicated</v>
      </c>
    </row>
    <row r="117" spans="1:16" x14ac:dyDescent="0.45">
      <c r="A117" t="s">
        <v>5399</v>
      </c>
      <c r="B117" t="s">
        <v>5410</v>
      </c>
      <c r="C117" t="s">
        <v>5415</v>
      </c>
      <c r="D117" t="s">
        <v>5799</v>
      </c>
      <c r="E117" t="s">
        <v>6451</v>
      </c>
      <c r="F117" t="s">
        <v>13473</v>
      </c>
      <c r="G117" t="s">
        <v>13474</v>
      </c>
      <c r="H117" t="s">
        <v>13521</v>
      </c>
      <c r="I117" t="s">
        <v>6479</v>
      </c>
      <c r="J117" t="s">
        <v>13463</v>
      </c>
      <c r="K117">
        <v>0</v>
      </c>
      <c r="L117" t="s">
        <v>20</v>
      </c>
      <c r="M117" t="s">
        <v>20</v>
      </c>
      <c r="N117" t="str">
        <f>_xlfn.XLOOKUP(C:C,'Resource Table'!A:A,'Resource Table'!B:B,"NOT FOUND",0,1)</f>
        <v>Dedicated</v>
      </c>
      <c r="O117" t="str">
        <f>_xlfn.XLOOKUP(N:N,'Resource Table'!B:B,'Resource Table'!C:C,"n/a",0,1)</f>
        <v>AFS Dedicated Tech</v>
      </c>
      <c r="P117" t="str">
        <f>_xlfn.XLOOKUP(N:N,'Resource Table'!B:B,'Resource Table'!D:D,"n/a",0,1)</f>
        <v>Dedicated</v>
      </c>
    </row>
    <row r="118" spans="1:16" x14ac:dyDescent="0.45">
      <c r="A118" t="s">
        <v>5399</v>
      </c>
      <c r="B118" t="s">
        <v>5410</v>
      </c>
      <c r="C118" t="s">
        <v>5415</v>
      </c>
      <c r="D118" t="s">
        <v>5798</v>
      </c>
      <c r="E118" t="s">
        <v>6451</v>
      </c>
      <c r="F118" t="s">
        <v>13473</v>
      </c>
      <c r="G118" t="s">
        <v>13474</v>
      </c>
      <c r="H118" t="s">
        <v>13521</v>
      </c>
      <c r="I118" t="s">
        <v>6479</v>
      </c>
      <c r="J118" t="s">
        <v>13463</v>
      </c>
      <c r="K118">
        <v>1</v>
      </c>
      <c r="L118" t="s">
        <v>13480</v>
      </c>
      <c r="M118" t="s">
        <v>20</v>
      </c>
      <c r="N118" t="str">
        <f>_xlfn.XLOOKUP(C:C,'Resource Table'!A:A,'Resource Table'!B:B,"NOT FOUND",0,1)</f>
        <v>Dedicated</v>
      </c>
      <c r="O118" t="str">
        <f>_xlfn.XLOOKUP(N:N,'Resource Table'!B:B,'Resource Table'!C:C,"n/a",0,1)</f>
        <v>AFS Dedicated Tech</v>
      </c>
      <c r="P118" t="str">
        <f>_xlfn.XLOOKUP(N:N,'Resource Table'!B:B,'Resource Table'!D:D,"n/a",0,1)</f>
        <v>Dedicated</v>
      </c>
    </row>
    <row r="119" spans="1:16" x14ac:dyDescent="0.45">
      <c r="A119" t="s">
        <v>5399</v>
      </c>
      <c r="B119" t="s">
        <v>5410</v>
      </c>
      <c r="C119" t="s">
        <v>5415</v>
      </c>
      <c r="D119" t="s">
        <v>5716</v>
      </c>
      <c r="E119" t="s">
        <v>6451</v>
      </c>
      <c r="F119" t="s">
        <v>13473</v>
      </c>
      <c r="G119" t="s">
        <v>13474</v>
      </c>
      <c r="H119" t="s">
        <v>13517</v>
      </c>
      <c r="I119" t="s">
        <v>6479</v>
      </c>
      <c r="J119" t="s">
        <v>13463</v>
      </c>
      <c r="K119">
        <v>1</v>
      </c>
      <c r="L119" t="s">
        <v>13469</v>
      </c>
      <c r="M119" t="s">
        <v>20</v>
      </c>
      <c r="N119" t="str">
        <f>_xlfn.XLOOKUP(C:C,'Resource Table'!A:A,'Resource Table'!B:B,"NOT FOUND",0,1)</f>
        <v>Dedicated</v>
      </c>
      <c r="O119" t="str">
        <f>_xlfn.XLOOKUP(N:N,'Resource Table'!B:B,'Resource Table'!C:C,"n/a",0,1)</f>
        <v>AFS Dedicated Tech</v>
      </c>
      <c r="P119" t="str">
        <f>_xlfn.XLOOKUP(N:N,'Resource Table'!B:B,'Resource Table'!D:D,"n/a",0,1)</f>
        <v>Dedicated</v>
      </c>
    </row>
    <row r="120" spans="1:16" x14ac:dyDescent="0.45">
      <c r="A120" t="s">
        <v>5399</v>
      </c>
      <c r="B120" t="s">
        <v>5410</v>
      </c>
      <c r="C120" t="s">
        <v>5415</v>
      </c>
      <c r="D120" t="s">
        <v>5702</v>
      </c>
      <c r="E120" t="s">
        <v>6451</v>
      </c>
      <c r="F120" t="s">
        <v>13473</v>
      </c>
      <c r="G120" t="s">
        <v>13474</v>
      </c>
      <c r="H120" t="s">
        <v>13492</v>
      </c>
      <c r="I120" t="s">
        <v>6479</v>
      </c>
      <c r="J120" t="s">
        <v>13463</v>
      </c>
      <c r="K120">
        <v>1</v>
      </c>
      <c r="L120" t="s">
        <v>13493</v>
      </c>
      <c r="M120" t="s">
        <v>20</v>
      </c>
      <c r="N120" t="str">
        <f>_xlfn.XLOOKUP(C:C,'Resource Table'!A:A,'Resource Table'!B:B,"NOT FOUND",0,1)</f>
        <v>Dedicated</v>
      </c>
      <c r="O120" t="str">
        <f>_xlfn.XLOOKUP(N:N,'Resource Table'!B:B,'Resource Table'!C:C,"n/a",0,1)</f>
        <v>AFS Dedicated Tech</v>
      </c>
      <c r="P120" t="str">
        <f>_xlfn.XLOOKUP(N:N,'Resource Table'!B:B,'Resource Table'!D:D,"n/a",0,1)</f>
        <v>Dedicated</v>
      </c>
    </row>
    <row r="121" spans="1:16" x14ac:dyDescent="0.45">
      <c r="A121" t="s">
        <v>5431</v>
      </c>
      <c r="B121" t="s">
        <v>5431</v>
      </c>
      <c r="C121" t="s">
        <v>5606</v>
      </c>
      <c r="D121" t="s">
        <v>2128</v>
      </c>
      <c r="E121" t="s">
        <v>6461</v>
      </c>
      <c r="F121" t="s">
        <v>13460</v>
      </c>
      <c r="G121" t="s">
        <v>13481</v>
      </c>
      <c r="H121" t="s">
        <v>13482</v>
      </c>
      <c r="I121" t="s">
        <v>6479</v>
      </c>
      <c r="J121" t="s">
        <v>13463</v>
      </c>
      <c r="K121">
        <v>3</v>
      </c>
      <c r="L121" t="s">
        <v>13504</v>
      </c>
      <c r="M121" t="s">
        <v>13491</v>
      </c>
      <c r="N121" t="str">
        <f>_xlfn.XLOOKUP(C:C,'Resource Table'!A:A,'Resource Table'!B:B,"NOT FOUND",0,1)</f>
        <v>Brittany Williams</v>
      </c>
      <c r="O121" t="str">
        <f>_xlfn.XLOOKUP(N:N,'Resource Table'!B:B,'Resource Table'!C:C,"n/a",0,1)</f>
        <v>bwilliams5@ameritfleet.com</v>
      </c>
      <c r="P121" t="str">
        <f>_xlfn.XLOOKUP(N:N,'Resource Table'!B:B,'Resource Table'!D:D,"n/a",0,1)</f>
        <v>Vended Repair</v>
      </c>
    </row>
    <row r="122" spans="1:16" x14ac:dyDescent="0.45">
      <c r="A122" t="s">
        <v>5431</v>
      </c>
      <c r="B122" t="s">
        <v>5431</v>
      </c>
      <c r="C122" t="s">
        <v>5606</v>
      </c>
      <c r="D122" t="s">
        <v>6264</v>
      </c>
      <c r="E122" t="s">
        <v>6451</v>
      </c>
      <c r="F122" t="s">
        <v>13460</v>
      </c>
      <c r="G122" t="s">
        <v>13476</v>
      </c>
      <c r="H122" t="s">
        <v>13477</v>
      </c>
      <c r="I122" t="s">
        <v>6479</v>
      </c>
      <c r="J122" t="s">
        <v>13463</v>
      </c>
      <c r="K122">
        <v>0</v>
      </c>
      <c r="L122" t="s">
        <v>20</v>
      </c>
      <c r="M122" t="s">
        <v>20</v>
      </c>
      <c r="N122" t="str">
        <f>_xlfn.XLOOKUP(C:C,'Resource Table'!A:A,'Resource Table'!B:B,"NOT FOUND",0,1)</f>
        <v>Brittany Williams</v>
      </c>
      <c r="O122" t="str">
        <f>_xlfn.XLOOKUP(N:N,'Resource Table'!B:B,'Resource Table'!C:C,"n/a",0,1)</f>
        <v>bwilliams5@ameritfleet.com</v>
      </c>
      <c r="P122" t="str">
        <f>_xlfn.XLOOKUP(N:N,'Resource Table'!B:B,'Resource Table'!D:D,"n/a",0,1)</f>
        <v>Vended Repair</v>
      </c>
    </row>
    <row r="123" spans="1:16" x14ac:dyDescent="0.45">
      <c r="A123" t="s">
        <v>5431</v>
      </c>
      <c r="B123" t="s">
        <v>5431</v>
      </c>
      <c r="C123" t="s">
        <v>5606</v>
      </c>
      <c r="D123" t="s">
        <v>1280</v>
      </c>
      <c r="E123" t="s">
        <v>6461</v>
      </c>
      <c r="F123" t="s">
        <v>13460</v>
      </c>
      <c r="G123" t="s">
        <v>13481</v>
      </c>
      <c r="H123" t="s">
        <v>13482</v>
      </c>
      <c r="I123" t="s">
        <v>29</v>
      </c>
      <c r="J123" t="s">
        <v>13463</v>
      </c>
      <c r="K123">
        <v>2</v>
      </c>
      <c r="L123" t="s">
        <v>13512</v>
      </c>
      <c r="M123" t="s">
        <v>13545</v>
      </c>
      <c r="N123" t="str">
        <f>_xlfn.XLOOKUP(C:C,'Resource Table'!A:A,'Resource Table'!B:B,"NOT FOUND",0,1)</f>
        <v>Brittany Williams</v>
      </c>
      <c r="O123" t="str">
        <f>_xlfn.XLOOKUP(N:N,'Resource Table'!B:B,'Resource Table'!C:C,"n/a",0,1)</f>
        <v>bwilliams5@ameritfleet.com</v>
      </c>
      <c r="P123" t="str">
        <f>_xlfn.XLOOKUP(N:N,'Resource Table'!B:B,'Resource Table'!D:D,"n/a",0,1)</f>
        <v>Vended Repair</v>
      </c>
    </row>
    <row r="124" spans="1:16" x14ac:dyDescent="0.45">
      <c r="A124" t="s">
        <v>5431</v>
      </c>
      <c r="B124" t="s">
        <v>5431</v>
      </c>
      <c r="C124" t="s">
        <v>5606</v>
      </c>
      <c r="D124" t="s">
        <v>3658</v>
      </c>
      <c r="E124" t="s">
        <v>6461</v>
      </c>
      <c r="F124" t="s">
        <v>13460</v>
      </c>
      <c r="G124" t="s">
        <v>13481</v>
      </c>
      <c r="H124" t="s">
        <v>13482</v>
      </c>
      <c r="I124" t="s">
        <v>29</v>
      </c>
      <c r="J124" t="s">
        <v>13463</v>
      </c>
      <c r="K124">
        <v>1</v>
      </c>
      <c r="L124" t="s">
        <v>13480</v>
      </c>
      <c r="M124" t="s">
        <v>20</v>
      </c>
      <c r="N124" t="str">
        <f>_xlfn.XLOOKUP(C:C,'Resource Table'!A:A,'Resource Table'!B:B,"NOT FOUND",0,1)</f>
        <v>Brittany Williams</v>
      </c>
      <c r="O124" t="str">
        <f>_xlfn.XLOOKUP(N:N,'Resource Table'!B:B,'Resource Table'!C:C,"n/a",0,1)</f>
        <v>bwilliams5@ameritfleet.com</v>
      </c>
      <c r="P124" t="str">
        <f>_xlfn.XLOOKUP(N:N,'Resource Table'!B:B,'Resource Table'!D:D,"n/a",0,1)</f>
        <v>Vended Repair</v>
      </c>
    </row>
    <row r="125" spans="1:16" x14ac:dyDescent="0.45">
      <c r="A125" t="s">
        <v>5431</v>
      </c>
      <c r="B125" t="s">
        <v>5431</v>
      </c>
      <c r="C125" t="s">
        <v>5606</v>
      </c>
      <c r="D125" t="s">
        <v>2325</v>
      </c>
      <c r="E125" t="s">
        <v>6451</v>
      </c>
      <c r="F125" t="s">
        <v>13460</v>
      </c>
      <c r="G125" t="s">
        <v>13461</v>
      </c>
      <c r="H125" t="s">
        <v>13465</v>
      </c>
      <c r="I125" t="s">
        <v>6479</v>
      </c>
      <c r="J125" t="s">
        <v>13463</v>
      </c>
      <c r="K125">
        <v>1</v>
      </c>
      <c r="L125" t="s">
        <v>13530</v>
      </c>
      <c r="M125" t="s">
        <v>13535</v>
      </c>
      <c r="N125" t="str">
        <f>_xlfn.XLOOKUP(C:C,'Resource Table'!A:A,'Resource Table'!B:B,"NOT FOUND",0,1)</f>
        <v>Brittany Williams</v>
      </c>
      <c r="O125" t="str">
        <f>_xlfn.XLOOKUP(N:N,'Resource Table'!B:B,'Resource Table'!C:C,"n/a",0,1)</f>
        <v>bwilliams5@ameritfleet.com</v>
      </c>
      <c r="P125" t="str">
        <f>_xlfn.XLOOKUP(N:N,'Resource Table'!B:B,'Resource Table'!D:D,"n/a",0,1)</f>
        <v>Vended Repair</v>
      </c>
    </row>
    <row r="126" spans="1:16" x14ac:dyDescent="0.45">
      <c r="A126" t="s">
        <v>5431</v>
      </c>
      <c r="B126" t="s">
        <v>5431</v>
      </c>
      <c r="C126" t="s">
        <v>5606</v>
      </c>
      <c r="D126" t="s">
        <v>1297</v>
      </c>
      <c r="E126" t="s">
        <v>6461</v>
      </c>
      <c r="F126" t="s">
        <v>13460</v>
      </c>
      <c r="G126" t="s">
        <v>13481</v>
      </c>
      <c r="H126" t="s">
        <v>13522</v>
      </c>
      <c r="I126" t="s">
        <v>6479</v>
      </c>
      <c r="J126" t="s">
        <v>13463</v>
      </c>
      <c r="K126">
        <v>1</v>
      </c>
      <c r="L126" t="s">
        <v>13507</v>
      </c>
      <c r="M126" t="s">
        <v>13491</v>
      </c>
      <c r="N126" t="str">
        <f>_xlfn.XLOOKUP(C:C,'Resource Table'!A:A,'Resource Table'!B:B,"NOT FOUND",0,1)</f>
        <v>Brittany Williams</v>
      </c>
      <c r="O126" t="str">
        <f>_xlfn.XLOOKUP(N:N,'Resource Table'!B:B,'Resource Table'!C:C,"n/a",0,1)</f>
        <v>bwilliams5@ameritfleet.com</v>
      </c>
      <c r="P126" t="str">
        <f>_xlfn.XLOOKUP(N:N,'Resource Table'!B:B,'Resource Table'!D:D,"n/a",0,1)</f>
        <v>Vended Repair</v>
      </c>
    </row>
    <row r="127" spans="1:16" x14ac:dyDescent="0.45">
      <c r="A127" t="s">
        <v>5431</v>
      </c>
      <c r="B127" t="s">
        <v>5431</v>
      </c>
      <c r="C127" t="s">
        <v>5606</v>
      </c>
      <c r="D127" t="s">
        <v>5145</v>
      </c>
      <c r="E127" t="s">
        <v>6461</v>
      </c>
      <c r="F127" t="s">
        <v>13460</v>
      </c>
      <c r="G127" t="s">
        <v>13481</v>
      </c>
      <c r="H127" t="s">
        <v>13522</v>
      </c>
      <c r="I127" t="s">
        <v>6479</v>
      </c>
      <c r="J127" t="s">
        <v>13463</v>
      </c>
      <c r="K127">
        <v>1</v>
      </c>
      <c r="L127" t="s">
        <v>13536</v>
      </c>
      <c r="M127" t="s">
        <v>13491</v>
      </c>
      <c r="N127" t="str">
        <f>_xlfn.XLOOKUP(C:C,'Resource Table'!A:A,'Resource Table'!B:B,"NOT FOUND",0,1)</f>
        <v>Brittany Williams</v>
      </c>
      <c r="O127" t="str">
        <f>_xlfn.XLOOKUP(N:N,'Resource Table'!B:B,'Resource Table'!C:C,"n/a",0,1)</f>
        <v>bwilliams5@ameritfleet.com</v>
      </c>
      <c r="P127" t="str">
        <f>_xlfn.XLOOKUP(N:N,'Resource Table'!B:B,'Resource Table'!D:D,"n/a",0,1)</f>
        <v>Vended Repair</v>
      </c>
    </row>
    <row r="128" spans="1:16" x14ac:dyDescent="0.45">
      <c r="A128" t="s">
        <v>5431</v>
      </c>
      <c r="B128" t="s">
        <v>5431</v>
      </c>
      <c r="C128" t="s">
        <v>5606</v>
      </c>
      <c r="D128" t="s">
        <v>3353</v>
      </c>
      <c r="E128" t="s">
        <v>6451</v>
      </c>
      <c r="F128" t="s">
        <v>13460</v>
      </c>
      <c r="G128" t="s">
        <v>13476</v>
      </c>
      <c r="H128" t="s">
        <v>13531</v>
      </c>
      <c r="I128" t="s">
        <v>6479</v>
      </c>
      <c r="J128" t="s">
        <v>13463</v>
      </c>
      <c r="K128">
        <v>0</v>
      </c>
      <c r="L128" t="s">
        <v>20</v>
      </c>
      <c r="M128" t="s">
        <v>20</v>
      </c>
      <c r="N128" t="str">
        <f>_xlfn.XLOOKUP(C:C,'Resource Table'!A:A,'Resource Table'!B:B,"NOT FOUND",0,1)</f>
        <v>Brittany Williams</v>
      </c>
      <c r="O128" t="str">
        <f>_xlfn.XLOOKUP(N:N,'Resource Table'!B:B,'Resource Table'!C:C,"n/a",0,1)</f>
        <v>bwilliams5@ameritfleet.com</v>
      </c>
      <c r="P128" t="str">
        <f>_xlfn.XLOOKUP(N:N,'Resource Table'!B:B,'Resource Table'!D:D,"n/a",0,1)</f>
        <v>Vended Repair</v>
      </c>
    </row>
    <row r="129" spans="1:16" x14ac:dyDescent="0.45">
      <c r="A129" t="s">
        <v>5431</v>
      </c>
      <c r="B129" t="s">
        <v>5431</v>
      </c>
      <c r="C129" t="s">
        <v>5613</v>
      </c>
      <c r="D129" t="s">
        <v>388</v>
      </c>
      <c r="E129" t="s">
        <v>6461</v>
      </c>
      <c r="F129" t="s">
        <v>13460</v>
      </c>
      <c r="G129" t="s">
        <v>13481</v>
      </c>
      <c r="H129" t="s">
        <v>13482</v>
      </c>
      <c r="I129" t="s">
        <v>6479</v>
      </c>
      <c r="J129" t="s">
        <v>13486</v>
      </c>
      <c r="K129">
        <v>3</v>
      </c>
      <c r="L129" t="s">
        <v>13544</v>
      </c>
      <c r="M129" t="s">
        <v>14766</v>
      </c>
      <c r="N129" t="str">
        <f>_xlfn.XLOOKUP(C:C,'Resource Table'!A:A,'Resource Table'!B:B,"NOT FOUND",0,1)</f>
        <v>Brittany Williams</v>
      </c>
      <c r="O129" t="str">
        <f>_xlfn.XLOOKUP(N:N,'Resource Table'!B:B,'Resource Table'!C:C,"n/a",0,1)</f>
        <v>bwilliams5@ameritfleet.com</v>
      </c>
      <c r="P129" t="str">
        <f>_xlfn.XLOOKUP(N:N,'Resource Table'!B:B,'Resource Table'!D:D,"n/a",0,1)</f>
        <v>Vended Repair</v>
      </c>
    </row>
    <row r="130" spans="1:16" x14ac:dyDescent="0.45">
      <c r="A130" t="s">
        <v>5431</v>
      </c>
      <c r="B130" t="s">
        <v>5431</v>
      </c>
      <c r="C130" t="s">
        <v>5613</v>
      </c>
      <c r="D130" t="s">
        <v>1518</v>
      </c>
      <c r="E130" t="s">
        <v>6461</v>
      </c>
      <c r="F130" t="s">
        <v>13460</v>
      </c>
      <c r="G130" t="s">
        <v>13481</v>
      </c>
      <c r="H130" t="s">
        <v>13482</v>
      </c>
      <c r="I130" t="s">
        <v>6479</v>
      </c>
      <c r="J130" t="s">
        <v>13486</v>
      </c>
      <c r="K130">
        <v>2</v>
      </c>
      <c r="L130" t="s">
        <v>13466</v>
      </c>
      <c r="M130" t="s">
        <v>13468</v>
      </c>
      <c r="N130" t="str">
        <f>_xlfn.XLOOKUP(C:C,'Resource Table'!A:A,'Resource Table'!B:B,"NOT FOUND",0,1)</f>
        <v>Brittany Williams</v>
      </c>
      <c r="O130" t="str">
        <f>_xlfn.XLOOKUP(N:N,'Resource Table'!B:B,'Resource Table'!C:C,"n/a",0,1)</f>
        <v>bwilliams5@ameritfleet.com</v>
      </c>
      <c r="P130" t="str">
        <f>_xlfn.XLOOKUP(N:N,'Resource Table'!B:B,'Resource Table'!D:D,"n/a",0,1)</f>
        <v>Vended Repair</v>
      </c>
    </row>
    <row r="131" spans="1:16" x14ac:dyDescent="0.45">
      <c r="A131" t="s">
        <v>5431</v>
      </c>
      <c r="B131" t="s">
        <v>5431</v>
      </c>
      <c r="C131" t="s">
        <v>5613</v>
      </c>
      <c r="D131" t="s">
        <v>2836</v>
      </c>
      <c r="E131" t="s">
        <v>6461</v>
      </c>
      <c r="F131" t="s">
        <v>13460</v>
      </c>
      <c r="G131" t="s">
        <v>13461</v>
      </c>
      <c r="H131" t="s">
        <v>13462</v>
      </c>
      <c r="I131" t="s">
        <v>6479</v>
      </c>
      <c r="J131" t="s">
        <v>13486</v>
      </c>
      <c r="K131">
        <v>1</v>
      </c>
      <c r="L131" t="s">
        <v>13487</v>
      </c>
      <c r="M131" t="s">
        <v>20</v>
      </c>
      <c r="N131" t="str">
        <f>_xlfn.XLOOKUP(C:C,'Resource Table'!A:A,'Resource Table'!B:B,"NOT FOUND",0,1)</f>
        <v>Brittany Williams</v>
      </c>
      <c r="O131" t="str">
        <f>_xlfn.XLOOKUP(N:N,'Resource Table'!B:B,'Resource Table'!C:C,"n/a",0,1)</f>
        <v>bwilliams5@ameritfleet.com</v>
      </c>
      <c r="P131" t="str">
        <f>_xlfn.XLOOKUP(N:N,'Resource Table'!B:B,'Resource Table'!D:D,"n/a",0,1)</f>
        <v>Vended Repair</v>
      </c>
    </row>
    <row r="132" spans="1:16" x14ac:dyDescent="0.45">
      <c r="A132" t="s">
        <v>5431</v>
      </c>
      <c r="B132" t="s">
        <v>5431</v>
      </c>
      <c r="C132" t="s">
        <v>5613</v>
      </c>
      <c r="D132" t="s">
        <v>1252</v>
      </c>
      <c r="E132" t="s">
        <v>6461</v>
      </c>
      <c r="F132" t="s">
        <v>13460</v>
      </c>
      <c r="G132" t="s">
        <v>13538</v>
      </c>
      <c r="H132" t="s">
        <v>13539</v>
      </c>
      <c r="I132" t="s">
        <v>6479</v>
      </c>
      <c r="J132" t="s">
        <v>13463</v>
      </c>
      <c r="K132">
        <v>1</v>
      </c>
      <c r="L132" t="s">
        <v>13534</v>
      </c>
      <c r="M132" t="s">
        <v>13540</v>
      </c>
      <c r="N132" t="str">
        <f>_xlfn.XLOOKUP(C:C,'Resource Table'!A:A,'Resource Table'!B:B,"NOT FOUND",0,1)</f>
        <v>Brittany Williams</v>
      </c>
      <c r="O132" t="str">
        <f>_xlfn.XLOOKUP(N:N,'Resource Table'!B:B,'Resource Table'!C:C,"n/a",0,1)</f>
        <v>bwilliams5@ameritfleet.com</v>
      </c>
      <c r="P132" t="str">
        <f>_xlfn.XLOOKUP(N:N,'Resource Table'!B:B,'Resource Table'!D:D,"n/a",0,1)</f>
        <v>Vended Repair</v>
      </c>
    </row>
    <row r="133" spans="1:16" x14ac:dyDescent="0.45">
      <c r="A133" t="s">
        <v>5431</v>
      </c>
      <c r="B133" t="s">
        <v>5431</v>
      </c>
      <c r="C133" t="s">
        <v>5613</v>
      </c>
      <c r="D133" t="s">
        <v>642</v>
      </c>
      <c r="E133" t="s">
        <v>6461</v>
      </c>
      <c r="F133" t="s">
        <v>13460</v>
      </c>
      <c r="G133" t="s">
        <v>13481</v>
      </c>
      <c r="H133" t="s">
        <v>13518</v>
      </c>
      <c r="I133" t="s">
        <v>6479</v>
      </c>
      <c r="J133" t="s">
        <v>13463</v>
      </c>
      <c r="K133">
        <v>0</v>
      </c>
      <c r="L133" t="s">
        <v>20</v>
      </c>
      <c r="M133" t="s">
        <v>20</v>
      </c>
      <c r="N133" t="str">
        <f>_xlfn.XLOOKUP(C:C,'Resource Table'!A:A,'Resource Table'!B:B,"NOT FOUND",0,1)</f>
        <v>Brittany Williams</v>
      </c>
      <c r="O133" t="str">
        <f>_xlfn.XLOOKUP(N:N,'Resource Table'!B:B,'Resource Table'!C:C,"n/a",0,1)</f>
        <v>bwilliams5@ameritfleet.com</v>
      </c>
      <c r="P133" t="str">
        <f>_xlfn.XLOOKUP(N:N,'Resource Table'!B:B,'Resource Table'!D:D,"n/a",0,1)</f>
        <v>Vended Repair</v>
      </c>
    </row>
    <row r="134" spans="1:16" x14ac:dyDescent="0.45">
      <c r="A134" t="s">
        <v>5431</v>
      </c>
      <c r="B134" t="s">
        <v>5431</v>
      </c>
      <c r="C134" t="s">
        <v>5613</v>
      </c>
      <c r="D134" t="s">
        <v>469</v>
      </c>
      <c r="E134" t="s">
        <v>6461</v>
      </c>
      <c r="F134" t="s">
        <v>13460</v>
      </c>
      <c r="G134" t="s">
        <v>13461</v>
      </c>
      <c r="H134" t="s">
        <v>13462</v>
      </c>
      <c r="I134" t="s">
        <v>29</v>
      </c>
      <c r="J134" t="s">
        <v>13486</v>
      </c>
      <c r="K134">
        <v>2</v>
      </c>
      <c r="L134" t="s">
        <v>13479</v>
      </c>
      <c r="M134" t="s">
        <v>13541</v>
      </c>
      <c r="N134" t="str">
        <f>_xlfn.XLOOKUP(C:C,'Resource Table'!A:A,'Resource Table'!B:B,"NOT FOUND",0,1)</f>
        <v>Brittany Williams</v>
      </c>
      <c r="O134" t="str">
        <f>_xlfn.XLOOKUP(N:N,'Resource Table'!B:B,'Resource Table'!C:C,"n/a",0,1)</f>
        <v>bwilliams5@ameritfleet.com</v>
      </c>
      <c r="P134" t="str">
        <f>_xlfn.XLOOKUP(N:N,'Resource Table'!B:B,'Resource Table'!D:D,"n/a",0,1)</f>
        <v>Vended Repair</v>
      </c>
    </row>
    <row r="135" spans="1:16" x14ac:dyDescent="0.45">
      <c r="A135" t="s">
        <v>5431</v>
      </c>
      <c r="B135" t="s">
        <v>5431</v>
      </c>
      <c r="C135" t="s">
        <v>5540</v>
      </c>
      <c r="D135" t="s">
        <v>2600</v>
      </c>
      <c r="E135" t="s">
        <v>6462</v>
      </c>
      <c r="F135" t="s">
        <v>13460</v>
      </c>
      <c r="G135" t="s">
        <v>13481</v>
      </c>
      <c r="H135" t="s">
        <v>13485</v>
      </c>
      <c r="I135" t="s">
        <v>6479</v>
      </c>
      <c r="J135" t="s">
        <v>13486</v>
      </c>
      <c r="K135">
        <v>3</v>
      </c>
      <c r="L135" t="s">
        <v>13497</v>
      </c>
      <c r="M135" t="s">
        <v>13472</v>
      </c>
      <c r="N135" t="str">
        <f>_xlfn.XLOOKUP(C:C,'Resource Table'!A:A,'Resource Table'!B:B,"NOT FOUND",0,1)</f>
        <v>Brittany Williams</v>
      </c>
      <c r="O135" t="str">
        <f>_xlfn.XLOOKUP(N:N,'Resource Table'!B:B,'Resource Table'!C:C,"n/a",0,1)</f>
        <v>bwilliams5@ameritfleet.com</v>
      </c>
      <c r="P135" t="str">
        <f>_xlfn.XLOOKUP(N:N,'Resource Table'!B:B,'Resource Table'!D:D,"n/a",0,1)</f>
        <v>Vended Repair</v>
      </c>
    </row>
    <row r="136" spans="1:16" x14ac:dyDescent="0.45">
      <c r="A136" t="s">
        <v>5431</v>
      </c>
      <c r="B136" t="s">
        <v>5431</v>
      </c>
      <c r="C136" t="s">
        <v>5540</v>
      </c>
      <c r="D136" t="s">
        <v>156</v>
      </c>
      <c r="E136" t="s">
        <v>6451</v>
      </c>
      <c r="F136" t="s">
        <v>13460</v>
      </c>
      <c r="G136" t="s">
        <v>13476</v>
      </c>
      <c r="H136" t="s">
        <v>13531</v>
      </c>
      <c r="I136" t="s">
        <v>6479</v>
      </c>
      <c r="J136" t="s">
        <v>13463</v>
      </c>
      <c r="K136">
        <v>1</v>
      </c>
      <c r="L136" t="s">
        <v>13468</v>
      </c>
      <c r="M136" t="s">
        <v>13484</v>
      </c>
      <c r="N136" t="str">
        <f>_xlfn.XLOOKUP(C:C,'Resource Table'!A:A,'Resource Table'!B:B,"NOT FOUND",0,1)</f>
        <v>Brittany Williams</v>
      </c>
      <c r="O136" t="str">
        <f>_xlfn.XLOOKUP(N:N,'Resource Table'!B:B,'Resource Table'!C:C,"n/a",0,1)</f>
        <v>bwilliams5@ameritfleet.com</v>
      </c>
      <c r="P136" t="str">
        <f>_xlfn.XLOOKUP(N:N,'Resource Table'!B:B,'Resource Table'!D:D,"n/a",0,1)</f>
        <v>Vended Repair</v>
      </c>
    </row>
    <row r="137" spans="1:16" x14ac:dyDescent="0.45">
      <c r="A137" t="s">
        <v>5431</v>
      </c>
      <c r="B137" t="s">
        <v>5431</v>
      </c>
      <c r="C137" t="s">
        <v>5540</v>
      </c>
      <c r="D137" t="s">
        <v>37</v>
      </c>
      <c r="E137" t="s">
        <v>6451</v>
      </c>
      <c r="F137" t="s">
        <v>13460</v>
      </c>
      <c r="G137" t="s">
        <v>13476</v>
      </c>
      <c r="H137" t="s">
        <v>13477</v>
      </c>
      <c r="I137" t="s">
        <v>6479</v>
      </c>
      <c r="J137" t="s">
        <v>13463</v>
      </c>
      <c r="K137">
        <v>2</v>
      </c>
      <c r="L137" t="s">
        <v>13512</v>
      </c>
      <c r="M137" t="s">
        <v>13537</v>
      </c>
      <c r="N137" t="str">
        <f>_xlfn.XLOOKUP(C:C,'Resource Table'!A:A,'Resource Table'!B:B,"NOT FOUND",0,1)</f>
        <v>Brittany Williams</v>
      </c>
      <c r="O137" t="str">
        <f>_xlfn.XLOOKUP(N:N,'Resource Table'!B:B,'Resource Table'!C:C,"n/a",0,1)</f>
        <v>bwilliams5@ameritfleet.com</v>
      </c>
      <c r="P137" t="str">
        <f>_xlfn.XLOOKUP(N:N,'Resource Table'!B:B,'Resource Table'!D:D,"n/a",0,1)</f>
        <v>Vended Repair</v>
      </c>
    </row>
    <row r="138" spans="1:16" x14ac:dyDescent="0.45">
      <c r="A138" t="s">
        <v>5431</v>
      </c>
      <c r="B138" t="s">
        <v>5431</v>
      </c>
      <c r="C138" t="s">
        <v>5540</v>
      </c>
      <c r="D138" t="s">
        <v>1869</v>
      </c>
      <c r="E138" t="s">
        <v>6461</v>
      </c>
      <c r="F138" t="s">
        <v>13460</v>
      </c>
      <c r="G138" t="s">
        <v>13481</v>
      </c>
      <c r="H138" t="s">
        <v>13490</v>
      </c>
      <c r="I138" t="s">
        <v>29</v>
      </c>
      <c r="J138" t="s">
        <v>13486</v>
      </c>
      <c r="K138">
        <v>4</v>
      </c>
      <c r="L138" t="s">
        <v>13469</v>
      </c>
      <c r="M138" t="s">
        <v>13505</v>
      </c>
      <c r="N138" t="str">
        <f>_xlfn.XLOOKUP(C:C,'Resource Table'!A:A,'Resource Table'!B:B,"NOT FOUND",0,1)</f>
        <v>Brittany Williams</v>
      </c>
      <c r="O138" t="str">
        <f>_xlfn.XLOOKUP(N:N,'Resource Table'!B:B,'Resource Table'!C:C,"n/a",0,1)</f>
        <v>bwilliams5@ameritfleet.com</v>
      </c>
      <c r="P138" t="str">
        <f>_xlfn.XLOOKUP(N:N,'Resource Table'!B:B,'Resource Table'!D:D,"n/a",0,1)</f>
        <v>Vended Repair</v>
      </c>
    </row>
    <row r="139" spans="1:16" x14ac:dyDescent="0.45">
      <c r="A139" t="s">
        <v>5431</v>
      </c>
      <c r="B139" t="s">
        <v>5431</v>
      </c>
      <c r="C139" t="s">
        <v>5540</v>
      </c>
      <c r="D139" t="s">
        <v>2608</v>
      </c>
      <c r="E139" t="s">
        <v>6461</v>
      </c>
      <c r="F139" t="s">
        <v>13460</v>
      </c>
      <c r="G139" t="s">
        <v>13538</v>
      </c>
      <c r="H139" t="s">
        <v>13539</v>
      </c>
      <c r="I139" t="s">
        <v>29</v>
      </c>
      <c r="J139" t="s">
        <v>13463</v>
      </c>
      <c r="K139">
        <v>2</v>
      </c>
      <c r="L139" t="s">
        <v>13507</v>
      </c>
      <c r="M139" t="s">
        <v>13513</v>
      </c>
      <c r="N139" t="str">
        <f>_xlfn.XLOOKUP(C:C,'Resource Table'!A:A,'Resource Table'!B:B,"NOT FOUND",0,1)</f>
        <v>Brittany Williams</v>
      </c>
      <c r="O139" t="str">
        <f>_xlfn.XLOOKUP(N:N,'Resource Table'!B:B,'Resource Table'!C:C,"n/a",0,1)</f>
        <v>bwilliams5@ameritfleet.com</v>
      </c>
      <c r="P139" t="str">
        <f>_xlfn.XLOOKUP(N:N,'Resource Table'!B:B,'Resource Table'!D:D,"n/a",0,1)</f>
        <v>Vended Repair</v>
      </c>
    </row>
    <row r="140" spans="1:16" x14ac:dyDescent="0.45">
      <c r="A140" t="s">
        <v>5431</v>
      </c>
      <c r="B140" t="s">
        <v>5431</v>
      </c>
      <c r="C140" t="s">
        <v>5540</v>
      </c>
      <c r="D140" t="s">
        <v>450</v>
      </c>
      <c r="E140" t="s">
        <v>6461</v>
      </c>
      <c r="F140" t="s">
        <v>13460</v>
      </c>
      <c r="G140" t="s">
        <v>13481</v>
      </c>
      <c r="H140" t="s">
        <v>13482</v>
      </c>
      <c r="I140" t="s">
        <v>6479</v>
      </c>
      <c r="J140" t="s">
        <v>13463</v>
      </c>
      <c r="K140">
        <v>3</v>
      </c>
      <c r="L140" t="s">
        <v>13543</v>
      </c>
      <c r="M140" t="s">
        <v>13505</v>
      </c>
      <c r="N140" t="str">
        <f>_xlfn.XLOOKUP(C:C,'Resource Table'!A:A,'Resource Table'!B:B,"NOT FOUND",0,1)</f>
        <v>Brittany Williams</v>
      </c>
      <c r="O140" t="str">
        <f>_xlfn.XLOOKUP(N:N,'Resource Table'!B:B,'Resource Table'!C:C,"n/a",0,1)</f>
        <v>bwilliams5@ameritfleet.com</v>
      </c>
      <c r="P140" t="str">
        <f>_xlfn.XLOOKUP(N:N,'Resource Table'!B:B,'Resource Table'!D:D,"n/a",0,1)</f>
        <v>Vended Repair</v>
      </c>
    </row>
    <row r="141" spans="1:16" x14ac:dyDescent="0.45">
      <c r="A141" t="s">
        <v>5431</v>
      </c>
      <c r="B141" t="s">
        <v>5431</v>
      </c>
      <c r="C141" t="s">
        <v>5540</v>
      </c>
      <c r="D141" t="s">
        <v>2732</v>
      </c>
      <c r="E141" t="s">
        <v>6462</v>
      </c>
      <c r="F141" t="s">
        <v>13460</v>
      </c>
      <c r="G141" t="s">
        <v>13481</v>
      </c>
      <c r="H141" t="s">
        <v>13485</v>
      </c>
      <c r="I141" t="s">
        <v>6479</v>
      </c>
      <c r="J141" t="s">
        <v>13486</v>
      </c>
      <c r="K141">
        <v>4</v>
      </c>
      <c r="L141" t="s">
        <v>13544</v>
      </c>
      <c r="M141" t="s">
        <v>13545</v>
      </c>
      <c r="N141" t="str">
        <f>_xlfn.XLOOKUP(C:C,'Resource Table'!A:A,'Resource Table'!B:B,"NOT FOUND",0,1)</f>
        <v>Brittany Williams</v>
      </c>
      <c r="O141" t="str">
        <f>_xlfn.XLOOKUP(N:N,'Resource Table'!B:B,'Resource Table'!C:C,"n/a",0,1)</f>
        <v>bwilliams5@ameritfleet.com</v>
      </c>
      <c r="P141" t="str">
        <f>_xlfn.XLOOKUP(N:N,'Resource Table'!B:B,'Resource Table'!D:D,"n/a",0,1)</f>
        <v>Vended Repair</v>
      </c>
    </row>
    <row r="142" spans="1:16" x14ac:dyDescent="0.45">
      <c r="A142" t="s">
        <v>5431</v>
      </c>
      <c r="B142" t="s">
        <v>5431</v>
      </c>
      <c r="C142" t="s">
        <v>5540</v>
      </c>
      <c r="D142" t="s">
        <v>2486</v>
      </c>
      <c r="E142" t="s">
        <v>6451</v>
      </c>
      <c r="F142" t="s">
        <v>13460</v>
      </c>
      <c r="G142" t="s">
        <v>13481</v>
      </c>
      <c r="H142" t="s">
        <v>13546</v>
      </c>
      <c r="I142" t="s">
        <v>6479</v>
      </c>
      <c r="J142" t="s">
        <v>13463</v>
      </c>
      <c r="K142">
        <v>5</v>
      </c>
      <c r="L142" t="s">
        <v>13544</v>
      </c>
      <c r="M142" t="s">
        <v>13505</v>
      </c>
      <c r="N142" t="str">
        <f>_xlfn.XLOOKUP(C:C,'Resource Table'!A:A,'Resource Table'!B:B,"NOT FOUND",0,1)</f>
        <v>Brittany Williams</v>
      </c>
      <c r="O142" t="str">
        <f>_xlfn.XLOOKUP(N:N,'Resource Table'!B:B,'Resource Table'!C:C,"n/a",0,1)</f>
        <v>bwilliams5@ameritfleet.com</v>
      </c>
      <c r="P142" t="str">
        <f>_xlfn.XLOOKUP(N:N,'Resource Table'!B:B,'Resource Table'!D:D,"n/a",0,1)</f>
        <v>Vended Repair</v>
      </c>
    </row>
    <row r="143" spans="1:16" x14ac:dyDescent="0.45">
      <c r="A143" t="s">
        <v>5431</v>
      </c>
      <c r="B143" t="s">
        <v>5431</v>
      </c>
      <c r="C143" t="s">
        <v>5540</v>
      </c>
      <c r="D143" t="s">
        <v>5720</v>
      </c>
      <c r="E143" t="s">
        <v>6451</v>
      </c>
      <c r="F143" t="s">
        <v>13473</v>
      </c>
      <c r="G143" t="s">
        <v>13474</v>
      </c>
      <c r="H143" t="s">
        <v>13517</v>
      </c>
      <c r="I143" t="s">
        <v>6479</v>
      </c>
      <c r="J143" t="s">
        <v>13463</v>
      </c>
      <c r="K143">
        <v>3</v>
      </c>
      <c r="L143" t="s">
        <v>13507</v>
      </c>
      <c r="M143" t="s">
        <v>13505</v>
      </c>
      <c r="N143" t="str">
        <f>_xlfn.XLOOKUP(C:C,'Resource Table'!A:A,'Resource Table'!B:B,"NOT FOUND",0,1)</f>
        <v>Brittany Williams</v>
      </c>
      <c r="O143" t="str">
        <f>_xlfn.XLOOKUP(N:N,'Resource Table'!B:B,'Resource Table'!C:C,"n/a",0,1)</f>
        <v>bwilliams5@ameritfleet.com</v>
      </c>
      <c r="P143" t="str">
        <f>_xlfn.XLOOKUP(N:N,'Resource Table'!B:B,'Resource Table'!D:D,"n/a",0,1)</f>
        <v>Vended Repair</v>
      </c>
    </row>
    <row r="144" spans="1:16" x14ac:dyDescent="0.45">
      <c r="A144" t="s">
        <v>5431</v>
      </c>
      <c r="B144" t="s">
        <v>5431</v>
      </c>
      <c r="C144" t="s">
        <v>5472</v>
      </c>
      <c r="D144" t="s">
        <v>5919</v>
      </c>
      <c r="E144" t="s">
        <v>6451</v>
      </c>
      <c r="F144" t="s">
        <v>13460</v>
      </c>
      <c r="G144" t="s">
        <v>13481</v>
      </c>
      <c r="H144" t="s">
        <v>13490</v>
      </c>
      <c r="I144" t="s">
        <v>6479</v>
      </c>
      <c r="J144" t="s">
        <v>13463</v>
      </c>
      <c r="K144">
        <v>1</v>
      </c>
      <c r="L144" t="s">
        <v>13480</v>
      </c>
      <c r="M144" t="s">
        <v>13480</v>
      </c>
      <c r="N144" t="str">
        <f>_xlfn.XLOOKUP(C:C,'Resource Table'!A:A,'Resource Table'!B:B,"NOT FOUND",0,1)</f>
        <v>Dedicated</v>
      </c>
      <c r="O144" t="str">
        <f>_xlfn.XLOOKUP(N:N,'Resource Table'!B:B,'Resource Table'!C:C,"n/a",0,1)</f>
        <v>AFS Dedicated Tech</v>
      </c>
      <c r="P144" t="str">
        <f>_xlfn.XLOOKUP(N:N,'Resource Table'!B:B,'Resource Table'!D:D,"n/a",0,1)</f>
        <v>Dedicated</v>
      </c>
    </row>
    <row r="145" spans="1:16" x14ac:dyDescent="0.45">
      <c r="A145" t="s">
        <v>5431</v>
      </c>
      <c r="B145" t="s">
        <v>5431</v>
      </c>
      <c r="C145" t="s">
        <v>5472</v>
      </c>
      <c r="D145" t="s">
        <v>5996</v>
      </c>
      <c r="E145" t="s">
        <v>6461</v>
      </c>
      <c r="F145" t="s">
        <v>13460</v>
      </c>
      <c r="G145" t="s">
        <v>13481</v>
      </c>
      <c r="H145" t="s">
        <v>13482</v>
      </c>
      <c r="I145" t="s">
        <v>29</v>
      </c>
      <c r="J145" t="s">
        <v>13486</v>
      </c>
      <c r="K145">
        <v>6</v>
      </c>
      <c r="L145" t="s">
        <v>13489</v>
      </c>
      <c r="M145" t="s">
        <v>13480</v>
      </c>
      <c r="N145" t="str">
        <f>_xlfn.XLOOKUP(C:C,'Resource Table'!A:A,'Resource Table'!B:B,"NOT FOUND",0,1)</f>
        <v>Dedicated</v>
      </c>
      <c r="O145" t="str">
        <f>_xlfn.XLOOKUP(N:N,'Resource Table'!B:B,'Resource Table'!C:C,"n/a",0,1)</f>
        <v>AFS Dedicated Tech</v>
      </c>
      <c r="P145" t="str">
        <f>_xlfn.XLOOKUP(N:N,'Resource Table'!B:B,'Resource Table'!D:D,"n/a",0,1)</f>
        <v>Dedicated</v>
      </c>
    </row>
    <row r="146" spans="1:16" x14ac:dyDescent="0.45">
      <c r="A146" t="s">
        <v>5431</v>
      </c>
      <c r="B146" t="s">
        <v>5431</v>
      </c>
      <c r="C146" t="s">
        <v>5472</v>
      </c>
      <c r="D146" t="s">
        <v>5905</v>
      </c>
      <c r="E146" t="s">
        <v>6461</v>
      </c>
      <c r="F146" t="s">
        <v>13460</v>
      </c>
      <c r="G146" t="s">
        <v>13481</v>
      </c>
      <c r="H146" t="s">
        <v>13485</v>
      </c>
      <c r="I146" t="s">
        <v>6479</v>
      </c>
      <c r="J146" t="s">
        <v>13486</v>
      </c>
      <c r="K146">
        <v>1</v>
      </c>
      <c r="L146" t="s">
        <v>13536</v>
      </c>
      <c r="M146" t="s">
        <v>20</v>
      </c>
      <c r="N146" t="str">
        <f>_xlfn.XLOOKUP(C:C,'Resource Table'!A:A,'Resource Table'!B:B,"NOT FOUND",0,1)</f>
        <v>Dedicated</v>
      </c>
      <c r="O146" t="str">
        <f>_xlfn.XLOOKUP(N:N,'Resource Table'!B:B,'Resource Table'!C:C,"n/a",0,1)</f>
        <v>AFS Dedicated Tech</v>
      </c>
      <c r="P146" t="str">
        <f>_xlfn.XLOOKUP(N:N,'Resource Table'!B:B,'Resource Table'!D:D,"n/a",0,1)</f>
        <v>Dedicated</v>
      </c>
    </row>
    <row r="147" spans="1:16" x14ac:dyDescent="0.45">
      <c r="A147" t="s">
        <v>5431</v>
      </c>
      <c r="B147" t="s">
        <v>5431</v>
      </c>
      <c r="C147" t="s">
        <v>5472</v>
      </c>
      <c r="D147" t="s">
        <v>6153</v>
      </c>
      <c r="E147" t="s">
        <v>6461</v>
      </c>
      <c r="F147" t="s">
        <v>13460</v>
      </c>
      <c r="G147" t="s">
        <v>13509</v>
      </c>
      <c r="H147" t="s">
        <v>13510</v>
      </c>
      <c r="I147" t="s">
        <v>6479</v>
      </c>
      <c r="J147" t="s">
        <v>13463</v>
      </c>
      <c r="K147">
        <v>1</v>
      </c>
      <c r="L147" t="s">
        <v>13520</v>
      </c>
      <c r="M147" t="s">
        <v>20</v>
      </c>
      <c r="N147" t="str">
        <f>_xlfn.XLOOKUP(C:C,'Resource Table'!A:A,'Resource Table'!B:B,"NOT FOUND",0,1)</f>
        <v>Dedicated</v>
      </c>
      <c r="O147" t="str">
        <f>_xlfn.XLOOKUP(N:N,'Resource Table'!B:B,'Resource Table'!C:C,"n/a",0,1)</f>
        <v>AFS Dedicated Tech</v>
      </c>
      <c r="P147" t="str">
        <f>_xlfn.XLOOKUP(N:N,'Resource Table'!B:B,'Resource Table'!D:D,"n/a",0,1)</f>
        <v>Dedicated</v>
      </c>
    </row>
    <row r="148" spans="1:16" x14ac:dyDescent="0.45">
      <c r="A148" t="s">
        <v>5431</v>
      </c>
      <c r="B148" t="s">
        <v>5431</v>
      </c>
      <c r="C148" t="s">
        <v>5472</v>
      </c>
      <c r="D148" t="s">
        <v>2878</v>
      </c>
      <c r="E148" t="s">
        <v>6451</v>
      </c>
      <c r="F148" t="s">
        <v>13473</v>
      </c>
      <c r="G148" t="s">
        <v>13474</v>
      </c>
      <c r="H148" t="s">
        <v>13492</v>
      </c>
      <c r="I148" t="s">
        <v>6479</v>
      </c>
      <c r="J148" t="s">
        <v>13463</v>
      </c>
      <c r="K148">
        <v>1</v>
      </c>
      <c r="L148" t="s">
        <v>13489</v>
      </c>
      <c r="M148" t="s">
        <v>20</v>
      </c>
      <c r="N148" t="str">
        <f>_xlfn.XLOOKUP(C:C,'Resource Table'!A:A,'Resource Table'!B:B,"NOT FOUND",0,1)</f>
        <v>Dedicated</v>
      </c>
      <c r="O148" t="str">
        <f>_xlfn.XLOOKUP(N:N,'Resource Table'!B:B,'Resource Table'!C:C,"n/a",0,1)</f>
        <v>AFS Dedicated Tech</v>
      </c>
      <c r="P148" t="str">
        <f>_xlfn.XLOOKUP(N:N,'Resource Table'!B:B,'Resource Table'!D:D,"n/a",0,1)</f>
        <v>Dedicated</v>
      </c>
    </row>
    <row r="149" spans="1:16" x14ac:dyDescent="0.45">
      <c r="A149" t="s">
        <v>5431</v>
      </c>
      <c r="B149" t="s">
        <v>5431</v>
      </c>
      <c r="C149" t="s">
        <v>5472</v>
      </c>
      <c r="D149" t="s">
        <v>5808</v>
      </c>
      <c r="E149" t="s">
        <v>6451</v>
      </c>
      <c r="F149" t="s">
        <v>13473</v>
      </c>
      <c r="G149" t="s">
        <v>13474</v>
      </c>
      <c r="H149" t="s">
        <v>13475</v>
      </c>
      <c r="I149" t="s">
        <v>6479</v>
      </c>
      <c r="J149" t="s">
        <v>13463</v>
      </c>
      <c r="K149">
        <v>0</v>
      </c>
      <c r="L149" t="s">
        <v>20</v>
      </c>
      <c r="M149" t="s">
        <v>20</v>
      </c>
      <c r="N149" t="str">
        <f>_xlfn.XLOOKUP(C:C,'Resource Table'!A:A,'Resource Table'!B:B,"NOT FOUND",0,1)</f>
        <v>Dedicated</v>
      </c>
      <c r="O149" t="str">
        <f>_xlfn.XLOOKUP(N:N,'Resource Table'!B:B,'Resource Table'!C:C,"n/a",0,1)</f>
        <v>AFS Dedicated Tech</v>
      </c>
      <c r="P149" t="str">
        <f>_xlfn.XLOOKUP(N:N,'Resource Table'!B:B,'Resource Table'!D:D,"n/a",0,1)</f>
        <v>Dedicated</v>
      </c>
    </row>
    <row r="150" spans="1:16" x14ac:dyDescent="0.45">
      <c r="A150" t="s">
        <v>5431</v>
      </c>
      <c r="B150" t="s">
        <v>5431</v>
      </c>
      <c r="C150" t="s">
        <v>5472</v>
      </c>
      <c r="D150" t="s">
        <v>6112</v>
      </c>
      <c r="E150" t="s">
        <v>6461</v>
      </c>
      <c r="F150" t="s">
        <v>13460</v>
      </c>
      <c r="G150" t="s">
        <v>13538</v>
      </c>
      <c r="H150" t="s">
        <v>13547</v>
      </c>
      <c r="I150" t="s">
        <v>6479</v>
      </c>
      <c r="J150" t="s">
        <v>13463</v>
      </c>
      <c r="K150">
        <v>1</v>
      </c>
      <c r="L150" t="s">
        <v>13480</v>
      </c>
      <c r="M150" t="s">
        <v>20</v>
      </c>
      <c r="N150" t="str">
        <f>_xlfn.XLOOKUP(C:C,'Resource Table'!A:A,'Resource Table'!B:B,"NOT FOUND",0,1)</f>
        <v>Dedicated</v>
      </c>
      <c r="O150" t="str">
        <f>_xlfn.XLOOKUP(N:N,'Resource Table'!B:B,'Resource Table'!C:C,"n/a",0,1)</f>
        <v>AFS Dedicated Tech</v>
      </c>
      <c r="P150" t="str">
        <f>_xlfn.XLOOKUP(N:N,'Resource Table'!B:B,'Resource Table'!D:D,"n/a",0,1)</f>
        <v>Dedicated</v>
      </c>
    </row>
    <row r="151" spans="1:16" x14ac:dyDescent="0.45">
      <c r="A151" t="s">
        <v>5431</v>
      </c>
      <c r="B151" t="s">
        <v>5431</v>
      </c>
      <c r="C151" t="s">
        <v>5472</v>
      </c>
      <c r="D151" t="s">
        <v>6156</v>
      </c>
      <c r="E151" t="s">
        <v>6461</v>
      </c>
      <c r="F151" t="s">
        <v>13460</v>
      </c>
      <c r="G151" t="s">
        <v>13509</v>
      </c>
      <c r="H151" t="s">
        <v>13510</v>
      </c>
      <c r="I151" t="s">
        <v>6479</v>
      </c>
      <c r="J151" t="s">
        <v>13463</v>
      </c>
      <c r="K151">
        <v>0</v>
      </c>
      <c r="L151" t="s">
        <v>20</v>
      </c>
      <c r="M151" t="s">
        <v>20</v>
      </c>
      <c r="N151" t="str">
        <f>_xlfn.XLOOKUP(C:C,'Resource Table'!A:A,'Resource Table'!B:B,"NOT FOUND",0,1)</f>
        <v>Dedicated</v>
      </c>
      <c r="O151" t="str">
        <f>_xlfn.XLOOKUP(N:N,'Resource Table'!B:B,'Resource Table'!C:C,"n/a",0,1)</f>
        <v>AFS Dedicated Tech</v>
      </c>
      <c r="P151" t="str">
        <f>_xlfn.XLOOKUP(N:N,'Resource Table'!B:B,'Resource Table'!D:D,"n/a",0,1)</f>
        <v>Dedicated</v>
      </c>
    </row>
    <row r="152" spans="1:16" x14ac:dyDescent="0.45">
      <c r="A152" t="s">
        <v>5431</v>
      </c>
      <c r="B152" t="s">
        <v>5431</v>
      </c>
      <c r="C152" t="s">
        <v>5472</v>
      </c>
      <c r="D152" t="s">
        <v>5473</v>
      </c>
      <c r="E152" t="s">
        <v>6451</v>
      </c>
      <c r="F152" t="s">
        <v>13473</v>
      </c>
      <c r="G152" t="s">
        <v>13474</v>
      </c>
      <c r="H152" t="s">
        <v>13517</v>
      </c>
      <c r="I152" t="s">
        <v>29</v>
      </c>
      <c r="J152" t="s">
        <v>13463</v>
      </c>
      <c r="K152">
        <v>1</v>
      </c>
      <c r="L152" t="s">
        <v>13470</v>
      </c>
      <c r="M152" t="s">
        <v>13468</v>
      </c>
      <c r="N152" t="str">
        <f>_xlfn.XLOOKUP(C:C,'Resource Table'!A:A,'Resource Table'!B:B,"NOT FOUND",0,1)</f>
        <v>Dedicated</v>
      </c>
      <c r="O152" t="str">
        <f>_xlfn.XLOOKUP(N:N,'Resource Table'!B:B,'Resource Table'!C:C,"n/a",0,1)</f>
        <v>AFS Dedicated Tech</v>
      </c>
      <c r="P152" t="str">
        <f>_xlfn.XLOOKUP(N:N,'Resource Table'!B:B,'Resource Table'!D:D,"n/a",0,1)</f>
        <v>Dedicated</v>
      </c>
    </row>
    <row r="153" spans="1:16" x14ac:dyDescent="0.45">
      <c r="A153" t="s">
        <v>5431</v>
      </c>
      <c r="B153" t="s">
        <v>5431</v>
      </c>
      <c r="C153" t="s">
        <v>5472</v>
      </c>
      <c r="D153" t="s">
        <v>122</v>
      </c>
      <c r="E153" t="s">
        <v>6451</v>
      </c>
      <c r="F153" t="s">
        <v>13473</v>
      </c>
      <c r="G153" t="s">
        <v>13474</v>
      </c>
      <c r="H153" t="s">
        <v>13492</v>
      </c>
      <c r="I153" t="s">
        <v>6479</v>
      </c>
      <c r="J153" t="s">
        <v>13463</v>
      </c>
      <c r="K153">
        <v>3</v>
      </c>
      <c r="L153" t="s">
        <v>13540</v>
      </c>
      <c r="M153" t="s">
        <v>13505</v>
      </c>
      <c r="N153" t="str">
        <f>_xlfn.XLOOKUP(C:C,'Resource Table'!A:A,'Resource Table'!B:B,"NOT FOUND",0,1)</f>
        <v>Dedicated</v>
      </c>
      <c r="O153" t="str">
        <f>_xlfn.XLOOKUP(N:N,'Resource Table'!B:B,'Resource Table'!C:C,"n/a",0,1)</f>
        <v>AFS Dedicated Tech</v>
      </c>
      <c r="P153" t="str">
        <f>_xlfn.XLOOKUP(N:N,'Resource Table'!B:B,'Resource Table'!D:D,"n/a",0,1)</f>
        <v>Dedicated</v>
      </c>
    </row>
    <row r="154" spans="1:16" x14ac:dyDescent="0.45">
      <c r="A154" t="s">
        <v>5431</v>
      </c>
      <c r="B154" t="s">
        <v>5431</v>
      </c>
      <c r="C154" t="s">
        <v>5472</v>
      </c>
      <c r="D154" t="s">
        <v>5779</v>
      </c>
      <c r="E154" t="s">
        <v>6451</v>
      </c>
      <c r="F154" t="s">
        <v>13473</v>
      </c>
      <c r="G154" t="s">
        <v>13474</v>
      </c>
      <c r="H154" t="s">
        <v>13521</v>
      </c>
      <c r="I154" t="s">
        <v>6479</v>
      </c>
      <c r="J154" t="s">
        <v>13463</v>
      </c>
      <c r="K154">
        <v>0</v>
      </c>
      <c r="L154" t="s">
        <v>20</v>
      </c>
      <c r="M154" t="s">
        <v>20</v>
      </c>
      <c r="N154" t="str">
        <f>_xlfn.XLOOKUP(C:C,'Resource Table'!A:A,'Resource Table'!B:B,"NOT FOUND",0,1)</f>
        <v>Dedicated</v>
      </c>
      <c r="O154" t="str">
        <f>_xlfn.XLOOKUP(N:N,'Resource Table'!B:B,'Resource Table'!C:C,"n/a",0,1)</f>
        <v>AFS Dedicated Tech</v>
      </c>
      <c r="P154" t="str">
        <f>_xlfn.XLOOKUP(N:N,'Resource Table'!B:B,'Resource Table'!D:D,"n/a",0,1)</f>
        <v>Dedicated</v>
      </c>
    </row>
    <row r="155" spans="1:16" x14ac:dyDescent="0.45">
      <c r="A155" t="s">
        <v>5431</v>
      </c>
      <c r="B155" t="s">
        <v>5431</v>
      </c>
      <c r="C155" t="s">
        <v>5472</v>
      </c>
      <c r="D155" t="s">
        <v>6154</v>
      </c>
      <c r="E155" t="s">
        <v>6461</v>
      </c>
      <c r="F155" t="s">
        <v>13460</v>
      </c>
      <c r="G155" t="s">
        <v>13509</v>
      </c>
      <c r="H155" t="s">
        <v>13510</v>
      </c>
      <c r="I155" t="s">
        <v>6479</v>
      </c>
      <c r="J155" t="s">
        <v>13463</v>
      </c>
      <c r="K155">
        <v>0</v>
      </c>
      <c r="L155" t="s">
        <v>20</v>
      </c>
      <c r="M155" t="s">
        <v>20</v>
      </c>
      <c r="N155" t="str">
        <f>_xlfn.XLOOKUP(C:C,'Resource Table'!A:A,'Resource Table'!B:B,"NOT FOUND",0,1)</f>
        <v>Dedicated</v>
      </c>
      <c r="O155" t="str">
        <f>_xlfn.XLOOKUP(N:N,'Resource Table'!B:B,'Resource Table'!C:C,"n/a",0,1)</f>
        <v>AFS Dedicated Tech</v>
      </c>
      <c r="P155" t="str">
        <f>_xlfn.XLOOKUP(N:N,'Resource Table'!B:B,'Resource Table'!D:D,"n/a",0,1)</f>
        <v>Dedicated</v>
      </c>
    </row>
    <row r="156" spans="1:16" x14ac:dyDescent="0.45">
      <c r="A156" t="s">
        <v>5431</v>
      </c>
      <c r="B156" t="s">
        <v>5431</v>
      </c>
      <c r="C156" t="s">
        <v>5472</v>
      </c>
      <c r="D156" t="s">
        <v>6037</v>
      </c>
      <c r="E156" t="s">
        <v>6461</v>
      </c>
      <c r="F156" t="s">
        <v>13460</v>
      </c>
      <c r="G156" t="s">
        <v>13538</v>
      </c>
      <c r="H156" t="s">
        <v>13539</v>
      </c>
      <c r="I156" t="s">
        <v>6479</v>
      </c>
      <c r="J156" t="s">
        <v>13463</v>
      </c>
      <c r="K156">
        <v>1</v>
      </c>
      <c r="L156" t="s">
        <v>13520</v>
      </c>
      <c r="M156" t="s">
        <v>20</v>
      </c>
      <c r="N156" t="str">
        <f>_xlfn.XLOOKUP(C:C,'Resource Table'!A:A,'Resource Table'!B:B,"NOT FOUND",0,1)</f>
        <v>Dedicated</v>
      </c>
      <c r="O156" t="str">
        <f>_xlfn.XLOOKUP(N:N,'Resource Table'!B:B,'Resource Table'!C:C,"n/a",0,1)</f>
        <v>AFS Dedicated Tech</v>
      </c>
      <c r="P156" t="str">
        <f>_xlfn.XLOOKUP(N:N,'Resource Table'!B:B,'Resource Table'!D:D,"n/a",0,1)</f>
        <v>Dedicated</v>
      </c>
    </row>
    <row r="157" spans="1:16" x14ac:dyDescent="0.45">
      <c r="A157" t="s">
        <v>5431</v>
      </c>
      <c r="B157" t="s">
        <v>5431</v>
      </c>
      <c r="C157" t="s">
        <v>5472</v>
      </c>
      <c r="D157" t="s">
        <v>5749</v>
      </c>
      <c r="E157" t="s">
        <v>6451</v>
      </c>
      <c r="F157" t="s">
        <v>13473</v>
      </c>
      <c r="G157" t="s">
        <v>13474</v>
      </c>
      <c r="H157" t="s">
        <v>13517</v>
      </c>
      <c r="I157" t="s">
        <v>6479</v>
      </c>
      <c r="J157" t="s">
        <v>13463</v>
      </c>
      <c r="K157">
        <v>1</v>
      </c>
      <c r="L157" t="s">
        <v>13468</v>
      </c>
      <c r="M157" t="s">
        <v>20</v>
      </c>
      <c r="N157" t="str">
        <f>_xlfn.XLOOKUP(C:C,'Resource Table'!A:A,'Resource Table'!B:B,"NOT FOUND",0,1)</f>
        <v>Dedicated</v>
      </c>
      <c r="O157" t="str">
        <f>_xlfn.XLOOKUP(N:N,'Resource Table'!B:B,'Resource Table'!C:C,"n/a",0,1)</f>
        <v>AFS Dedicated Tech</v>
      </c>
      <c r="P157" t="str">
        <f>_xlfn.XLOOKUP(N:N,'Resource Table'!B:B,'Resource Table'!D:D,"n/a",0,1)</f>
        <v>Dedicated</v>
      </c>
    </row>
    <row r="158" spans="1:16" x14ac:dyDescent="0.45">
      <c r="A158" t="s">
        <v>5431</v>
      </c>
      <c r="B158" t="s">
        <v>5431</v>
      </c>
      <c r="C158" t="s">
        <v>5472</v>
      </c>
      <c r="D158" t="s">
        <v>5806</v>
      </c>
      <c r="E158" t="s">
        <v>6451</v>
      </c>
      <c r="F158" t="s">
        <v>13473</v>
      </c>
      <c r="G158" t="s">
        <v>13474</v>
      </c>
      <c r="H158" t="s">
        <v>13475</v>
      </c>
      <c r="I158" t="s">
        <v>6479</v>
      </c>
      <c r="J158" t="s">
        <v>13463</v>
      </c>
      <c r="K158">
        <v>0</v>
      </c>
      <c r="L158" t="s">
        <v>20</v>
      </c>
      <c r="M158" t="s">
        <v>20</v>
      </c>
      <c r="N158" t="str">
        <f>_xlfn.XLOOKUP(C:C,'Resource Table'!A:A,'Resource Table'!B:B,"NOT FOUND",0,1)</f>
        <v>Dedicated</v>
      </c>
      <c r="O158" t="str">
        <f>_xlfn.XLOOKUP(N:N,'Resource Table'!B:B,'Resource Table'!C:C,"n/a",0,1)</f>
        <v>AFS Dedicated Tech</v>
      </c>
      <c r="P158" t="str">
        <f>_xlfn.XLOOKUP(N:N,'Resource Table'!B:B,'Resource Table'!D:D,"n/a",0,1)</f>
        <v>Dedicated</v>
      </c>
    </row>
    <row r="159" spans="1:16" x14ac:dyDescent="0.45">
      <c r="A159" t="s">
        <v>5431</v>
      </c>
      <c r="B159" t="s">
        <v>5431</v>
      </c>
      <c r="C159" t="s">
        <v>5472</v>
      </c>
      <c r="D159" t="s">
        <v>5739</v>
      </c>
      <c r="E159" t="s">
        <v>6451</v>
      </c>
      <c r="F159" t="s">
        <v>13473</v>
      </c>
      <c r="G159" t="s">
        <v>13474</v>
      </c>
      <c r="H159" t="s">
        <v>13517</v>
      </c>
      <c r="I159" t="s">
        <v>6479</v>
      </c>
      <c r="J159" t="s">
        <v>13463</v>
      </c>
      <c r="K159">
        <v>1</v>
      </c>
      <c r="L159" t="s">
        <v>13537</v>
      </c>
      <c r="M159" t="s">
        <v>20</v>
      </c>
      <c r="N159" t="str">
        <f>_xlfn.XLOOKUP(C:C,'Resource Table'!A:A,'Resource Table'!B:B,"NOT FOUND",0,1)</f>
        <v>Dedicated</v>
      </c>
      <c r="O159" t="str">
        <f>_xlfn.XLOOKUP(N:N,'Resource Table'!B:B,'Resource Table'!C:C,"n/a",0,1)</f>
        <v>AFS Dedicated Tech</v>
      </c>
      <c r="P159" t="str">
        <f>_xlfn.XLOOKUP(N:N,'Resource Table'!B:B,'Resource Table'!D:D,"n/a",0,1)</f>
        <v>Dedicated</v>
      </c>
    </row>
    <row r="160" spans="1:16" x14ac:dyDescent="0.45">
      <c r="A160" t="s">
        <v>5431</v>
      </c>
      <c r="B160" t="s">
        <v>5431</v>
      </c>
      <c r="C160" t="s">
        <v>5472</v>
      </c>
      <c r="D160" t="s">
        <v>5805</v>
      </c>
      <c r="E160" t="s">
        <v>6451</v>
      </c>
      <c r="F160" t="s">
        <v>13473</v>
      </c>
      <c r="G160" t="s">
        <v>13474</v>
      </c>
      <c r="H160" t="s">
        <v>13521</v>
      </c>
      <c r="I160" t="s">
        <v>6479</v>
      </c>
      <c r="J160" t="s">
        <v>13463</v>
      </c>
      <c r="K160">
        <v>1</v>
      </c>
      <c r="L160" t="s">
        <v>13468</v>
      </c>
      <c r="M160" t="s">
        <v>20</v>
      </c>
      <c r="N160" t="str">
        <f>_xlfn.XLOOKUP(C:C,'Resource Table'!A:A,'Resource Table'!B:B,"NOT FOUND",0,1)</f>
        <v>Dedicated</v>
      </c>
      <c r="O160" t="str">
        <f>_xlfn.XLOOKUP(N:N,'Resource Table'!B:B,'Resource Table'!C:C,"n/a",0,1)</f>
        <v>AFS Dedicated Tech</v>
      </c>
      <c r="P160" t="str">
        <f>_xlfn.XLOOKUP(N:N,'Resource Table'!B:B,'Resource Table'!D:D,"n/a",0,1)</f>
        <v>Dedicated</v>
      </c>
    </row>
    <row r="161" spans="1:16" x14ac:dyDescent="0.45">
      <c r="A161" t="s">
        <v>5431</v>
      </c>
      <c r="B161" t="s">
        <v>5431</v>
      </c>
      <c r="C161" t="s">
        <v>5472</v>
      </c>
      <c r="D161" t="s">
        <v>6150</v>
      </c>
      <c r="E161" t="s">
        <v>6461</v>
      </c>
      <c r="F161" t="s">
        <v>13460</v>
      </c>
      <c r="G161" t="s">
        <v>13509</v>
      </c>
      <c r="H161" t="s">
        <v>13510</v>
      </c>
      <c r="I161" t="s">
        <v>6479</v>
      </c>
      <c r="J161" t="s">
        <v>13463</v>
      </c>
      <c r="K161">
        <v>0</v>
      </c>
      <c r="L161" t="s">
        <v>20</v>
      </c>
      <c r="M161" t="s">
        <v>20</v>
      </c>
      <c r="N161" t="str">
        <f>_xlfn.XLOOKUP(C:C,'Resource Table'!A:A,'Resource Table'!B:B,"NOT FOUND",0,1)</f>
        <v>Dedicated</v>
      </c>
      <c r="O161" t="str">
        <f>_xlfn.XLOOKUP(N:N,'Resource Table'!B:B,'Resource Table'!C:C,"n/a",0,1)</f>
        <v>AFS Dedicated Tech</v>
      </c>
      <c r="P161" t="str">
        <f>_xlfn.XLOOKUP(N:N,'Resource Table'!B:B,'Resource Table'!D:D,"n/a",0,1)</f>
        <v>Dedicated</v>
      </c>
    </row>
    <row r="162" spans="1:16" x14ac:dyDescent="0.45">
      <c r="A162" t="s">
        <v>5431</v>
      </c>
      <c r="B162" t="s">
        <v>5431</v>
      </c>
      <c r="C162" t="s">
        <v>5472</v>
      </c>
      <c r="D162" t="s">
        <v>3371</v>
      </c>
      <c r="E162" t="s">
        <v>6451</v>
      </c>
      <c r="F162" t="s">
        <v>13473</v>
      </c>
      <c r="G162" t="s">
        <v>13474</v>
      </c>
      <c r="H162" t="s">
        <v>13475</v>
      </c>
      <c r="I162" t="s">
        <v>6479</v>
      </c>
      <c r="J162" t="s">
        <v>13463</v>
      </c>
      <c r="K162">
        <v>2</v>
      </c>
      <c r="L162" t="s">
        <v>13497</v>
      </c>
      <c r="M162" t="s">
        <v>13505</v>
      </c>
      <c r="N162" t="str">
        <f>_xlfn.XLOOKUP(C:C,'Resource Table'!A:A,'Resource Table'!B:B,"NOT FOUND",0,1)</f>
        <v>Dedicated</v>
      </c>
      <c r="O162" t="str">
        <f>_xlfn.XLOOKUP(N:N,'Resource Table'!B:B,'Resource Table'!C:C,"n/a",0,1)</f>
        <v>AFS Dedicated Tech</v>
      </c>
      <c r="P162" t="str">
        <f>_xlfn.XLOOKUP(N:N,'Resource Table'!B:B,'Resource Table'!D:D,"n/a",0,1)</f>
        <v>Dedicated</v>
      </c>
    </row>
    <row r="163" spans="1:16" x14ac:dyDescent="0.45">
      <c r="A163" t="s">
        <v>5431</v>
      </c>
      <c r="B163" t="s">
        <v>5431</v>
      </c>
      <c r="C163" t="s">
        <v>5472</v>
      </c>
      <c r="D163" t="s">
        <v>5960</v>
      </c>
      <c r="E163" t="s">
        <v>6461</v>
      </c>
      <c r="F163" t="s">
        <v>13460</v>
      </c>
      <c r="G163" t="s">
        <v>13481</v>
      </c>
      <c r="H163" t="s">
        <v>13482</v>
      </c>
      <c r="I163" t="s">
        <v>6479</v>
      </c>
      <c r="J163" t="s">
        <v>13463</v>
      </c>
      <c r="K163">
        <v>0</v>
      </c>
      <c r="L163" t="s">
        <v>20</v>
      </c>
      <c r="M163" t="s">
        <v>20</v>
      </c>
      <c r="N163" t="str">
        <f>_xlfn.XLOOKUP(C:C,'Resource Table'!A:A,'Resource Table'!B:B,"NOT FOUND",0,1)</f>
        <v>Dedicated</v>
      </c>
      <c r="O163" t="str">
        <f>_xlfn.XLOOKUP(N:N,'Resource Table'!B:B,'Resource Table'!C:C,"n/a",0,1)</f>
        <v>AFS Dedicated Tech</v>
      </c>
      <c r="P163" t="str">
        <f>_xlfn.XLOOKUP(N:N,'Resource Table'!B:B,'Resource Table'!D:D,"n/a",0,1)</f>
        <v>Dedicated</v>
      </c>
    </row>
    <row r="164" spans="1:16" x14ac:dyDescent="0.45">
      <c r="A164" t="s">
        <v>5431</v>
      </c>
      <c r="B164" t="s">
        <v>5431</v>
      </c>
      <c r="C164" t="s">
        <v>5472</v>
      </c>
      <c r="D164" t="s">
        <v>6209</v>
      </c>
      <c r="E164" t="s">
        <v>6451</v>
      </c>
      <c r="F164" t="s">
        <v>13460</v>
      </c>
      <c r="G164" t="s">
        <v>13476</v>
      </c>
      <c r="H164" t="s">
        <v>13531</v>
      </c>
      <c r="I164" t="s">
        <v>6479</v>
      </c>
      <c r="J164" t="s">
        <v>13463</v>
      </c>
      <c r="K164">
        <v>0</v>
      </c>
      <c r="L164" t="s">
        <v>20</v>
      </c>
      <c r="M164" t="s">
        <v>20</v>
      </c>
      <c r="N164" t="str">
        <f>_xlfn.XLOOKUP(C:C,'Resource Table'!A:A,'Resource Table'!B:B,"NOT FOUND",0,1)</f>
        <v>Dedicated</v>
      </c>
      <c r="O164" t="str">
        <f>_xlfn.XLOOKUP(N:N,'Resource Table'!B:B,'Resource Table'!C:C,"n/a",0,1)</f>
        <v>AFS Dedicated Tech</v>
      </c>
      <c r="P164" t="str">
        <f>_xlfn.XLOOKUP(N:N,'Resource Table'!B:B,'Resource Table'!D:D,"n/a",0,1)</f>
        <v>Dedicated</v>
      </c>
    </row>
    <row r="165" spans="1:16" x14ac:dyDescent="0.45">
      <c r="A165" t="s">
        <v>5431</v>
      </c>
      <c r="B165" t="s">
        <v>5431</v>
      </c>
      <c r="C165" t="s">
        <v>5472</v>
      </c>
      <c r="D165" t="s">
        <v>5742</v>
      </c>
      <c r="E165" t="s">
        <v>6451</v>
      </c>
      <c r="F165" t="s">
        <v>13473</v>
      </c>
      <c r="G165" t="s">
        <v>13474</v>
      </c>
      <c r="H165" t="s">
        <v>13517</v>
      </c>
      <c r="I165" t="s">
        <v>29</v>
      </c>
      <c r="J165" t="s">
        <v>13463</v>
      </c>
      <c r="K165">
        <v>1</v>
      </c>
      <c r="L165" t="s">
        <v>13507</v>
      </c>
      <c r="M165" t="s">
        <v>20</v>
      </c>
      <c r="N165" t="str">
        <f>_xlfn.XLOOKUP(C:C,'Resource Table'!A:A,'Resource Table'!B:B,"NOT FOUND",0,1)</f>
        <v>Dedicated</v>
      </c>
      <c r="O165" t="str">
        <f>_xlfn.XLOOKUP(N:N,'Resource Table'!B:B,'Resource Table'!C:C,"n/a",0,1)</f>
        <v>AFS Dedicated Tech</v>
      </c>
      <c r="P165" t="str">
        <f>_xlfn.XLOOKUP(N:N,'Resource Table'!B:B,'Resource Table'!D:D,"n/a",0,1)</f>
        <v>Dedicated</v>
      </c>
    </row>
    <row r="166" spans="1:16" x14ac:dyDescent="0.45">
      <c r="A166" t="s">
        <v>5431</v>
      </c>
      <c r="B166" t="s">
        <v>5431</v>
      </c>
      <c r="C166" t="s">
        <v>5472</v>
      </c>
      <c r="D166" t="s">
        <v>5793</v>
      </c>
      <c r="E166" t="s">
        <v>6451</v>
      </c>
      <c r="F166" t="s">
        <v>13473</v>
      </c>
      <c r="G166" t="s">
        <v>13474</v>
      </c>
      <c r="H166" t="s">
        <v>13521</v>
      </c>
      <c r="I166" t="s">
        <v>6479</v>
      </c>
      <c r="J166" t="s">
        <v>13463</v>
      </c>
      <c r="K166">
        <v>0</v>
      </c>
      <c r="L166" t="s">
        <v>20</v>
      </c>
      <c r="M166" t="s">
        <v>20</v>
      </c>
      <c r="N166" t="str">
        <f>_xlfn.XLOOKUP(C:C,'Resource Table'!A:A,'Resource Table'!B:B,"NOT FOUND",0,1)</f>
        <v>Dedicated</v>
      </c>
      <c r="O166" t="str">
        <f>_xlfn.XLOOKUP(N:N,'Resource Table'!B:B,'Resource Table'!C:C,"n/a",0,1)</f>
        <v>AFS Dedicated Tech</v>
      </c>
      <c r="P166" t="str">
        <f>_xlfn.XLOOKUP(N:N,'Resource Table'!B:B,'Resource Table'!D:D,"n/a",0,1)</f>
        <v>Dedicated</v>
      </c>
    </row>
    <row r="167" spans="1:16" x14ac:dyDescent="0.45">
      <c r="A167" t="s">
        <v>5431</v>
      </c>
      <c r="B167" t="s">
        <v>5431</v>
      </c>
      <c r="C167" t="s">
        <v>5472</v>
      </c>
      <c r="D167" t="s">
        <v>5789</v>
      </c>
      <c r="E167" t="s">
        <v>6451</v>
      </c>
      <c r="F167" t="s">
        <v>13473</v>
      </c>
      <c r="G167" t="s">
        <v>13474</v>
      </c>
      <c r="H167" t="s">
        <v>13521</v>
      </c>
      <c r="I167" t="s">
        <v>6479</v>
      </c>
      <c r="J167" t="s">
        <v>13463</v>
      </c>
      <c r="K167">
        <v>0</v>
      </c>
      <c r="L167" t="s">
        <v>20</v>
      </c>
      <c r="M167" t="s">
        <v>20</v>
      </c>
      <c r="N167" t="str">
        <f>_xlfn.XLOOKUP(C:C,'Resource Table'!A:A,'Resource Table'!B:B,"NOT FOUND",0,1)</f>
        <v>Dedicated</v>
      </c>
      <c r="O167" t="str">
        <f>_xlfn.XLOOKUP(N:N,'Resource Table'!B:B,'Resource Table'!C:C,"n/a",0,1)</f>
        <v>AFS Dedicated Tech</v>
      </c>
      <c r="P167" t="str">
        <f>_xlfn.XLOOKUP(N:N,'Resource Table'!B:B,'Resource Table'!D:D,"n/a",0,1)</f>
        <v>Dedicated</v>
      </c>
    </row>
    <row r="168" spans="1:16" x14ac:dyDescent="0.45">
      <c r="A168" t="s">
        <v>5431</v>
      </c>
      <c r="B168" t="s">
        <v>5431</v>
      </c>
      <c r="C168" t="s">
        <v>5472</v>
      </c>
      <c r="D168" t="s">
        <v>5788</v>
      </c>
      <c r="E168" t="s">
        <v>6451</v>
      </c>
      <c r="F168" t="s">
        <v>13473</v>
      </c>
      <c r="G168" t="s">
        <v>13474</v>
      </c>
      <c r="H168" t="s">
        <v>13521</v>
      </c>
      <c r="I168" t="s">
        <v>6479</v>
      </c>
      <c r="J168" t="s">
        <v>13463</v>
      </c>
      <c r="K168">
        <v>0</v>
      </c>
      <c r="L168" t="s">
        <v>20</v>
      </c>
      <c r="M168" t="s">
        <v>20</v>
      </c>
      <c r="N168" t="str">
        <f>_xlfn.XLOOKUP(C:C,'Resource Table'!A:A,'Resource Table'!B:B,"NOT FOUND",0,1)</f>
        <v>Dedicated</v>
      </c>
      <c r="O168" t="str">
        <f>_xlfn.XLOOKUP(N:N,'Resource Table'!B:B,'Resource Table'!C:C,"n/a",0,1)</f>
        <v>AFS Dedicated Tech</v>
      </c>
      <c r="P168" t="str">
        <f>_xlfn.XLOOKUP(N:N,'Resource Table'!B:B,'Resource Table'!D:D,"n/a",0,1)</f>
        <v>Dedicated</v>
      </c>
    </row>
    <row r="169" spans="1:16" x14ac:dyDescent="0.45">
      <c r="A169" t="s">
        <v>5431</v>
      </c>
      <c r="B169" t="s">
        <v>5431</v>
      </c>
      <c r="C169" t="s">
        <v>5472</v>
      </c>
      <c r="D169" t="s">
        <v>5904</v>
      </c>
      <c r="E169" t="s">
        <v>6461</v>
      </c>
      <c r="F169" t="s">
        <v>13460</v>
      </c>
      <c r="G169" t="s">
        <v>13481</v>
      </c>
      <c r="H169" t="s">
        <v>13485</v>
      </c>
      <c r="I169" t="s">
        <v>6479</v>
      </c>
      <c r="J169" t="s">
        <v>13486</v>
      </c>
      <c r="K169">
        <v>1</v>
      </c>
      <c r="L169" t="s">
        <v>13507</v>
      </c>
      <c r="M169" t="s">
        <v>20</v>
      </c>
      <c r="N169" t="str">
        <f>_xlfn.XLOOKUP(C:C,'Resource Table'!A:A,'Resource Table'!B:B,"NOT FOUND",0,1)</f>
        <v>Dedicated</v>
      </c>
      <c r="O169" t="str">
        <f>_xlfn.XLOOKUP(N:N,'Resource Table'!B:B,'Resource Table'!C:C,"n/a",0,1)</f>
        <v>AFS Dedicated Tech</v>
      </c>
      <c r="P169" t="str">
        <f>_xlfn.XLOOKUP(N:N,'Resource Table'!B:B,'Resource Table'!D:D,"n/a",0,1)</f>
        <v>Dedicated</v>
      </c>
    </row>
    <row r="170" spans="1:16" x14ac:dyDescent="0.45">
      <c r="A170" t="s">
        <v>5431</v>
      </c>
      <c r="B170" t="s">
        <v>5431</v>
      </c>
      <c r="C170" t="s">
        <v>5472</v>
      </c>
      <c r="D170" t="s">
        <v>6036</v>
      </c>
      <c r="E170" t="s">
        <v>6461</v>
      </c>
      <c r="F170" t="s">
        <v>13460</v>
      </c>
      <c r="G170" t="s">
        <v>13538</v>
      </c>
      <c r="H170" t="s">
        <v>13539</v>
      </c>
      <c r="I170" t="s">
        <v>6479</v>
      </c>
      <c r="J170" t="s">
        <v>13486</v>
      </c>
      <c r="K170">
        <v>1</v>
      </c>
      <c r="L170" t="s">
        <v>13468</v>
      </c>
      <c r="M170" t="s">
        <v>20</v>
      </c>
      <c r="N170" t="str">
        <f>_xlfn.XLOOKUP(C:C,'Resource Table'!A:A,'Resource Table'!B:B,"NOT FOUND",0,1)</f>
        <v>Dedicated</v>
      </c>
      <c r="O170" t="str">
        <f>_xlfn.XLOOKUP(N:N,'Resource Table'!B:B,'Resource Table'!C:C,"n/a",0,1)</f>
        <v>AFS Dedicated Tech</v>
      </c>
      <c r="P170" t="str">
        <f>_xlfn.XLOOKUP(N:N,'Resource Table'!B:B,'Resource Table'!D:D,"n/a",0,1)</f>
        <v>Dedicated</v>
      </c>
    </row>
    <row r="171" spans="1:16" x14ac:dyDescent="0.45">
      <c r="A171" t="s">
        <v>5431</v>
      </c>
      <c r="B171" t="s">
        <v>5431</v>
      </c>
      <c r="C171" t="s">
        <v>5472</v>
      </c>
      <c r="D171" t="s">
        <v>6038</v>
      </c>
      <c r="E171" t="s">
        <v>6461</v>
      </c>
      <c r="F171" t="s">
        <v>13460</v>
      </c>
      <c r="G171" t="s">
        <v>13538</v>
      </c>
      <c r="H171" t="s">
        <v>13539</v>
      </c>
      <c r="I171" t="s">
        <v>29</v>
      </c>
      <c r="J171" t="s">
        <v>13463</v>
      </c>
      <c r="K171">
        <v>3</v>
      </c>
      <c r="L171" t="s">
        <v>13512</v>
      </c>
      <c r="M171" t="s">
        <v>20</v>
      </c>
      <c r="N171" t="str">
        <f>_xlfn.XLOOKUP(C:C,'Resource Table'!A:A,'Resource Table'!B:B,"NOT FOUND",0,1)</f>
        <v>Dedicated</v>
      </c>
      <c r="O171" t="str">
        <f>_xlfn.XLOOKUP(N:N,'Resource Table'!B:B,'Resource Table'!C:C,"n/a",0,1)</f>
        <v>AFS Dedicated Tech</v>
      </c>
      <c r="P171" t="str">
        <f>_xlfn.XLOOKUP(N:N,'Resource Table'!B:B,'Resource Table'!D:D,"n/a",0,1)</f>
        <v>Dedicated</v>
      </c>
    </row>
    <row r="172" spans="1:16" x14ac:dyDescent="0.45">
      <c r="A172" t="s">
        <v>5431</v>
      </c>
      <c r="B172" t="s">
        <v>5431</v>
      </c>
      <c r="C172" t="s">
        <v>5472</v>
      </c>
      <c r="D172" t="s">
        <v>5807</v>
      </c>
      <c r="E172" t="s">
        <v>6451</v>
      </c>
      <c r="F172" t="s">
        <v>13473</v>
      </c>
      <c r="G172" t="s">
        <v>13474</v>
      </c>
      <c r="H172" t="s">
        <v>13475</v>
      </c>
      <c r="I172" t="s">
        <v>6479</v>
      </c>
      <c r="J172" t="s">
        <v>13463</v>
      </c>
      <c r="K172">
        <v>0</v>
      </c>
      <c r="L172" t="s">
        <v>20</v>
      </c>
      <c r="M172" t="s">
        <v>20</v>
      </c>
      <c r="N172" t="str">
        <f>_xlfn.XLOOKUP(C:C,'Resource Table'!A:A,'Resource Table'!B:B,"NOT FOUND",0,1)</f>
        <v>Dedicated</v>
      </c>
      <c r="O172" t="str">
        <f>_xlfn.XLOOKUP(N:N,'Resource Table'!B:B,'Resource Table'!C:C,"n/a",0,1)</f>
        <v>AFS Dedicated Tech</v>
      </c>
      <c r="P172" t="str">
        <f>_xlfn.XLOOKUP(N:N,'Resource Table'!B:B,'Resource Table'!D:D,"n/a",0,1)</f>
        <v>Dedicated</v>
      </c>
    </row>
    <row r="173" spans="1:16" x14ac:dyDescent="0.45">
      <c r="A173" t="s">
        <v>5431</v>
      </c>
      <c r="B173" t="s">
        <v>5431</v>
      </c>
      <c r="C173" t="s">
        <v>5472</v>
      </c>
      <c r="D173" t="s">
        <v>5810</v>
      </c>
      <c r="E173" t="s">
        <v>6451</v>
      </c>
      <c r="F173" t="s">
        <v>13473</v>
      </c>
      <c r="G173" t="s">
        <v>13474</v>
      </c>
      <c r="H173" t="s">
        <v>13475</v>
      </c>
      <c r="I173" t="s">
        <v>6479</v>
      </c>
      <c r="J173" t="s">
        <v>13463</v>
      </c>
      <c r="K173">
        <v>0</v>
      </c>
      <c r="L173" t="s">
        <v>20</v>
      </c>
      <c r="M173" t="s">
        <v>20</v>
      </c>
      <c r="N173" t="str">
        <f>_xlfn.XLOOKUP(C:C,'Resource Table'!A:A,'Resource Table'!B:B,"NOT FOUND",0,1)</f>
        <v>Dedicated</v>
      </c>
      <c r="O173" t="str">
        <f>_xlfn.XLOOKUP(N:N,'Resource Table'!B:B,'Resource Table'!C:C,"n/a",0,1)</f>
        <v>AFS Dedicated Tech</v>
      </c>
      <c r="P173" t="str">
        <f>_xlfn.XLOOKUP(N:N,'Resource Table'!B:B,'Resource Table'!D:D,"n/a",0,1)</f>
        <v>Dedicated</v>
      </c>
    </row>
    <row r="174" spans="1:16" x14ac:dyDescent="0.45">
      <c r="A174" t="s">
        <v>5431</v>
      </c>
      <c r="B174" t="s">
        <v>5431</v>
      </c>
      <c r="C174" t="s">
        <v>5472</v>
      </c>
      <c r="D174" t="s">
        <v>4926</v>
      </c>
      <c r="E174" t="s">
        <v>6461</v>
      </c>
      <c r="F174" t="s">
        <v>13460</v>
      </c>
      <c r="G174" t="s">
        <v>13538</v>
      </c>
      <c r="H174" t="s">
        <v>13539</v>
      </c>
      <c r="I174" t="s">
        <v>6479</v>
      </c>
      <c r="J174" t="s">
        <v>13463</v>
      </c>
      <c r="K174">
        <v>0</v>
      </c>
      <c r="L174" t="s">
        <v>20</v>
      </c>
      <c r="M174" t="s">
        <v>20</v>
      </c>
      <c r="N174" t="str">
        <f>_xlfn.XLOOKUP(C:C,'Resource Table'!A:A,'Resource Table'!B:B,"NOT FOUND",0,1)</f>
        <v>Dedicated</v>
      </c>
      <c r="O174" t="str">
        <f>_xlfn.XLOOKUP(N:N,'Resource Table'!B:B,'Resource Table'!C:C,"n/a",0,1)</f>
        <v>AFS Dedicated Tech</v>
      </c>
      <c r="P174" t="str">
        <f>_xlfn.XLOOKUP(N:N,'Resource Table'!B:B,'Resource Table'!D:D,"n/a",0,1)</f>
        <v>Dedicated</v>
      </c>
    </row>
    <row r="175" spans="1:16" x14ac:dyDescent="0.45">
      <c r="A175" t="s">
        <v>5407</v>
      </c>
      <c r="B175" t="s">
        <v>5491</v>
      </c>
      <c r="C175" t="s">
        <v>5512</v>
      </c>
      <c r="D175" t="s">
        <v>3079</v>
      </c>
      <c r="E175" t="s">
        <v>6451</v>
      </c>
      <c r="F175" t="s">
        <v>13460</v>
      </c>
      <c r="G175" t="s">
        <v>13476</v>
      </c>
      <c r="H175" t="s">
        <v>13531</v>
      </c>
      <c r="I175" t="s">
        <v>6479</v>
      </c>
      <c r="J175" t="s">
        <v>13463</v>
      </c>
      <c r="K175">
        <v>2</v>
      </c>
      <c r="L175" t="s">
        <v>13529</v>
      </c>
      <c r="M175" t="s">
        <v>13505</v>
      </c>
      <c r="N175" t="str">
        <f>_xlfn.XLOOKUP(C:C,'Resource Table'!A:A,'Resource Table'!B:B,"NOT FOUND",0,1)</f>
        <v>Dedicated</v>
      </c>
      <c r="O175" t="str">
        <f>_xlfn.XLOOKUP(N:N,'Resource Table'!B:B,'Resource Table'!C:C,"n/a",0,1)</f>
        <v>AFS Dedicated Tech</v>
      </c>
      <c r="P175" t="str">
        <f>_xlfn.XLOOKUP(N:N,'Resource Table'!B:B,'Resource Table'!D:D,"n/a",0,1)</f>
        <v>Dedicated</v>
      </c>
    </row>
    <row r="176" spans="1:16" x14ac:dyDescent="0.45">
      <c r="A176" t="s">
        <v>5407</v>
      </c>
      <c r="B176" t="s">
        <v>5491</v>
      </c>
      <c r="C176" t="s">
        <v>5512</v>
      </c>
      <c r="D176" t="s">
        <v>6419</v>
      </c>
      <c r="E176" t="s">
        <v>6451</v>
      </c>
      <c r="F176" t="s">
        <v>13460</v>
      </c>
      <c r="G176" t="s">
        <v>13461</v>
      </c>
      <c r="H176" t="s">
        <v>13488</v>
      </c>
      <c r="I176" t="s">
        <v>6479</v>
      </c>
      <c r="J176" t="s">
        <v>13463</v>
      </c>
      <c r="K176">
        <v>0</v>
      </c>
      <c r="L176" t="s">
        <v>20</v>
      </c>
      <c r="M176" t="s">
        <v>20</v>
      </c>
      <c r="N176" t="str">
        <f>_xlfn.XLOOKUP(C:C,'Resource Table'!A:A,'Resource Table'!B:B,"NOT FOUND",0,1)</f>
        <v>Dedicated</v>
      </c>
      <c r="O176" t="str">
        <f>_xlfn.XLOOKUP(N:N,'Resource Table'!B:B,'Resource Table'!C:C,"n/a",0,1)</f>
        <v>AFS Dedicated Tech</v>
      </c>
      <c r="P176" t="str">
        <f>_xlfn.XLOOKUP(N:N,'Resource Table'!B:B,'Resource Table'!D:D,"n/a",0,1)</f>
        <v>Dedicated</v>
      </c>
    </row>
    <row r="177" spans="1:16" x14ac:dyDescent="0.45">
      <c r="A177" t="s">
        <v>5407</v>
      </c>
      <c r="B177" t="s">
        <v>5491</v>
      </c>
      <c r="C177" t="s">
        <v>5512</v>
      </c>
      <c r="D177" t="s">
        <v>6019</v>
      </c>
      <c r="E177" t="s">
        <v>6461</v>
      </c>
      <c r="F177" t="s">
        <v>13460</v>
      </c>
      <c r="G177" t="s">
        <v>13538</v>
      </c>
      <c r="H177" t="s">
        <v>13539</v>
      </c>
      <c r="I177" t="s">
        <v>6479</v>
      </c>
      <c r="J177" t="s">
        <v>13463</v>
      </c>
      <c r="K177">
        <v>2</v>
      </c>
      <c r="L177" t="s">
        <v>13507</v>
      </c>
      <c r="M177" t="s">
        <v>13513</v>
      </c>
      <c r="N177" t="str">
        <f>_xlfn.XLOOKUP(C:C,'Resource Table'!A:A,'Resource Table'!B:B,"NOT FOUND",0,1)</f>
        <v>Dedicated</v>
      </c>
      <c r="O177" t="str">
        <f>_xlfn.XLOOKUP(N:N,'Resource Table'!B:B,'Resource Table'!C:C,"n/a",0,1)</f>
        <v>AFS Dedicated Tech</v>
      </c>
      <c r="P177" t="str">
        <f>_xlfn.XLOOKUP(N:N,'Resource Table'!B:B,'Resource Table'!D:D,"n/a",0,1)</f>
        <v>Dedicated</v>
      </c>
    </row>
    <row r="178" spans="1:16" x14ac:dyDescent="0.45">
      <c r="A178" t="s">
        <v>5407</v>
      </c>
      <c r="B178" t="s">
        <v>5491</v>
      </c>
      <c r="C178" t="s">
        <v>5512</v>
      </c>
      <c r="D178" t="s">
        <v>5792</v>
      </c>
      <c r="E178" t="s">
        <v>6451</v>
      </c>
      <c r="F178" t="s">
        <v>13473</v>
      </c>
      <c r="G178" t="s">
        <v>13474</v>
      </c>
      <c r="H178" t="s">
        <v>13521</v>
      </c>
      <c r="I178" t="s">
        <v>6479</v>
      </c>
      <c r="J178" t="s">
        <v>13463</v>
      </c>
      <c r="K178">
        <v>2</v>
      </c>
      <c r="L178" t="s">
        <v>13472</v>
      </c>
      <c r="M178" t="s">
        <v>20</v>
      </c>
      <c r="N178" t="str">
        <f>_xlfn.XLOOKUP(C:C,'Resource Table'!A:A,'Resource Table'!B:B,"NOT FOUND",0,1)</f>
        <v>Dedicated</v>
      </c>
      <c r="O178" t="str">
        <f>_xlfn.XLOOKUP(N:N,'Resource Table'!B:B,'Resource Table'!C:C,"n/a",0,1)</f>
        <v>AFS Dedicated Tech</v>
      </c>
      <c r="P178" t="str">
        <f>_xlfn.XLOOKUP(N:N,'Resource Table'!B:B,'Resource Table'!D:D,"n/a",0,1)</f>
        <v>Dedicated</v>
      </c>
    </row>
    <row r="179" spans="1:16" x14ac:dyDescent="0.45">
      <c r="A179" t="s">
        <v>5407</v>
      </c>
      <c r="B179" t="s">
        <v>5491</v>
      </c>
      <c r="C179" t="s">
        <v>5512</v>
      </c>
      <c r="D179" t="s">
        <v>5971</v>
      </c>
      <c r="E179" t="s">
        <v>6461</v>
      </c>
      <c r="F179" t="s">
        <v>13460</v>
      </c>
      <c r="G179" t="s">
        <v>13481</v>
      </c>
      <c r="H179" t="s">
        <v>13482</v>
      </c>
      <c r="I179" t="s">
        <v>29</v>
      </c>
      <c r="J179" t="s">
        <v>13463</v>
      </c>
      <c r="K179">
        <v>6</v>
      </c>
      <c r="L179" t="s">
        <v>13532</v>
      </c>
      <c r="M179" t="s">
        <v>13549</v>
      </c>
      <c r="N179" t="str">
        <f>_xlfn.XLOOKUP(C:C,'Resource Table'!A:A,'Resource Table'!B:B,"NOT FOUND",0,1)</f>
        <v>Dedicated</v>
      </c>
      <c r="O179" t="str">
        <f>_xlfn.XLOOKUP(N:N,'Resource Table'!B:B,'Resource Table'!C:C,"n/a",0,1)</f>
        <v>AFS Dedicated Tech</v>
      </c>
      <c r="P179" t="str">
        <f>_xlfn.XLOOKUP(N:N,'Resource Table'!B:B,'Resource Table'!D:D,"n/a",0,1)</f>
        <v>Dedicated</v>
      </c>
    </row>
    <row r="180" spans="1:16" x14ac:dyDescent="0.45">
      <c r="A180" t="s">
        <v>5407</v>
      </c>
      <c r="B180" t="s">
        <v>5491</v>
      </c>
      <c r="C180" t="s">
        <v>5512</v>
      </c>
      <c r="D180" t="s">
        <v>6425</v>
      </c>
      <c r="E180" t="s">
        <v>6451</v>
      </c>
      <c r="F180" t="s">
        <v>13460</v>
      </c>
      <c r="G180" t="s">
        <v>13550</v>
      </c>
      <c r="H180" t="s">
        <v>13551</v>
      </c>
      <c r="I180" t="s">
        <v>6479</v>
      </c>
      <c r="J180" t="s">
        <v>13463</v>
      </c>
      <c r="K180">
        <v>0</v>
      </c>
      <c r="L180" t="s">
        <v>20</v>
      </c>
      <c r="M180" t="s">
        <v>20</v>
      </c>
      <c r="N180" t="str">
        <f>_xlfn.XLOOKUP(C:C,'Resource Table'!A:A,'Resource Table'!B:B,"NOT FOUND",0,1)</f>
        <v>Dedicated</v>
      </c>
      <c r="O180" t="str">
        <f>_xlfn.XLOOKUP(N:N,'Resource Table'!B:B,'Resource Table'!C:C,"n/a",0,1)</f>
        <v>AFS Dedicated Tech</v>
      </c>
      <c r="P180" t="str">
        <f>_xlfn.XLOOKUP(N:N,'Resource Table'!B:B,'Resource Table'!D:D,"n/a",0,1)</f>
        <v>Dedicated</v>
      </c>
    </row>
    <row r="181" spans="1:16" x14ac:dyDescent="0.45">
      <c r="A181" t="s">
        <v>5407</v>
      </c>
      <c r="B181" t="s">
        <v>5491</v>
      </c>
      <c r="C181" t="s">
        <v>5512</v>
      </c>
      <c r="D181" t="s">
        <v>6099</v>
      </c>
      <c r="E181" t="s">
        <v>6461</v>
      </c>
      <c r="F181" t="s">
        <v>13460</v>
      </c>
      <c r="G181" t="s">
        <v>13481</v>
      </c>
      <c r="H181" t="s">
        <v>13518</v>
      </c>
      <c r="I181" t="s">
        <v>29</v>
      </c>
      <c r="J181" t="s">
        <v>13463</v>
      </c>
      <c r="K181">
        <v>3</v>
      </c>
      <c r="L181" t="s">
        <v>13503</v>
      </c>
      <c r="M181" t="s">
        <v>13508</v>
      </c>
      <c r="N181" t="str">
        <f>_xlfn.XLOOKUP(C:C,'Resource Table'!A:A,'Resource Table'!B:B,"NOT FOUND",0,1)</f>
        <v>Dedicated</v>
      </c>
      <c r="O181" t="str">
        <f>_xlfn.XLOOKUP(N:N,'Resource Table'!B:B,'Resource Table'!C:C,"n/a",0,1)</f>
        <v>AFS Dedicated Tech</v>
      </c>
      <c r="P181" t="str">
        <f>_xlfn.XLOOKUP(N:N,'Resource Table'!B:B,'Resource Table'!D:D,"n/a",0,1)</f>
        <v>Dedicated</v>
      </c>
    </row>
    <row r="182" spans="1:16" x14ac:dyDescent="0.45">
      <c r="A182" t="s">
        <v>5407</v>
      </c>
      <c r="B182" t="s">
        <v>5491</v>
      </c>
      <c r="C182" t="s">
        <v>5512</v>
      </c>
      <c r="D182" t="s">
        <v>5096</v>
      </c>
      <c r="E182" t="s">
        <v>6461</v>
      </c>
      <c r="F182" t="s">
        <v>13460</v>
      </c>
      <c r="G182" t="s">
        <v>13481</v>
      </c>
      <c r="H182" t="s">
        <v>13482</v>
      </c>
      <c r="I182" t="s">
        <v>6479</v>
      </c>
      <c r="J182" t="s">
        <v>13486</v>
      </c>
      <c r="K182">
        <v>3</v>
      </c>
      <c r="L182" t="s">
        <v>13507</v>
      </c>
      <c r="M182" t="s">
        <v>20</v>
      </c>
      <c r="N182" t="str">
        <f>_xlfn.XLOOKUP(C:C,'Resource Table'!A:A,'Resource Table'!B:B,"NOT FOUND",0,1)</f>
        <v>Dedicated</v>
      </c>
      <c r="O182" t="str">
        <f>_xlfn.XLOOKUP(N:N,'Resource Table'!B:B,'Resource Table'!C:C,"n/a",0,1)</f>
        <v>AFS Dedicated Tech</v>
      </c>
      <c r="P182" t="str">
        <f>_xlfn.XLOOKUP(N:N,'Resource Table'!B:B,'Resource Table'!D:D,"n/a",0,1)</f>
        <v>Dedicated</v>
      </c>
    </row>
    <row r="183" spans="1:16" x14ac:dyDescent="0.45">
      <c r="A183" t="s">
        <v>5407</v>
      </c>
      <c r="B183" t="s">
        <v>5491</v>
      </c>
      <c r="C183" t="s">
        <v>5512</v>
      </c>
      <c r="D183" t="s">
        <v>5844</v>
      </c>
      <c r="E183" t="s">
        <v>6451</v>
      </c>
      <c r="F183" t="s">
        <v>13473</v>
      </c>
      <c r="G183" t="s">
        <v>13474</v>
      </c>
      <c r="H183" t="s">
        <v>13475</v>
      </c>
      <c r="I183" t="s">
        <v>6479</v>
      </c>
      <c r="J183" t="s">
        <v>13463</v>
      </c>
      <c r="K183">
        <v>0</v>
      </c>
      <c r="L183" t="s">
        <v>20</v>
      </c>
      <c r="M183" t="s">
        <v>20</v>
      </c>
      <c r="N183" t="str">
        <f>_xlfn.XLOOKUP(C:C,'Resource Table'!A:A,'Resource Table'!B:B,"NOT FOUND",0,1)</f>
        <v>Dedicated</v>
      </c>
      <c r="O183" t="str">
        <f>_xlfn.XLOOKUP(N:N,'Resource Table'!B:B,'Resource Table'!C:C,"n/a",0,1)</f>
        <v>AFS Dedicated Tech</v>
      </c>
      <c r="P183" t="str">
        <f>_xlfn.XLOOKUP(N:N,'Resource Table'!B:B,'Resource Table'!D:D,"n/a",0,1)</f>
        <v>Dedicated</v>
      </c>
    </row>
    <row r="184" spans="1:16" x14ac:dyDescent="0.45">
      <c r="A184" t="s">
        <v>5407</v>
      </c>
      <c r="B184" t="s">
        <v>5491</v>
      </c>
      <c r="C184" t="s">
        <v>5512</v>
      </c>
      <c r="D184" t="s">
        <v>4389</v>
      </c>
      <c r="E184" t="s">
        <v>6451</v>
      </c>
      <c r="F184" t="s">
        <v>13460</v>
      </c>
      <c r="G184" t="s">
        <v>13476</v>
      </c>
      <c r="H184" t="s">
        <v>13531</v>
      </c>
      <c r="I184" t="s">
        <v>6479</v>
      </c>
      <c r="J184" t="s">
        <v>13463</v>
      </c>
      <c r="K184">
        <v>2</v>
      </c>
      <c r="L184" t="s">
        <v>13536</v>
      </c>
      <c r="M184" t="s">
        <v>13468</v>
      </c>
      <c r="N184" t="str">
        <f>_xlfn.XLOOKUP(C:C,'Resource Table'!A:A,'Resource Table'!B:B,"NOT FOUND",0,1)</f>
        <v>Dedicated</v>
      </c>
      <c r="O184" t="str">
        <f>_xlfn.XLOOKUP(N:N,'Resource Table'!B:B,'Resource Table'!C:C,"n/a",0,1)</f>
        <v>AFS Dedicated Tech</v>
      </c>
      <c r="P184" t="str">
        <f>_xlfn.XLOOKUP(N:N,'Resource Table'!B:B,'Resource Table'!D:D,"n/a",0,1)</f>
        <v>Dedicated</v>
      </c>
    </row>
    <row r="185" spans="1:16" x14ac:dyDescent="0.45">
      <c r="A185" t="s">
        <v>5407</v>
      </c>
      <c r="B185" t="s">
        <v>5491</v>
      </c>
      <c r="C185" t="s">
        <v>5512</v>
      </c>
      <c r="D185" t="s">
        <v>6217</v>
      </c>
      <c r="E185" t="s">
        <v>6451</v>
      </c>
      <c r="F185" t="s">
        <v>13460</v>
      </c>
      <c r="G185" t="s">
        <v>13476</v>
      </c>
      <c r="H185" t="s">
        <v>13531</v>
      </c>
      <c r="I185" t="s">
        <v>6479</v>
      </c>
      <c r="J185" t="s">
        <v>13463</v>
      </c>
      <c r="K185">
        <v>3</v>
      </c>
      <c r="L185" t="s">
        <v>13536</v>
      </c>
      <c r="M185" t="s">
        <v>13508</v>
      </c>
      <c r="N185" t="str">
        <f>_xlfn.XLOOKUP(C:C,'Resource Table'!A:A,'Resource Table'!B:B,"NOT FOUND",0,1)</f>
        <v>Dedicated</v>
      </c>
      <c r="O185" t="str">
        <f>_xlfn.XLOOKUP(N:N,'Resource Table'!B:B,'Resource Table'!C:C,"n/a",0,1)</f>
        <v>AFS Dedicated Tech</v>
      </c>
      <c r="P185" t="str">
        <f>_xlfn.XLOOKUP(N:N,'Resource Table'!B:B,'Resource Table'!D:D,"n/a",0,1)</f>
        <v>Dedicated</v>
      </c>
    </row>
    <row r="186" spans="1:16" x14ac:dyDescent="0.45">
      <c r="A186" t="s">
        <v>5407</v>
      </c>
      <c r="B186" t="s">
        <v>5491</v>
      </c>
      <c r="C186" t="s">
        <v>5512</v>
      </c>
      <c r="D186" t="s">
        <v>2280</v>
      </c>
      <c r="E186" t="s">
        <v>6461</v>
      </c>
      <c r="F186" t="s">
        <v>13460</v>
      </c>
      <c r="G186" t="s">
        <v>13481</v>
      </c>
      <c r="H186" t="s">
        <v>13482</v>
      </c>
      <c r="I186" t="s">
        <v>6479</v>
      </c>
      <c r="J186" t="s">
        <v>13463</v>
      </c>
      <c r="K186">
        <v>2</v>
      </c>
      <c r="L186" t="s">
        <v>13532</v>
      </c>
      <c r="M186" t="s">
        <v>13493</v>
      </c>
      <c r="N186" t="str">
        <f>_xlfn.XLOOKUP(C:C,'Resource Table'!A:A,'Resource Table'!B:B,"NOT FOUND",0,1)</f>
        <v>Dedicated</v>
      </c>
      <c r="O186" t="str">
        <f>_xlfn.XLOOKUP(N:N,'Resource Table'!B:B,'Resource Table'!C:C,"n/a",0,1)</f>
        <v>AFS Dedicated Tech</v>
      </c>
      <c r="P186" t="str">
        <f>_xlfn.XLOOKUP(N:N,'Resource Table'!B:B,'Resource Table'!D:D,"n/a",0,1)</f>
        <v>Dedicated</v>
      </c>
    </row>
    <row r="187" spans="1:16" x14ac:dyDescent="0.45">
      <c r="A187" t="s">
        <v>5407</v>
      </c>
      <c r="B187" t="s">
        <v>5491</v>
      </c>
      <c r="C187" t="s">
        <v>5512</v>
      </c>
      <c r="D187" t="s">
        <v>2798</v>
      </c>
      <c r="E187" t="s">
        <v>6462</v>
      </c>
      <c r="F187" t="s">
        <v>13460</v>
      </c>
      <c r="G187" t="s">
        <v>13481</v>
      </c>
      <c r="H187" t="s">
        <v>13485</v>
      </c>
      <c r="I187" t="s">
        <v>6479</v>
      </c>
      <c r="J187" t="s">
        <v>13486</v>
      </c>
      <c r="K187">
        <v>4</v>
      </c>
      <c r="L187" t="s">
        <v>13534</v>
      </c>
      <c r="M187" t="s">
        <v>13505</v>
      </c>
      <c r="N187" t="str">
        <f>_xlfn.XLOOKUP(C:C,'Resource Table'!A:A,'Resource Table'!B:B,"NOT FOUND",0,1)</f>
        <v>Dedicated</v>
      </c>
      <c r="O187" t="str">
        <f>_xlfn.XLOOKUP(N:N,'Resource Table'!B:B,'Resource Table'!C:C,"n/a",0,1)</f>
        <v>AFS Dedicated Tech</v>
      </c>
      <c r="P187" t="str">
        <f>_xlfn.XLOOKUP(N:N,'Resource Table'!B:B,'Resource Table'!D:D,"n/a",0,1)</f>
        <v>Dedicated</v>
      </c>
    </row>
    <row r="188" spans="1:16" x14ac:dyDescent="0.45">
      <c r="A188" t="s">
        <v>5407</v>
      </c>
      <c r="B188" t="s">
        <v>5491</v>
      </c>
      <c r="C188" t="s">
        <v>5512</v>
      </c>
      <c r="D188" t="s">
        <v>5791</v>
      </c>
      <c r="E188" t="s">
        <v>6451</v>
      </c>
      <c r="F188" t="s">
        <v>13473</v>
      </c>
      <c r="G188" t="s">
        <v>13474</v>
      </c>
      <c r="H188" t="s">
        <v>13521</v>
      </c>
      <c r="I188" t="s">
        <v>6479</v>
      </c>
      <c r="J188" t="s">
        <v>13463</v>
      </c>
      <c r="K188">
        <v>1</v>
      </c>
      <c r="L188" t="s">
        <v>13466</v>
      </c>
      <c r="M188" t="s">
        <v>13513</v>
      </c>
      <c r="N188" t="str">
        <f>_xlfn.XLOOKUP(C:C,'Resource Table'!A:A,'Resource Table'!B:B,"NOT FOUND",0,1)</f>
        <v>Dedicated</v>
      </c>
      <c r="O188" t="str">
        <f>_xlfn.XLOOKUP(N:N,'Resource Table'!B:B,'Resource Table'!C:C,"n/a",0,1)</f>
        <v>AFS Dedicated Tech</v>
      </c>
      <c r="P188" t="str">
        <f>_xlfn.XLOOKUP(N:N,'Resource Table'!B:B,'Resource Table'!D:D,"n/a",0,1)</f>
        <v>Dedicated</v>
      </c>
    </row>
    <row r="189" spans="1:16" x14ac:dyDescent="0.45">
      <c r="A189" t="s">
        <v>5407</v>
      </c>
      <c r="B189" t="s">
        <v>5491</v>
      </c>
      <c r="C189" t="s">
        <v>5512</v>
      </c>
      <c r="D189" t="s">
        <v>3651</v>
      </c>
      <c r="E189" t="s">
        <v>6462</v>
      </c>
      <c r="F189" t="s">
        <v>13460</v>
      </c>
      <c r="G189" t="s">
        <v>13481</v>
      </c>
      <c r="H189" t="s">
        <v>13485</v>
      </c>
      <c r="I189" t="s">
        <v>6479</v>
      </c>
      <c r="J189" t="s">
        <v>13486</v>
      </c>
      <c r="K189">
        <v>6</v>
      </c>
      <c r="L189" t="s">
        <v>13536</v>
      </c>
      <c r="M189" t="s">
        <v>13513</v>
      </c>
      <c r="N189" t="str">
        <f>_xlfn.XLOOKUP(C:C,'Resource Table'!A:A,'Resource Table'!B:B,"NOT FOUND",0,1)</f>
        <v>Dedicated</v>
      </c>
      <c r="O189" t="str">
        <f>_xlfn.XLOOKUP(N:N,'Resource Table'!B:B,'Resource Table'!C:C,"n/a",0,1)</f>
        <v>AFS Dedicated Tech</v>
      </c>
      <c r="P189" t="str">
        <f>_xlfn.XLOOKUP(N:N,'Resource Table'!B:B,'Resource Table'!D:D,"n/a",0,1)</f>
        <v>Dedicated</v>
      </c>
    </row>
    <row r="190" spans="1:16" x14ac:dyDescent="0.45">
      <c r="A190" t="s">
        <v>5407</v>
      </c>
      <c r="B190" t="s">
        <v>5491</v>
      </c>
      <c r="C190" t="s">
        <v>5512</v>
      </c>
      <c r="D190" t="s">
        <v>6098</v>
      </c>
      <c r="E190" t="s">
        <v>6461</v>
      </c>
      <c r="F190" t="s">
        <v>13460</v>
      </c>
      <c r="G190" t="s">
        <v>13481</v>
      </c>
      <c r="H190" t="s">
        <v>13518</v>
      </c>
      <c r="I190" t="s">
        <v>6479</v>
      </c>
      <c r="J190" t="s">
        <v>13463</v>
      </c>
      <c r="K190">
        <v>1</v>
      </c>
      <c r="L190" t="s">
        <v>13469</v>
      </c>
      <c r="M190" t="s">
        <v>20</v>
      </c>
      <c r="N190" t="str">
        <f>_xlfn.XLOOKUP(C:C,'Resource Table'!A:A,'Resource Table'!B:B,"NOT FOUND",0,1)</f>
        <v>Dedicated</v>
      </c>
      <c r="O190" t="str">
        <f>_xlfn.XLOOKUP(N:N,'Resource Table'!B:B,'Resource Table'!C:C,"n/a",0,1)</f>
        <v>AFS Dedicated Tech</v>
      </c>
      <c r="P190" t="str">
        <f>_xlfn.XLOOKUP(N:N,'Resource Table'!B:B,'Resource Table'!D:D,"n/a",0,1)</f>
        <v>Dedicated</v>
      </c>
    </row>
    <row r="191" spans="1:16" x14ac:dyDescent="0.45">
      <c r="A191" t="s">
        <v>5407</v>
      </c>
      <c r="B191" t="s">
        <v>5491</v>
      </c>
      <c r="C191" t="s">
        <v>5512</v>
      </c>
      <c r="D191" t="s">
        <v>5183</v>
      </c>
      <c r="E191" t="s">
        <v>6461</v>
      </c>
      <c r="F191" t="s">
        <v>13460</v>
      </c>
      <c r="G191" t="s">
        <v>13538</v>
      </c>
      <c r="H191" t="s">
        <v>13539</v>
      </c>
      <c r="I191" t="s">
        <v>6479</v>
      </c>
      <c r="J191" t="s">
        <v>13463</v>
      </c>
      <c r="K191">
        <v>5</v>
      </c>
      <c r="L191" t="s">
        <v>13552</v>
      </c>
      <c r="M191" t="s">
        <v>13468</v>
      </c>
      <c r="N191" t="str">
        <f>_xlfn.XLOOKUP(C:C,'Resource Table'!A:A,'Resource Table'!B:B,"NOT FOUND",0,1)</f>
        <v>Dedicated</v>
      </c>
      <c r="O191" t="str">
        <f>_xlfn.XLOOKUP(N:N,'Resource Table'!B:B,'Resource Table'!C:C,"n/a",0,1)</f>
        <v>AFS Dedicated Tech</v>
      </c>
      <c r="P191" t="str">
        <f>_xlfn.XLOOKUP(N:N,'Resource Table'!B:B,'Resource Table'!D:D,"n/a",0,1)</f>
        <v>Dedicated</v>
      </c>
    </row>
    <row r="192" spans="1:16" x14ac:dyDescent="0.45">
      <c r="A192" t="s">
        <v>5407</v>
      </c>
      <c r="B192" t="s">
        <v>5491</v>
      </c>
      <c r="C192" t="s">
        <v>5512</v>
      </c>
      <c r="D192" t="s">
        <v>5513</v>
      </c>
      <c r="E192" t="s">
        <v>6451</v>
      </c>
      <c r="F192" t="s">
        <v>13473</v>
      </c>
      <c r="G192" t="s">
        <v>13474</v>
      </c>
      <c r="H192" t="s">
        <v>13475</v>
      </c>
      <c r="I192" t="s">
        <v>6479</v>
      </c>
      <c r="J192" t="s">
        <v>13463</v>
      </c>
      <c r="K192">
        <v>0</v>
      </c>
      <c r="L192" t="s">
        <v>20</v>
      </c>
      <c r="M192" t="s">
        <v>20</v>
      </c>
      <c r="N192" t="str">
        <f>_xlfn.XLOOKUP(C:C,'Resource Table'!A:A,'Resource Table'!B:B,"NOT FOUND",0,1)</f>
        <v>Dedicated</v>
      </c>
      <c r="O192" t="str">
        <f>_xlfn.XLOOKUP(N:N,'Resource Table'!B:B,'Resource Table'!C:C,"n/a",0,1)</f>
        <v>AFS Dedicated Tech</v>
      </c>
      <c r="P192" t="str">
        <f>_xlfn.XLOOKUP(N:N,'Resource Table'!B:B,'Resource Table'!D:D,"n/a",0,1)</f>
        <v>Dedicated</v>
      </c>
    </row>
    <row r="193" spans="1:16" x14ac:dyDescent="0.45">
      <c r="A193" t="s">
        <v>5407</v>
      </c>
      <c r="B193" t="s">
        <v>5491</v>
      </c>
      <c r="C193" t="s">
        <v>5512</v>
      </c>
      <c r="D193" t="s">
        <v>5938</v>
      </c>
      <c r="E193" t="s">
        <v>6461</v>
      </c>
      <c r="F193" t="s">
        <v>13460</v>
      </c>
      <c r="G193" t="s">
        <v>13481</v>
      </c>
      <c r="H193" t="s">
        <v>13482</v>
      </c>
      <c r="I193" t="s">
        <v>6479</v>
      </c>
      <c r="J193" t="s">
        <v>13463</v>
      </c>
      <c r="K193">
        <v>1</v>
      </c>
      <c r="L193" t="s">
        <v>13464</v>
      </c>
      <c r="M193" t="s">
        <v>13507</v>
      </c>
      <c r="N193" t="str">
        <f>_xlfn.XLOOKUP(C:C,'Resource Table'!A:A,'Resource Table'!B:B,"NOT FOUND",0,1)</f>
        <v>Dedicated</v>
      </c>
      <c r="O193" t="str">
        <f>_xlfn.XLOOKUP(N:N,'Resource Table'!B:B,'Resource Table'!C:C,"n/a",0,1)</f>
        <v>AFS Dedicated Tech</v>
      </c>
      <c r="P193" t="str">
        <f>_xlfn.XLOOKUP(N:N,'Resource Table'!B:B,'Resource Table'!D:D,"n/a",0,1)</f>
        <v>Dedicated</v>
      </c>
    </row>
    <row r="194" spans="1:16" x14ac:dyDescent="0.45">
      <c r="A194" t="s">
        <v>5407</v>
      </c>
      <c r="B194" t="s">
        <v>5491</v>
      </c>
      <c r="C194" t="s">
        <v>5542</v>
      </c>
      <c r="D194" t="s">
        <v>5963</v>
      </c>
      <c r="E194" t="s">
        <v>6461</v>
      </c>
      <c r="F194" t="s">
        <v>13460</v>
      </c>
      <c r="G194" t="s">
        <v>13481</v>
      </c>
      <c r="H194" t="s">
        <v>13482</v>
      </c>
      <c r="I194" t="s">
        <v>6479</v>
      </c>
      <c r="J194" t="s">
        <v>13463</v>
      </c>
      <c r="K194">
        <v>1</v>
      </c>
      <c r="L194" t="s">
        <v>13491</v>
      </c>
      <c r="M194" t="s">
        <v>13505</v>
      </c>
      <c r="N194" t="str">
        <f>_xlfn.XLOOKUP(C:C,'Resource Table'!A:A,'Resource Table'!B:B,"NOT FOUND",0,1)</f>
        <v>James Hopkins</v>
      </c>
      <c r="O194" t="str">
        <f>_xlfn.XLOOKUP(N:N,'Resource Table'!B:B,'Resource Table'!C:C,"n/a",0,1)</f>
        <v>jhopkins5@ameritfleet.com</v>
      </c>
      <c r="P194" t="str">
        <f>_xlfn.XLOOKUP(N:N,'Resource Table'!B:B,'Resource Table'!D:D,"n/a",0,1)</f>
        <v>Vended Repair</v>
      </c>
    </row>
    <row r="195" spans="1:16" x14ac:dyDescent="0.45">
      <c r="A195" t="s">
        <v>5407</v>
      </c>
      <c r="B195" t="s">
        <v>5491</v>
      </c>
      <c r="C195" t="s">
        <v>5542</v>
      </c>
      <c r="D195" t="s">
        <v>6007</v>
      </c>
      <c r="E195" t="s">
        <v>6461</v>
      </c>
      <c r="F195" t="s">
        <v>13460</v>
      </c>
      <c r="G195" t="s">
        <v>13538</v>
      </c>
      <c r="H195" t="s">
        <v>13539</v>
      </c>
      <c r="I195" t="s">
        <v>6479</v>
      </c>
      <c r="J195" t="s">
        <v>13463</v>
      </c>
      <c r="K195">
        <v>2</v>
      </c>
      <c r="L195" t="s">
        <v>13542</v>
      </c>
      <c r="M195" t="s">
        <v>13505</v>
      </c>
      <c r="N195" t="str">
        <f>_xlfn.XLOOKUP(C:C,'Resource Table'!A:A,'Resource Table'!B:B,"NOT FOUND",0,1)</f>
        <v>James Hopkins</v>
      </c>
      <c r="O195" t="str">
        <f>_xlfn.XLOOKUP(N:N,'Resource Table'!B:B,'Resource Table'!C:C,"n/a",0,1)</f>
        <v>jhopkins5@ameritfleet.com</v>
      </c>
      <c r="P195" t="str">
        <f>_xlfn.XLOOKUP(N:N,'Resource Table'!B:B,'Resource Table'!D:D,"n/a",0,1)</f>
        <v>Vended Repair</v>
      </c>
    </row>
    <row r="196" spans="1:16" x14ac:dyDescent="0.45">
      <c r="A196" t="s">
        <v>5407</v>
      </c>
      <c r="B196" t="s">
        <v>5491</v>
      </c>
      <c r="C196" t="s">
        <v>5542</v>
      </c>
      <c r="D196" t="s">
        <v>6045</v>
      </c>
      <c r="E196" t="s">
        <v>6461</v>
      </c>
      <c r="F196" t="s">
        <v>13460</v>
      </c>
      <c r="G196" t="s">
        <v>13481</v>
      </c>
      <c r="H196" t="s">
        <v>13522</v>
      </c>
      <c r="I196" t="s">
        <v>6479</v>
      </c>
      <c r="J196" t="s">
        <v>13463</v>
      </c>
      <c r="K196">
        <v>2</v>
      </c>
      <c r="L196" t="s">
        <v>13542</v>
      </c>
      <c r="M196" t="s">
        <v>13505</v>
      </c>
      <c r="N196" t="str">
        <f>_xlfn.XLOOKUP(C:C,'Resource Table'!A:A,'Resource Table'!B:B,"NOT FOUND",0,1)</f>
        <v>James Hopkins</v>
      </c>
      <c r="O196" t="str">
        <f>_xlfn.XLOOKUP(N:N,'Resource Table'!B:B,'Resource Table'!C:C,"n/a",0,1)</f>
        <v>jhopkins5@ameritfleet.com</v>
      </c>
      <c r="P196" t="str">
        <f>_xlfn.XLOOKUP(N:N,'Resource Table'!B:B,'Resource Table'!D:D,"n/a",0,1)</f>
        <v>Vended Repair</v>
      </c>
    </row>
    <row r="197" spans="1:16" x14ac:dyDescent="0.45">
      <c r="A197" t="s">
        <v>5407</v>
      </c>
      <c r="B197" t="s">
        <v>5491</v>
      </c>
      <c r="C197" t="s">
        <v>5542</v>
      </c>
      <c r="D197" t="s">
        <v>5712</v>
      </c>
      <c r="E197" t="s">
        <v>6451</v>
      </c>
      <c r="F197" t="s">
        <v>13473</v>
      </c>
      <c r="G197" t="s">
        <v>13474</v>
      </c>
      <c r="H197" t="s">
        <v>13492</v>
      </c>
      <c r="I197" t="s">
        <v>6479</v>
      </c>
      <c r="J197" t="s">
        <v>13463</v>
      </c>
      <c r="K197">
        <v>2</v>
      </c>
      <c r="L197" t="s">
        <v>13542</v>
      </c>
      <c r="M197" t="s">
        <v>13505</v>
      </c>
      <c r="N197" t="str">
        <f>_xlfn.XLOOKUP(C:C,'Resource Table'!A:A,'Resource Table'!B:B,"NOT FOUND",0,1)</f>
        <v>James Hopkins</v>
      </c>
      <c r="O197" t="str">
        <f>_xlfn.XLOOKUP(N:N,'Resource Table'!B:B,'Resource Table'!C:C,"n/a",0,1)</f>
        <v>jhopkins5@ameritfleet.com</v>
      </c>
      <c r="P197" t="str">
        <f>_xlfn.XLOOKUP(N:N,'Resource Table'!B:B,'Resource Table'!D:D,"n/a",0,1)</f>
        <v>Vended Repair</v>
      </c>
    </row>
    <row r="198" spans="1:16" x14ac:dyDescent="0.45">
      <c r="A198" t="s">
        <v>5407</v>
      </c>
      <c r="B198" t="s">
        <v>5491</v>
      </c>
      <c r="C198" t="s">
        <v>5542</v>
      </c>
      <c r="D198" t="s">
        <v>5906</v>
      </c>
      <c r="E198" t="s">
        <v>6461</v>
      </c>
      <c r="F198" t="s">
        <v>13460</v>
      </c>
      <c r="G198" t="s">
        <v>13481</v>
      </c>
      <c r="H198" t="s">
        <v>13485</v>
      </c>
      <c r="I198" t="s">
        <v>6479</v>
      </c>
      <c r="J198" t="s">
        <v>13463</v>
      </c>
      <c r="K198">
        <v>2</v>
      </c>
      <c r="L198" t="s">
        <v>13542</v>
      </c>
      <c r="M198" t="s">
        <v>13505</v>
      </c>
      <c r="N198" t="str">
        <f>_xlfn.XLOOKUP(C:C,'Resource Table'!A:A,'Resource Table'!B:B,"NOT FOUND",0,1)</f>
        <v>James Hopkins</v>
      </c>
      <c r="O198" t="str">
        <f>_xlfn.XLOOKUP(N:N,'Resource Table'!B:B,'Resource Table'!C:C,"n/a",0,1)</f>
        <v>jhopkins5@ameritfleet.com</v>
      </c>
      <c r="P198" t="str">
        <f>_xlfn.XLOOKUP(N:N,'Resource Table'!B:B,'Resource Table'!D:D,"n/a",0,1)</f>
        <v>Vended Repair</v>
      </c>
    </row>
    <row r="199" spans="1:16" x14ac:dyDescent="0.45">
      <c r="A199" t="s">
        <v>5407</v>
      </c>
      <c r="B199" t="s">
        <v>5491</v>
      </c>
      <c r="C199" t="s">
        <v>5542</v>
      </c>
      <c r="D199" t="s">
        <v>5920</v>
      </c>
      <c r="E199" t="s">
        <v>6461</v>
      </c>
      <c r="F199" t="s">
        <v>13460</v>
      </c>
      <c r="G199" t="s">
        <v>13481</v>
      </c>
      <c r="H199" t="s">
        <v>13490</v>
      </c>
      <c r="I199" t="s">
        <v>6479</v>
      </c>
      <c r="J199" t="s">
        <v>13486</v>
      </c>
      <c r="K199">
        <v>2</v>
      </c>
      <c r="L199" t="s">
        <v>13491</v>
      </c>
      <c r="M199" t="s">
        <v>13505</v>
      </c>
      <c r="N199" t="str">
        <f>_xlfn.XLOOKUP(C:C,'Resource Table'!A:A,'Resource Table'!B:B,"NOT FOUND",0,1)</f>
        <v>James Hopkins</v>
      </c>
      <c r="O199" t="str">
        <f>_xlfn.XLOOKUP(N:N,'Resource Table'!B:B,'Resource Table'!C:C,"n/a",0,1)</f>
        <v>jhopkins5@ameritfleet.com</v>
      </c>
      <c r="P199" t="str">
        <f>_xlfn.XLOOKUP(N:N,'Resource Table'!B:B,'Resource Table'!D:D,"n/a",0,1)</f>
        <v>Vended Repair</v>
      </c>
    </row>
    <row r="200" spans="1:16" x14ac:dyDescent="0.45">
      <c r="A200" t="s">
        <v>5407</v>
      </c>
      <c r="B200" t="s">
        <v>5491</v>
      </c>
      <c r="C200" t="s">
        <v>5542</v>
      </c>
      <c r="D200" t="s">
        <v>4331</v>
      </c>
      <c r="E200" t="s">
        <v>6461</v>
      </c>
      <c r="F200" t="s">
        <v>13460</v>
      </c>
      <c r="G200" t="s">
        <v>13481</v>
      </c>
      <c r="H200" t="s">
        <v>13522</v>
      </c>
      <c r="I200" t="s">
        <v>6479</v>
      </c>
      <c r="J200" t="s">
        <v>13486</v>
      </c>
      <c r="K200">
        <v>2</v>
      </c>
      <c r="L200" t="s">
        <v>13491</v>
      </c>
      <c r="M200" t="s">
        <v>13505</v>
      </c>
      <c r="N200" t="str">
        <f>_xlfn.XLOOKUP(C:C,'Resource Table'!A:A,'Resource Table'!B:B,"NOT FOUND",0,1)</f>
        <v>James Hopkins</v>
      </c>
      <c r="O200" t="str">
        <f>_xlfn.XLOOKUP(N:N,'Resource Table'!B:B,'Resource Table'!C:C,"n/a",0,1)</f>
        <v>jhopkins5@ameritfleet.com</v>
      </c>
      <c r="P200" t="str">
        <f>_xlfn.XLOOKUP(N:N,'Resource Table'!B:B,'Resource Table'!D:D,"n/a",0,1)</f>
        <v>Vended Repair</v>
      </c>
    </row>
    <row r="201" spans="1:16" x14ac:dyDescent="0.45">
      <c r="A201" t="s">
        <v>5407</v>
      </c>
      <c r="B201" t="s">
        <v>5491</v>
      </c>
      <c r="C201" t="s">
        <v>5542</v>
      </c>
      <c r="D201" t="s">
        <v>5882</v>
      </c>
      <c r="E201" t="s">
        <v>6451</v>
      </c>
      <c r="F201" t="s">
        <v>13473</v>
      </c>
      <c r="G201" t="s">
        <v>13474</v>
      </c>
      <c r="H201" t="s">
        <v>13475</v>
      </c>
      <c r="I201" t="s">
        <v>6479</v>
      </c>
      <c r="J201" t="s">
        <v>13463</v>
      </c>
      <c r="K201">
        <v>1</v>
      </c>
      <c r="L201" t="s">
        <v>13491</v>
      </c>
      <c r="M201" t="s">
        <v>13505</v>
      </c>
      <c r="N201" t="str">
        <f>_xlfn.XLOOKUP(C:C,'Resource Table'!A:A,'Resource Table'!B:B,"NOT FOUND",0,1)</f>
        <v>James Hopkins</v>
      </c>
      <c r="O201" t="str">
        <f>_xlfn.XLOOKUP(N:N,'Resource Table'!B:B,'Resource Table'!C:C,"n/a",0,1)</f>
        <v>jhopkins5@ameritfleet.com</v>
      </c>
      <c r="P201" t="str">
        <f>_xlfn.XLOOKUP(N:N,'Resource Table'!B:B,'Resource Table'!D:D,"n/a",0,1)</f>
        <v>Vended Repair</v>
      </c>
    </row>
    <row r="202" spans="1:16" x14ac:dyDescent="0.45">
      <c r="A202" t="s">
        <v>5407</v>
      </c>
      <c r="B202" t="s">
        <v>5491</v>
      </c>
      <c r="C202" t="s">
        <v>5762</v>
      </c>
      <c r="D202" t="s">
        <v>6229</v>
      </c>
      <c r="E202" t="s">
        <v>6451</v>
      </c>
      <c r="F202" t="s">
        <v>13460</v>
      </c>
      <c r="G202" t="s">
        <v>13476</v>
      </c>
      <c r="H202" t="s">
        <v>13477</v>
      </c>
      <c r="I202" t="s">
        <v>6479</v>
      </c>
      <c r="J202" t="s">
        <v>13463</v>
      </c>
      <c r="K202">
        <v>1</v>
      </c>
      <c r="L202" t="s">
        <v>13542</v>
      </c>
      <c r="M202" t="s">
        <v>13507</v>
      </c>
      <c r="N202" t="str">
        <f>_xlfn.XLOOKUP(C:C,'Resource Table'!A:A,'Resource Table'!B:B,"NOT FOUND",0,1)</f>
        <v>James Hopkins</v>
      </c>
      <c r="O202" t="str">
        <f>_xlfn.XLOOKUP(N:N,'Resource Table'!B:B,'Resource Table'!C:C,"n/a",0,1)</f>
        <v>jhopkins5@ameritfleet.com</v>
      </c>
      <c r="P202" t="str">
        <f>_xlfn.XLOOKUP(N:N,'Resource Table'!B:B,'Resource Table'!D:D,"n/a",0,1)</f>
        <v>Vended Repair</v>
      </c>
    </row>
    <row r="203" spans="1:16" x14ac:dyDescent="0.45">
      <c r="A203" t="s">
        <v>5407</v>
      </c>
      <c r="B203" t="s">
        <v>5491</v>
      </c>
      <c r="C203" t="s">
        <v>5762</v>
      </c>
      <c r="D203" t="s">
        <v>6058</v>
      </c>
      <c r="E203" t="s">
        <v>6461</v>
      </c>
      <c r="F203" t="s">
        <v>13460</v>
      </c>
      <c r="G203" t="s">
        <v>13481</v>
      </c>
      <c r="H203" t="s">
        <v>13511</v>
      </c>
      <c r="I203" t="s">
        <v>6479</v>
      </c>
      <c r="J203" t="s">
        <v>13463</v>
      </c>
      <c r="K203">
        <v>1</v>
      </c>
      <c r="L203" t="s">
        <v>13542</v>
      </c>
      <c r="M203" t="s">
        <v>13507</v>
      </c>
      <c r="N203" t="str">
        <f>_xlfn.XLOOKUP(C:C,'Resource Table'!A:A,'Resource Table'!B:B,"NOT FOUND",0,1)</f>
        <v>James Hopkins</v>
      </c>
      <c r="O203" t="str">
        <f>_xlfn.XLOOKUP(N:N,'Resource Table'!B:B,'Resource Table'!C:C,"n/a",0,1)</f>
        <v>jhopkins5@ameritfleet.com</v>
      </c>
      <c r="P203" t="str">
        <f>_xlfn.XLOOKUP(N:N,'Resource Table'!B:B,'Resource Table'!D:D,"n/a",0,1)</f>
        <v>Vended Repair</v>
      </c>
    </row>
    <row r="204" spans="1:16" x14ac:dyDescent="0.45">
      <c r="A204" t="s">
        <v>5407</v>
      </c>
      <c r="B204" t="s">
        <v>5491</v>
      </c>
      <c r="C204" t="s">
        <v>5762</v>
      </c>
      <c r="D204" t="s">
        <v>5763</v>
      </c>
      <c r="E204" t="s">
        <v>6451</v>
      </c>
      <c r="F204" t="s">
        <v>13473</v>
      </c>
      <c r="G204" t="s">
        <v>13474</v>
      </c>
      <c r="H204" t="s">
        <v>13517</v>
      </c>
      <c r="I204" t="s">
        <v>6479</v>
      </c>
      <c r="J204" t="s">
        <v>13463</v>
      </c>
      <c r="K204">
        <v>1</v>
      </c>
      <c r="L204" t="s">
        <v>13542</v>
      </c>
      <c r="M204" t="s">
        <v>13507</v>
      </c>
      <c r="N204" t="str">
        <f>_xlfn.XLOOKUP(C:C,'Resource Table'!A:A,'Resource Table'!B:B,"NOT FOUND",0,1)</f>
        <v>James Hopkins</v>
      </c>
      <c r="O204" t="str">
        <f>_xlfn.XLOOKUP(N:N,'Resource Table'!B:B,'Resource Table'!C:C,"n/a",0,1)</f>
        <v>jhopkins5@ameritfleet.com</v>
      </c>
      <c r="P204" t="str">
        <f>_xlfn.XLOOKUP(N:N,'Resource Table'!B:B,'Resource Table'!D:D,"n/a",0,1)</f>
        <v>Vended Repair</v>
      </c>
    </row>
    <row r="205" spans="1:16" x14ac:dyDescent="0.45">
      <c r="A205" t="s">
        <v>5407</v>
      </c>
      <c r="B205" t="s">
        <v>5491</v>
      </c>
      <c r="C205" t="s">
        <v>5762</v>
      </c>
      <c r="D205" t="s">
        <v>171</v>
      </c>
      <c r="E205" t="s">
        <v>6461</v>
      </c>
      <c r="F205" t="s">
        <v>13460</v>
      </c>
      <c r="G205" t="s">
        <v>13481</v>
      </c>
      <c r="H205" t="s">
        <v>13482</v>
      </c>
      <c r="I205" t="s">
        <v>6479</v>
      </c>
      <c r="J205" t="s">
        <v>13486</v>
      </c>
      <c r="K205">
        <v>3</v>
      </c>
      <c r="L205" t="s">
        <v>13542</v>
      </c>
      <c r="M205" t="s">
        <v>13507</v>
      </c>
      <c r="N205" t="str">
        <f>_xlfn.XLOOKUP(C:C,'Resource Table'!A:A,'Resource Table'!B:B,"NOT FOUND",0,1)</f>
        <v>James Hopkins</v>
      </c>
      <c r="O205" t="str">
        <f>_xlfn.XLOOKUP(N:N,'Resource Table'!B:B,'Resource Table'!C:C,"n/a",0,1)</f>
        <v>jhopkins5@ameritfleet.com</v>
      </c>
      <c r="P205" t="str">
        <f>_xlfn.XLOOKUP(N:N,'Resource Table'!B:B,'Resource Table'!D:D,"n/a",0,1)</f>
        <v>Vended Repair</v>
      </c>
    </row>
    <row r="206" spans="1:16" x14ac:dyDescent="0.45">
      <c r="A206" t="s">
        <v>5407</v>
      </c>
      <c r="B206" t="s">
        <v>5491</v>
      </c>
      <c r="C206" t="s">
        <v>5762</v>
      </c>
      <c r="D206" t="s">
        <v>5950</v>
      </c>
      <c r="E206" t="s">
        <v>6461</v>
      </c>
      <c r="F206" t="s">
        <v>13460</v>
      </c>
      <c r="G206" t="s">
        <v>13481</v>
      </c>
      <c r="H206" t="s">
        <v>13482</v>
      </c>
      <c r="I206" t="s">
        <v>6479</v>
      </c>
      <c r="J206" t="s">
        <v>13486</v>
      </c>
      <c r="K206">
        <v>3</v>
      </c>
      <c r="L206" t="s">
        <v>13504</v>
      </c>
      <c r="M206" t="s">
        <v>13505</v>
      </c>
      <c r="N206" t="str">
        <f>_xlfn.XLOOKUP(C:C,'Resource Table'!A:A,'Resource Table'!B:B,"NOT FOUND",0,1)</f>
        <v>James Hopkins</v>
      </c>
      <c r="O206" t="str">
        <f>_xlfn.XLOOKUP(N:N,'Resource Table'!B:B,'Resource Table'!C:C,"n/a",0,1)</f>
        <v>jhopkins5@ameritfleet.com</v>
      </c>
      <c r="P206" t="str">
        <f>_xlfn.XLOOKUP(N:N,'Resource Table'!B:B,'Resource Table'!D:D,"n/a",0,1)</f>
        <v>Vended Repair</v>
      </c>
    </row>
    <row r="207" spans="1:16" x14ac:dyDescent="0.45">
      <c r="A207" t="s">
        <v>5431</v>
      </c>
      <c r="B207" t="s">
        <v>5431</v>
      </c>
      <c r="C207" t="s">
        <v>5432</v>
      </c>
      <c r="D207" t="s">
        <v>5676</v>
      </c>
      <c r="E207" t="s">
        <v>6451</v>
      </c>
      <c r="F207" t="s">
        <v>13473</v>
      </c>
      <c r="G207" t="s">
        <v>13474</v>
      </c>
      <c r="H207" t="s">
        <v>13492</v>
      </c>
      <c r="I207" t="s">
        <v>6479</v>
      </c>
      <c r="J207" t="s">
        <v>13463</v>
      </c>
      <c r="K207">
        <v>1</v>
      </c>
      <c r="L207" t="s">
        <v>13542</v>
      </c>
      <c r="M207" t="s">
        <v>13507</v>
      </c>
      <c r="N207" t="str">
        <f>_xlfn.XLOOKUP(C:C,'Resource Table'!A:A,'Resource Table'!B:B,"NOT FOUND",0,1)</f>
        <v>Brittany Williams</v>
      </c>
      <c r="O207" t="str">
        <f>_xlfn.XLOOKUP(N:N,'Resource Table'!B:B,'Resource Table'!C:C,"n/a",0,1)</f>
        <v>bwilliams5@ameritfleet.com</v>
      </c>
      <c r="P207" t="str">
        <f>_xlfn.XLOOKUP(N:N,'Resource Table'!B:B,'Resource Table'!D:D,"n/a",0,1)</f>
        <v>Vended Repair</v>
      </c>
    </row>
    <row r="208" spans="1:16" x14ac:dyDescent="0.45">
      <c r="A208" t="s">
        <v>5431</v>
      </c>
      <c r="B208" t="s">
        <v>5431</v>
      </c>
      <c r="C208" t="s">
        <v>5432</v>
      </c>
      <c r="D208" t="s">
        <v>731</v>
      </c>
      <c r="E208" t="s">
        <v>6461</v>
      </c>
      <c r="F208" t="s">
        <v>13460</v>
      </c>
      <c r="G208" t="s">
        <v>13538</v>
      </c>
      <c r="H208" t="s">
        <v>13553</v>
      </c>
      <c r="I208" t="s">
        <v>6479</v>
      </c>
      <c r="J208" t="s">
        <v>13463</v>
      </c>
      <c r="K208">
        <v>3</v>
      </c>
      <c r="L208" t="s">
        <v>13499</v>
      </c>
      <c r="M208" t="s">
        <v>13505</v>
      </c>
      <c r="N208" t="str">
        <f>_xlfn.XLOOKUP(C:C,'Resource Table'!A:A,'Resource Table'!B:B,"NOT FOUND",0,1)</f>
        <v>Brittany Williams</v>
      </c>
      <c r="O208" t="str">
        <f>_xlfn.XLOOKUP(N:N,'Resource Table'!B:B,'Resource Table'!C:C,"n/a",0,1)</f>
        <v>bwilliams5@ameritfleet.com</v>
      </c>
      <c r="P208" t="str">
        <f>_xlfn.XLOOKUP(N:N,'Resource Table'!B:B,'Resource Table'!D:D,"n/a",0,1)</f>
        <v>Vended Repair</v>
      </c>
    </row>
    <row r="209" spans="1:16" x14ac:dyDescent="0.45">
      <c r="A209" t="s">
        <v>5431</v>
      </c>
      <c r="B209" t="s">
        <v>5431</v>
      </c>
      <c r="C209" t="s">
        <v>5432</v>
      </c>
      <c r="D209" t="s">
        <v>2523</v>
      </c>
      <c r="E209" t="s">
        <v>6451</v>
      </c>
      <c r="F209" t="s">
        <v>13473</v>
      </c>
      <c r="G209" t="s">
        <v>13474</v>
      </c>
      <c r="H209" t="s">
        <v>13521</v>
      </c>
      <c r="I209" t="s">
        <v>6479</v>
      </c>
      <c r="J209" t="s">
        <v>13463</v>
      </c>
      <c r="K209">
        <v>3</v>
      </c>
      <c r="L209" t="s">
        <v>13540</v>
      </c>
      <c r="M209" t="s">
        <v>13505</v>
      </c>
      <c r="N209" t="str">
        <f>_xlfn.XLOOKUP(C:C,'Resource Table'!A:A,'Resource Table'!B:B,"NOT FOUND",0,1)</f>
        <v>Brittany Williams</v>
      </c>
      <c r="O209" t="str">
        <f>_xlfn.XLOOKUP(N:N,'Resource Table'!B:B,'Resource Table'!C:C,"n/a",0,1)</f>
        <v>bwilliams5@ameritfleet.com</v>
      </c>
      <c r="P209" t="str">
        <f>_xlfn.XLOOKUP(N:N,'Resource Table'!B:B,'Resource Table'!D:D,"n/a",0,1)</f>
        <v>Vended Repair</v>
      </c>
    </row>
    <row r="210" spans="1:16" x14ac:dyDescent="0.45">
      <c r="A210" t="s">
        <v>5431</v>
      </c>
      <c r="B210" t="s">
        <v>5431</v>
      </c>
      <c r="C210" t="s">
        <v>5432</v>
      </c>
      <c r="D210" t="s">
        <v>5768</v>
      </c>
      <c r="E210" t="s">
        <v>6451</v>
      </c>
      <c r="F210" t="s">
        <v>13473</v>
      </c>
      <c r="G210" t="s">
        <v>13474</v>
      </c>
      <c r="H210" t="s">
        <v>13521</v>
      </c>
      <c r="I210" t="s">
        <v>6479</v>
      </c>
      <c r="J210" t="s">
        <v>13463</v>
      </c>
      <c r="K210">
        <v>3</v>
      </c>
      <c r="L210" t="s">
        <v>13464</v>
      </c>
      <c r="M210" t="s">
        <v>13505</v>
      </c>
      <c r="N210" t="str">
        <f>_xlfn.XLOOKUP(C:C,'Resource Table'!A:A,'Resource Table'!B:B,"NOT FOUND",0,1)</f>
        <v>Brittany Williams</v>
      </c>
      <c r="O210" t="str">
        <f>_xlfn.XLOOKUP(N:N,'Resource Table'!B:B,'Resource Table'!C:C,"n/a",0,1)</f>
        <v>bwilliams5@ameritfleet.com</v>
      </c>
      <c r="P210" t="str">
        <f>_xlfn.XLOOKUP(N:N,'Resource Table'!B:B,'Resource Table'!D:D,"n/a",0,1)</f>
        <v>Vended Repair</v>
      </c>
    </row>
    <row r="211" spans="1:16" x14ac:dyDescent="0.45">
      <c r="A211" t="s">
        <v>5431</v>
      </c>
      <c r="B211" t="s">
        <v>5431</v>
      </c>
      <c r="C211" t="s">
        <v>5432</v>
      </c>
      <c r="D211" t="s">
        <v>1321</v>
      </c>
      <c r="E211" t="s">
        <v>6461</v>
      </c>
      <c r="F211" t="s">
        <v>13460</v>
      </c>
      <c r="G211" t="s">
        <v>13538</v>
      </c>
      <c r="H211" t="s">
        <v>13554</v>
      </c>
      <c r="I211" t="s">
        <v>6479</v>
      </c>
      <c r="J211" t="s">
        <v>13463</v>
      </c>
      <c r="K211">
        <v>4</v>
      </c>
      <c r="L211" t="s">
        <v>13548</v>
      </c>
      <c r="M211" t="s">
        <v>13505</v>
      </c>
      <c r="N211" t="str">
        <f>_xlfn.XLOOKUP(C:C,'Resource Table'!A:A,'Resource Table'!B:B,"NOT FOUND",0,1)</f>
        <v>Brittany Williams</v>
      </c>
      <c r="O211" t="str">
        <f>_xlfn.XLOOKUP(N:N,'Resource Table'!B:B,'Resource Table'!C:C,"n/a",0,1)</f>
        <v>bwilliams5@ameritfleet.com</v>
      </c>
      <c r="P211" t="str">
        <f>_xlfn.XLOOKUP(N:N,'Resource Table'!B:B,'Resource Table'!D:D,"n/a",0,1)</f>
        <v>Vended Repair</v>
      </c>
    </row>
    <row r="212" spans="1:16" x14ac:dyDescent="0.45">
      <c r="A212" t="s">
        <v>5431</v>
      </c>
      <c r="B212" t="s">
        <v>5431</v>
      </c>
      <c r="C212" t="s">
        <v>5432</v>
      </c>
      <c r="D212" t="s">
        <v>738</v>
      </c>
      <c r="E212" t="s">
        <v>6451</v>
      </c>
      <c r="F212" t="s">
        <v>13460</v>
      </c>
      <c r="G212" t="s">
        <v>13476</v>
      </c>
      <c r="H212" t="s">
        <v>13477</v>
      </c>
      <c r="I212" t="s">
        <v>6479</v>
      </c>
      <c r="J212" t="s">
        <v>13463</v>
      </c>
      <c r="K212">
        <v>2</v>
      </c>
      <c r="L212" t="s">
        <v>13470</v>
      </c>
      <c r="M212" t="s">
        <v>13505</v>
      </c>
      <c r="N212" t="str">
        <f>_xlfn.XLOOKUP(C:C,'Resource Table'!A:A,'Resource Table'!B:B,"NOT FOUND",0,1)</f>
        <v>Brittany Williams</v>
      </c>
      <c r="O212" t="str">
        <f>_xlfn.XLOOKUP(N:N,'Resource Table'!B:B,'Resource Table'!C:C,"n/a",0,1)</f>
        <v>bwilliams5@ameritfleet.com</v>
      </c>
      <c r="P212" t="str">
        <f>_xlfn.XLOOKUP(N:N,'Resource Table'!B:B,'Resource Table'!D:D,"n/a",0,1)</f>
        <v>Vended Repair</v>
      </c>
    </row>
    <row r="213" spans="1:16" x14ac:dyDescent="0.45">
      <c r="A213" t="s">
        <v>5431</v>
      </c>
      <c r="B213" t="s">
        <v>5431</v>
      </c>
      <c r="C213" t="s">
        <v>5432</v>
      </c>
      <c r="D213" t="s">
        <v>3037</v>
      </c>
      <c r="E213" t="s">
        <v>6461</v>
      </c>
      <c r="F213" t="s">
        <v>13460</v>
      </c>
      <c r="G213" t="s">
        <v>13538</v>
      </c>
      <c r="H213" t="s">
        <v>13539</v>
      </c>
      <c r="I213" t="s">
        <v>6479</v>
      </c>
      <c r="J213" t="s">
        <v>13463</v>
      </c>
      <c r="K213">
        <v>5</v>
      </c>
      <c r="L213" t="s">
        <v>13548</v>
      </c>
      <c r="M213" t="s">
        <v>13513</v>
      </c>
      <c r="N213" t="str">
        <f>_xlfn.XLOOKUP(C:C,'Resource Table'!A:A,'Resource Table'!B:B,"NOT FOUND",0,1)</f>
        <v>Brittany Williams</v>
      </c>
      <c r="O213" t="str">
        <f>_xlfn.XLOOKUP(N:N,'Resource Table'!B:B,'Resource Table'!C:C,"n/a",0,1)</f>
        <v>bwilliams5@ameritfleet.com</v>
      </c>
      <c r="P213" t="str">
        <f>_xlfn.XLOOKUP(N:N,'Resource Table'!B:B,'Resource Table'!D:D,"n/a",0,1)</f>
        <v>Vended Repair</v>
      </c>
    </row>
    <row r="214" spans="1:16" x14ac:dyDescent="0.45">
      <c r="A214" t="s">
        <v>5431</v>
      </c>
      <c r="B214" t="s">
        <v>5431</v>
      </c>
      <c r="C214" t="s">
        <v>5432</v>
      </c>
      <c r="D214" t="s">
        <v>1080</v>
      </c>
      <c r="E214" t="s">
        <v>6451</v>
      </c>
      <c r="F214" t="s">
        <v>13473</v>
      </c>
      <c r="G214" t="s">
        <v>13474</v>
      </c>
      <c r="H214" t="s">
        <v>13492</v>
      </c>
      <c r="I214" t="s">
        <v>6479</v>
      </c>
      <c r="J214" t="s">
        <v>13463</v>
      </c>
      <c r="K214">
        <v>2</v>
      </c>
      <c r="L214" t="s">
        <v>13536</v>
      </c>
      <c r="M214" t="s">
        <v>13512</v>
      </c>
      <c r="N214" t="str">
        <f>_xlfn.XLOOKUP(C:C,'Resource Table'!A:A,'Resource Table'!B:B,"NOT FOUND",0,1)</f>
        <v>Brittany Williams</v>
      </c>
      <c r="O214" t="str">
        <f>_xlfn.XLOOKUP(N:N,'Resource Table'!B:B,'Resource Table'!C:C,"n/a",0,1)</f>
        <v>bwilliams5@ameritfleet.com</v>
      </c>
      <c r="P214" t="str">
        <f>_xlfn.XLOOKUP(N:N,'Resource Table'!B:B,'Resource Table'!D:D,"n/a",0,1)</f>
        <v>Vended Repair</v>
      </c>
    </row>
    <row r="215" spans="1:16" x14ac:dyDescent="0.45">
      <c r="A215" t="s">
        <v>5431</v>
      </c>
      <c r="B215" t="s">
        <v>5431</v>
      </c>
      <c r="C215" t="s">
        <v>5432</v>
      </c>
      <c r="D215" t="s">
        <v>782</v>
      </c>
      <c r="E215" t="s">
        <v>6451</v>
      </c>
      <c r="F215" t="s">
        <v>13473</v>
      </c>
      <c r="G215" t="s">
        <v>13474</v>
      </c>
      <c r="H215" t="s">
        <v>13492</v>
      </c>
      <c r="I215" t="s">
        <v>6479</v>
      </c>
      <c r="J215" t="s">
        <v>13463</v>
      </c>
      <c r="K215">
        <v>1</v>
      </c>
      <c r="L215" t="s">
        <v>13503</v>
      </c>
      <c r="M215" t="s">
        <v>13505</v>
      </c>
      <c r="N215" t="str">
        <f>_xlfn.XLOOKUP(C:C,'Resource Table'!A:A,'Resource Table'!B:B,"NOT FOUND",0,1)</f>
        <v>Brittany Williams</v>
      </c>
      <c r="O215" t="str">
        <f>_xlfn.XLOOKUP(N:N,'Resource Table'!B:B,'Resource Table'!C:C,"n/a",0,1)</f>
        <v>bwilliams5@ameritfleet.com</v>
      </c>
      <c r="P215" t="str">
        <f>_xlfn.XLOOKUP(N:N,'Resource Table'!B:B,'Resource Table'!D:D,"n/a",0,1)</f>
        <v>Vended Repair</v>
      </c>
    </row>
    <row r="216" spans="1:16" x14ac:dyDescent="0.45">
      <c r="A216" t="s">
        <v>5431</v>
      </c>
      <c r="B216" t="s">
        <v>5431</v>
      </c>
      <c r="C216" t="s">
        <v>5432</v>
      </c>
      <c r="D216" t="s">
        <v>6260</v>
      </c>
      <c r="E216" t="s">
        <v>6451</v>
      </c>
      <c r="F216" t="s">
        <v>13460</v>
      </c>
      <c r="G216" t="s">
        <v>13461</v>
      </c>
      <c r="H216" t="s">
        <v>13555</v>
      </c>
      <c r="I216" t="s">
        <v>6479</v>
      </c>
      <c r="J216" t="s">
        <v>13463</v>
      </c>
      <c r="K216">
        <v>1</v>
      </c>
      <c r="L216" t="s">
        <v>13542</v>
      </c>
      <c r="M216" t="s">
        <v>13507</v>
      </c>
      <c r="N216" t="str">
        <f>_xlfn.XLOOKUP(C:C,'Resource Table'!A:A,'Resource Table'!B:B,"NOT FOUND",0,1)</f>
        <v>Brittany Williams</v>
      </c>
      <c r="O216" t="str">
        <f>_xlfn.XLOOKUP(N:N,'Resource Table'!B:B,'Resource Table'!C:C,"n/a",0,1)</f>
        <v>bwilliams5@ameritfleet.com</v>
      </c>
      <c r="P216" t="str">
        <f>_xlfn.XLOOKUP(N:N,'Resource Table'!B:B,'Resource Table'!D:D,"n/a",0,1)</f>
        <v>Vended Repair</v>
      </c>
    </row>
    <row r="217" spans="1:16" x14ac:dyDescent="0.45">
      <c r="A217" t="s">
        <v>5431</v>
      </c>
      <c r="B217" t="s">
        <v>5431</v>
      </c>
      <c r="C217" t="s">
        <v>5432</v>
      </c>
      <c r="D217" t="s">
        <v>13066</v>
      </c>
      <c r="E217" t="s">
        <v>6451</v>
      </c>
      <c r="F217" t="s">
        <v>13460</v>
      </c>
      <c r="G217" t="s">
        <v>13461</v>
      </c>
      <c r="H217" t="s">
        <v>13555</v>
      </c>
      <c r="I217" t="s">
        <v>6479</v>
      </c>
      <c r="J217" t="s">
        <v>13463</v>
      </c>
      <c r="K217">
        <v>0</v>
      </c>
      <c r="L217" t="s">
        <v>20</v>
      </c>
      <c r="M217" t="s">
        <v>20</v>
      </c>
      <c r="N217" t="str">
        <f>_xlfn.XLOOKUP(C:C,'Resource Table'!A:A,'Resource Table'!B:B,"NOT FOUND",0,1)</f>
        <v>Brittany Williams</v>
      </c>
      <c r="O217" t="str">
        <f>_xlfn.XLOOKUP(N:N,'Resource Table'!B:B,'Resource Table'!C:C,"n/a",0,1)</f>
        <v>bwilliams5@ameritfleet.com</v>
      </c>
      <c r="P217" t="str">
        <f>_xlfn.XLOOKUP(N:N,'Resource Table'!B:B,'Resource Table'!D:D,"n/a",0,1)</f>
        <v>Vended Repair</v>
      </c>
    </row>
    <row r="218" spans="1:16" x14ac:dyDescent="0.45">
      <c r="A218" t="s">
        <v>5407</v>
      </c>
      <c r="B218" t="s">
        <v>5491</v>
      </c>
      <c r="C218" t="s">
        <v>5545</v>
      </c>
      <c r="D218" t="s">
        <v>2184</v>
      </c>
      <c r="E218" t="s">
        <v>6461</v>
      </c>
      <c r="F218" t="s">
        <v>13460</v>
      </c>
      <c r="G218" t="s">
        <v>13538</v>
      </c>
      <c r="H218" t="s">
        <v>13554</v>
      </c>
      <c r="I218" t="s">
        <v>6479</v>
      </c>
      <c r="J218" t="s">
        <v>13463</v>
      </c>
      <c r="K218">
        <v>2</v>
      </c>
      <c r="L218" t="s">
        <v>13543</v>
      </c>
      <c r="M218" t="s">
        <v>13505</v>
      </c>
      <c r="N218" t="str">
        <f>_xlfn.XLOOKUP(C:C,'Resource Table'!A:A,'Resource Table'!B:B,"NOT FOUND",0,1)</f>
        <v>James Hopkins</v>
      </c>
      <c r="O218" t="str">
        <f>_xlfn.XLOOKUP(N:N,'Resource Table'!B:B,'Resource Table'!C:C,"n/a",0,1)</f>
        <v>jhopkins5@ameritfleet.com</v>
      </c>
      <c r="P218" t="str">
        <f>_xlfn.XLOOKUP(N:N,'Resource Table'!B:B,'Resource Table'!D:D,"n/a",0,1)</f>
        <v>Vended Repair</v>
      </c>
    </row>
    <row r="219" spans="1:16" x14ac:dyDescent="0.45">
      <c r="A219" t="s">
        <v>5407</v>
      </c>
      <c r="B219" t="s">
        <v>5491</v>
      </c>
      <c r="C219" t="s">
        <v>5545</v>
      </c>
      <c r="D219" t="s">
        <v>5780</v>
      </c>
      <c r="E219" t="s">
        <v>6451</v>
      </c>
      <c r="F219" t="s">
        <v>13473</v>
      </c>
      <c r="G219" t="s">
        <v>13474</v>
      </c>
      <c r="H219" t="s">
        <v>13521</v>
      </c>
      <c r="I219" t="s">
        <v>6479</v>
      </c>
      <c r="J219" t="s">
        <v>13463</v>
      </c>
      <c r="K219">
        <v>1</v>
      </c>
      <c r="L219" t="s">
        <v>13503</v>
      </c>
      <c r="M219" t="s">
        <v>13505</v>
      </c>
      <c r="N219" t="str">
        <f>_xlfn.XLOOKUP(C:C,'Resource Table'!A:A,'Resource Table'!B:B,"NOT FOUND",0,1)</f>
        <v>James Hopkins</v>
      </c>
      <c r="O219" t="str">
        <f>_xlfn.XLOOKUP(N:N,'Resource Table'!B:B,'Resource Table'!C:C,"n/a",0,1)</f>
        <v>jhopkins5@ameritfleet.com</v>
      </c>
      <c r="P219" t="str">
        <f>_xlfn.XLOOKUP(N:N,'Resource Table'!B:B,'Resource Table'!D:D,"n/a",0,1)</f>
        <v>Vended Repair</v>
      </c>
    </row>
    <row r="220" spans="1:16" x14ac:dyDescent="0.45">
      <c r="A220" t="s">
        <v>5407</v>
      </c>
      <c r="B220" t="s">
        <v>5491</v>
      </c>
      <c r="C220" t="s">
        <v>5545</v>
      </c>
      <c r="D220" t="s">
        <v>1696</v>
      </c>
      <c r="E220" t="s">
        <v>6461</v>
      </c>
      <c r="F220" t="s">
        <v>13460</v>
      </c>
      <c r="G220" t="s">
        <v>13481</v>
      </c>
      <c r="H220" t="s">
        <v>13482</v>
      </c>
      <c r="I220" t="s">
        <v>29</v>
      </c>
      <c r="J220" t="s">
        <v>13486</v>
      </c>
      <c r="K220">
        <v>3</v>
      </c>
      <c r="L220" t="s">
        <v>13479</v>
      </c>
      <c r="M220" t="s">
        <v>13513</v>
      </c>
      <c r="N220" t="str">
        <f>_xlfn.XLOOKUP(C:C,'Resource Table'!A:A,'Resource Table'!B:B,"NOT FOUND",0,1)</f>
        <v>James Hopkins</v>
      </c>
      <c r="O220" t="str">
        <f>_xlfn.XLOOKUP(N:N,'Resource Table'!B:B,'Resource Table'!C:C,"n/a",0,1)</f>
        <v>jhopkins5@ameritfleet.com</v>
      </c>
      <c r="P220" t="str">
        <f>_xlfn.XLOOKUP(N:N,'Resource Table'!B:B,'Resource Table'!D:D,"n/a",0,1)</f>
        <v>Vended Repair</v>
      </c>
    </row>
    <row r="221" spans="1:16" x14ac:dyDescent="0.45">
      <c r="A221" t="s">
        <v>5407</v>
      </c>
      <c r="B221" t="s">
        <v>5491</v>
      </c>
      <c r="C221" t="s">
        <v>5545</v>
      </c>
      <c r="D221" t="s">
        <v>2780</v>
      </c>
      <c r="E221" t="s">
        <v>6461</v>
      </c>
      <c r="F221" t="s">
        <v>13460</v>
      </c>
      <c r="G221" t="s">
        <v>13481</v>
      </c>
      <c r="H221" t="s">
        <v>13482</v>
      </c>
      <c r="I221" t="s">
        <v>29</v>
      </c>
      <c r="J221" t="s">
        <v>13486</v>
      </c>
      <c r="K221">
        <v>5</v>
      </c>
      <c r="L221" t="s">
        <v>13497</v>
      </c>
      <c r="M221" t="s">
        <v>13513</v>
      </c>
      <c r="N221" t="str">
        <f>_xlfn.XLOOKUP(C:C,'Resource Table'!A:A,'Resource Table'!B:B,"NOT FOUND",0,1)</f>
        <v>James Hopkins</v>
      </c>
      <c r="O221" t="str">
        <f>_xlfn.XLOOKUP(N:N,'Resource Table'!B:B,'Resource Table'!C:C,"n/a",0,1)</f>
        <v>jhopkins5@ameritfleet.com</v>
      </c>
      <c r="P221" t="str">
        <f>_xlfn.XLOOKUP(N:N,'Resource Table'!B:B,'Resource Table'!D:D,"n/a",0,1)</f>
        <v>Vended Repair</v>
      </c>
    </row>
    <row r="222" spans="1:16" x14ac:dyDescent="0.45">
      <c r="A222" t="s">
        <v>5407</v>
      </c>
      <c r="B222" t="s">
        <v>5491</v>
      </c>
      <c r="C222" t="s">
        <v>5545</v>
      </c>
      <c r="D222" t="s">
        <v>745</v>
      </c>
      <c r="E222" t="s">
        <v>6451</v>
      </c>
      <c r="F222" t="s">
        <v>13473</v>
      </c>
      <c r="G222" t="s">
        <v>13474</v>
      </c>
      <c r="H222" t="s">
        <v>13475</v>
      </c>
      <c r="I222" t="s">
        <v>6479</v>
      </c>
      <c r="J222" t="s">
        <v>13463</v>
      </c>
      <c r="K222">
        <v>5</v>
      </c>
      <c r="L222" t="s">
        <v>13479</v>
      </c>
      <c r="M222" t="s">
        <v>13505</v>
      </c>
      <c r="N222" t="str">
        <f>_xlfn.XLOOKUP(C:C,'Resource Table'!A:A,'Resource Table'!B:B,"NOT FOUND",0,1)</f>
        <v>James Hopkins</v>
      </c>
      <c r="O222" t="str">
        <f>_xlfn.XLOOKUP(N:N,'Resource Table'!B:B,'Resource Table'!C:C,"n/a",0,1)</f>
        <v>jhopkins5@ameritfleet.com</v>
      </c>
      <c r="P222" t="str">
        <f>_xlfn.XLOOKUP(N:N,'Resource Table'!B:B,'Resource Table'!D:D,"n/a",0,1)</f>
        <v>Vended Repair</v>
      </c>
    </row>
    <row r="223" spans="1:16" x14ac:dyDescent="0.45">
      <c r="A223" t="s">
        <v>5407</v>
      </c>
      <c r="B223" t="s">
        <v>5491</v>
      </c>
      <c r="C223" t="s">
        <v>5545</v>
      </c>
      <c r="D223" t="s">
        <v>6133</v>
      </c>
      <c r="E223" t="s">
        <v>6461</v>
      </c>
      <c r="F223" t="s">
        <v>13460</v>
      </c>
      <c r="G223" t="s">
        <v>13538</v>
      </c>
      <c r="H223" t="s">
        <v>13554</v>
      </c>
      <c r="I223" t="s">
        <v>6479</v>
      </c>
      <c r="J223" t="s">
        <v>13463</v>
      </c>
      <c r="K223">
        <v>1</v>
      </c>
      <c r="L223" t="s">
        <v>13491</v>
      </c>
      <c r="M223" t="s">
        <v>13468</v>
      </c>
      <c r="N223" t="str">
        <f>_xlfn.XLOOKUP(C:C,'Resource Table'!A:A,'Resource Table'!B:B,"NOT FOUND",0,1)</f>
        <v>James Hopkins</v>
      </c>
      <c r="O223" t="str">
        <f>_xlfn.XLOOKUP(N:N,'Resource Table'!B:B,'Resource Table'!C:C,"n/a",0,1)</f>
        <v>jhopkins5@ameritfleet.com</v>
      </c>
      <c r="P223" t="str">
        <f>_xlfn.XLOOKUP(N:N,'Resource Table'!B:B,'Resource Table'!D:D,"n/a",0,1)</f>
        <v>Vended Repair</v>
      </c>
    </row>
    <row r="224" spans="1:16" x14ac:dyDescent="0.45">
      <c r="A224" t="s">
        <v>5407</v>
      </c>
      <c r="B224" t="s">
        <v>5491</v>
      </c>
      <c r="C224" t="s">
        <v>5545</v>
      </c>
      <c r="D224" t="s">
        <v>6121</v>
      </c>
      <c r="E224" t="s">
        <v>6461</v>
      </c>
      <c r="F224" t="s">
        <v>13460</v>
      </c>
      <c r="G224" t="s">
        <v>13538</v>
      </c>
      <c r="H224" t="s">
        <v>13554</v>
      </c>
      <c r="I224" t="s">
        <v>6479</v>
      </c>
      <c r="J224" t="s">
        <v>13486</v>
      </c>
      <c r="K224">
        <v>2</v>
      </c>
      <c r="L224" t="s">
        <v>13491</v>
      </c>
      <c r="M224" t="s">
        <v>13505</v>
      </c>
      <c r="N224" t="str">
        <f>_xlfn.XLOOKUP(C:C,'Resource Table'!A:A,'Resource Table'!B:B,"NOT FOUND",0,1)</f>
        <v>James Hopkins</v>
      </c>
      <c r="O224" t="str">
        <f>_xlfn.XLOOKUP(N:N,'Resource Table'!B:B,'Resource Table'!C:C,"n/a",0,1)</f>
        <v>jhopkins5@ameritfleet.com</v>
      </c>
      <c r="P224" t="str">
        <f>_xlfn.XLOOKUP(N:N,'Resource Table'!B:B,'Resource Table'!D:D,"n/a",0,1)</f>
        <v>Vended Repair</v>
      </c>
    </row>
    <row r="225" spans="1:16" x14ac:dyDescent="0.45">
      <c r="A225" t="s">
        <v>5407</v>
      </c>
      <c r="B225" t="s">
        <v>5491</v>
      </c>
      <c r="C225" t="s">
        <v>5545</v>
      </c>
      <c r="D225" t="s">
        <v>5804</v>
      </c>
      <c r="E225" t="s">
        <v>6451</v>
      </c>
      <c r="F225" t="s">
        <v>13473</v>
      </c>
      <c r="G225" t="s">
        <v>13474</v>
      </c>
      <c r="H225" t="s">
        <v>13521</v>
      </c>
      <c r="I225" t="s">
        <v>6479</v>
      </c>
      <c r="J225" t="s">
        <v>13463</v>
      </c>
      <c r="K225">
        <v>1</v>
      </c>
      <c r="L225" t="s">
        <v>13491</v>
      </c>
      <c r="M225" t="s">
        <v>13505</v>
      </c>
      <c r="N225" t="str">
        <f>_xlfn.XLOOKUP(C:C,'Resource Table'!A:A,'Resource Table'!B:B,"NOT FOUND",0,1)</f>
        <v>James Hopkins</v>
      </c>
      <c r="O225" t="str">
        <f>_xlfn.XLOOKUP(N:N,'Resource Table'!B:B,'Resource Table'!C:C,"n/a",0,1)</f>
        <v>jhopkins5@ameritfleet.com</v>
      </c>
      <c r="P225" t="str">
        <f>_xlfn.XLOOKUP(N:N,'Resource Table'!B:B,'Resource Table'!D:D,"n/a",0,1)</f>
        <v>Vended Repair</v>
      </c>
    </row>
    <row r="226" spans="1:16" x14ac:dyDescent="0.45">
      <c r="A226" t="s">
        <v>5407</v>
      </c>
      <c r="B226" t="s">
        <v>5491</v>
      </c>
      <c r="C226" t="s">
        <v>5545</v>
      </c>
      <c r="D226" t="s">
        <v>1120</v>
      </c>
      <c r="E226" t="s">
        <v>6461</v>
      </c>
      <c r="F226" t="s">
        <v>13460</v>
      </c>
      <c r="G226" t="s">
        <v>13481</v>
      </c>
      <c r="H226" t="s">
        <v>13518</v>
      </c>
      <c r="I226" t="s">
        <v>6479</v>
      </c>
      <c r="J226" t="s">
        <v>13463</v>
      </c>
      <c r="K226">
        <v>1</v>
      </c>
      <c r="L226" t="s">
        <v>13499</v>
      </c>
      <c r="M226" t="s">
        <v>13503</v>
      </c>
      <c r="N226" t="str">
        <f>_xlfn.XLOOKUP(C:C,'Resource Table'!A:A,'Resource Table'!B:B,"NOT FOUND",0,1)</f>
        <v>James Hopkins</v>
      </c>
      <c r="O226" t="str">
        <f>_xlfn.XLOOKUP(N:N,'Resource Table'!B:B,'Resource Table'!C:C,"n/a",0,1)</f>
        <v>jhopkins5@ameritfleet.com</v>
      </c>
      <c r="P226" t="str">
        <f>_xlfn.XLOOKUP(N:N,'Resource Table'!B:B,'Resource Table'!D:D,"n/a",0,1)</f>
        <v>Vended Repair</v>
      </c>
    </row>
    <row r="227" spans="1:16" x14ac:dyDescent="0.45">
      <c r="A227" t="s">
        <v>5407</v>
      </c>
      <c r="B227" t="s">
        <v>5491</v>
      </c>
      <c r="C227" t="s">
        <v>5545</v>
      </c>
      <c r="D227" t="s">
        <v>1116</v>
      </c>
      <c r="E227" t="s">
        <v>6461</v>
      </c>
      <c r="F227" t="s">
        <v>13460</v>
      </c>
      <c r="G227" t="s">
        <v>13538</v>
      </c>
      <c r="H227" t="s">
        <v>13554</v>
      </c>
      <c r="I227" t="s">
        <v>29</v>
      </c>
      <c r="J227" t="s">
        <v>13463</v>
      </c>
      <c r="K227">
        <v>2</v>
      </c>
      <c r="L227" t="s">
        <v>13479</v>
      </c>
      <c r="M227" t="s">
        <v>13484</v>
      </c>
      <c r="N227" t="str">
        <f>_xlfn.XLOOKUP(C:C,'Resource Table'!A:A,'Resource Table'!B:B,"NOT FOUND",0,1)</f>
        <v>James Hopkins</v>
      </c>
      <c r="O227" t="str">
        <f>_xlfn.XLOOKUP(N:N,'Resource Table'!B:B,'Resource Table'!C:C,"n/a",0,1)</f>
        <v>jhopkins5@ameritfleet.com</v>
      </c>
      <c r="P227" t="str">
        <f>_xlfn.XLOOKUP(N:N,'Resource Table'!B:B,'Resource Table'!D:D,"n/a",0,1)</f>
        <v>Vended Repair</v>
      </c>
    </row>
    <row r="228" spans="1:16" x14ac:dyDescent="0.45">
      <c r="A228" t="s">
        <v>5407</v>
      </c>
      <c r="B228" t="s">
        <v>5491</v>
      </c>
      <c r="C228" t="s">
        <v>5545</v>
      </c>
      <c r="D228" t="s">
        <v>1233</v>
      </c>
      <c r="E228" t="s">
        <v>6461</v>
      </c>
      <c r="F228" t="s">
        <v>13460</v>
      </c>
      <c r="G228" t="s">
        <v>13481</v>
      </c>
      <c r="H228" t="s">
        <v>13485</v>
      </c>
      <c r="I228" t="s">
        <v>29</v>
      </c>
      <c r="J228" t="s">
        <v>13486</v>
      </c>
      <c r="K228">
        <v>4</v>
      </c>
      <c r="L228" t="s">
        <v>13479</v>
      </c>
      <c r="M228" t="s">
        <v>13513</v>
      </c>
      <c r="N228" t="str">
        <f>_xlfn.XLOOKUP(C:C,'Resource Table'!A:A,'Resource Table'!B:B,"NOT FOUND",0,1)</f>
        <v>James Hopkins</v>
      </c>
      <c r="O228" t="str">
        <f>_xlfn.XLOOKUP(N:N,'Resource Table'!B:B,'Resource Table'!C:C,"n/a",0,1)</f>
        <v>jhopkins5@ameritfleet.com</v>
      </c>
      <c r="P228" t="str">
        <f>_xlfn.XLOOKUP(N:N,'Resource Table'!B:B,'Resource Table'!D:D,"n/a",0,1)</f>
        <v>Vended Repair</v>
      </c>
    </row>
    <row r="229" spans="1:16" x14ac:dyDescent="0.45">
      <c r="A229" t="s">
        <v>5407</v>
      </c>
      <c r="B229" t="s">
        <v>5491</v>
      </c>
      <c r="C229" t="s">
        <v>5545</v>
      </c>
      <c r="D229" t="s">
        <v>1003</v>
      </c>
      <c r="E229" t="s">
        <v>6461</v>
      </c>
      <c r="F229" t="s">
        <v>13460</v>
      </c>
      <c r="G229" t="s">
        <v>13538</v>
      </c>
      <c r="H229" t="s">
        <v>13547</v>
      </c>
      <c r="I229" t="s">
        <v>6479</v>
      </c>
      <c r="J229" t="s">
        <v>13463</v>
      </c>
      <c r="K229">
        <v>3</v>
      </c>
      <c r="L229" t="s">
        <v>13534</v>
      </c>
      <c r="M229" t="s">
        <v>13505</v>
      </c>
      <c r="N229" t="str">
        <f>_xlfn.XLOOKUP(C:C,'Resource Table'!A:A,'Resource Table'!B:B,"NOT FOUND",0,1)</f>
        <v>James Hopkins</v>
      </c>
      <c r="O229" t="str">
        <f>_xlfn.XLOOKUP(N:N,'Resource Table'!B:B,'Resource Table'!C:C,"n/a",0,1)</f>
        <v>jhopkins5@ameritfleet.com</v>
      </c>
      <c r="P229" t="str">
        <f>_xlfn.XLOOKUP(N:N,'Resource Table'!B:B,'Resource Table'!D:D,"n/a",0,1)</f>
        <v>Vended Repair</v>
      </c>
    </row>
    <row r="230" spans="1:16" x14ac:dyDescent="0.45">
      <c r="A230" t="s">
        <v>5407</v>
      </c>
      <c r="B230" t="s">
        <v>5491</v>
      </c>
      <c r="C230" t="s">
        <v>5545</v>
      </c>
      <c r="D230" t="s">
        <v>5794</v>
      </c>
      <c r="E230" t="s">
        <v>6451</v>
      </c>
      <c r="F230" t="s">
        <v>13473</v>
      </c>
      <c r="G230" t="s">
        <v>13474</v>
      </c>
      <c r="H230" t="s">
        <v>13521</v>
      </c>
      <c r="I230" t="s">
        <v>6479</v>
      </c>
      <c r="J230" t="s">
        <v>13463</v>
      </c>
      <c r="K230">
        <v>2</v>
      </c>
      <c r="L230" t="s">
        <v>13489</v>
      </c>
      <c r="M230" t="s">
        <v>13505</v>
      </c>
      <c r="N230" t="str">
        <f>_xlfn.XLOOKUP(C:C,'Resource Table'!A:A,'Resource Table'!B:B,"NOT FOUND",0,1)</f>
        <v>James Hopkins</v>
      </c>
      <c r="O230" t="str">
        <f>_xlfn.XLOOKUP(N:N,'Resource Table'!B:B,'Resource Table'!C:C,"n/a",0,1)</f>
        <v>jhopkins5@ameritfleet.com</v>
      </c>
      <c r="P230" t="str">
        <f>_xlfn.XLOOKUP(N:N,'Resource Table'!B:B,'Resource Table'!D:D,"n/a",0,1)</f>
        <v>Vended Repair</v>
      </c>
    </row>
    <row r="231" spans="1:16" x14ac:dyDescent="0.45">
      <c r="A231" t="s">
        <v>5407</v>
      </c>
      <c r="B231" t="s">
        <v>5491</v>
      </c>
      <c r="C231" t="s">
        <v>5499</v>
      </c>
      <c r="D231" t="s">
        <v>5758</v>
      </c>
      <c r="E231" t="s">
        <v>6451</v>
      </c>
      <c r="F231" t="s">
        <v>13473</v>
      </c>
      <c r="G231" t="s">
        <v>13474</v>
      </c>
      <c r="H231" t="s">
        <v>13517</v>
      </c>
      <c r="I231" t="s">
        <v>6479</v>
      </c>
      <c r="J231" t="s">
        <v>13463</v>
      </c>
      <c r="K231">
        <v>3</v>
      </c>
      <c r="L231" t="s">
        <v>13520</v>
      </c>
      <c r="M231" t="s">
        <v>13505</v>
      </c>
      <c r="N231" t="str">
        <f>_xlfn.XLOOKUP(C:C,'Resource Table'!A:A,'Resource Table'!B:B,"NOT FOUND",0,1)</f>
        <v>Dedicated</v>
      </c>
      <c r="O231" t="str">
        <f>_xlfn.XLOOKUP(N:N,'Resource Table'!B:B,'Resource Table'!C:C,"n/a",0,1)</f>
        <v>AFS Dedicated Tech</v>
      </c>
      <c r="P231" t="str">
        <f>_xlfn.XLOOKUP(N:N,'Resource Table'!B:B,'Resource Table'!D:D,"n/a",0,1)</f>
        <v>Dedicated</v>
      </c>
    </row>
    <row r="232" spans="1:16" x14ac:dyDescent="0.45">
      <c r="A232" t="s">
        <v>5407</v>
      </c>
      <c r="B232" t="s">
        <v>5491</v>
      </c>
      <c r="C232" t="s">
        <v>5499</v>
      </c>
      <c r="D232" t="s">
        <v>2654</v>
      </c>
      <c r="E232" t="s">
        <v>6451</v>
      </c>
      <c r="F232" t="s">
        <v>13473</v>
      </c>
      <c r="G232" t="s">
        <v>13474</v>
      </c>
      <c r="H232" t="s">
        <v>13475</v>
      </c>
      <c r="I232" t="s">
        <v>6479</v>
      </c>
      <c r="J232" t="s">
        <v>13463</v>
      </c>
      <c r="K232">
        <v>3</v>
      </c>
      <c r="L232" t="s">
        <v>13530</v>
      </c>
      <c r="M232" t="s">
        <v>13505</v>
      </c>
      <c r="N232" t="str">
        <f>_xlfn.XLOOKUP(C:C,'Resource Table'!A:A,'Resource Table'!B:B,"NOT FOUND",0,1)</f>
        <v>Dedicated</v>
      </c>
      <c r="O232" t="str">
        <f>_xlfn.XLOOKUP(N:N,'Resource Table'!B:B,'Resource Table'!C:C,"n/a",0,1)</f>
        <v>AFS Dedicated Tech</v>
      </c>
      <c r="P232" t="str">
        <f>_xlfn.XLOOKUP(N:N,'Resource Table'!B:B,'Resource Table'!D:D,"n/a",0,1)</f>
        <v>Dedicated</v>
      </c>
    </row>
    <row r="233" spans="1:16" x14ac:dyDescent="0.45">
      <c r="A233" t="s">
        <v>5407</v>
      </c>
      <c r="B233" t="s">
        <v>5491</v>
      </c>
      <c r="C233" t="s">
        <v>5499</v>
      </c>
      <c r="D233" t="s">
        <v>2170</v>
      </c>
      <c r="E233" t="s">
        <v>6451</v>
      </c>
      <c r="F233" t="s">
        <v>13460</v>
      </c>
      <c r="G233" t="s">
        <v>13461</v>
      </c>
      <c r="H233" t="s">
        <v>13555</v>
      </c>
      <c r="I233" t="s">
        <v>29</v>
      </c>
      <c r="J233" t="s">
        <v>13463</v>
      </c>
      <c r="K233">
        <v>3</v>
      </c>
      <c r="L233" t="s">
        <v>13543</v>
      </c>
      <c r="M233" t="s">
        <v>13505</v>
      </c>
      <c r="N233" t="str">
        <f>_xlfn.XLOOKUP(C:C,'Resource Table'!A:A,'Resource Table'!B:B,"NOT FOUND",0,1)</f>
        <v>Dedicated</v>
      </c>
      <c r="O233" t="str">
        <f>_xlfn.XLOOKUP(N:N,'Resource Table'!B:B,'Resource Table'!C:C,"n/a",0,1)</f>
        <v>AFS Dedicated Tech</v>
      </c>
      <c r="P233" t="str">
        <f>_xlfn.XLOOKUP(N:N,'Resource Table'!B:B,'Resource Table'!D:D,"n/a",0,1)</f>
        <v>Dedicated</v>
      </c>
    </row>
    <row r="234" spans="1:16" x14ac:dyDescent="0.45">
      <c r="A234" t="s">
        <v>5407</v>
      </c>
      <c r="B234" t="s">
        <v>5491</v>
      </c>
      <c r="C234" t="s">
        <v>5499</v>
      </c>
      <c r="D234" t="s">
        <v>1150</v>
      </c>
      <c r="E234" t="s">
        <v>6461</v>
      </c>
      <c r="F234" t="s">
        <v>13460</v>
      </c>
      <c r="G234" t="s">
        <v>13481</v>
      </c>
      <c r="H234" t="s">
        <v>13511</v>
      </c>
      <c r="I234" t="s">
        <v>6479</v>
      </c>
      <c r="J234" t="s">
        <v>13463</v>
      </c>
      <c r="K234">
        <v>2</v>
      </c>
      <c r="L234" t="s">
        <v>13540</v>
      </c>
      <c r="M234" t="s">
        <v>13505</v>
      </c>
      <c r="N234" t="str">
        <f>_xlfn.XLOOKUP(C:C,'Resource Table'!A:A,'Resource Table'!B:B,"NOT FOUND",0,1)</f>
        <v>Dedicated</v>
      </c>
      <c r="O234" t="str">
        <f>_xlfn.XLOOKUP(N:N,'Resource Table'!B:B,'Resource Table'!C:C,"n/a",0,1)</f>
        <v>AFS Dedicated Tech</v>
      </c>
      <c r="P234" t="str">
        <f>_xlfn.XLOOKUP(N:N,'Resource Table'!B:B,'Resource Table'!D:D,"n/a",0,1)</f>
        <v>Dedicated</v>
      </c>
    </row>
    <row r="235" spans="1:16" x14ac:dyDescent="0.45">
      <c r="A235" t="s">
        <v>5407</v>
      </c>
      <c r="B235" t="s">
        <v>5491</v>
      </c>
      <c r="C235" t="s">
        <v>5499</v>
      </c>
      <c r="D235" t="s">
        <v>5756</v>
      </c>
      <c r="E235" t="s">
        <v>6451</v>
      </c>
      <c r="F235" t="s">
        <v>13473</v>
      </c>
      <c r="G235" t="s">
        <v>13474</v>
      </c>
      <c r="H235" t="s">
        <v>13517</v>
      </c>
      <c r="I235" t="s">
        <v>6479</v>
      </c>
      <c r="J235" t="s">
        <v>13463</v>
      </c>
      <c r="K235">
        <v>2</v>
      </c>
      <c r="L235" t="s">
        <v>13469</v>
      </c>
      <c r="M235" t="s">
        <v>13505</v>
      </c>
      <c r="N235" t="str">
        <f>_xlfn.XLOOKUP(C:C,'Resource Table'!A:A,'Resource Table'!B:B,"NOT FOUND",0,1)</f>
        <v>Dedicated</v>
      </c>
      <c r="O235" t="str">
        <f>_xlfn.XLOOKUP(N:N,'Resource Table'!B:B,'Resource Table'!C:C,"n/a",0,1)</f>
        <v>AFS Dedicated Tech</v>
      </c>
      <c r="P235" t="str">
        <f>_xlfn.XLOOKUP(N:N,'Resource Table'!B:B,'Resource Table'!D:D,"n/a",0,1)</f>
        <v>Dedicated</v>
      </c>
    </row>
    <row r="236" spans="1:16" x14ac:dyDescent="0.45">
      <c r="A236" t="s">
        <v>5407</v>
      </c>
      <c r="B236" t="s">
        <v>5491</v>
      </c>
      <c r="C236" t="s">
        <v>5499</v>
      </c>
      <c r="D236" t="s">
        <v>495</v>
      </c>
      <c r="E236" t="s">
        <v>6451</v>
      </c>
      <c r="F236" t="s">
        <v>13473</v>
      </c>
      <c r="G236" t="s">
        <v>13474</v>
      </c>
      <c r="H236" t="s">
        <v>13521</v>
      </c>
      <c r="I236" t="s">
        <v>6479</v>
      </c>
      <c r="J236" t="s">
        <v>13463</v>
      </c>
      <c r="K236">
        <v>2</v>
      </c>
      <c r="L236" t="s">
        <v>13543</v>
      </c>
      <c r="M236" t="s">
        <v>13505</v>
      </c>
      <c r="N236" t="str">
        <f>_xlfn.XLOOKUP(C:C,'Resource Table'!A:A,'Resource Table'!B:B,"NOT FOUND",0,1)</f>
        <v>Dedicated</v>
      </c>
      <c r="O236" t="str">
        <f>_xlfn.XLOOKUP(N:N,'Resource Table'!B:B,'Resource Table'!C:C,"n/a",0,1)</f>
        <v>AFS Dedicated Tech</v>
      </c>
      <c r="P236" t="str">
        <f>_xlfn.XLOOKUP(N:N,'Resource Table'!B:B,'Resource Table'!D:D,"n/a",0,1)</f>
        <v>Dedicated</v>
      </c>
    </row>
    <row r="237" spans="1:16" x14ac:dyDescent="0.45">
      <c r="A237" t="s">
        <v>5407</v>
      </c>
      <c r="B237" t="s">
        <v>5491</v>
      </c>
      <c r="C237" t="s">
        <v>5499</v>
      </c>
      <c r="D237" t="s">
        <v>844</v>
      </c>
      <c r="E237" t="s">
        <v>6461</v>
      </c>
      <c r="F237" t="s">
        <v>13460</v>
      </c>
      <c r="G237" t="s">
        <v>13481</v>
      </c>
      <c r="H237" t="s">
        <v>13482</v>
      </c>
      <c r="I237" t="s">
        <v>6479</v>
      </c>
      <c r="J237" t="s">
        <v>13463</v>
      </c>
      <c r="K237">
        <v>2</v>
      </c>
      <c r="L237" t="s">
        <v>13543</v>
      </c>
      <c r="M237" t="s">
        <v>13505</v>
      </c>
      <c r="N237" t="str">
        <f>_xlfn.XLOOKUP(C:C,'Resource Table'!A:A,'Resource Table'!B:B,"NOT FOUND",0,1)</f>
        <v>Dedicated</v>
      </c>
      <c r="O237" t="str">
        <f>_xlfn.XLOOKUP(N:N,'Resource Table'!B:B,'Resource Table'!C:C,"n/a",0,1)</f>
        <v>AFS Dedicated Tech</v>
      </c>
      <c r="P237" t="str">
        <f>_xlfn.XLOOKUP(N:N,'Resource Table'!B:B,'Resource Table'!D:D,"n/a",0,1)</f>
        <v>Dedicated</v>
      </c>
    </row>
    <row r="238" spans="1:16" x14ac:dyDescent="0.45">
      <c r="A238" t="s">
        <v>5407</v>
      </c>
      <c r="B238" t="s">
        <v>5491</v>
      </c>
      <c r="C238" t="s">
        <v>5499</v>
      </c>
      <c r="D238" t="s">
        <v>3140</v>
      </c>
      <c r="E238" t="s">
        <v>6451</v>
      </c>
      <c r="F238" t="s">
        <v>13460</v>
      </c>
      <c r="G238" t="s">
        <v>13481</v>
      </c>
      <c r="H238" t="s">
        <v>13546</v>
      </c>
      <c r="I238" t="s">
        <v>6479</v>
      </c>
      <c r="J238" t="s">
        <v>13463</v>
      </c>
      <c r="K238">
        <v>0</v>
      </c>
      <c r="L238" t="s">
        <v>20</v>
      </c>
      <c r="M238" t="s">
        <v>20</v>
      </c>
      <c r="N238" t="str">
        <f>_xlfn.XLOOKUP(C:C,'Resource Table'!A:A,'Resource Table'!B:B,"NOT FOUND",0,1)</f>
        <v>Dedicated</v>
      </c>
      <c r="O238" t="str">
        <f>_xlfn.XLOOKUP(N:N,'Resource Table'!B:B,'Resource Table'!C:C,"n/a",0,1)</f>
        <v>AFS Dedicated Tech</v>
      </c>
      <c r="P238" t="str">
        <f>_xlfn.XLOOKUP(N:N,'Resource Table'!B:B,'Resource Table'!D:D,"n/a",0,1)</f>
        <v>Dedicated</v>
      </c>
    </row>
    <row r="239" spans="1:16" x14ac:dyDescent="0.45">
      <c r="A239" t="s">
        <v>5407</v>
      </c>
      <c r="B239" t="s">
        <v>5491</v>
      </c>
      <c r="C239" t="s">
        <v>5499</v>
      </c>
      <c r="D239" t="s">
        <v>3622</v>
      </c>
      <c r="E239" t="s">
        <v>6461</v>
      </c>
      <c r="F239" t="s">
        <v>13460</v>
      </c>
      <c r="G239" t="s">
        <v>13538</v>
      </c>
      <c r="H239" t="s">
        <v>13539</v>
      </c>
      <c r="I239" t="s">
        <v>29</v>
      </c>
      <c r="J239" t="s">
        <v>13463</v>
      </c>
      <c r="K239">
        <v>2</v>
      </c>
      <c r="L239" t="s">
        <v>13503</v>
      </c>
      <c r="M239" t="s">
        <v>13559</v>
      </c>
      <c r="N239" t="str">
        <f>_xlfn.XLOOKUP(C:C,'Resource Table'!A:A,'Resource Table'!B:B,"NOT FOUND",0,1)</f>
        <v>Dedicated</v>
      </c>
      <c r="O239" t="str">
        <f>_xlfn.XLOOKUP(N:N,'Resource Table'!B:B,'Resource Table'!C:C,"n/a",0,1)</f>
        <v>AFS Dedicated Tech</v>
      </c>
      <c r="P239" t="str">
        <f>_xlfn.XLOOKUP(N:N,'Resource Table'!B:B,'Resource Table'!D:D,"n/a",0,1)</f>
        <v>Dedicated</v>
      </c>
    </row>
    <row r="240" spans="1:16" x14ac:dyDescent="0.45">
      <c r="A240" t="s">
        <v>5407</v>
      </c>
      <c r="B240" t="s">
        <v>5491</v>
      </c>
      <c r="C240" t="s">
        <v>5499</v>
      </c>
      <c r="D240" t="s">
        <v>1546</v>
      </c>
      <c r="E240" t="s">
        <v>6451</v>
      </c>
      <c r="F240" t="s">
        <v>13473</v>
      </c>
      <c r="G240" t="s">
        <v>13474</v>
      </c>
      <c r="H240" t="s">
        <v>13521</v>
      </c>
      <c r="I240" t="s">
        <v>29</v>
      </c>
      <c r="J240" t="s">
        <v>13463</v>
      </c>
      <c r="K240">
        <v>3</v>
      </c>
      <c r="L240" t="s">
        <v>13543</v>
      </c>
      <c r="M240" t="s">
        <v>13560</v>
      </c>
      <c r="N240" t="str">
        <f>_xlfn.XLOOKUP(C:C,'Resource Table'!A:A,'Resource Table'!B:B,"NOT FOUND",0,1)</f>
        <v>Dedicated</v>
      </c>
      <c r="O240" t="str">
        <f>_xlfn.XLOOKUP(N:N,'Resource Table'!B:B,'Resource Table'!C:C,"n/a",0,1)</f>
        <v>AFS Dedicated Tech</v>
      </c>
      <c r="P240" t="str">
        <f>_xlfn.XLOOKUP(N:N,'Resource Table'!B:B,'Resource Table'!D:D,"n/a",0,1)</f>
        <v>Dedicated</v>
      </c>
    </row>
    <row r="241" spans="1:16" x14ac:dyDescent="0.45">
      <c r="A241" t="s">
        <v>5407</v>
      </c>
      <c r="B241" t="s">
        <v>5491</v>
      </c>
      <c r="C241" t="s">
        <v>5499</v>
      </c>
      <c r="D241" t="s">
        <v>1555</v>
      </c>
      <c r="E241" t="s">
        <v>6461</v>
      </c>
      <c r="F241" t="s">
        <v>13460</v>
      </c>
      <c r="G241" t="s">
        <v>13481</v>
      </c>
      <c r="H241" t="s">
        <v>13511</v>
      </c>
      <c r="I241" t="s">
        <v>6479</v>
      </c>
      <c r="J241" t="s">
        <v>13463</v>
      </c>
      <c r="K241">
        <v>1</v>
      </c>
      <c r="L241" t="s">
        <v>13530</v>
      </c>
      <c r="M241" t="s">
        <v>13561</v>
      </c>
      <c r="N241" t="str">
        <f>_xlfn.XLOOKUP(C:C,'Resource Table'!A:A,'Resource Table'!B:B,"NOT FOUND",0,1)</f>
        <v>Dedicated</v>
      </c>
      <c r="O241" t="str">
        <f>_xlfn.XLOOKUP(N:N,'Resource Table'!B:B,'Resource Table'!C:C,"n/a",0,1)</f>
        <v>AFS Dedicated Tech</v>
      </c>
      <c r="P241" t="str">
        <f>_xlfn.XLOOKUP(N:N,'Resource Table'!B:B,'Resource Table'!D:D,"n/a",0,1)</f>
        <v>Dedicated</v>
      </c>
    </row>
    <row r="242" spans="1:16" x14ac:dyDescent="0.45">
      <c r="A242" t="s">
        <v>5407</v>
      </c>
      <c r="B242" t="s">
        <v>5491</v>
      </c>
      <c r="C242" t="s">
        <v>5499</v>
      </c>
      <c r="D242" t="s">
        <v>3786</v>
      </c>
      <c r="E242" t="s">
        <v>6451</v>
      </c>
      <c r="F242" t="s">
        <v>13473</v>
      </c>
      <c r="G242" t="s">
        <v>13474</v>
      </c>
      <c r="H242" t="s">
        <v>13517</v>
      </c>
      <c r="I242" t="s">
        <v>6479</v>
      </c>
      <c r="J242" t="s">
        <v>13463</v>
      </c>
      <c r="K242">
        <v>3</v>
      </c>
      <c r="L242" t="s">
        <v>13491</v>
      </c>
      <c r="M242" t="s">
        <v>13505</v>
      </c>
      <c r="N242" t="str">
        <f>_xlfn.XLOOKUP(C:C,'Resource Table'!A:A,'Resource Table'!B:B,"NOT FOUND",0,1)</f>
        <v>Dedicated</v>
      </c>
      <c r="O242" t="str">
        <f>_xlfn.XLOOKUP(N:N,'Resource Table'!B:B,'Resource Table'!C:C,"n/a",0,1)</f>
        <v>AFS Dedicated Tech</v>
      </c>
      <c r="P242" t="str">
        <f>_xlfn.XLOOKUP(N:N,'Resource Table'!B:B,'Resource Table'!D:D,"n/a",0,1)</f>
        <v>Dedicated</v>
      </c>
    </row>
    <row r="243" spans="1:16" x14ac:dyDescent="0.45">
      <c r="A243" t="s">
        <v>5407</v>
      </c>
      <c r="B243" t="s">
        <v>5491</v>
      </c>
      <c r="C243" t="s">
        <v>5499</v>
      </c>
      <c r="D243" t="s">
        <v>4651</v>
      </c>
      <c r="E243" t="s">
        <v>6461</v>
      </c>
      <c r="F243" t="s">
        <v>13460</v>
      </c>
      <c r="G243" t="s">
        <v>13538</v>
      </c>
      <c r="H243" t="s">
        <v>13539</v>
      </c>
      <c r="I243" t="s">
        <v>6479</v>
      </c>
      <c r="J243" t="s">
        <v>13463</v>
      </c>
      <c r="K243">
        <v>1</v>
      </c>
      <c r="L243" t="s">
        <v>13491</v>
      </c>
      <c r="M243" t="s">
        <v>13505</v>
      </c>
      <c r="N243" t="str">
        <f>_xlfn.XLOOKUP(C:C,'Resource Table'!A:A,'Resource Table'!B:B,"NOT FOUND",0,1)</f>
        <v>Dedicated</v>
      </c>
      <c r="O243" t="str">
        <f>_xlfn.XLOOKUP(N:N,'Resource Table'!B:B,'Resource Table'!C:C,"n/a",0,1)</f>
        <v>AFS Dedicated Tech</v>
      </c>
      <c r="P243" t="str">
        <f>_xlfn.XLOOKUP(N:N,'Resource Table'!B:B,'Resource Table'!D:D,"n/a",0,1)</f>
        <v>Dedicated</v>
      </c>
    </row>
    <row r="244" spans="1:16" x14ac:dyDescent="0.45">
      <c r="A244" t="s">
        <v>5407</v>
      </c>
      <c r="B244" t="s">
        <v>5491</v>
      </c>
      <c r="C244" t="s">
        <v>5499</v>
      </c>
      <c r="D244" t="s">
        <v>1569</v>
      </c>
      <c r="E244" t="s">
        <v>6461</v>
      </c>
      <c r="F244" t="s">
        <v>13460</v>
      </c>
      <c r="G244" t="s">
        <v>13481</v>
      </c>
      <c r="H244" t="s">
        <v>13482</v>
      </c>
      <c r="I244" t="s">
        <v>6479</v>
      </c>
      <c r="J244" t="s">
        <v>13486</v>
      </c>
      <c r="K244">
        <v>5</v>
      </c>
      <c r="L244" t="s">
        <v>13530</v>
      </c>
      <c r="M244" t="s">
        <v>13505</v>
      </c>
      <c r="N244" t="str">
        <f>_xlfn.XLOOKUP(C:C,'Resource Table'!A:A,'Resource Table'!B:B,"NOT FOUND",0,1)</f>
        <v>Dedicated</v>
      </c>
      <c r="O244" t="str">
        <f>_xlfn.XLOOKUP(N:N,'Resource Table'!B:B,'Resource Table'!C:C,"n/a",0,1)</f>
        <v>AFS Dedicated Tech</v>
      </c>
      <c r="P244" t="str">
        <f>_xlfn.XLOOKUP(N:N,'Resource Table'!B:B,'Resource Table'!D:D,"n/a",0,1)</f>
        <v>Dedicated</v>
      </c>
    </row>
    <row r="245" spans="1:16" x14ac:dyDescent="0.45">
      <c r="A245" t="s">
        <v>5407</v>
      </c>
      <c r="B245" t="s">
        <v>5491</v>
      </c>
      <c r="C245" t="s">
        <v>5499</v>
      </c>
      <c r="D245" t="s">
        <v>4792</v>
      </c>
      <c r="E245" t="s">
        <v>6462</v>
      </c>
      <c r="F245" t="s">
        <v>13460</v>
      </c>
      <c r="G245" t="s">
        <v>13481</v>
      </c>
      <c r="H245" t="s">
        <v>13485</v>
      </c>
      <c r="I245" t="s">
        <v>6479</v>
      </c>
      <c r="J245" t="s">
        <v>13463</v>
      </c>
      <c r="K245">
        <v>1</v>
      </c>
      <c r="L245" t="s">
        <v>13491</v>
      </c>
      <c r="M245" t="s">
        <v>13505</v>
      </c>
      <c r="N245" t="str">
        <f>_xlfn.XLOOKUP(C:C,'Resource Table'!A:A,'Resource Table'!B:B,"NOT FOUND",0,1)</f>
        <v>Dedicated</v>
      </c>
      <c r="O245" t="str">
        <f>_xlfn.XLOOKUP(N:N,'Resource Table'!B:B,'Resource Table'!C:C,"n/a",0,1)</f>
        <v>AFS Dedicated Tech</v>
      </c>
      <c r="P245" t="str">
        <f>_xlfn.XLOOKUP(N:N,'Resource Table'!B:B,'Resource Table'!D:D,"n/a",0,1)</f>
        <v>Dedicated</v>
      </c>
    </row>
    <row r="246" spans="1:16" x14ac:dyDescent="0.45">
      <c r="A246" t="s">
        <v>5407</v>
      </c>
      <c r="B246" t="s">
        <v>5491</v>
      </c>
      <c r="C246" t="s">
        <v>5499</v>
      </c>
      <c r="D246" t="s">
        <v>5089</v>
      </c>
      <c r="E246" t="s">
        <v>6451</v>
      </c>
      <c r="F246" t="s">
        <v>13514</v>
      </c>
      <c r="G246" t="s">
        <v>13557</v>
      </c>
      <c r="H246" t="s">
        <v>13558</v>
      </c>
      <c r="I246" t="s">
        <v>6479</v>
      </c>
      <c r="J246" t="s">
        <v>13463</v>
      </c>
      <c r="K246">
        <v>1</v>
      </c>
      <c r="L246" t="s">
        <v>13491</v>
      </c>
      <c r="M246" t="s">
        <v>13505</v>
      </c>
      <c r="N246" t="str">
        <f>_xlfn.XLOOKUP(C:C,'Resource Table'!A:A,'Resource Table'!B:B,"NOT FOUND",0,1)</f>
        <v>Dedicated</v>
      </c>
      <c r="O246" t="str">
        <f>_xlfn.XLOOKUP(N:N,'Resource Table'!B:B,'Resource Table'!C:C,"n/a",0,1)</f>
        <v>AFS Dedicated Tech</v>
      </c>
      <c r="P246" t="str">
        <f>_xlfn.XLOOKUP(N:N,'Resource Table'!B:B,'Resource Table'!D:D,"n/a",0,1)</f>
        <v>Dedicated</v>
      </c>
    </row>
    <row r="247" spans="1:16" x14ac:dyDescent="0.45">
      <c r="A247" t="s">
        <v>5407</v>
      </c>
      <c r="B247" t="s">
        <v>5491</v>
      </c>
      <c r="C247" t="s">
        <v>5499</v>
      </c>
      <c r="D247" t="s">
        <v>4219</v>
      </c>
      <c r="E247" t="s">
        <v>6461</v>
      </c>
      <c r="F247" t="s">
        <v>13460</v>
      </c>
      <c r="G247" t="s">
        <v>13538</v>
      </c>
      <c r="H247" t="s">
        <v>13554</v>
      </c>
      <c r="I247" t="s">
        <v>29</v>
      </c>
      <c r="J247" t="s">
        <v>13463</v>
      </c>
      <c r="K247">
        <v>2</v>
      </c>
      <c r="L247" t="s">
        <v>13491</v>
      </c>
      <c r="M247" t="s">
        <v>13505</v>
      </c>
      <c r="N247" t="str">
        <f>_xlfn.XLOOKUP(C:C,'Resource Table'!A:A,'Resource Table'!B:B,"NOT FOUND",0,1)</f>
        <v>Dedicated</v>
      </c>
      <c r="O247" t="str">
        <f>_xlfn.XLOOKUP(N:N,'Resource Table'!B:B,'Resource Table'!C:C,"n/a",0,1)</f>
        <v>AFS Dedicated Tech</v>
      </c>
      <c r="P247" t="str">
        <f>_xlfn.XLOOKUP(N:N,'Resource Table'!B:B,'Resource Table'!D:D,"n/a",0,1)</f>
        <v>Dedicated</v>
      </c>
    </row>
    <row r="248" spans="1:16" x14ac:dyDescent="0.45">
      <c r="A248" t="s">
        <v>5407</v>
      </c>
      <c r="B248" t="s">
        <v>5491</v>
      </c>
      <c r="C248" t="s">
        <v>5499</v>
      </c>
      <c r="D248" t="s">
        <v>1206</v>
      </c>
      <c r="E248" t="s">
        <v>6461</v>
      </c>
      <c r="F248" t="s">
        <v>13460</v>
      </c>
      <c r="G248" t="s">
        <v>13481</v>
      </c>
      <c r="H248" t="s">
        <v>13511</v>
      </c>
      <c r="I248" t="s">
        <v>6479</v>
      </c>
      <c r="J248" t="s">
        <v>13463</v>
      </c>
      <c r="K248">
        <v>4</v>
      </c>
      <c r="L248" t="s">
        <v>13530</v>
      </c>
      <c r="M248" t="s">
        <v>13505</v>
      </c>
      <c r="N248" t="str">
        <f>_xlfn.XLOOKUP(C:C,'Resource Table'!A:A,'Resource Table'!B:B,"NOT FOUND",0,1)</f>
        <v>Dedicated</v>
      </c>
      <c r="O248" t="str">
        <f>_xlfn.XLOOKUP(N:N,'Resource Table'!B:B,'Resource Table'!C:C,"n/a",0,1)</f>
        <v>AFS Dedicated Tech</v>
      </c>
      <c r="P248" t="str">
        <f>_xlfn.XLOOKUP(N:N,'Resource Table'!B:B,'Resource Table'!D:D,"n/a",0,1)</f>
        <v>Dedicated</v>
      </c>
    </row>
    <row r="249" spans="1:16" x14ac:dyDescent="0.45">
      <c r="A249" t="s">
        <v>5407</v>
      </c>
      <c r="B249" t="s">
        <v>5491</v>
      </c>
      <c r="C249" t="s">
        <v>5499</v>
      </c>
      <c r="D249" t="s">
        <v>6195</v>
      </c>
      <c r="E249" t="s">
        <v>6451</v>
      </c>
      <c r="F249" t="s">
        <v>13562</v>
      </c>
      <c r="G249" t="s">
        <v>13563</v>
      </c>
      <c r="H249" t="s">
        <v>13564</v>
      </c>
      <c r="I249" t="s">
        <v>6479</v>
      </c>
      <c r="J249" t="s">
        <v>13463</v>
      </c>
      <c r="K249">
        <v>1</v>
      </c>
      <c r="L249" t="s">
        <v>13491</v>
      </c>
      <c r="M249" t="s">
        <v>13505</v>
      </c>
      <c r="N249" t="str">
        <f>_xlfn.XLOOKUP(C:C,'Resource Table'!A:A,'Resource Table'!B:B,"NOT FOUND",0,1)</f>
        <v>Dedicated</v>
      </c>
      <c r="O249" t="str">
        <f>_xlfn.XLOOKUP(N:N,'Resource Table'!B:B,'Resource Table'!C:C,"n/a",0,1)</f>
        <v>AFS Dedicated Tech</v>
      </c>
      <c r="P249" t="str">
        <f>_xlfn.XLOOKUP(N:N,'Resource Table'!B:B,'Resource Table'!D:D,"n/a",0,1)</f>
        <v>Dedicated</v>
      </c>
    </row>
    <row r="250" spans="1:16" x14ac:dyDescent="0.45">
      <c r="A250" t="s">
        <v>5407</v>
      </c>
      <c r="B250" t="s">
        <v>5491</v>
      </c>
      <c r="C250" t="s">
        <v>5499</v>
      </c>
      <c r="D250" t="s">
        <v>285</v>
      </c>
      <c r="E250" t="s">
        <v>6451</v>
      </c>
      <c r="F250" t="s">
        <v>13473</v>
      </c>
      <c r="G250" t="s">
        <v>13474</v>
      </c>
      <c r="H250" t="s">
        <v>13492</v>
      </c>
      <c r="I250" t="s">
        <v>29</v>
      </c>
      <c r="J250" t="s">
        <v>13463</v>
      </c>
      <c r="K250">
        <v>2</v>
      </c>
      <c r="L250" t="s">
        <v>13540</v>
      </c>
      <c r="M250" t="s">
        <v>13505</v>
      </c>
      <c r="N250" t="str">
        <f>_xlfn.XLOOKUP(C:C,'Resource Table'!A:A,'Resource Table'!B:B,"NOT FOUND",0,1)</f>
        <v>Dedicated</v>
      </c>
      <c r="O250" t="str">
        <f>_xlfn.XLOOKUP(N:N,'Resource Table'!B:B,'Resource Table'!C:C,"n/a",0,1)</f>
        <v>AFS Dedicated Tech</v>
      </c>
      <c r="P250" t="str">
        <f>_xlfn.XLOOKUP(N:N,'Resource Table'!B:B,'Resource Table'!D:D,"n/a",0,1)</f>
        <v>Dedicated</v>
      </c>
    </row>
    <row r="251" spans="1:16" x14ac:dyDescent="0.45">
      <c r="A251" t="s">
        <v>5407</v>
      </c>
      <c r="B251" t="s">
        <v>5491</v>
      </c>
      <c r="C251" t="s">
        <v>5499</v>
      </c>
      <c r="D251" t="s">
        <v>216</v>
      </c>
      <c r="E251" t="s">
        <v>6461</v>
      </c>
      <c r="F251" t="s">
        <v>13460</v>
      </c>
      <c r="G251" t="s">
        <v>13538</v>
      </c>
      <c r="H251" t="s">
        <v>13539</v>
      </c>
      <c r="I251" t="s">
        <v>6479</v>
      </c>
      <c r="J251" t="s">
        <v>13463</v>
      </c>
      <c r="K251">
        <v>2</v>
      </c>
      <c r="L251" t="s">
        <v>13561</v>
      </c>
      <c r="M251" t="s">
        <v>13505</v>
      </c>
      <c r="N251" t="str">
        <f>_xlfn.XLOOKUP(C:C,'Resource Table'!A:A,'Resource Table'!B:B,"NOT FOUND",0,1)</f>
        <v>Dedicated</v>
      </c>
      <c r="O251" t="str">
        <f>_xlfn.XLOOKUP(N:N,'Resource Table'!B:B,'Resource Table'!C:C,"n/a",0,1)</f>
        <v>AFS Dedicated Tech</v>
      </c>
      <c r="P251" t="str">
        <f>_xlfn.XLOOKUP(N:N,'Resource Table'!B:B,'Resource Table'!D:D,"n/a",0,1)</f>
        <v>Dedicated</v>
      </c>
    </row>
    <row r="252" spans="1:16" x14ac:dyDescent="0.45">
      <c r="A252" t="s">
        <v>5407</v>
      </c>
      <c r="B252" t="s">
        <v>5491</v>
      </c>
      <c r="C252" t="s">
        <v>5499</v>
      </c>
      <c r="D252" t="s">
        <v>5964</v>
      </c>
      <c r="E252" t="s">
        <v>6461</v>
      </c>
      <c r="F252" t="s">
        <v>13460</v>
      </c>
      <c r="G252" t="s">
        <v>13481</v>
      </c>
      <c r="H252" t="s">
        <v>13482</v>
      </c>
      <c r="I252" t="s">
        <v>6479</v>
      </c>
      <c r="J252" t="s">
        <v>13463</v>
      </c>
      <c r="K252">
        <v>1</v>
      </c>
      <c r="L252" t="s">
        <v>13491</v>
      </c>
      <c r="M252" t="s">
        <v>13505</v>
      </c>
      <c r="N252" t="str">
        <f>_xlfn.XLOOKUP(C:C,'Resource Table'!A:A,'Resource Table'!B:B,"NOT FOUND",0,1)</f>
        <v>Dedicated</v>
      </c>
      <c r="O252" t="str">
        <f>_xlfn.XLOOKUP(N:N,'Resource Table'!B:B,'Resource Table'!C:C,"n/a",0,1)</f>
        <v>AFS Dedicated Tech</v>
      </c>
      <c r="P252" t="str">
        <f>_xlfn.XLOOKUP(N:N,'Resource Table'!B:B,'Resource Table'!D:D,"n/a",0,1)</f>
        <v>Dedicated</v>
      </c>
    </row>
    <row r="253" spans="1:16" x14ac:dyDescent="0.45">
      <c r="A253" t="s">
        <v>5407</v>
      </c>
      <c r="B253" t="s">
        <v>5491</v>
      </c>
      <c r="C253" t="s">
        <v>5499</v>
      </c>
      <c r="D253" t="s">
        <v>11619</v>
      </c>
      <c r="E253" t="s">
        <v>6451</v>
      </c>
      <c r="F253" t="s">
        <v>13514</v>
      </c>
      <c r="G253" t="s">
        <v>13557</v>
      </c>
      <c r="H253" t="s">
        <v>13558</v>
      </c>
      <c r="I253" t="s">
        <v>6479</v>
      </c>
      <c r="J253" t="s">
        <v>13463</v>
      </c>
      <c r="K253">
        <v>1</v>
      </c>
      <c r="L253" t="s">
        <v>13491</v>
      </c>
      <c r="M253" t="s">
        <v>13505</v>
      </c>
      <c r="N253" t="str">
        <f>_xlfn.XLOOKUP(C:C,'Resource Table'!A:A,'Resource Table'!B:B,"NOT FOUND",0,1)</f>
        <v>Dedicated</v>
      </c>
      <c r="O253" t="str">
        <f>_xlfn.XLOOKUP(N:N,'Resource Table'!B:B,'Resource Table'!C:C,"n/a",0,1)</f>
        <v>AFS Dedicated Tech</v>
      </c>
      <c r="P253" t="str">
        <f>_xlfn.XLOOKUP(N:N,'Resource Table'!B:B,'Resource Table'!D:D,"n/a",0,1)</f>
        <v>Dedicated</v>
      </c>
    </row>
    <row r="254" spans="1:16" x14ac:dyDescent="0.45">
      <c r="A254" t="s">
        <v>5407</v>
      </c>
      <c r="B254" t="s">
        <v>5491</v>
      </c>
      <c r="C254" t="s">
        <v>5499</v>
      </c>
      <c r="D254" t="s">
        <v>6076</v>
      </c>
      <c r="E254" t="s">
        <v>6461</v>
      </c>
      <c r="F254" t="s">
        <v>13460</v>
      </c>
      <c r="G254" t="s">
        <v>13481</v>
      </c>
      <c r="H254" t="s">
        <v>13511</v>
      </c>
      <c r="I254" t="s">
        <v>6479</v>
      </c>
      <c r="J254" t="s">
        <v>13463</v>
      </c>
      <c r="K254">
        <v>1</v>
      </c>
      <c r="L254" t="s">
        <v>13491</v>
      </c>
      <c r="M254" t="s">
        <v>13505</v>
      </c>
      <c r="N254" t="str">
        <f>_xlfn.XLOOKUP(C:C,'Resource Table'!A:A,'Resource Table'!B:B,"NOT FOUND",0,1)</f>
        <v>Dedicated</v>
      </c>
      <c r="O254" t="str">
        <f>_xlfn.XLOOKUP(N:N,'Resource Table'!B:B,'Resource Table'!C:C,"n/a",0,1)</f>
        <v>AFS Dedicated Tech</v>
      </c>
      <c r="P254" t="str">
        <f>_xlfn.XLOOKUP(N:N,'Resource Table'!B:B,'Resource Table'!D:D,"n/a",0,1)</f>
        <v>Dedicated</v>
      </c>
    </row>
    <row r="255" spans="1:16" x14ac:dyDescent="0.45">
      <c r="A255" t="s">
        <v>5407</v>
      </c>
      <c r="B255" t="s">
        <v>5491</v>
      </c>
      <c r="C255" t="s">
        <v>5499</v>
      </c>
      <c r="D255" t="s">
        <v>1284</v>
      </c>
      <c r="E255" t="s">
        <v>6461</v>
      </c>
      <c r="F255" t="s">
        <v>13460</v>
      </c>
      <c r="G255" t="s">
        <v>13481</v>
      </c>
      <c r="H255" t="s">
        <v>13490</v>
      </c>
      <c r="I255" t="s">
        <v>29</v>
      </c>
      <c r="J255" t="s">
        <v>13463</v>
      </c>
      <c r="K255">
        <v>4</v>
      </c>
      <c r="L255" t="s">
        <v>13530</v>
      </c>
      <c r="M255" t="s">
        <v>13505</v>
      </c>
      <c r="N255" t="str">
        <f>_xlfn.XLOOKUP(C:C,'Resource Table'!A:A,'Resource Table'!B:B,"NOT FOUND",0,1)</f>
        <v>Dedicated</v>
      </c>
      <c r="O255" t="str">
        <f>_xlfn.XLOOKUP(N:N,'Resource Table'!B:B,'Resource Table'!C:C,"n/a",0,1)</f>
        <v>AFS Dedicated Tech</v>
      </c>
      <c r="P255" t="str">
        <f>_xlfn.XLOOKUP(N:N,'Resource Table'!B:B,'Resource Table'!D:D,"n/a",0,1)</f>
        <v>Dedicated</v>
      </c>
    </row>
    <row r="256" spans="1:16" x14ac:dyDescent="0.45">
      <c r="A256" t="s">
        <v>5407</v>
      </c>
      <c r="B256" t="s">
        <v>5491</v>
      </c>
      <c r="C256" t="s">
        <v>5499</v>
      </c>
      <c r="D256" t="s">
        <v>4120</v>
      </c>
      <c r="E256" t="s">
        <v>6451</v>
      </c>
      <c r="F256" t="s">
        <v>13473</v>
      </c>
      <c r="G256" t="s">
        <v>13474</v>
      </c>
      <c r="H256" t="s">
        <v>13521</v>
      </c>
      <c r="I256" t="s">
        <v>6479</v>
      </c>
      <c r="J256" t="s">
        <v>13463</v>
      </c>
      <c r="K256">
        <v>2</v>
      </c>
      <c r="L256" t="s">
        <v>13491</v>
      </c>
      <c r="M256" t="s">
        <v>13505</v>
      </c>
      <c r="N256" t="str">
        <f>_xlfn.XLOOKUP(C:C,'Resource Table'!A:A,'Resource Table'!B:B,"NOT FOUND",0,1)</f>
        <v>Dedicated</v>
      </c>
      <c r="O256" t="str">
        <f>_xlfn.XLOOKUP(N:N,'Resource Table'!B:B,'Resource Table'!C:C,"n/a",0,1)</f>
        <v>AFS Dedicated Tech</v>
      </c>
      <c r="P256" t="str">
        <f>_xlfn.XLOOKUP(N:N,'Resource Table'!B:B,'Resource Table'!D:D,"n/a",0,1)</f>
        <v>Dedicated</v>
      </c>
    </row>
    <row r="257" spans="1:16" x14ac:dyDescent="0.45">
      <c r="A257" t="s">
        <v>5407</v>
      </c>
      <c r="B257" t="s">
        <v>5491</v>
      </c>
      <c r="C257" t="s">
        <v>5499</v>
      </c>
      <c r="D257" t="s">
        <v>4588</v>
      </c>
      <c r="E257" t="s">
        <v>6461</v>
      </c>
      <c r="F257" t="s">
        <v>13460</v>
      </c>
      <c r="G257" t="s">
        <v>13481</v>
      </c>
      <c r="H257" t="s">
        <v>13482</v>
      </c>
      <c r="I257" t="s">
        <v>6479</v>
      </c>
      <c r="J257" t="s">
        <v>13486</v>
      </c>
      <c r="K257">
        <v>2</v>
      </c>
      <c r="L257" t="s">
        <v>13491</v>
      </c>
      <c r="M257" t="s">
        <v>13505</v>
      </c>
      <c r="N257" t="str">
        <f>_xlfn.XLOOKUP(C:C,'Resource Table'!A:A,'Resource Table'!B:B,"NOT FOUND",0,1)</f>
        <v>Dedicated</v>
      </c>
      <c r="O257" t="str">
        <f>_xlfn.XLOOKUP(N:N,'Resource Table'!B:B,'Resource Table'!C:C,"n/a",0,1)</f>
        <v>AFS Dedicated Tech</v>
      </c>
      <c r="P257" t="str">
        <f>_xlfn.XLOOKUP(N:N,'Resource Table'!B:B,'Resource Table'!D:D,"n/a",0,1)</f>
        <v>Dedicated</v>
      </c>
    </row>
    <row r="258" spans="1:16" x14ac:dyDescent="0.45">
      <c r="A258" t="s">
        <v>5407</v>
      </c>
      <c r="B258" t="s">
        <v>5491</v>
      </c>
      <c r="C258" t="s">
        <v>5499</v>
      </c>
      <c r="D258" t="s">
        <v>2862</v>
      </c>
      <c r="E258" t="s">
        <v>6451</v>
      </c>
      <c r="F258" t="s">
        <v>13514</v>
      </c>
      <c r="G258" t="s">
        <v>13557</v>
      </c>
      <c r="H258" t="s">
        <v>13558</v>
      </c>
      <c r="I258" t="s">
        <v>29</v>
      </c>
      <c r="J258" t="s">
        <v>13463</v>
      </c>
      <c r="K258">
        <v>1</v>
      </c>
      <c r="L258" t="s">
        <v>13487</v>
      </c>
      <c r="M258" t="s">
        <v>20</v>
      </c>
      <c r="N258" t="str">
        <f>_xlfn.XLOOKUP(C:C,'Resource Table'!A:A,'Resource Table'!B:B,"NOT FOUND",0,1)</f>
        <v>Dedicated</v>
      </c>
      <c r="O258" t="str">
        <f>_xlfn.XLOOKUP(N:N,'Resource Table'!B:B,'Resource Table'!C:C,"n/a",0,1)</f>
        <v>AFS Dedicated Tech</v>
      </c>
      <c r="P258" t="str">
        <f>_xlfn.XLOOKUP(N:N,'Resource Table'!B:B,'Resource Table'!D:D,"n/a",0,1)</f>
        <v>Dedicated</v>
      </c>
    </row>
    <row r="259" spans="1:16" x14ac:dyDescent="0.45">
      <c r="A259" t="s">
        <v>5407</v>
      </c>
      <c r="B259" t="s">
        <v>5491</v>
      </c>
      <c r="C259" t="s">
        <v>5499</v>
      </c>
      <c r="D259" t="s">
        <v>2310</v>
      </c>
      <c r="E259" t="s">
        <v>6451</v>
      </c>
      <c r="F259" t="s">
        <v>13514</v>
      </c>
      <c r="G259" t="s">
        <v>13557</v>
      </c>
      <c r="H259" t="s">
        <v>13558</v>
      </c>
      <c r="I259" t="s">
        <v>29</v>
      </c>
      <c r="J259" t="s">
        <v>13463</v>
      </c>
      <c r="K259">
        <v>2</v>
      </c>
      <c r="L259" t="s">
        <v>13540</v>
      </c>
      <c r="M259" t="s">
        <v>13505</v>
      </c>
      <c r="N259" t="str">
        <f>_xlfn.XLOOKUP(C:C,'Resource Table'!A:A,'Resource Table'!B:B,"NOT FOUND",0,1)</f>
        <v>Dedicated</v>
      </c>
      <c r="O259" t="str">
        <f>_xlfn.XLOOKUP(N:N,'Resource Table'!B:B,'Resource Table'!C:C,"n/a",0,1)</f>
        <v>AFS Dedicated Tech</v>
      </c>
      <c r="P259" t="str">
        <f>_xlfn.XLOOKUP(N:N,'Resource Table'!B:B,'Resource Table'!D:D,"n/a",0,1)</f>
        <v>Dedicated</v>
      </c>
    </row>
    <row r="260" spans="1:16" x14ac:dyDescent="0.45">
      <c r="A260" t="s">
        <v>5407</v>
      </c>
      <c r="B260" t="s">
        <v>5491</v>
      </c>
      <c r="C260" t="s">
        <v>5499</v>
      </c>
      <c r="D260" t="s">
        <v>1067</v>
      </c>
      <c r="E260" t="s">
        <v>6462</v>
      </c>
      <c r="F260" t="s">
        <v>13460</v>
      </c>
      <c r="G260" t="s">
        <v>13481</v>
      </c>
      <c r="H260" t="s">
        <v>13485</v>
      </c>
      <c r="I260" t="s">
        <v>6479</v>
      </c>
      <c r="J260" t="s">
        <v>13463</v>
      </c>
      <c r="K260">
        <v>3</v>
      </c>
      <c r="L260" t="s">
        <v>13543</v>
      </c>
      <c r="M260" t="s">
        <v>13505</v>
      </c>
      <c r="N260" t="str">
        <f>_xlfn.XLOOKUP(C:C,'Resource Table'!A:A,'Resource Table'!B:B,"NOT FOUND",0,1)</f>
        <v>Dedicated</v>
      </c>
      <c r="O260" t="str">
        <f>_xlfn.XLOOKUP(N:N,'Resource Table'!B:B,'Resource Table'!C:C,"n/a",0,1)</f>
        <v>AFS Dedicated Tech</v>
      </c>
      <c r="P260" t="str">
        <f>_xlfn.XLOOKUP(N:N,'Resource Table'!B:B,'Resource Table'!D:D,"n/a",0,1)</f>
        <v>Dedicated</v>
      </c>
    </row>
    <row r="261" spans="1:16" x14ac:dyDescent="0.45">
      <c r="A261" t="s">
        <v>5407</v>
      </c>
      <c r="B261" t="s">
        <v>5491</v>
      </c>
      <c r="C261" t="s">
        <v>5499</v>
      </c>
      <c r="D261" t="s">
        <v>913</v>
      </c>
      <c r="E261" t="s">
        <v>6461</v>
      </c>
      <c r="F261" t="s">
        <v>13460</v>
      </c>
      <c r="G261" t="s">
        <v>13481</v>
      </c>
      <c r="H261" t="s">
        <v>13482</v>
      </c>
      <c r="I261" t="s">
        <v>29</v>
      </c>
      <c r="J261" t="s">
        <v>13463</v>
      </c>
      <c r="K261">
        <v>2</v>
      </c>
      <c r="L261" t="s">
        <v>13543</v>
      </c>
      <c r="M261" t="s">
        <v>13505</v>
      </c>
      <c r="N261" t="str">
        <f>_xlfn.XLOOKUP(C:C,'Resource Table'!A:A,'Resource Table'!B:B,"NOT FOUND",0,1)</f>
        <v>Dedicated</v>
      </c>
      <c r="O261" t="str">
        <f>_xlfn.XLOOKUP(N:N,'Resource Table'!B:B,'Resource Table'!C:C,"n/a",0,1)</f>
        <v>AFS Dedicated Tech</v>
      </c>
      <c r="P261" t="str">
        <f>_xlfn.XLOOKUP(N:N,'Resource Table'!B:B,'Resource Table'!D:D,"n/a",0,1)</f>
        <v>Dedicated</v>
      </c>
    </row>
    <row r="262" spans="1:16" x14ac:dyDescent="0.45">
      <c r="A262" t="s">
        <v>5407</v>
      </c>
      <c r="B262" t="s">
        <v>5491</v>
      </c>
      <c r="C262" t="s">
        <v>5499</v>
      </c>
      <c r="D262" t="s">
        <v>4954</v>
      </c>
      <c r="E262" t="s">
        <v>6461</v>
      </c>
      <c r="F262" t="s">
        <v>13460</v>
      </c>
      <c r="G262" t="s">
        <v>13538</v>
      </c>
      <c r="H262" t="s">
        <v>13539</v>
      </c>
      <c r="I262" t="s">
        <v>6479</v>
      </c>
      <c r="J262" t="s">
        <v>13463</v>
      </c>
      <c r="K262">
        <v>1</v>
      </c>
      <c r="L262" t="s">
        <v>13491</v>
      </c>
      <c r="M262" t="s">
        <v>13505</v>
      </c>
      <c r="N262" t="str">
        <f>_xlfn.XLOOKUP(C:C,'Resource Table'!A:A,'Resource Table'!B:B,"NOT FOUND",0,1)</f>
        <v>Dedicated</v>
      </c>
      <c r="O262" t="str">
        <f>_xlfn.XLOOKUP(N:N,'Resource Table'!B:B,'Resource Table'!C:C,"n/a",0,1)</f>
        <v>AFS Dedicated Tech</v>
      </c>
      <c r="P262" t="str">
        <f>_xlfn.XLOOKUP(N:N,'Resource Table'!B:B,'Resource Table'!D:D,"n/a",0,1)</f>
        <v>Dedicated</v>
      </c>
    </row>
    <row r="263" spans="1:16" x14ac:dyDescent="0.45">
      <c r="A263" t="s">
        <v>5407</v>
      </c>
      <c r="B263" t="s">
        <v>5491</v>
      </c>
      <c r="C263" t="s">
        <v>5499</v>
      </c>
      <c r="D263" t="s">
        <v>2623</v>
      </c>
      <c r="E263" t="s">
        <v>6451</v>
      </c>
      <c r="F263" t="s">
        <v>13514</v>
      </c>
      <c r="G263" t="s">
        <v>13557</v>
      </c>
      <c r="H263" t="s">
        <v>13558</v>
      </c>
      <c r="I263" t="s">
        <v>29</v>
      </c>
      <c r="J263" t="s">
        <v>13463</v>
      </c>
      <c r="K263">
        <v>2</v>
      </c>
      <c r="L263" t="s">
        <v>13540</v>
      </c>
      <c r="M263" t="s">
        <v>13505</v>
      </c>
      <c r="N263" t="str">
        <f>_xlfn.XLOOKUP(C:C,'Resource Table'!A:A,'Resource Table'!B:B,"NOT FOUND",0,1)</f>
        <v>Dedicated</v>
      </c>
      <c r="O263" t="str">
        <f>_xlfn.XLOOKUP(N:N,'Resource Table'!B:B,'Resource Table'!C:C,"n/a",0,1)</f>
        <v>AFS Dedicated Tech</v>
      </c>
      <c r="P263" t="str">
        <f>_xlfn.XLOOKUP(N:N,'Resource Table'!B:B,'Resource Table'!D:D,"n/a",0,1)</f>
        <v>Dedicated</v>
      </c>
    </row>
    <row r="264" spans="1:16" x14ac:dyDescent="0.45">
      <c r="A264" t="s">
        <v>5407</v>
      </c>
      <c r="B264" t="s">
        <v>5491</v>
      </c>
      <c r="C264" t="s">
        <v>5499</v>
      </c>
      <c r="D264" t="s">
        <v>13067</v>
      </c>
      <c r="E264" t="s">
        <v>6451</v>
      </c>
      <c r="F264" t="s">
        <v>13460</v>
      </c>
      <c r="G264" t="s">
        <v>13461</v>
      </c>
      <c r="H264" t="s">
        <v>13465</v>
      </c>
      <c r="I264" t="s">
        <v>6479</v>
      </c>
      <c r="J264" t="s">
        <v>13463</v>
      </c>
      <c r="K264">
        <v>0</v>
      </c>
      <c r="L264" t="s">
        <v>20</v>
      </c>
      <c r="M264" t="s">
        <v>20</v>
      </c>
      <c r="N264" t="str">
        <f>_xlfn.XLOOKUP(C:C,'Resource Table'!A:A,'Resource Table'!B:B,"NOT FOUND",0,1)</f>
        <v>Dedicated</v>
      </c>
      <c r="O264" t="str">
        <f>_xlfn.XLOOKUP(N:N,'Resource Table'!B:B,'Resource Table'!C:C,"n/a",0,1)</f>
        <v>AFS Dedicated Tech</v>
      </c>
      <c r="P264" t="str">
        <f>_xlfn.XLOOKUP(N:N,'Resource Table'!B:B,'Resource Table'!D:D,"n/a",0,1)</f>
        <v>Dedicated</v>
      </c>
    </row>
    <row r="265" spans="1:16" x14ac:dyDescent="0.45">
      <c r="A265" t="s">
        <v>5407</v>
      </c>
      <c r="B265" t="s">
        <v>5491</v>
      </c>
      <c r="C265" t="s">
        <v>5499</v>
      </c>
      <c r="D265" t="s">
        <v>13068</v>
      </c>
      <c r="E265" t="s">
        <v>6451</v>
      </c>
      <c r="F265" t="s">
        <v>13514</v>
      </c>
      <c r="G265" t="s">
        <v>13557</v>
      </c>
      <c r="H265" t="s">
        <v>13565</v>
      </c>
      <c r="I265" t="s">
        <v>6479</v>
      </c>
      <c r="J265" t="s">
        <v>13463</v>
      </c>
      <c r="K265">
        <v>0</v>
      </c>
      <c r="L265" t="s">
        <v>20</v>
      </c>
      <c r="M265" t="s">
        <v>20</v>
      </c>
      <c r="N265" t="str">
        <f>_xlfn.XLOOKUP(C:C,'Resource Table'!A:A,'Resource Table'!B:B,"NOT FOUND",0,1)</f>
        <v>Dedicated</v>
      </c>
      <c r="O265" t="str">
        <f>_xlfn.XLOOKUP(N:N,'Resource Table'!B:B,'Resource Table'!C:C,"n/a",0,1)</f>
        <v>AFS Dedicated Tech</v>
      </c>
      <c r="P265" t="str">
        <f>_xlfn.XLOOKUP(N:N,'Resource Table'!B:B,'Resource Table'!D:D,"n/a",0,1)</f>
        <v>Dedicated</v>
      </c>
    </row>
    <row r="266" spans="1:16" x14ac:dyDescent="0.45">
      <c r="A266" t="s">
        <v>5407</v>
      </c>
      <c r="B266" t="s">
        <v>5491</v>
      </c>
      <c r="C266" t="s">
        <v>5492</v>
      </c>
      <c r="D266" t="s">
        <v>6095</v>
      </c>
      <c r="E266" t="s">
        <v>6461</v>
      </c>
      <c r="F266" t="s">
        <v>13460</v>
      </c>
      <c r="G266" t="s">
        <v>13538</v>
      </c>
      <c r="H266" t="s">
        <v>13547</v>
      </c>
      <c r="I266" t="s">
        <v>29</v>
      </c>
      <c r="J266" t="s">
        <v>13463</v>
      </c>
      <c r="K266">
        <v>2</v>
      </c>
      <c r="L266" t="s">
        <v>13480</v>
      </c>
      <c r="M266" t="s">
        <v>13480</v>
      </c>
      <c r="N266" t="str">
        <f>_xlfn.XLOOKUP(C:C,'Resource Table'!A:A,'Resource Table'!B:B,"NOT FOUND",0,1)</f>
        <v>Dedicated</v>
      </c>
      <c r="O266" t="str">
        <f>_xlfn.XLOOKUP(N:N,'Resource Table'!B:B,'Resource Table'!C:C,"n/a",0,1)</f>
        <v>AFS Dedicated Tech</v>
      </c>
      <c r="P266" t="str">
        <f>_xlfn.XLOOKUP(N:N,'Resource Table'!B:B,'Resource Table'!D:D,"n/a",0,1)</f>
        <v>Dedicated</v>
      </c>
    </row>
    <row r="267" spans="1:16" x14ac:dyDescent="0.45">
      <c r="A267" t="s">
        <v>5407</v>
      </c>
      <c r="B267" t="s">
        <v>5491</v>
      </c>
      <c r="C267" t="s">
        <v>5492</v>
      </c>
      <c r="D267" t="s">
        <v>5973</v>
      </c>
      <c r="E267" t="s">
        <v>6461</v>
      </c>
      <c r="F267" t="s">
        <v>13460</v>
      </c>
      <c r="G267" t="s">
        <v>13481</v>
      </c>
      <c r="H267" t="s">
        <v>13482</v>
      </c>
      <c r="I267" t="s">
        <v>6479</v>
      </c>
      <c r="J267" t="s">
        <v>13463</v>
      </c>
      <c r="K267">
        <v>0</v>
      </c>
      <c r="L267" t="s">
        <v>20</v>
      </c>
      <c r="M267" t="s">
        <v>20</v>
      </c>
      <c r="N267" t="str">
        <f>_xlfn.XLOOKUP(C:C,'Resource Table'!A:A,'Resource Table'!B:B,"NOT FOUND",0,1)</f>
        <v>Dedicated</v>
      </c>
      <c r="O267" t="str">
        <f>_xlfn.XLOOKUP(N:N,'Resource Table'!B:B,'Resource Table'!C:C,"n/a",0,1)</f>
        <v>AFS Dedicated Tech</v>
      </c>
      <c r="P267" t="str">
        <f>_xlfn.XLOOKUP(N:N,'Resource Table'!B:B,'Resource Table'!D:D,"n/a",0,1)</f>
        <v>Dedicated</v>
      </c>
    </row>
    <row r="268" spans="1:16" x14ac:dyDescent="0.45">
      <c r="A268" t="s">
        <v>5407</v>
      </c>
      <c r="B268" t="s">
        <v>5491</v>
      </c>
      <c r="C268" t="s">
        <v>5492</v>
      </c>
      <c r="D268" t="s">
        <v>5974</v>
      </c>
      <c r="E268" t="s">
        <v>6461</v>
      </c>
      <c r="F268" t="s">
        <v>13460</v>
      </c>
      <c r="G268" t="s">
        <v>13481</v>
      </c>
      <c r="H268" t="s">
        <v>13482</v>
      </c>
      <c r="I268" t="s">
        <v>6479</v>
      </c>
      <c r="J268" t="s">
        <v>13463</v>
      </c>
      <c r="K268">
        <v>1</v>
      </c>
      <c r="L268" t="s">
        <v>13493</v>
      </c>
      <c r="M268" t="s">
        <v>20</v>
      </c>
      <c r="N268" t="str">
        <f>_xlfn.XLOOKUP(C:C,'Resource Table'!A:A,'Resource Table'!B:B,"NOT FOUND",0,1)</f>
        <v>Dedicated</v>
      </c>
      <c r="O268" t="str">
        <f>_xlfn.XLOOKUP(N:N,'Resource Table'!B:B,'Resource Table'!C:C,"n/a",0,1)</f>
        <v>AFS Dedicated Tech</v>
      </c>
      <c r="P268" t="str">
        <f>_xlfn.XLOOKUP(N:N,'Resource Table'!B:B,'Resource Table'!D:D,"n/a",0,1)</f>
        <v>Dedicated</v>
      </c>
    </row>
    <row r="269" spans="1:16" x14ac:dyDescent="0.45">
      <c r="A269" t="s">
        <v>5407</v>
      </c>
      <c r="B269" t="s">
        <v>5491</v>
      </c>
      <c r="C269" t="s">
        <v>5492</v>
      </c>
      <c r="D269" t="s">
        <v>6020</v>
      </c>
      <c r="E269" t="s">
        <v>6461</v>
      </c>
      <c r="F269" t="s">
        <v>13460</v>
      </c>
      <c r="G269" t="s">
        <v>13538</v>
      </c>
      <c r="H269" t="s">
        <v>13539</v>
      </c>
      <c r="I269" t="s">
        <v>29</v>
      </c>
      <c r="J269" t="s">
        <v>13486</v>
      </c>
      <c r="K269">
        <v>2</v>
      </c>
      <c r="L269" t="s">
        <v>13483</v>
      </c>
      <c r="M269" t="s">
        <v>13508</v>
      </c>
      <c r="N269" t="str">
        <f>_xlfn.XLOOKUP(C:C,'Resource Table'!A:A,'Resource Table'!B:B,"NOT FOUND",0,1)</f>
        <v>Dedicated</v>
      </c>
      <c r="O269" t="str">
        <f>_xlfn.XLOOKUP(N:N,'Resource Table'!B:B,'Resource Table'!C:C,"n/a",0,1)</f>
        <v>AFS Dedicated Tech</v>
      </c>
      <c r="P269" t="str">
        <f>_xlfn.XLOOKUP(N:N,'Resource Table'!B:B,'Resource Table'!D:D,"n/a",0,1)</f>
        <v>Dedicated</v>
      </c>
    </row>
    <row r="270" spans="1:16" x14ac:dyDescent="0.45">
      <c r="A270" t="s">
        <v>5407</v>
      </c>
      <c r="B270" t="s">
        <v>5491</v>
      </c>
      <c r="C270" t="s">
        <v>5492</v>
      </c>
      <c r="D270" t="s">
        <v>6096</v>
      </c>
      <c r="E270" t="s">
        <v>6461</v>
      </c>
      <c r="F270" t="s">
        <v>13460</v>
      </c>
      <c r="G270" t="s">
        <v>13538</v>
      </c>
      <c r="H270" t="s">
        <v>13547</v>
      </c>
      <c r="I270" t="s">
        <v>6479</v>
      </c>
      <c r="J270" t="s">
        <v>13463</v>
      </c>
      <c r="K270">
        <v>1</v>
      </c>
      <c r="L270" t="s">
        <v>13520</v>
      </c>
      <c r="M270" t="s">
        <v>13505</v>
      </c>
      <c r="N270" t="str">
        <f>_xlfn.XLOOKUP(C:C,'Resource Table'!A:A,'Resource Table'!B:B,"NOT FOUND",0,1)</f>
        <v>Dedicated</v>
      </c>
      <c r="O270" t="str">
        <f>_xlfn.XLOOKUP(N:N,'Resource Table'!B:B,'Resource Table'!C:C,"n/a",0,1)</f>
        <v>AFS Dedicated Tech</v>
      </c>
      <c r="P270" t="str">
        <f>_xlfn.XLOOKUP(N:N,'Resource Table'!B:B,'Resource Table'!D:D,"n/a",0,1)</f>
        <v>Dedicated</v>
      </c>
    </row>
    <row r="271" spans="1:16" x14ac:dyDescent="0.45">
      <c r="A271" t="s">
        <v>5407</v>
      </c>
      <c r="B271" t="s">
        <v>5491</v>
      </c>
      <c r="C271" t="s">
        <v>5492</v>
      </c>
      <c r="D271" t="s">
        <v>6082</v>
      </c>
      <c r="E271" t="s">
        <v>6461</v>
      </c>
      <c r="F271" t="s">
        <v>13460</v>
      </c>
      <c r="G271" t="s">
        <v>13481</v>
      </c>
      <c r="H271" t="s">
        <v>13518</v>
      </c>
      <c r="I271" t="s">
        <v>6479</v>
      </c>
      <c r="J271" t="s">
        <v>13463</v>
      </c>
      <c r="K271">
        <v>1</v>
      </c>
      <c r="L271" t="s">
        <v>13505</v>
      </c>
      <c r="M271" t="s">
        <v>20</v>
      </c>
      <c r="N271" t="str">
        <f>_xlfn.XLOOKUP(C:C,'Resource Table'!A:A,'Resource Table'!B:B,"NOT FOUND",0,1)</f>
        <v>Dedicated</v>
      </c>
      <c r="O271" t="str">
        <f>_xlfn.XLOOKUP(N:N,'Resource Table'!B:B,'Resource Table'!C:C,"n/a",0,1)</f>
        <v>AFS Dedicated Tech</v>
      </c>
      <c r="P271" t="str">
        <f>_xlfn.XLOOKUP(N:N,'Resource Table'!B:B,'Resource Table'!D:D,"n/a",0,1)</f>
        <v>Dedicated</v>
      </c>
    </row>
    <row r="272" spans="1:16" x14ac:dyDescent="0.45">
      <c r="A272" t="s">
        <v>5407</v>
      </c>
      <c r="B272" t="s">
        <v>5491</v>
      </c>
      <c r="C272" t="s">
        <v>5492</v>
      </c>
      <c r="D272" t="s">
        <v>5946</v>
      </c>
      <c r="E272" t="s">
        <v>6461</v>
      </c>
      <c r="F272" t="s">
        <v>13460</v>
      </c>
      <c r="G272" t="s">
        <v>13481</v>
      </c>
      <c r="H272" t="s">
        <v>13482</v>
      </c>
      <c r="I272" t="s">
        <v>6479</v>
      </c>
      <c r="J272" t="s">
        <v>13463</v>
      </c>
      <c r="K272">
        <v>1</v>
      </c>
      <c r="L272" t="s">
        <v>13464</v>
      </c>
      <c r="M272" t="s">
        <v>13468</v>
      </c>
      <c r="N272" t="str">
        <f>_xlfn.XLOOKUP(C:C,'Resource Table'!A:A,'Resource Table'!B:B,"NOT FOUND",0,1)</f>
        <v>Dedicated</v>
      </c>
      <c r="O272" t="str">
        <f>_xlfn.XLOOKUP(N:N,'Resource Table'!B:B,'Resource Table'!C:C,"n/a",0,1)</f>
        <v>AFS Dedicated Tech</v>
      </c>
      <c r="P272" t="str">
        <f>_xlfn.XLOOKUP(N:N,'Resource Table'!B:B,'Resource Table'!D:D,"n/a",0,1)</f>
        <v>Dedicated</v>
      </c>
    </row>
    <row r="273" spans="1:16" x14ac:dyDescent="0.45">
      <c r="A273" t="s">
        <v>5407</v>
      </c>
      <c r="B273" t="s">
        <v>5491</v>
      </c>
      <c r="C273" t="s">
        <v>5492</v>
      </c>
      <c r="D273" t="s">
        <v>5972</v>
      </c>
      <c r="E273" t="s">
        <v>6461</v>
      </c>
      <c r="F273" t="s">
        <v>13460</v>
      </c>
      <c r="G273" t="s">
        <v>13481</v>
      </c>
      <c r="H273" t="s">
        <v>13482</v>
      </c>
      <c r="I273" t="s">
        <v>6479</v>
      </c>
      <c r="J273" t="s">
        <v>13486</v>
      </c>
      <c r="K273">
        <v>1</v>
      </c>
      <c r="L273" t="s">
        <v>13507</v>
      </c>
      <c r="M273" t="s">
        <v>13508</v>
      </c>
      <c r="N273" t="str">
        <f>_xlfn.XLOOKUP(C:C,'Resource Table'!A:A,'Resource Table'!B:B,"NOT FOUND",0,1)</f>
        <v>Dedicated</v>
      </c>
      <c r="O273" t="str">
        <f>_xlfn.XLOOKUP(N:N,'Resource Table'!B:B,'Resource Table'!C:C,"n/a",0,1)</f>
        <v>AFS Dedicated Tech</v>
      </c>
      <c r="P273" t="str">
        <f>_xlfn.XLOOKUP(N:N,'Resource Table'!B:B,'Resource Table'!D:D,"n/a",0,1)</f>
        <v>Dedicated</v>
      </c>
    </row>
    <row r="274" spans="1:16" x14ac:dyDescent="0.45">
      <c r="A274" t="s">
        <v>5407</v>
      </c>
      <c r="B274" t="s">
        <v>5491</v>
      </c>
      <c r="C274" t="s">
        <v>5492</v>
      </c>
      <c r="D274" t="s">
        <v>6204</v>
      </c>
      <c r="E274" t="s">
        <v>6451</v>
      </c>
      <c r="F274" t="s">
        <v>13460</v>
      </c>
      <c r="G274" t="s">
        <v>13476</v>
      </c>
      <c r="H274" t="s">
        <v>13531</v>
      </c>
      <c r="I274" t="s">
        <v>6479</v>
      </c>
      <c r="J274" t="s">
        <v>13463</v>
      </c>
      <c r="K274">
        <v>2</v>
      </c>
      <c r="L274" t="s">
        <v>13472</v>
      </c>
      <c r="M274" t="s">
        <v>13487</v>
      </c>
      <c r="N274" t="str">
        <f>_xlfn.XLOOKUP(C:C,'Resource Table'!A:A,'Resource Table'!B:B,"NOT FOUND",0,1)</f>
        <v>Dedicated</v>
      </c>
      <c r="O274" t="str">
        <f>_xlfn.XLOOKUP(N:N,'Resource Table'!B:B,'Resource Table'!C:C,"n/a",0,1)</f>
        <v>AFS Dedicated Tech</v>
      </c>
      <c r="P274" t="str">
        <f>_xlfn.XLOOKUP(N:N,'Resource Table'!B:B,'Resource Table'!D:D,"n/a",0,1)</f>
        <v>Dedicated</v>
      </c>
    </row>
    <row r="275" spans="1:16" x14ac:dyDescent="0.45">
      <c r="A275" t="s">
        <v>5407</v>
      </c>
      <c r="B275" t="s">
        <v>5491</v>
      </c>
      <c r="C275" t="s">
        <v>5492</v>
      </c>
      <c r="D275" t="s">
        <v>6108</v>
      </c>
      <c r="E275" t="s">
        <v>6461</v>
      </c>
      <c r="F275" t="s">
        <v>13460</v>
      </c>
      <c r="G275" t="s">
        <v>13538</v>
      </c>
      <c r="H275" t="s">
        <v>13547</v>
      </c>
      <c r="I275" t="s">
        <v>6479</v>
      </c>
      <c r="J275" t="s">
        <v>13463</v>
      </c>
      <c r="K275">
        <v>1</v>
      </c>
      <c r="L275" t="s">
        <v>13566</v>
      </c>
      <c r="M275" t="s">
        <v>20</v>
      </c>
      <c r="N275" t="str">
        <f>_xlfn.XLOOKUP(C:C,'Resource Table'!A:A,'Resource Table'!B:B,"NOT FOUND",0,1)</f>
        <v>Dedicated</v>
      </c>
      <c r="O275" t="str">
        <f>_xlfn.XLOOKUP(N:N,'Resource Table'!B:B,'Resource Table'!C:C,"n/a",0,1)</f>
        <v>AFS Dedicated Tech</v>
      </c>
      <c r="P275" t="str">
        <f>_xlfn.XLOOKUP(N:N,'Resource Table'!B:B,'Resource Table'!D:D,"n/a",0,1)</f>
        <v>Dedicated</v>
      </c>
    </row>
    <row r="276" spans="1:16" x14ac:dyDescent="0.45">
      <c r="A276" t="s">
        <v>5407</v>
      </c>
      <c r="B276" t="s">
        <v>5491</v>
      </c>
      <c r="C276" t="s">
        <v>5492</v>
      </c>
      <c r="D276" t="s">
        <v>6107</v>
      </c>
      <c r="E276" t="s">
        <v>6461</v>
      </c>
      <c r="F276" t="s">
        <v>13460</v>
      </c>
      <c r="G276" t="s">
        <v>13538</v>
      </c>
      <c r="H276" t="s">
        <v>13547</v>
      </c>
      <c r="I276" t="s">
        <v>6479</v>
      </c>
      <c r="J276" t="s">
        <v>13463</v>
      </c>
      <c r="K276">
        <v>1</v>
      </c>
      <c r="L276" t="s">
        <v>13493</v>
      </c>
      <c r="M276" t="s">
        <v>20</v>
      </c>
      <c r="N276" t="str">
        <f>_xlfn.XLOOKUP(C:C,'Resource Table'!A:A,'Resource Table'!B:B,"NOT FOUND",0,1)</f>
        <v>Dedicated</v>
      </c>
      <c r="O276" t="str">
        <f>_xlfn.XLOOKUP(N:N,'Resource Table'!B:B,'Resource Table'!C:C,"n/a",0,1)</f>
        <v>AFS Dedicated Tech</v>
      </c>
      <c r="P276" t="str">
        <f>_xlfn.XLOOKUP(N:N,'Resource Table'!B:B,'Resource Table'!D:D,"n/a",0,1)</f>
        <v>Dedicated</v>
      </c>
    </row>
    <row r="277" spans="1:16" x14ac:dyDescent="0.45">
      <c r="A277" t="s">
        <v>5407</v>
      </c>
      <c r="B277" t="s">
        <v>5491</v>
      </c>
      <c r="C277" t="s">
        <v>5492</v>
      </c>
      <c r="D277" t="s">
        <v>6094</v>
      </c>
      <c r="E277" t="s">
        <v>6461</v>
      </c>
      <c r="F277" t="s">
        <v>13460</v>
      </c>
      <c r="G277" t="s">
        <v>13538</v>
      </c>
      <c r="H277" t="s">
        <v>13547</v>
      </c>
      <c r="I277" t="s">
        <v>6479</v>
      </c>
      <c r="J277" t="s">
        <v>13463</v>
      </c>
      <c r="K277">
        <v>1</v>
      </c>
      <c r="L277" t="s">
        <v>13505</v>
      </c>
      <c r="M277" t="s">
        <v>20</v>
      </c>
      <c r="N277" t="str">
        <f>_xlfn.XLOOKUP(C:C,'Resource Table'!A:A,'Resource Table'!B:B,"NOT FOUND",0,1)</f>
        <v>Dedicated</v>
      </c>
      <c r="O277" t="str">
        <f>_xlfn.XLOOKUP(N:N,'Resource Table'!B:B,'Resource Table'!C:C,"n/a",0,1)</f>
        <v>AFS Dedicated Tech</v>
      </c>
      <c r="P277" t="str">
        <f>_xlfn.XLOOKUP(N:N,'Resource Table'!B:B,'Resource Table'!D:D,"n/a",0,1)</f>
        <v>Dedicated</v>
      </c>
    </row>
    <row r="278" spans="1:16" x14ac:dyDescent="0.45">
      <c r="A278" t="s">
        <v>5407</v>
      </c>
      <c r="B278" t="s">
        <v>5491</v>
      </c>
      <c r="C278" t="s">
        <v>5492</v>
      </c>
      <c r="D278" t="s">
        <v>5493</v>
      </c>
      <c r="E278" t="s">
        <v>6451</v>
      </c>
      <c r="F278" t="s">
        <v>13473</v>
      </c>
      <c r="G278" t="s">
        <v>13474</v>
      </c>
      <c r="H278" t="s">
        <v>13521</v>
      </c>
      <c r="I278" t="s">
        <v>29</v>
      </c>
      <c r="J278" t="s">
        <v>13463</v>
      </c>
      <c r="K278">
        <v>1</v>
      </c>
      <c r="L278" t="s">
        <v>13487</v>
      </c>
      <c r="M278" t="s">
        <v>13591</v>
      </c>
      <c r="N278" t="str">
        <f>_xlfn.XLOOKUP(C:C,'Resource Table'!A:A,'Resource Table'!B:B,"NOT FOUND",0,1)</f>
        <v>Dedicated</v>
      </c>
      <c r="O278" t="str">
        <f>_xlfn.XLOOKUP(N:N,'Resource Table'!B:B,'Resource Table'!C:C,"n/a",0,1)</f>
        <v>AFS Dedicated Tech</v>
      </c>
      <c r="P278" t="str">
        <f>_xlfn.XLOOKUP(N:N,'Resource Table'!B:B,'Resource Table'!D:D,"n/a",0,1)</f>
        <v>Dedicated</v>
      </c>
    </row>
    <row r="279" spans="1:16" x14ac:dyDescent="0.45">
      <c r="A279" t="s">
        <v>5407</v>
      </c>
      <c r="B279" t="s">
        <v>5491</v>
      </c>
      <c r="C279" t="s">
        <v>5492</v>
      </c>
      <c r="D279" t="s">
        <v>5891</v>
      </c>
      <c r="E279" t="s">
        <v>6451</v>
      </c>
      <c r="F279" t="s">
        <v>13473</v>
      </c>
      <c r="G279" t="s">
        <v>13474</v>
      </c>
      <c r="H279" t="s">
        <v>13475</v>
      </c>
      <c r="I279" t="s">
        <v>6479</v>
      </c>
      <c r="J279" t="s">
        <v>13463</v>
      </c>
      <c r="K279">
        <v>1</v>
      </c>
      <c r="L279" t="s">
        <v>13468</v>
      </c>
      <c r="M279" t="s">
        <v>20</v>
      </c>
      <c r="N279" t="str">
        <f>_xlfn.XLOOKUP(C:C,'Resource Table'!A:A,'Resource Table'!B:B,"NOT FOUND",0,1)</f>
        <v>Dedicated</v>
      </c>
      <c r="O279" t="str">
        <f>_xlfn.XLOOKUP(N:N,'Resource Table'!B:B,'Resource Table'!C:C,"n/a",0,1)</f>
        <v>AFS Dedicated Tech</v>
      </c>
      <c r="P279" t="str">
        <f>_xlfn.XLOOKUP(N:N,'Resource Table'!B:B,'Resource Table'!D:D,"n/a",0,1)</f>
        <v>Dedicated</v>
      </c>
    </row>
    <row r="280" spans="1:16" x14ac:dyDescent="0.45">
      <c r="A280" t="s">
        <v>5407</v>
      </c>
      <c r="B280" t="s">
        <v>5491</v>
      </c>
      <c r="C280" t="s">
        <v>5492</v>
      </c>
      <c r="D280" t="s">
        <v>5785</v>
      </c>
      <c r="E280" t="s">
        <v>6451</v>
      </c>
      <c r="F280" t="s">
        <v>13473</v>
      </c>
      <c r="G280" t="s">
        <v>13474</v>
      </c>
      <c r="H280" t="s">
        <v>13521</v>
      </c>
      <c r="I280" t="s">
        <v>6479</v>
      </c>
      <c r="J280" t="s">
        <v>13463</v>
      </c>
      <c r="K280">
        <v>0</v>
      </c>
      <c r="L280" t="s">
        <v>20</v>
      </c>
      <c r="M280" t="s">
        <v>20</v>
      </c>
      <c r="N280" t="str">
        <f>_xlfn.XLOOKUP(C:C,'Resource Table'!A:A,'Resource Table'!B:B,"NOT FOUND",0,1)</f>
        <v>Dedicated</v>
      </c>
      <c r="O280" t="str">
        <f>_xlfn.XLOOKUP(N:N,'Resource Table'!B:B,'Resource Table'!C:C,"n/a",0,1)</f>
        <v>AFS Dedicated Tech</v>
      </c>
      <c r="P280" t="str">
        <f>_xlfn.XLOOKUP(N:N,'Resource Table'!B:B,'Resource Table'!D:D,"n/a",0,1)</f>
        <v>Dedicated</v>
      </c>
    </row>
    <row r="281" spans="1:16" x14ac:dyDescent="0.45">
      <c r="A281" t="s">
        <v>5407</v>
      </c>
      <c r="B281" t="s">
        <v>5491</v>
      </c>
      <c r="C281" t="s">
        <v>5492</v>
      </c>
      <c r="D281" t="s">
        <v>5784</v>
      </c>
      <c r="E281" t="s">
        <v>6451</v>
      </c>
      <c r="F281" t="s">
        <v>13473</v>
      </c>
      <c r="G281" t="s">
        <v>13474</v>
      </c>
      <c r="H281" t="s">
        <v>13521</v>
      </c>
      <c r="I281" t="s">
        <v>6479</v>
      </c>
      <c r="J281" t="s">
        <v>13463</v>
      </c>
      <c r="K281">
        <v>1</v>
      </c>
      <c r="L281" t="s">
        <v>13544</v>
      </c>
      <c r="M281" t="s">
        <v>20</v>
      </c>
      <c r="N281" t="str">
        <f>_xlfn.XLOOKUP(C:C,'Resource Table'!A:A,'Resource Table'!B:B,"NOT FOUND",0,1)</f>
        <v>Dedicated</v>
      </c>
      <c r="O281" t="str">
        <f>_xlfn.XLOOKUP(N:N,'Resource Table'!B:B,'Resource Table'!C:C,"n/a",0,1)</f>
        <v>AFS Dedicated Tech</v>
      </c>
      <c r="P281" t="str">
        <f>_xlfn.XLOOKUP(N:N,'Resource Table'!B:B,'Resource Table'!D:D,"n/a",0,1)</f>
        <v>Dedicated</v>
      </c>
    </row>
    <row r="282" spans="1:16" x14ac:dyDescent="0.45">
      <c r="A282" t="s">
        <v>5407</v>
      </c>
      <c r="B282" t="s">
        <v>5491</v>
      </c>
      <c r="C282" t="s">
        <v>5492</v>
      </c>
      <c r="D282" t="s">
        <v>6021</v>
      </c>
      <c r="E282" t="s">
        <v>6461</v>
      </c>
      <c r="F282" t="s">
        <v>13460</v>
      </c>
      <c r="G282" t="s">
        <v>13538</v>
      </c>
      <c r="H282" t="s">
        <v>13539</v>
      </c>
      <c r="I282" t="s">
        <v>6479</v>
      </c>
      <c r="J282" t="s">
        <v>13486</v>
      </c>
      <c r="K282">
        <v>1</v>
      </c>
      <c r="L282" t="s">
        <v>13468</v>
      </c>
      <c r="M282" t="s">
        <v>13508</v>
      </c>
      <c r="N282" t="str">
        <f>_xlfn.XLOOKUP(C:C,'Resource Table'!A:A,'Resource Table'!B:B,"NOT FOUND",0,1)</f>
        <v>Dedicated</v>
      </c>
      <c r="O282" t="str">
        <f>_xlfn.XLOOKUP(N:N,'Resource Table'!B:B,'Resource Table'!C:C,"n/a",0,1)</f>
        <v>AFS Dedicated Tech</v>
      </c>
      <c r="P282" t="str">
        <f>_xlfn.XLOOKUP(N:N,'Resource Table'!B:B,'Resource Table'!D:D,"n/a",0,1)</f>
        <v>Dedicated</v>
      </c>
    </row>
    <row r="283" spans="1:16" x14ac:dyDescent="0.45">
      <c r="A283" t="s">
        <v>5407</v>
      </c>
      <c r="B283" t="s">
        <v>5491</v>
      </c>
      <c r="C283" t="s">
        <v>5492</v>
      </c>
      <c r="D283" t="s">
        <v>5561</v>
      </c>
      <c r="E283" t="s">
        <v>6461</v>
      </c>
      <c r="F283" t="s">
        <v>13460</v>
      </c>
      <c r="G283" t="s">
        <v>13538</v>
      </c>
      <c r="H283" t="s">
        <v>13547</v>
      </c>
      <c r="I283" t="s">
        <v>29</v>
      </c>
      <c r="J283" t="s">
        <v>13463</v>
      </c>
      <c r="K283">
        <v>2</v>
      </c>
      <c r="L283" t="s">
        <v>13483</v>
      </c>
      <c r="M283" t="s">
        <v>13484</v>
      </c>
      <c r="N283" t="str">
        <f>_xlfn.XLOOKUP(C:C,'Resource Table'!A:A,'Resource Table'!B:B,"NOT FOUND",0,1)</f>
        <v>Dedicated</v>
      </c>
      <c r="O283" t="str">
        <f>_xlfn.XLOOKUP(N:N,'Resource Table'!B:B,'Resource Table'!C:C,"n/a",0,1)</f>
        <v>AFS Dedicated Tech</v>
      </c>
      <c r="P283" t="str">
        <f>_xlfn.XLOOKUP(N:N,'Resource Table'!B:B,'Resource Table'!D:D,"n/a",0,1)</f>
        <v>Dedicated</v>
      </c>
    </row>
    <row r="284" spans="1:16" x14ac:dyDescent="0.45">
      <c r="A284" t="s">
        <v>5407</v>
      </c>
      <c r="B284" t="s">
        <v>5491</v>
      </c>
      <c r="C284" t="s">
        <v>5492</v>
      </c>
      <c r="D284" t="s">
        <v>6097</v>
      </c>
      <c r="E284" t="s">
        <v>6461</v>
      </c>
      <c r="F284" t="s">
        <v>13460</v>
      </c>
      <c r="G284" t="s">
        <v>13538</v>
      </c>
      <c r="H284" t="s">
        <v>13547</v>
      </c>
      <c r="I284" t="s">
        <v>6479</v>
      </c>
      <c r="J284" t="s">
        <v>13486</v>
      </c>
      <c r="K284">
        <v>1</v>
      </c>
      <c r="L284" t="s">
        <v>13507</v>
      </c>
      <c r="M284" t="s">
        <v>13513</v>
      </c>
      <c r="N284" t="str">
        <f>_xlfn.XLOOKUP(C:C,'Resource Table'!A:A,'Resource Table'!B:B,"NOT FOUND",0,1)</f>
        <v>Dedicated</v>
      </c>
      <c r="O284" t="str">
        <f>_xlfn.XLOOKUP(N:N,'Resource Table'!B:B,'Resource Table'!C:C,"n/a",0,1)</f>
        <v>AFS Dedicated Tech</v>
      </c>
      <c r="P284" t="str">
        <f>_xlfn.XLOOKUP(N:N,'Resource Table'!B:B,'Resource Table'!D:D,"n/a",0,1)</f>
        <v>Dedicated</v>
      </c>
    </row>
    <row r="285" spans="1:16" x14ac:dyDescent="0.45">
      <c r="A285" t="s">
        <v>5407</v>
      </c>
      <c r="B285" t="s">
        <v>5408</v>
      </c>
      <c r="C285" t="s">
        <v>5462</v>
      </c>
      <c r="D285" t="s">
        <v>5926</v>
      </c>
      <c r="E285" t="s">
        <v>6462</v>
      </c>
      <c r="F285" t="s">
        <v>13460</v>
      </c>
      <c r="G285" t="s">
        <v>13481</v>
      </c>
      <c r="H285" t="s">
        <v>13490</v>
      </c>
      <c r="I285" t="s">
        <v>6479</v>
      </c>
      <c r="J285" t="s">
        <v>13463</v>
      </c>
      <c r="K285">
        <v>0</v>
      </c>
      <c r="L285" t="s">
        <v>20</v>
      </c>
      <c r="M285" t="s">
        <v>20</v>
      </c>
      <c r="N285" t="str">
        <f>_xlfn.XLOOKUP(C:C,'Resource Table'!A:A,'Resource Table'!B:B,"NOT FOUND",0,1)</f>
        <v>James Hopkins</v>
      </c>
      <c r="O285" t="str">
        <f>_xlfn.XLOOKUP(N:N,'Resource Table'!B:B,'Resource Table'!C:C,"n/a",0,1)</f>
        <v>jhopkins5@ameritfleet.com</v>
      </c>
      <c r="P285" t="str">
        <f>_xlfn.XLOOKUP(N:N,'Resource Table'!B:B,'Resource Table'!D:D,"n/a",0,1)</f>
        <v>Vended Repair</v>
      </c>
    </row>
    <row r="286" spans="1:16" x14ac:dyDescent="0.45">
      <c r="A286" t="s">
        <v>5407</v>
      </c>
      <c r="B286" t="s">
        <v>5408</v>
      </c>
      <c r="C286" t="s">
        <v>5462</v>
      </c>
      <c r="D286" t="s">
        <v>1730</v>
      </c>
      <c r="E286" t="s">
        <v>6451</v>
      </c>
      <c r="F286" t="s">
        <v>13460</v>
      </c>
      <c r="G286" t="s">
        <v>13476</v>
      </c>
      <c r="H286" t="s">
        <v>13531</v>
      </c>
      <c r="I286" t="s">
        <v>29</v>
      </c>
      <c r="J286" t="s">
        <v>13463</v>
      </c>
      <c r="K286">
        <v>2</v>
      </c>
      <c r="L286" t="s">
        <v>13499</v>
      </c>
      <c r="M286" t="s">
        <v>13570</v>
      </c>
      <c r="N286" t="str">
        <f>_xlfn.XLOOKUP(C:C,'Resource Table'!A:A,'Resource Table'!B:B,"NOT FOUND",0,1)</f>
        <v>James Hopkins</v>
      </c>
      <c r="O286" t="str">
        <f>_xlfn.XLOOKUP(N:N,'Resource Table'!B:B,'Resource Table'!C:C,"n/a",0,1)</f>
        <v>jhopkins5@ameritfleet.com</v>
      </c>
      <c r="P286" t="str">
        <f>_xlfn.XLOOKUP(N:N,'Resource Table'!B:B,'Resource Table'!D:D,"n/a",0,1)</f>
        <v>Vended Repair</v>
      </c>
    </row>
    <row r="287" spans="1:16" x14ac:dyDescent="0.45">
      <c r="A287" t="s">
        <v>5407</v>
      </c>
      <c r="B287" t="s">
        <v>5408</v>
      </c>
      <c r="C287" t="s">
        <v>5462</v>
      </c>
      <c r="D287" t="s">
        <v>13053</v>
      </c>
      <c r="E287" t="s">
        <v>6451</v>
      </c>
      <c r="F287" t="s">
        <v>13460</v>
      </c>
      <c r="G287" t="s">
        <v>13461</v>
      </c>
      <c r="H287" t="s">
        <v>13465</v>
      </c>
      <c r="I287" t="s">
        <v>6479</v>
      </c>
      <c r="J287" t="s">
        <v>13463</v>
      </c>
      <c r="K287">
        <v>0</v>
      </c>
      <c r="L287" t="s">
        <v>20</v>
      </c>
      <c r="M287" t="s">
        <v>20</v>
      </c>
      <c r="N287" t="str">
        <f>_xlfn.XLOOKUP(C:C,'Resource Table'!A:A,'Resource Table'!B:B,"NOT FOUND",0,1)</f>
        <v>James Hopkins</v>
      </c>
      <c r="O287" t="str">
        <f>_xlfn.XLOOKUP(N:N,'Resource Table'!B:B,'Resource Table'!C:C,"n/a",0,1)</f>
        <v>jhopkins5@ameritfleet.com</v>
      </c>
      <c r="P287" t="str">
        <f>_xlfn.XLOOKUP(N:N,'Resource Table'!B:B,'Resource Table'!D:D,"n/a",0,1)</f>
        <v>Vended Repair</v>
      </c>
    </row>
    <row r="288" spans="1:16" x14ac:dyDescent="0.45">
      <c r="A288" t="s">
        <v>5407</v>
      </c>
      <c r="B288" t="s">
        <v>5408</v>
      </c>
      <c r="C288" t="s">
        <v>5462</v>
      </c>
      <c r="D288" t="s">
        <v>1399</v>
      </c>
      <c r="E288" t="s">
        <v>6461</v>
      </c>
      <c r="F288" t="s">
        <v>13460</v>
      </c>
      <c r="G288" t="s">
        <v>13481</v>
      </c>
      <c r="H288" t="s">
        <v>13482</v>
      </c>
      <c r="I288" t="s">
        <v>6479</v>
      </c>
      <c r="J288" t="s">
        <v>13463</v>
      </c>
      <c r="K288">
        <v>4</v>
      </c>
      <c r="L288" t="s">
        <v>13535</v>
      </c>
      <c r="M288" t="s">
        <v>13567</v>
      </c>
      <c r="N288" t="str">
        <f>_xlfn.XLOOKUP(C:C,'Resource Table'!A:A,'Resource Table'!B:B,"NOT FOUND",0,1)</f>
        <v>James Hopkins</v>
      </c>
      <c r="O288" t="str">
        <f>_xlfn.XLOOKUP(N:N,'Resource Table'!B:B,'Resource Table'!C:C,"n/a",0,1)</f>
        <v>jhopkins5@ameritfleet.com</v>
      </c>
      <c r="P288" t="str">
        <f>_xlfn.XLOOKUP(N:N,'Resource Table'!B:B,'Resource Table'!D:D,"n/a",0,1)</f>
        <v>Vended Repair</v>
      </c>
    </row>
    <row r="289" spans="1:16" x14ac:dyDescent="0.45">
      <c r="A289" t="s">
        <v>5407</v>
      </c>
      <c r="B289" t="s">
        <v>5408</v>
      </c>
      <c r="C289" t="s">
        <v>5462</v>
      </c>
      <c r="D289" t="s">
        <v>2408</v>
      </c>
      <c r="E289" t="s">
        <v>6451</v>
      </c>
      <c r="F289" t="s">
        <v>13473</v>
      </c>
      <c r="G289" t="s">
        <v>13474</v>
      </c>
      <c r="H289" t="s">
        <v>13475</v>
      </c>
      <c r="I289" t="s">
        <v>29</v>
      </c>
      <c r="J289" t="s">
        <v>13463</v>
      </c>
      <c r="K289">
        <v>6</v>
      </c>
      <c r="L289" t="s">
        <v>13524</v>
      </c>
      <c r="M289" t="s">
        <v>13513</v>
      </c>
      <c r="N289" t="str">
        <f>_xlfn.XLOOKUP(C:C,'Resource Table'!A:A,'Resource Table'!B:B,"NOT FOUND",0,1)</f>
        <v>James Hopkins</v>
      </c>
      <c r="O289" t="str">
        <f>_xlfn.XLOOKUP(N:N,'Resource Table'!B:B,'Resource Table'!C:C,"n/a",0,1)</f>
        <v>jhopkins5@ameritfleet.com</v>
      </c>
      <c r="P289" t="str">
        <f>_xlfn.XLOOKUP(N:N,'Resource Table'!B:B,'Resource Table'!D:D,"n/a",0,1)</f>
        <v>Vended Repair</v>
      </c>
    </row>
    <row r="290" spans="1:16" x14ac:dyDescent="0.45">
      <c r="A290" t="s">
        <v>5407</v>
      </c>
      <c r="B290" t="s">
        <v>5408</v>
      </c>
      <c r="C290" t="s">
        <v>5462</v>
      </c>
      <c r="D290" t="s">
        <v>4377</v>
      </c>
      <c r="E290" t="s">
        <v>6461</v>
      </c>
      <c r="F290" t="s">
        <v>13460</v>
      </c>
      <c r="G290" t="s">
        <v>13481</v>
      </c>
      <c r="H290" t="s">
        <v>13568</v>
      </c>
      <c r="I290" t="s">
        <v>6479</v>
      </c>
      <c r="J290" t="s">
        <v>13463</v>
      </c>
      <c r="K290">
        <v>0</v>
      </c>
      <c r="L290" t="s">
        <v>20</v>
      </c>
      <c r="M290" t="s">
        <v>20</v>
      </c>
      <c r="N290" t="str">
        <f>_xlfn.XLOOKUP(C:C,'Resource Table'!A:A,'Resource Table'!B:B,"NOT FOUND",0,1)</f>
        <v>James Hopkins</v>
      </c>
      <c r="O290" t="str">
        <f>_xlfn.XLOOKUP(N:N,'Resource Table'!B:B,'Resource Table'!C:C,"n/a",0,1)</f>
        <v>jhopkins5@ameritfleet.com</v>
      </c>
      <c r="P290" t="str">
        <f>_xlfn.XLOOKUP(N:N,'Resource Table'!B:B,'Resource Table'!D:D,"n/a",0,1)</f>
        <v>Vended Repair</v>
      </c>
    </row>
    <row r="291" spans="1:16" x14ac:dyDescent="0.45">
      <c r="A291" t="s">
        <v>5407</v>
      </c>
      <c r="B291" t="s">
        <v>5408</v>
      </c>
      <c r="C291" t="s">
        <v>5462</v>
      </c>
      <c r="D291" t="s">
        <v>574</v>
      </c>
      <c r="E291" t="s">
        <v>6461</v>
      </c>
      <c r="F291" t="s">
        <v>13460</v>
      </c>
      <c r="G291" t="s">
        <v>13538</v>
      </c>
      <c r="H291" t="s">
        <v>13539</v>
      </c>
      <c r="I291" t="s">
        <v>6479</v>
      </c>
      <c r="J291" t="s">
        <v>13486</v>
      </c>
      <c r="K291">
        <v>3</v>
      </c>
      <c r="L291" t="s">
        <v>13472</v>
      </c>
      <c r="M291" t="s">
        <v>13513</v>
      </c>
      <c r="N291" t="str">
        <f>_xlfn.XLOOKUP(C:C,'Resource Table'!A:A,'Resource Table'!B:B,"NOT FOUND",0,1)</f>
        <v>James Hopkins</v>
      </c>
      <c r="O291" t="str">
        <f>_xlfn.XLOOKUP(N:N,'Resource Table'!B:B,'Resource Table'!C:C,"n/a",0,1)</f>
        <v>jhopkins5@ameritfleet.com</v>
      </c>
      <c r="P291" t="str">
        <f>_xlfn.XLOOKUP(N:N,'Resource Table'!B:B,'Resource Table'!D:D,"n/a",0,1)</f>
        <v>Vended Repair</v>
      </c>
    </row>
    <row r="292" spans="1:16" x14ac:dyDescent="0.45">
      <c r="A292" t="s">
        <v>5407</v>
      </c>
      <c r="B292" t="s">
        <v>5408</v>
      </c>
      <c r="C292" t="s">
        <v>5462</v>
      </c>
      <c r="D292" t="s">
        <v>3566</v>
      </c>
      <c r="E292" t="s">
        <v>6451</v>
      </c>
      <c r="F292" t="s">
        <v>13514</v>
      </c>
      <c r="G292" t="s">
        <v>13515</v>
      </c>
      <c r="H292" t="s">
        <v>13569</v>
      </c>
      <c r="I292" t="s">
        <v>6479</v>
      </c>
      <c r="J292" t="s">
        <v>13463</v>
      </c>
      <c r="K292">
        <v>2</v>
      </c>
      <c r="L292" t="s">
        <v>13468</v>
      </c>
      <c r="M292" t="s">
        <v>13513</v>
      </c>
      <c r="N292" t="str">
        <f>_xlfn.XLOOKUP(C:C,'Resource Table'!A:A,'Resource Table'!B:B,"NOT FOUND",0,1)</f>
        <v>James Hopkins</v>
      </c>
      <c r="O292" t="str">
        <f>_xlfn.XLOOKUP(N:N,'Resource Table'!B:B,'Resource Table'!C:C,"n/a",0,1)</f>
        <v>jhopkins5@ameritfleet.com</v>
      </c>
      <c r="P292" t="str">
        <f>_xlfn.XLOOKUP(N:N,'Resource Table'!B:B,'Resource Table'!D:D,"n/a",0,1)</f>
        <v>Vended Repair</v>
      </c>
    </row>
    <row r="293" spans="1:16" x14ac:dyDescent="0.45">
      <c r="A293" t="s">
        <v>5407</v>
      </c>
      <c r="B293" t="s">
        <v>5408</v>
      </c>
      <c r="C293" t="s">
        <v>5462</v>
      </c>
      <c r="D293" t="s">
        <v>3075</v>
      </c>
      <c r="E293" t="s">
        <v>6451</v>
      </c>
      <c r="F293" t="s">
        <v>13473</v>
      </c>
      <c r="G293" t="s">
        <v>13474</v>
      </c>
      <c r="H293" t="s">
        <v>13521</v>
      </c>
      <c r="I293" t="s">
        <v>6479</v>
      </c>
      <c r="J293" t="s">
        <v>13463</v>
      </c>
      <c r="K293">
        <v>3</v>
      </c>
      <c r="L293" t="s">
        <v>13466</v>
      </c>
      <c r="M293" t="s">
        <v>13493</v>
      </c>
      <c r="N293" t="str">
        <f>_xlfn.XLOOKUP(C:C,'Resource Table'!A:A,'Resource Table'!B:B,"NOT FOUND",0,1)</f>
        <v>James Hopkins</v>
      </c>
      <c r="O293" t="str">
        <f>_xlfn.XLOOKUP(N:N,'Resource Table'!B:B,'Resource Table'!C:C,"n/a",0,1)</f>
        <v>jhopkins5@ameritfleet.com</v>
      </c>
      <c r="P293" t="str">
        <f>_xlfn.XLOOKUP(N:N,'Resource Table'!B:B,'Resource Table'!D:D,"n/a",0,1)</f>
        <v>Vended Repair</v>
      </c>
    </row>
    <row r="294" spans="1:16" x14ac:dyDescent="0.45">
      <c r="A294" t="s">
        <v>5407</v>
      </c>
      <c r="B294" t="s">
        <v>5408</v>
      </c>
      <c r="C294" t="s">
        <v>5462</v>
      </c>
      <c r="D294" t="s">
        <v>13069</v>
      </c>
      <c r="E294" t="s">
        <v>6451</v>
      </c>
      <c r="F294" t="s">
        <v>13514</v>
      </c>
      <c r="G294" t="s">
        <v>13515</v>
      </c>
      <c r="H294" t="s">
        <v>13516</v>
      </c>
      <c r="I294" t="s">
        <v>6479</v>
      </c>
      <c r="J294" t="s">
        <v>13463</v>
      </c>
      <c r="K294">
        <v>0</v>
      </c>
      <c r="L294" t="s">
        <v>20</v>
      </c>
      <c r="M294" t="s">
        <v>20</v>
      </c>
      <c r="N294" t="str">
        <f>_xlfn.XLOOKUP(C:C,'Resource Table'!A:A,'Resource Table'!B:B,"NOT FOUND",0,1)</f>
        <v>James Hopkins</v>
      </c>
      <c r="O294" t="str">
        <f>_xlfn.XLOOKUP(N:N,'Resource Table'!B:B,'Resource Table'!C:C,"n/a",0,1)</f>
        <v>jhopkins5@ameritfleet.com</v>
      </c>
      <c r="P294" t="str">
        <f>_xlfn.XLOOKUP(N:N,'Resource Table'!B:B,'Resource Table'!D:D,"n/a",0,1)</f>
        <v>Vended Repair</v>
      </c>
    </row>
    <row r="295" spans="1:16" x14ac:dyDescent="0.45">
      <c r="A295" t="s">
        <v>5407</v>
      </c>
      <c r="B295" t="s">
        <v>5408</v>
      </c>
      <c r="C295" t="s">
        <v>5462</v>
      </c>
      <c r="D295" t="s">
        <v>13070</v>
      </c>
      <c r="E295" t="s">
        <v>6451</v>
      </c>
      <c r="F295" t="s">
        <v>13460</v>
      </c>
      <c r="G295" t="s">
        <v>13476</v>
      </c>
      <c r="H295" t="s">
        <v>13477</v>
      </c>
      <c r="I295" t="s">
        <v>6479</v>
      </c>
      <c r="J295" t="s">
        <v>13463</v>
      </c>
      <c r="K295">
        <v>0</v>
      </c>
      <c r="L295" t="s">
        <v>20</v>
      </c>
      <c r="M295" t="s">
        <v>20</v>
      </c>
      <c r="N295" t="str">
        <f>_xlfn.XLOOKUP(C:C,'Resource Table'!A:A,'Resource Table'!B:B,"NOT FOUND",0,1)</f>
        <v>James Hopkins</v>
      </c>
      <c r="O295" t="str">
        <f>_xlfn.XLOOKUP(N:N,'Resource Table'!B:B,'Resource Table'!C:C,"n/a",0,1)</f>
        <v>jhopkins5@ameritfleet.com</v>
      </c>
      <c r="P295" t="str">
        <f>_xlfn.XLOOKUP(N:N,'Resource Table'!B:B,'Resource Table'!D:D,"n/a",0,1)</f>
        <v>Vended Repair</v>
      </c>
    </row>
    <row r="296" spans="1:16" x14ac:dyDescent="0.45">
      <c r="A296" t="s">
        <v>5407</v>
      </c>
      <c r="B296" t="s">
        <v>5408</v>
      </c>
      <c r="C296" t="s">
        <v>5462</v>
      </c>
      <c r="D296" t="s">
        <v>13071</v>
      </c>
      <c r="E296" t="s">
        <v>6451</v>
      </c>
      <c r="F296" t="s">
        <v>13460</v>
      </c>
      <c r="G296" t="s">
        <v>13476</v>
      </c>
      <c r="H296" t="s">
        <v>13571</v>
      </c>
      <c r="I296" t="s">
        <v>6479</v>
      </c>
      <c r="J296" t="s">
        <v>13463</v>
      </c>
      <c r="K296">
        <v>0</v>
      </c>
      <c r="L296" t="s">
        <v>20</v>
      </c>
      <c r="M296" t="s">
        <v>20</v>
      </c>
      <c r="N296" t="str">
        <f>_xlfn.XLOOKUP(C:C,'Resource Table'!A:A,'Resource Table'!B:B,"NOT FOUND",0,1)</f>
        <v>James Hopkins</v>
      </c>
      <c r="O296" t="str">
        <f>_xlfn.XLOOKUP(N:N,'Resource Table'!B:B,'Resource Table'!C:C,"n/a",0,1)</f>
        <v>jhopkins5@ameritfleet.com</v>
      </c>
      <c r="P296" t="str">
        <f>_xlfn.XLOOKUP(N:N,'Resource Table'!B:B,'Resource Table'!D:D,"n/a",0,1)</f>
        <v>Vended Repair</v>
      </c>
    </row>
    <row r="297" spans="1:16" x14ac:dyDescent="0.45">
      <c r="A297" t="s">
        <v>5407</v>
      </c>
      <c r="B297" t="s">
        <v>5408</v>
      </c>
      <c r="C297" t="s">
        <v>5741</v>
      </c>
      <c r="D297" t="s">
        <v>448</v>
      </c>
      <c r="E297" t="s">
        <v>6451</v>
      </c>
      <c r="F297" t="s">
        <v>13460</v>
      </c>
      <c r="G297" t="s">
        <v>13476</v>
      </c>
      <c r="H297" t="s">
        <v>13477</v>
      </c>
      <c r="I297" t="s">
        <v>29</v>
      </c>
      <c r="J297" t="s">
        <v>13463</v>
      </c>
      <c r="K297">
        <v>2</v>
      </c>
      <c r="L297" t="s">
        <v>13520</v>
      </c>
      <c r="M297" t="s">
        <v>13556</v>
      </c>
      <c r="N297" t="str">
        <f>_xlfn.XLOOKUP(C:C,'Resource Table'!A:A,'Resource Table'!B:B,"NOT FOUND",0,1)</f>
        <v>James Hopkins</v>
      </c>
      <c r="O297" t="str">
        <f>_xlfn.XLOOKUP(N:N,'Resource Table'!B:B,'Resource Table'!C:C,"n/a",0,1)</f>
        <v>jhopkins5@ameritfleet.com</v>
      </c>
      <c r="P297" t="str">
        <f>_xlfn.XLOOKUP(N:N,'Resource Table'!B:B,'Resource Table'!D:D,"n/a",0,1)</f>
        <v>Vended Repair</v>
      </c>
    </row>
    <row r="298" spans="1:16" x14ac:dyDescent="0.45">
      <c r="A298" t="s">
        <v>5407</v>
      </c>
      <c r="B298" t="s">
        <v>5408</v>
      </c>
      <c r="C298" t="s">
        <v>5741</v>
      </c>
      <c r="D298" t="s">
        <v>576</v>
      </c>
      <c r="E298" t="s">
        <v>6461</v>
      </c>
      <c r="F298" t="s">
        <v>13460</v>
      </c>
      <c r="G298" t="s">
        <v>13481</v>
      </c>
      <c r="H298" t="s">
        <v>13490</v>
      </c>
      <c r="I298" t="s">
        <v>6479</v>
      </c>
      <c r="J298" t="s">
        <v>13463</v>
      </c>
      <c r="K298">
        <v>0</v>
      </c>
      <c r="L298" t="s">
        <v>20</v>
      </c>
      <c r="M298" t="s">
        <v>20</v>
      </c>
      <c r="N298" t="str">
        <f>_xlfn.XLOOKUP(C:C,'Resource Table'!A:A,'Resource Table'!B:B,"NOT FOUND",0,1)</f>
        <v>James Hopkins</v>
      </c>
      <c r="O298" t="str">
        <f>_xlfn.XLOOKUP(N:N,'Resource Table'!B:B,'Resource Table'!C:C,"n/a",0,1)</f>
        <v>jhopkins5@ameritfleet.com</v>
      </c>
      <c r="P298" t="str">
        <f>_xlfn.XLOOKUP(N:N,'Resource Table'!B:B,'Resource Table'!D:D,"n/a",0,1)</f>
        <v>Vended Repair</v>
      </c>
    </row>
    <row r="299" spans="1:16" x14ac:dyDescent="0.45">
      <c r="A299" t="s">
        <v>5407</v>
      </c>
      <c r="B299" t="s">
        <v>5408</v>
      </c>
      <c r="C299" t="s">
        <v>5741</v>
      </c>
      <c r="D299" t="s">
        <v>3402</v>
      </c>
      <c r="E299" t="s">
        <v>6451</v>
      </c>
      <c r="F299" t="s">
        <v>13473</v>
      </c>
      <c r="G299" t="s">
        <v>13474</v>
      </c>
      <c r="H299" t="s">
        <v>13517</v>
      </c>
      <c r="I299" t="s">
        <v>6479</v>
      </c>
      <c r="J299" t="s">
        <v>13463</v>
      </c>
      <c r="K299">
        <v>1</v>
      </c>
      <c r="L299" t="s">
        <v>13491</v>
      </c>
      <c r="M299" t="s">
        <v>13556</v>
      </c>
      <c r="N299" t="str">
        <f>_xlfn.XLOOKUP(C:C,'Resource Table'!A:A,'Resource Table'!B:B,"NOT FOUND",0,1)</f>
        <v>James Hopkins</v>
      </c>
      <c r="O299" t="str">
        <f>_xlfn.XLOOKUP(N:N,'Resource Table'!B:B,'Resource Table'!C:C,"n/a",0,1)</f>
        <v>jhopkins5@ameritfleet.com</v>
      </c>
      <c r="P299" t="str">
        <f>_xlfn.XLOOKUP(N:N,'Resource Table'!B:B,'Resource Table'!D:D,"n/a",0,1)</f>
        <v>Vended Repair</v>
      </c>
    </row>
    <row r="300" spans="1:16" x14ac:dyDescent="0.45">
      <c r="A300" t="s">
        <v>5407</v>
      </c>
      <c r="B300" t="s">
        <v>5408</v>
      </c>
      <c r="C300" t="s">
        <v>5741</v>
      </c>
      <c r="D300" t="s">
        <v>3890</v>
      </c>
      <c r="E300" t="s">
        <v>6461</v>
      </c>
      <c r="F300" t="s">
        <v>13460</v>
      </c>
      <c r="G300" t="s">
        <v>13481</v>
      </c>
      <c r="H300" t="s">
        <v>13511</v>
      </c>
      <c r="I300" t="s">
        <v>6479</v>
      </c>
      <c r="J300" t="s">
        <v>13463</v>
      </c>
      <c r="K300">
        <v>1</v>
      </c>
      <c r="L300" t="s">
        <v>13479</v>
      </c>
      <c r="M300" t="s">
        <v>13544</v>
      </c>
      <c r="N300" t="str">
        <f>_xlfn.XLOOKUP(C:C,'Resource Table'!A:A,'Resource Table'!B:B,"NOT FOUND",0,1)</f>
        <v>James Hopkins</v>
      </c>
      <c r="O300" t="str">
        <f>_xlfn.XLOOKUP(N:N,'Resource Table'!B:B,'Resource Table'!C:C,"n/a",0,1)</f>
        <v>jhopkins5@ameritfleet.com</v>
      </c>
      <c r="P300" t="str">
        <f>_xlfn.XLOOKUP(N:N,'Resource Table'!B:B,'Resource Table'!D:D,"n/a",0,1)</f>
        <v>Vended Repair</v>
      </c>
    </row>
    <row r="301" spans="1:16" x14ac:dyDescent="0.45">
      <c r="A301" t="s">
        <v>5407</v>
      </c>
      <c r="B301" t="s">
        <v>5491</v>
      </c>
      <c r="C301" t="s">
        <v>5523</v>
      </c>
      <c r="D301" t="s">
        <v>6208</v>
      </c>
      <c r="E301" t="s">
        <v>6451</v>
      </c>
      <c r="F301" t="s">
        <v>13460</v>
      </c>
      <c r="G301" t="s">
        <v>13476</v>
      </c>
      <c r="H301" t="s">
        <v>13531</v>
      </c>
      <c r="I301" t="s">
        <v>6479</v>
      </c>
      <c r="J301" t="s">
        <v>13463</v>
      </c>
      <c r="K301">
        <v>2</v>
      </c>
      <c r="L301" t="s">
        <v>13507</v>
      </c>
      <c r="M301" t="s">
        <v>13493</v>
      </c>
      <c r="N301" t="str">
        <f>_xlfn.XLOOKUP(C:C,'Resource Table'!A:A,'Resource Table'!B:B,"NOT FOUND",0,1)</f>
        <v>James Hopkins</v>
      </c>
      <c r="O301" t="str">
        <f>_xlfn.XLOOKUP(N:N,'Resource Table'!B:B,'Resource Table'!C:C,"n/a",0,1)</f>
        <v>jhopkins5@ameritfleet.com</v>
      </c>
      <c r="P301" t="str">
        <f>_xlfn.XLOOKUP(N:N,'Resource Table'!B:B,'Resource Table'!D:D,"n/a",0,1)</f>
        <v>Vended Repair</v>
      </c>
    </row>
    <row r="302" spans="1:16" x14ac:dyDescent="0.45">
      <c r="A302" t="s">
        <v>5407</v>
      </c>
      <c r="B302" t="s">
        <v>5491</v>
      </c>
      <c r="C302" t="s">
        <v>5523</v>
      </c>
      <c r="D302" t="s">
        <v>5774</v>
      </c>
      <c r="E302" t="s">
        <v>6451</v>
      </c>
      <c r="F302" t="s">
        <v>13473</v>
      </c>
      <c r="G302" t="s">
        <v>13474</v>
      </c>
      <c r="H302" t="s">
        <v>13521</v>
      </c>
      <c r="I302" t="s">
        <v>6479</v>
      </c>
      <c r="J302" t="s">
        <v>13463</v>
      </c>
      <c r="K302">
        <v>2</v>
      </c>
      <c r="L302" t="s">
        <v>13542</v>
      </c>
      <c r="M302" t="s">
        <v>13507</v>
      </c>
      <c r="N302" t="str">
        <f>_xlfn.XLOOKUP(C:C,'Resource Table'!A:A,'Resource Table'!B:B,"NOT FOUND",0,1)</f>
        <v>James Hopkins</v>
      </c>
      <c r="O302" t="str">
        <f>_xlfn.XLOOKUP(N:N,'Resource Table'!B:B,'Resource Table'!C:C,"n/a",0,1)</f>
        <v>jhopkins5@ameritfleet.com</v>
      </c>
      <c r="P302" t="str">
        <f>_xlfn.XLOOKUP(N:N,'Resource Table'!B:B,'Resource Table'!D:D,"n/a",0,1)</f>
        <v>Vended Repair</v>
      </c>
    </row>
    <row r="303" spans="1:16" x14ac:dyDescent="0.45">
      <c r="A303" t="s">
        <v>5407</v>
      </c>
      <c r="B303" t="s">
        <v>5491</v>
      </c>
      <c r="C303" t="s">
        <v>5523</v>
      </c>
      <c r="D303" t="s">
        <v>3262</v>
      </c>
      <c r="E303" t="s">
        <v>6461</v>
      </c>
      <c r="F303" t="s">
        <v>13460</v>
      </c>
      <c r="G303" t="s">
        <v>13538</v>
      </c>
      <c r="H303" t="s">
        <v>13554</v>
      </c>
      <c r="I303" t="s">
        <v>6479</v>
      </c>
      <c r="J303" t="s">
        <v>13463</v>
      </c>
      <c r="K303">
        <v>2</v>
      </c>
      <c r="L303" t="s">
        <v>13497</v>
      </c>
      <c r="M303" t="s">
        <v>13480</v>
      </c>
      <c r="N303" t="str">
        <f>_xlfn.XLOOKUP(C:C,'Resource Table'!A:A,'Resource Table'!B:B,"NOT FOUND",0,1)</f>
        <v>James Hopkins</v>
      </c>
      <c r="O303" t="str">
        <f>_xlfn.XLOOKUP(N:N,'Resource Table'!B:B,'Resource Table'!C:C,"n/a",0,1)</f>
        <v>jhopkins5@ameritfleet.com</v>
      </c>
      <c r="P303" t="str">
        <f>_xlfn.XLOOKUP(N:N,'Resource Table'!B:B,'Resource Table'!D:D,"n/a",0,1)</f>
        <v>Vended Repair</v>
      </c>
    </row>
    <row r="304" spans="1:16" x14ac:dyDescent="0.45">
      <c r="A304" t="s">
        <v>5407</v>
      </c>
      <c r="B304" t="s">
        <v>5491</v>
      </c>
      <c r="C304" t="s">
        <v>5523</v>
      </c>
      <c r="D304" t="s">
        <v>2243</v>
      </c>
      <c r="E304" t="s">
        <v>6451</v>
      </c>
      <c r="F304" t="s">
        <v>13473</v>
      </c>
      <c r="G304" t="s">
        <v>13474</v>
      </c>
      <c r="H304" t="s">
        <v>13475</v>
      </c>
      <c r="I304" t="s">
        <v>6479</v>
      </c>
      <c r="J304" t="s">
        <v>13463</v>
      </c>
      <c r="K304">
        <v>0</v>
      </c>
      <c r="L304" t="s">
        <v>20</v>
      </c>
      <c r="M304" t="s">
        <v>20</v>
      </c>
      <c r="N304" t="str">
        <f>_xlfn.XLOOKUP(C:C,'Resource Table'!A:A,'Resource Table'!B:B,"NOT FOUND",0,1)</f>
        <v>James Hopkins</v>
      </c>
      <c r="O304" t="str">
        <f>_xlfn.XLOOKUP(N:N,'Resource Table'!B:B,'Resource Table'!C:C,"n/a",0,1)</f>
        <v>jhopkins5@ameritfleet.com</v>
      </c>
      <c r="P304" t="str">
        <f>_xlfn.XLOOKUP(N:N,'Resource Table'!B:B,'Resource Table'!D:D,"n/a",0,1)</f>
        <v>Vended Repair</v>
      </c>
    </row>
    <row r="305" spans="1:16" x14ac:dyDescent="0.45">
      <c r="A305" t="s">
        <v>5407</v>
      </c>
      <c r="B305" t="s">
        <v>5491</v>
      </c>
      <c r="C305" t="s">
        <v>5523</v>
      </c>
      <c r="D305" t="s">
        <v>2939</v>
      </c>
      <c r="E305" t="s">
        <v>6451</v>
      </c>
      <c r="F305" t="s">
        <v>13473</v>
      </c>
      <c r="G305" t="s">
        <v>13474</v>
      </c>
      <c r="H305" t="s">
        <v>13475</v>
      </c>
      <c r="I305" t="s">
        <v>6479</v>
      </c>
      <c r="J305" t="s">
        <v>13463</v>
      </c>
      <c r="K305">
        <v>0</v>
      </c>
      <c r="L305" t="s">
        <v>20</v>
      </c>
      <c r="M305" t="s">
        <v>20</v>
      </c>
      <c r="N305" t="str">
        <f>_xlfn.XLOOKUP(C:C,'Resource Table'!A:A,'Resource Table'!B:B,"NOT FOUND",0,1)</f>
        <v>James Hopkins</v>
      </c>
      <c r="O305" t="str">
        <f>_xlfn.XLOOKUP(N:N,'Resource Table'!B:B,'Resource Table'!C:C,"n/a",0,1)</f>
        <v>jhopkins5@ameritfleet.com</v>
      </c>
      <c r="P305" t="str">
        <f>_xlfn.XLOOKUP(N:N,'Resource Table'!B:B,'Resource Table'!D:D,"n/a",0,1)</f>
        <v>Vended Repair</v>
      </c>
    </row>
    <row r="306" spans="1:16" x14ac:dyDescent="0.45">
      <c r="A306" t="s">
        <v>5407</v>
      </c>
      <c r="B306" t="s">
        <v>5491</v>
      </c>
      <c r="C306" t="s">
        <v>5523</v>
      </c>
      <c r="D306" t="s">
        <v>3254</v>
      </c>
      <c r="E306" t="s">
        <v>6451</v>
      </c>
      <c r="F306" t="s">
        <v>13473</v>
      </c>
      <c r="G306" t="s">
        <v>13474</v>
      </c>
      <c r="H306" t="s">
        <v>13475</v>
      </c>
      <c r="I306" t="s">
        <v>29</v>
      </c>
      <c r="J306" t="s">
        <v>13463</v>
      </c>
      <c r="K306">
        <v>3</v>
      </c>
      <c r="L306" t="s">
        <v>13542</v>
      </c>
      <c r="M306" t="s">
        <v>13572</v>
      </c>
      <c r="N306" t="str">
        <f>_xlfn.XLOOKUP(C:C,'Resource Table'!A:A,'Resource Table'!B:B,"NOT FOUND",0,1)</f>
        <v>James Hopkins</v>
      </c>
      <c r="O306" t="str">
        <f>_xlfn.XLOOKUP(N:N,'Resource Table'!B:B,'Resource Table'!C:C,"n/a",0,1)</f>
        <v>jhopkins5@ameritfleet.com</v>
      </c>
      <c r="P306" t="str">
        <f>_xlfn.XLOOKUP(N:N,'Resource Table'!B:B,'Resource Table'!D:D,"n/a",0,1)</f>
        <v>Vended Repair</v>
      </c>
    </row>
    <row r="307" spans="1:16" x14ac:dyDescent="0.45">
      <c r="A307" t="s">
        <v>5407</v>
      </c>
      <c r="B307" t="s">
        <v>5491</v>
      </c>
      <c r="C307" t="s">
        <v>5523</v>
      </c>
      <c r="D307" t="s">
        <v>5820</v>
      </c>
      <c r="E307" t="s">
        <v>6451</v>
      </c>
      <c r="F307" t="s">
        <v>13473</v>
      </c>
      <c r="G307" t="s">
        <v>13474</v>
      </c>
      <c r="H307" t="s">
        <v>13475</v>
      </c>
      <c r="I307" t="s">
        <v>6479</v>
      </c>
      <c r="J307" t="s">
        <v>13463</v>
      </c>
      <c r="K307">
        <v>2</v>
      </c>
      <c r="L307" t="s">
        <v>13542</v>
      </c>
      <c r="M307" t="s">
        <v>13505</v>
      </c>
      <c r="N307" t="str">
        <f>_xlfn.XLOOKUP(C:C,'Resource Table'!A:A,'Resource Table'!B:B,"NOT FOUND",0,1)</f>
        <v>James Hopkins</v>
      </c>
      <c r="O307" t="str">
        <f>_xlfn.XLOOKUP(N:N,'Resource Table'!B:B,'Resource Table'!C:C,"n/a",0,1)</f>
        <v>jhopkins5@ameritfleet.com</v>
      </c>
      <c r="P307" t="str">
        <f>_xlfn.XLOOKUP(N:N,'Resource Table'!B:B,'Resource Table'!D:D,"n/a",0,1)</f>
        <v>Vended Repair</v>
      </c>
    </row>
    <row r="308" spans="1:16" x14ac:dyDescent="0.45">
      <c r="A308" t="s">
        <v>5407</v>
      </c>
      <c r="B308" t="s">
        <v>5491</v>
      </c>
      <c r="C308" t="s">
        <v>5523</v>
      </c>
      <c r="D308" t="s">
        <v>708</v>
      </c>
      <c r="E308" t="s">
        <v>6451</v>
      </c>
      <c r="F308" t="s">
        <v>13514</v>
      </c>
      <c r="G308" t="s">
        <v>13573</v>
      </c>
      <c r="H308" t="s">
        <v>13574</v>
      </c>
      <c r="I308" t="s">
        <v>6479</v>
      </c>
      <c r="J308" t="s">
        <v>13463</v>
      </c>
      <c r="K308">
        <v>4</v>
      </c>
      <c r="L308" t="s">
        <v>13523</v>
      </c>
      <c r="M308" t="s">
        <v>13537</v>
      </c>
      <c r="N308" t="str">
        <f>_xlfn.XLOOKUP(C:C,'Resource Table'!A:A,'Resource Table'!B:B,"NOT FOUND",0,1)</f>
        <v>James Hopkins</v>
      </c>
      <c r="O308" t="str">
        <f>_xlfn.XLOOKUP(N:N,'Resource Table'!B:B,'Resource Table'!C:C,"n/a",0,1)</f>
        <v>jhopkins5@ameritfleet.com</v>
      </c>
      <c r="P308" t="str">
        <f>_xlfn.XLOOKUP(N:N,'Resource Table'!B:B,'Resource Table'!D:D,"n/a",0,1)</f>
        <v>Vended Repair</v>
      </c>
    </row>
    <row r="309" spans="1:16" x14ac:dyDescent="0.45">
      <c r="A309" t="s">
        <v>5407</v>
      </c>
      <c r="B309" t="s">
        <v>5491</v>
      </c>
      <c r="C309" t="s">
        <v>5523</v>
      </c>
      <c r="D309" t="s">
        <v>1194</v>
      </c>
      <c r="E309" t="s">
        <v>6461</v>
      </c>
      <c r="F309" t="s">
        <v>13460</v>
      </c>
      <c r="G309" t="s">
        <v>13538</v>
      </c>
      <c r="H309" t="s">
        <v>13554</v>
      </c>
      <c r="I309" t="s">
        <v>6479</v>
      </c>
      <c r="J309" t="s">
        <v>13463</v>
      </c>
      <c r="K309">
        <v>1</v>
      </c>
      <c r="L309" t="s">
        <v>13523</v>
      </c>
      <c r="M309" t="s">
        <v>13469</v>
      </c>
      <c r="N309" t="str">
        <f>_xlfn.XLOOKUP(C:C,'Resource Table'!A:A,'Resource Table'!B:B,"NOT FOUND",0,1)</f>
        <v>James Hopkins</v>
      </c>
      <c r="O309" t="str">
        <f>_xlfn.XLOOKUP(N:N,'Resource Table'!B:B,'Resource Table'!C:C,"n/a",0,1)</f>
        <v>jhopkins5@ameritfleet.com</v>
      </c>
      <c r="P309" t="str">
        <f>_xlfn.XLOOKUP(N:N,'Resource Table'!B:B,'Resource Table'!D:D,"n/a",0,1)</f>
        <v>Vended Repair</v>
      </c>
    </row>
    <row r="310" spans="1:16" x14ac:dyDescent="0.45">
      <c r="A310" t="s">
        <v>5407</v>
      </c>
      <c r="B310" t="s">
        <v>5491</v>
      </c>
      <c r="C310" t="s">
        <v>5523</v>
      </c>
      <c r="D310" t="s">
        <v>5857</v>
      </c>
      <c r="E310" t="s">
        <v>6451</v>
      </c>
      <c r="F310" t="s">
        <v>13473</v>
      </c>
      <c r="G310" t="s">
        <v>13474</v>
      </c>
      <c r="H310" t="s">
        <v>13475</v>
      </c>
      <c r="I310" t="s">
        <v>6479</v>
      </c>
      <c r="J310" t="s">
        <v>13463</v>
      </c>
      <c r="K310">
        <v>1</v>
      </c>
      <c r="L310" t="s">
        <v>13542</v>
      </c>
      <c r="M310" t="s">
        <v>13507</v>
      </c>
      <c r="N310" t="str">
        <f>_xlfn.XLOOKUP(C:C,'Resource Table'!A:A,'Resource Table'!B:B,"NOT FOUND",0,1)</f>
        <v>James Hopkins</v>
      </c>
      <c r="O310" t="str">
        <f>_xlfn.XLOOKUP(N:N,'Resource Table'!B:B,'Resource Table'!C:C,"n/a",0,1)</f>
        <v>jhopkins5@ameritfleet.com</v>
      </c>
      <c r="P310" t="str">
        <f>_xlfn.XLOOKUP(N:N,'Resource Table'!B:B,'Resource Table'!D:D,"n/a",0,1)</f>
        <v>Vended Repair</v>
      </c>
    </row>
    <row r="311" spans="1:16" x14ac:dyDescent="0.45">
      <c r="A311" t="s">
        <v>5407</v>
      </c>
      <c r="B311" t="s">
        <v>5491</v>
      </c>
      <c r="C311" t="s">
        <v>5502</v>
      </c>
      <c r="D311" t="s">
        <v>3395</v>
      </c>
      <c r="E311" t="s">
        <v>6461</v>
      </c>
      <c r="F311" t="s">
        <v>13460</v>
      </c>
      <c r="G311" t="s">
        <v>13481</v>
      </c>
      <c r="H311" t="s">
        <v>13490</v>
      </c>
      <c r="I311" t="s">
        <v>29</v>
      </c>
      <c r="J311" t="s">
        <v>13463</v>
      </c>
      <c r="K311">
        <v>4</v>
      </c>
      <c r="L311" t="s">
        <v>13507</v>
      </c>
      <c r="M311" t="s">
        <v>13505</v>
      </c>
      <c r="N311" t="str">
        <f>_xlfn.XLOOKUP(C:C,'Resource Table'!A:A,'Resource Table'!B:B,"NOT FOUND",0,1)</f>
        <v>James Hopkins</v>
      </c>
      <c r="O311" t="str">
        <f>_xlfn.XLOOKUP(N:N,'Resource Table'!B:B,'Resource Table'!C:C,"n/a",0,1)</f>
        <v>jhopkins5@ameritfleet.com</v>
      </c>
      <c r="P311" t="str">
        <f>_xlfn.XLOOKUP(N:N,'Resource Table'!B:B,'Resource Table'!D:D,"n/a",0,1)</f>
        <v>Vended Repair</v>
      </c>
    </row>
    <row r="312" spans="1:16" x14ac:dyDescent="0.45">
      <c r="A312" t="s">
        <v>5407</v>
      </c>
      <c r="B312" t="s">
        <v>5491</v>
      </c>
      <c r="C312" t="s">
        <v>5502</v>
      </c>
      <c r="D312" t="s">
        <v>778</v>
      </c>
      <c r="E312" t="s">
        <v>6461</v>
      </c>
      <c r="F312" t="s">
        <v>13460</v>
      </c>
      <c r="G312" t="s">
        <v>13481</v>
      </c>
      <c r="H312" t="s">
        <v>13490</v>
      </c>
      <c r="I312" t="s">
        <v>6479</v>
      </c>
      <c r="J312" t="s">
        <v>13463</v>
      </c>
      <c r="K312">
        <v>0</v>
      </c>
      <c r="L312" t="s">
        <v>20</v>
      </c>
      <c r="M312" t="s">
        <v>20</v>
      </c>
      <c r="N312" t="str">
        <f>_xlfn.XLOOKUP(C:C,'Resource Table'!A:A,'Resource Table'!B:B,"NOT FOUND",0,1)</f>
        <v>James Hopkins</v>
      </c>
      <c r="O312" t="str">
        <f>_xlfn.XLOOKUP(N:N,'Resource Table'!B:B,'Resource Table'!C:C,"n/a",0,1)</f>
        <v>jhopkins5@ameritfleet.com</v>
      </c>
      <c r="P312" t="str">
        <f>_xlfn.XLOOKUP(N:N,'Resource Table'!B:B,'Resource Table'!D:D,"n/a",0,1)</f>
        <v>Vended Repair</v>
      </c>
    </row>
    <row r="313" spans="1:16" x14ac:dyDescent="0.45">
      <c r="A313" t="s">
        <v>5407</v>
      </c>
      <c r="B313" t="s">
        <v>5491</v>
      </c>
      <c r="C313" t="s">
        <v>5502</v>
      </c>
      <c r="D313" t="s">
        <v>116</v>
      </c>
      <c r="E313" t="s">
        <v>6451</v>
      </c>
      <c r="F313" t="s">
        <v>13473</v>
      </c>
      <c r="G313" t="s">
        <v>13474</v>
      </c>
      <c r="H313" t="s">
        <v>13521</v>
      </c>
      <c r="I313" t="s">
        <v>6479</v>
      </c>
      <c r="J313" t="s">
        <v>13463</v>
      </c>
      <c r="K313">
        <v>2</v>
      </c>
      <c r="L313" t="s">
        <v>13542</v>
      </c>
      <c r="M313" t="s">
        <v>13505</v>
      </c>
      <c r="N313" t="str">
        <f>_xlfn.XLOOKUP(C:C,'Resource Table'!A:A,'Resource Table'!B:B,"NOT FOUND",0,1)</f>
        <v>James Hopkins</v>
      </c>
      <c r="O313" t="str">
        <f>_xlfn.XLOOKUP(N:N,'Resource Table'!B:B,'Resource Table'!C:C,"n/a",0,1)</f>
        <v>jhopkins5@ameritfleet.com</v>
      </c>
      <c r="P313" t="str">
        <f>_xlfn.XLOOKUP(N:N,'Resource Table'!B:B,'Resource Table'!D:D,"n/a",0,1)</f>
        <v>Vended Repair</v>
      </c>
    </row>
    <row r="314" spans="1:16" x14ac:dyDescent="0.45">
      <c r="A314" t="s">
        <v>5407</v>
      </c>
      <c r="B314" t="s">
        <v>5491</v>
      </c>
      <c r="C314" t="s">
        <v>5502</v>
      </c>
      <c r="D314" t="s">
        <v>5837</v>
      </c>
      <c r="E314" t="s">
        <v>6451</v>
      </c>
      <c r="F314" t="s">
        <v>13473</v>
      </c>
      <c r="G314" t="s">
        <v>13474</v>
      </c>
      <c r="H314" t="s">
        <v>13475</v>
      </c>
      <c r="I314" t="s">
        <v>6479</v>
      </c>
      <c r="J314" t="s">
        <v>13463</v>
      </c>
      <c r="K314">
        <v>2</v>
      </c>
      <c r="L314" t="s">
        <v>13507</v>
      </c>
      <c r="M314" t="s">
        <v>13505</v>
      </c>
      <c r="N314" t="str">
        <f>_xlfn.XLOOKUP(C:C,'Resource Table'!A:A,'Resource Table'!B:B,"NOT FOUND",0,1)</f>
        <v>James Hopkins</v>
      </c>
      <c r="O314" t="str">
        <f>_xlfn.XLOOKUP(N:N,'Resource Table'!B:B,'Resource Table'!C:C,"n/a",0,1)</f>
        <v>jhopkins5@ameritfleet.com</v>
      </c>
      <c r="P314" t="str">
        <f>_xlfn.XLOOKUP(N:N,'Resource Table'!B:B,'Resource Table'!D:D,"n/a",0,1)</f>
        <v>Vended Repair</v>
      </c>
    </row>
    <row r="315" spans="1:16" x14ac:dyDescent="0.45">
      <c r="A315" t="s">
        <v>5407</v>
      </c>
      <c r="B315" t="s">
        <v>5491</v>
      </c>
      <c r="C315" t="s">
        <v>5502</v>
      </c>
      <c r="D315" t="s">
        <v>5782</v>
      </c>
      <c r="E315" t="s">
        <v>6451</v>
      </c>
      <c r="F315" t="s">
        <v>13473</v>
      </c>
      <c r="G315" t="s">
        <v>13474</v>
      </c>
      <c r="H315" t="s">
        <v>13521</v>
      </c>
      <c r="I315" t="s">
        <v>6479</v>
      </c>
      <c r="J315" t="s">
        <v>13463</v>
      </c>
      <c r="K315">
        <v>3</v>
      </c>
      <c r="L315" t="s">
        <v>13489</v>
      </c>
      <c r="M315" t="s">
        <v>13505</v>
      </c>
      <c r="N315" t="str">
        <f>_xlfn.XLOOKUP(C:C,'Resource Table'!A:A,'Resource Table'!B:B,"NOT FOUND",0,1)</f>
        <v>James Hopkins</v>
      </c>
      <c r="O315" t="str">
        <f>_xlfn.XLOOKUP(N:N,'Resource Table'!B:B,'Resource Table'!C:C,"n/a",0,1)</f>
        <v>jhopkins5@ameritfleet.com</v>
      </c>
      <c r="P315" t="str">
        <f>_xlfn.XLOOKUP(N:N,'Resource Table'!B:B,'Resource Table'!D:D,"n/a",0,1)</f>
        <v>Vended Repair</v>
      </c>
    </row>
    <row r="316" spans="1:16" x14ac:dyDescent="0.45">
      <c r="A316" t="s">
        <v>5407</v>
      </c>
      <c r="B316" t="s">
        <v>5491</v>
      </c>
      <c r="C316" t="s">
        <v>5502</v>
      </c>
      <c r="D316" t="s">
        <v>6432</v>
      </c>
      <c r="E316" t="s">
        <v>6451</v>
      </c>
      <c r="F316" t="s">
        <v>13460</v>
      </c>
      <c r="G316" t="s">
        <v>13461</v>
      </c>
      <c r="H316" t="s">
        <v>13488</v>
      </c>
      <c r="I316" t="s">
        <v>29</v>
      </c>
      <c r="J316" t="s">
        <v>13463</v>
      </c>
      <c r="K316">
        <v>4</v>
      </c>
      <c r="L316" t="s">
        <v>13489</v>
      </c>
      <c r="M316" t="s">
        <v>13505</v>
      </c>
      <c r="N316" t="str">
        <f>_xlfn.XLOOKUP(C:C,'Resource Table'!A:A,'Resource Table'!B:B,"NOT FOUND",0,1)</f>
        <v>James Hopkins</v>
      </c>
      <c r="O316" t="str">
        <f>_xlfn.XLOOKUP(N:N,'Resource Table'!B:B,'Resource Table'!C:C,"n/a",0,1)</f>
        <v>jhopkins5@ameritfleet.com</v>
      </c>
      <c r="P316" t="str">
        <f>_xlfn.XLOOKUP(N:N,'Resource Table'!B:B,'Resource Table'!D:D,"n/a",0,1)</f>
        <v>Vended Repair</v>
      </c>
    </row>
    <row r="317" spans="1:16" x14ac:dyDescent="0.45">
      <c r="A317" t="s">
        <v>5407</v>
      </c>
      <c r="B317" t="s">
        <v>5491</v>
      </c>
      <c r="C317" t="s">
        <v>5502</v>
      </c>
      <c r="D317" t="s">
        <v>5822</v>
      </c>
      <c r="E317" t="s">
        <v>6451</v>
      </c>
      <c r="F317" t="s">
        <v>13473</v>
      </c>
      <c r="G317" t="s">
        <v>13474</v>
      </c>
      <c r="H317" t="s">
        <v>13475</v>
      </c>
      <c r="I317" t="s">
        <v>6479</v>
      </c>
      <c r="J317" t="s">
        <v>13463</v>
      </c>
      <c r="K317">
        <v>4</v>
      </c>
      <c r="L317" t="s">
        <v>13544</v>
      </c>
      <c r="M317" t="s">
        <v>13505</v>
      </c>
      <c r="N317" t="str">
        <f>_xlfn.XLOOKUP(C:C,'Resource Table'!A:A,'Resource Table'!B:B,"NOT FOUND",0,1)</f>
        <v>James Hopkins</v>
      </c>
      <c r="O317" t="str">
        <f>_xlfn.XLOOKUP(N:N,'Resource Table'!B:B,'Resource Table'!C:C,"n/a",0,1)</f>
        <v>jhopkins5@ameritfleet.com</v>
      </c>
      <c r="P317" t="str">
        <f>_xlfn.XLOOKUP(N:N,'Resource Table'!B:B,'Resource Table'!D:D,"n/a",0,1)</f>
        <v>Vended Repair</v>
      </c>
    </row>
    <row r="318" spans="1:16" x14ac:dyDescent="0.45">
      <c r="A318" t="s">
        <v>5407</v>
      </c>
      <c r="B318" t="s">
        <v>5491</v>
      </c>
      <c r="C318" t="s">
        <v>5502</v>
      </c>
      <c r="D318" t="s">
        <v>13072</v>
      </c>
      <c r="E318" t="s">
        <v>6451</v>
      </c>
      <c r="F318" t="s">
        <v>13460</v>
      </c>
      <c r="G318" t="s">
        <v>13461</v>
      </c>
      <c r="H318" t="s">
        <v>13575</v>
      </c>
      <c r="I318" t="s">
        <v>6479</v>
      </c>
      <c r="J318" t="s">
        <v>13463</v>
      </c>
      <c r="K318">
        <v>0</v>
      </c>
      <c r="L318" t="s">
        <v>20</v>
      </c>
      <c r="M318" t="s">
        <v>20</v>
      </c>
      <c r="N318" t="str">
        <f>_xlfn.XLOOKUP(C:C,'Resource Table'!A:A,'Resource Table'!B:B,"NOT FOUND",0,1)</f>
        <v>James Hopkins</v>
      </c>
      <c r="O318" t="str">
        <f>_xlfn.XLOOKUP(N:N,'Resource Table'!B:B,'Resource Table'!C:C,"n/a",0,1)</f>
        <v>jhopkins5@ameritfleet.com</v>
      </c>
      <c r="P318" t="str">
        <f>_xlfn.XLOOKUP(N:N,'Resource Table'!B:B,'Resource Table'!D:D,"n/a",0,1)</f>
        <v>Vended Repair</v>
      </c>
    </row>
    <row r="319" spans="1:16" x14ac:dyDescent="0.45">
      <c r="A319" t="s">
        <v>5407</v>
      </c>
      <c r="B319" t="s">
        <v>5491</v>
      </c>
      <c r="C319" t="s">
        <v>5502</v>
      </c>
      <c r="D319" t="s">
        <v>13073</v>
      </c>
      <c r="E319" t="s">
        <v>6451</v>
      </c>
      <c r="F319" t="s">
        <v>13460</v>
      </c>
      <c r="G319" t="s">
        <v>13576</v>
      </c>
      <c r="H319" t="s">
        <v>13577</v>
      </c>
      <c r="I319" t="s">
        <v>6479</v>
      </c>
      <c r="J319" t="s">
        <v>13463</v>
      </c>
      <c r="K319">
        <v>0</v>
      </c>
      <c r="L319" t="s">
        <v>20</v>
      </c>
      <c r="M319" t="s">
        <v>20</v>
      </c>
      <c r="N319" t="str">
        <f>_xlfn.XLOOKUP(C:C,'Resource Table'!A:A,'Resource Table'!B:B,"NOT FOUND",0,1)</f>
        <v>James Hopkins</v>
      </c>
      <c r="O319" t="str">
        <f>_xlfn.XLOOKUP(N:N,'Resource Table'!B:B,'Resource Table'!C:C,"n/a",0,1)</f>
        <v>jhopkins5@ameritfleet.com</v>
      </c>
      <c r="P319" t="str">
        <f>_xlfn.XLOOKUP(N:N,'Resource Table'!B:B,'Resource Table'!D:D,"n/a",0,1)</f>
        <v>Vended Repair</v>
      </c>
    </row>
    <row r="320" spans="1:16" x14ac:dyDescent="0.45">
      <c r="A320" t="s">
        <v>5431</v>
      </c>
      <c r="B320" t="s">
        <v>5431</v>
      </c>
      <c r="C320" t="s">
        <v>5497</v>
      </c>
      <c r="D320" t="s">
        <v>6129</v>
      </c>
      <c r="E320" t="s">
        <v>6461</v>
      </c>
      <c r="F320" t="s">
        <v>13460</v>
      </c>
      <c r="G320" t="s">
        <v>13538</v>
      </c>
      <c r="H320" t="s">
        <v>13554</v>
      </c>
      <c r="I320" t="s">
        <v>6479</v>
      </c>
      <c r="J320" t="s">
        <v>13463</v>
      </c>
      <c r="K320">
        <v>1</v>
      </c>
      <c r="L320" t="s">
        <v>13489</v>
      </c>
      <c r="M320" t="s">
        <v>20</v>
      </c>
      <c r="N320" t="str">
        <f>_xlfn.XLOOKUP(C:C,'Resource Table'!A:A,'Resource Table'!B:B,"NOT FOUND",0,1)</f>
        <v>Dedicated</v>
      </c>
      <c r="O320" t="str">
        <f>_xlfn.XLOOKUP(N:N,'Resource Table'!B:B,'Resource Table'!C:C,"n/a",0,1)</f>
        <v>AFS Dedicated Tech</v>
      </c>
      <c r="P320" t="str">
        <f>_xlfn.XLOOKUP(N:N,'Resource Table'!B:B,'Resource Table'!D:D,"n/a",0,1)</f>
        <v>Dedicated</v>
      </c>
    </row>
    <row r="321" spans="1:16" x14ac:dyDescent="0.45">
      <c r="A321" t="s">
        <v>5431</v>
      </c>
      <c r="B321" t="s">
        <v>5431</v>
      </c>
      <c r="C321" t="s">
        <v>5497</v>
      </c>
      <c r="D321" t="s">
        <v>5536</v>
      </c>
      <c r="E321" t="s">
        <v>6451</v>
      </c>
      <c r="F321" t="s">
        <v>13473</v>
      </c>
      <c r="G321" t="s">
        <v>13474</v>
      </c>
      <c r="H321" t="s">
        <v>13475</v>
      </c>
      <c r="I321" t="s">
        <v>29</v>
      </c>
      <c r="J321" t="s">
        <v>13463</v>
      </c>
      <c r="K321">
        <v>1</v>
      </c>
      <c r="L321" t="s">
        <v>13468</v>
      </c>
      <c r="M321" t="s">
        <v>20</v>
      </c>
      <c r="N321" t="str">
        <f>_xlfn.XLOOKUP(C:C,'Resource Table'!A:A,'Resource Table'!B:B,"NOT FOUND",0,1)</f>
        <v>Dedicated</v>
      </c>
      <c r="O321" t="str">
        <f>_xlfn.XLOOKUP(N:N,'Resource Table'!B:B,'Resource Table'!C:C,"n/a",0,1)</f>
        <v>AFS Dedicated Tech</v>
      </c>
      <c r="P321" t="str">
        <f>_xlfn.XLOOKUP(N:N,'Resource Table'!B:B,'Resource Table'!D:D,"n/a",0,1)</f>
        <v>Dedicated</v>
      </c>
    </row>
    <row r="322" spans="1:16" x14ac:dyDescent="0.45">
      <c r="A322" t="s">
        <v>5431</v>
      </c>
      <c r="B322" t="s">
        <v>5431</v>
      </c>
      <c r="C322" t="s">
        <v>5497</v>
      </c>
      <c r="D322" t="s">
        <v>4542</v>
      </c>
      <c r="E322" t="s">
        <v>6451</v>
      </c>
      <c r="F322" t="s">
        <v>13473</v>
      </c>
      <c r="G322" t="s">
        <v>13474</v>
      </c>
      <c r="H322" t="s">
        <v>13521</v>
      </c>
      <c r="I322" t="s">
        <v>29</v>
      </c>
      <c r="J322" t="s">
        <v>13463</v>
      </c>
      <c r="K322">
        <v>8</v>
      </c>
      <c r="L322" t="s">
        <v>13578</v>
      </c>
      <c r="M322" t="s">
        <v>13466</v>
      </c>
      <c r="N322" t="str">
        <f>_xlfn.XLOOKUP(C:C,'Resource Table'!A:A,'Resource Table'!B:B,"NOT FOUND",0,1)</f>
        <v>Dedicated</v>
      </c>
      <c r="O322" t="str">
        <f>_xlfn.XLOOKUP(N:N,'Resource Table'!B:B,'Resource Table'!C:C,"n/a",0,1)</f>
        <v>AFS Dedicated Tech</v>
      </c>
      <c r="P322" t="str">
        <f>_xlfn.XLOOKUP(N:N,'Resource Table'!B:B,'Resource Table'!D:D,"n/a",0,1)</f>
        <v>Dedicated</v>
      </c>
    </row>
    <row r="323" spans="1:16" x14ac:dyDescent="0.45">
      <c r="A323" t="s">
        <v>5431</v>
      </c>
      <c r="B323" t="s">
        <v>5431</v>
      </c>
      <c r="C323" t="s">
        <v>5497</v>
      </c>
      <c r="D323" t="s">
        <v>5170</v>
      </c>
      <c r="E323" t="s">
        <v>6451</v>
      </c>
      <c r="F323" t="s">
        <v>13473</v>
      </c>
      <c r="G323" t="s">
        <v>13474</v>
      </c>
      <c r="H323" t="s">
        <v>13521</v>
      </c>
      <c r="I323" t="s">
        <v>29</v>
      </c>
      <c r="J323" t="s">
        <v>13463</v>
      </c>
      <c r="K323">
        <v>1</v>
      </c>
      <c r="L323" t="s">
        <v>13503</v>
      </c>
      <c r="M323" t="s">
        <v>13508</v>
      </c>
      <c r="N323" t="str">
        <f>_xlfn.XLOOKUP(C:C,'Resource Table'!A:A,'Resource Table'!B:B,"NOT FOUND",0,1)</f>
        <v>Dedicated</v>
      </c>
      <c r="O323" t="str">
        <f>_xlfn.XLOOKUP(N:N,'Resource Table'!B:B,'Resource Table'!C:C,"n/a",0,1)</f>
        <v>AFS Dedicated Tech</v>
      </c>
      <c r="P323" t="str">
        <f>_xlfn.XLOOKUP(N:N,'Resource Table'!B:B,'Resource Table'!D:D,"n/a",0,1)</f>
        <v>Dedicated</v>
      </c>
    </row>
    <row r="324" spans="1:16" x14ac:dyDescent="0.45">
      <c r="A324" t="s">
        <v>5431</v>
      </c>
      <c r="B324" t="s">
        <v>5431</v>
      </c>
      <c r="C324" t="s">
        <v>5497</v>
      </c>
      <c r="D324" t="s">
        <v>5498</v>
      </c>
      <c r="E324" t="s">
        <v>6451</v>
      </c>
      <c r="F324" t="s">
        <v>13473</v>
      </c>
      <c r="G324" t="s">
        <v>13474</v>
      </c>
      <c r="H324" t="s">
        <v>13521</v>
      </c>
      <c r="I324" t="s">
        <v>6479</v>
      </c>
      <c r="J324" t="s">
        <v>13463</v>
      </c>
      <c r="K324">
        <v>2</v>
      </c>
      <c r="L324" t="s">
        <v>13530</v>
      </c>
      <c r="M324" t="s">
        <v>13466</v>
      </c>
      <c r="N324" t="str">
        <f>_xlfn.XLOOKUP(C:C,'Resource Table'!A:A,'Resource Table'!B:B,"NOT FOUND",0,1)</f>
        <v>Dedicated</v>
      </c>
      <c r="O324" t="str">
        <f>_xlfn.XLOOKUP(N:N,'Resource Table'!B:B,'Resource Table'!C:C,"n/a",0,1)</f>
        <v>AFS Dedicated Tech</v>
      </c>
      <c r="P324" t="str">
        <f>_xlfn.XLOOKUP(N:N,'Resource Table'!B:B,'Resource Table'!D:D,"n/a",0,1)</f>
        <v>Dedicated</v>
      </c>
    </row>
    <row r="325" spans="1:16" x14ac:dyDescent="0.45">
      <c r="A325" t="s">
        <v>5431</v>
      </c>
      <c r="B325" t="s">
        <v>5431</v>
      </c>
      <c r="C325" t="s">
        <v>5497</v>
      </c>
      <c r="D325" t="s">
        <v>6146</v>
      </c>
      <c r="E325" t="s">
        <v>6461</v>
      </c>
      <c r="F325" t="s">
        <v>13460</v>
      </c>
      <c r="G325" t="s">
        <v>13509</v>
      </c>
      <c r="H325" t="s">
        <v>13510</v>
      </c>
      <c r="I325" t="s">
        <v>6479</v>
      </c>
      <c r="J325" t="s">
        <v>13463</v>
      </c>
      <c r="K325">
        <v>1</v>
      </c>
      <c r="L325" t="s">
        <v>13512</v>
      </c>
      <c r="M325" t="s">
        <v>20</v>
      </c>
      <c r="N325" t="str">
        <f>_xlfn.XLOOKUP(C:C,'Resource Table'!A:A,'Resource Table'!B:B,"NOT FOUND",0,1)</f>
        <v>Dedicated</v>
      </c>
      <c r="O325" t="str">
        <f>_xlfn.XLOOKUP(N:N,'Resource Table'!B:B,'Resource Table'!C:C,"n/a",0,1)</f>
        <v>AFS Dedicated Tech</v>
      </c>
      <c r="P325" t="str">
        <f>_xlfn.XLOOKUP(N:N,'Resource Table'!B:B,'Resource Table'!D:D,"n/a",0,1)</f>
        <v>Dedicated</v>
      </c>
    </row>
    <row r="326" spans="1:16" x14ac:dyDescent="0.45">
      <c r="A326" t="s">
        <v>5431</v>
      </c>
      <c r="B326" t="s">
        <v>5431</v>
      </c>
      <c r="C326" t="s">
        <v>5497</v>
      </c>
      <c r="D326" t="s">
        <v>6152</v>
      </c>
      <c r="E326" t="s">
        <v>6461</v>
      </c>
      <c r="F326" t="s">
        <v>13460</v>
      </c>
      <c r="G326" t="s">
        <v>13509</v>
      </c>
      <c r="H326" t="s">
        <v>13510</v>
      </c>
      <c r="I326" t="s">
        <v>6479</v>
      </c>
      <c r="J326" t="s">
        <v>13463</v>
      </c>
      <c r="K326">
        <v>0</v>
      </c>
      <c r="L326" t="s">
        <v>20</v>
      </c>
      <c r="M326" t="s">
        <v>20</v>
      </c>
      <c r="N326" t="str">
        <f>_xlfn.XLOOKUP(C:C,'Resource Table'!A:A,'Resource Table'!B:B,"NOT FOUND",0,1)</f>
        <v>Dedicated</v>
      </c>
      <c r="O326" t="str">
        <f>_xlfn.XLOOKUP(N:N,'Resource Table'!B:B,'Resource Table'!C:C,"n/a",0,1)</f>
        <v>AFS Dedicated Tech</v>
      </c>
      <c r="P326" t="str">
        <f>_xlfn.XLOOKUP(N:N,'Resource Table'!B:B,'Resource Table'!D:D,"n/a",0,1)</f>
        <v>Dedicated</v>
      </c>
    </row>
    <row r="327" spans="1:16" x14ac:dyDescent="0.45">
      <c r="A327" t="s">
        <v>5431</v>
      </c>
      <c r="B327" t="s">
        <v>5431</v>
      </c>
      <c r="C327" t="s">
        <v>5497</v>
      </c>
      <c r="D327" t="s">
        <v>5551</v>
      </c>
      <c r="E327" t="s">
        <v>6461</v>
      </c>
      <c r="F327" t="s">
        <v>13460</v>
      </c>
      <c r="G327" t="s">
        <v>13481</v>
      </c>
      <c r="H327" t="s">
        <v>13482</v>
      </c>
      <c r="I327" t="s">
        <v>6479</v>
      </c>
      <c r="J327" t="s">
        <v>13486</v>
      </c>
      <c r="K327">
        <v>3</v>
      </c>
      <c r="L327" t="s">
        <v>13536</v>
      </c>
      <c r="M327" t="s">
        <v>20</v>
      </c>
      <c r="N327" t="str">
        <f>_xlfn.XLOOKUP(C:C,'Resource Table'!A:A,'Resource Table'!B:B,"NOT FOUND",0,1)</f>
        <v>Dedicated</v>
      </c>
      <c r="O327" t="str">
        <f>_xlfn.XLOOKUP(N:N,'Resource Table'!B:B,'Resource Table'!C:C,"n/a",0,1)</f>
        <v>AFS Dedicated Tech</v>
      </c>
      <c r="P327" t="str">
        <f>_xlfn.XLOOKUP(N:N,'Resource Table'!B:B,'Resource Table'!D:D,"n/a",0,1)</f>
        <v>Dedicated</v>
      </c>
    </row>
    <row r="328" spans="1:16" x14ac:dyDescent="0.45">
      <c r="A328" t="s">
        <v>5431</v>
      </c>
      <c r="B328" t="s">
        <v>5431</v>
      </c>
      <c r="C328" t="s">
        <v>5497</v>
      </c>
      <c r="D328" t="s">
        <v>6144</v>
      </c>
      <c r="E328" t="s">
        <v>6461</v>
      </c>
      <c r="F328" t="s">
        <v>13460</v>
      </c>
      <c r="G328" t="s">
        <v>13509</v>
      </c>
      <c r="H328" t="s">
        <v>13510</v>
      </c>
      <c r="I328" t="s">
        <v>6479</v>
      </c>
      <c r="J328" t="s">
        <v>13463</v>
      </c>
      <c r="K328">
        <v>0</v>
      </c>
      <c r="L328" t="s">
        <v>20</v>
      </c>
      <c r="M328" t="s">
        <v>20</v>
      </c>
      <c r="N328" t="str">
        <f>_xlfn.XLOOKUP(C:C,'Resource Table'!A:A,'Resource Table'!B:B,"NOT FOUND",0,1)</f>
        <v>Dedicated</v>
      </c>
      <c r="O328" t="str">
        <f>_xlfn.XLOOKUP(N:N,'Resource Table'!B:B,'Resource Table'!C:C,"n/a",0,1)</f>
        <v>AFS Dedicated Tech</v>
      </c>
      <c r="P328" t="str">
        <f>_xlfn.XLOOKUP(N:N,'Resource Table'!B:B,'Resource Table'!D:D,"n/a",0,1)</f>
        <v>Dedicated</v>
      </c>
    </row>
    <row r="329" spans="1:16" x14ac:dyDescent="0.45">
      <c r="A329" t="s">
        <v>5431</v>
      </c>
      <c r="B329" t="s">
        <v>5431</v>
      </c>
      <c r="C329" t="s">
        <v>5497</v>
      </c>
      <c r="D329" t="s">
        <v>6130</v>
      </c>
      <c r="E329" t="s">
        <v>6461</v>
      </c>
      <c r="F329" t="s">
        <v>13460</v>
      </c>
      <c r="G329" t="s">
        <v>13538</v>
      </c>
      <c r="H329" t="s">
        <v>13554</v>
      </c>
      <c r="I329" t="s">
        <v>6479</v>
      </c>
      <c r="J329" t="s">
        <v>13463</v>
      </c>
      <c r="K329">
        <v>1</v>
      </c>
      <c r="L329" t="s">
        <v>13489</v>
      </c>
      <c r="M329" t="s">
        <v>20</v>
      </c>
      <c r="N329" t="str">
        <f>_xlfn.XLOOKUP(C:C,'Resource Table'!A:A,'Resource Table'!B:B,"NOT FOUND",0,1)</f>
        <v>Dedicated</v>
      </c>
      <c r="O329" t="str">
        <f>_xlfn.XLOOKUP(N:N,'Resource Table'!B:B,'Resource Table'!C:C,"n/a",0,1)</f>
        <v>AFS Dedicated Tech</v>
      </c>
      <c r="P329" t="str">
        <f>_xlfn.XLOOKUP(N:N,'Resource Table'!B:B,'Resource Table'!D:D,"n/a",0,1)</f>
        <v>Dedicated</v>
      </c>
    </row>
    <row r="330" spans="1:16" x14ac:dyDescent="0.45">
      <c r="A330" t="s">
        <v>5431</v>
      </c>
      <c r="B330" t="s">
        <v>5431</v>
      </c>
      <c r="C330" t="s">
        <v>5497</v>
      </c>
      <c r="D330" t="s">
        <v>5790</v>
      </c>
      <c r="E330" t="s">
        <v>6451</v>
      </c>
      <c r="F330" t="s">
        <v>13473</v>
      </c>
      <c r="G330" t="s">
        <v>13474</v>
      </c>
      <c r="H330" t="s">
        <v>13521</v>
      </c>
      <c r="I330" t="s">
        <v>29</v>
      </c>
      <c r="J330" t="s">
        <v>13463</v>
      </c>
      <c r="K330">
        <v>2</v>
      </c>
      <c r="L330" t="s">
        <v>13468</v>
      </c>
      <c r="M330" t="s">
        <v>20</v>
      </c>
      <c r="N330" t="str">
        <f>_xlfn.XLOOKUP(C:C,'Resource Table'!A:A,'Resource Table'!B:B,"NOT FOUND",0,1)</f>
        <v>Dedicated</v>
      </c>
      <c r="O330" t="str">
        <f>_xlfn.XLOOKUP(N:N,'Resource Table'!B:B,'Resource Table'!C:C,"n/a",0,1)</f>
        <v>AFS Dedicated Tech</v>
      </c>
      <c r="P330" t="str">
        <f>_xlfn.XLOOKUP(N:N,'Resource Table'!B:B,'Resource Table'!D:D,"n/a",0,1)</f>
        <v>Dedicated</v>
      </c>
    </row>
    <row r="331" spans="1:16" x14ac:dyDescent="0.45">
      <c r="A331" t="s">
        <v>5431</v>
      </c>
      <c r="B331" t="s">
        <v>5431</v>
      </c>
      <c r="C331" t="s">
        <v>5497</v>
      </c>
      <c r="D331" t="s">
        <v>5284</v>
      </c>
      <c r="E331" t="s">
        <v>6451</v>
      </c>
      <c r="F331" t="s">
        <v>13473</v>
      </c>
      <c r="G331" t="s">
        <v>13474</v>
      </c>
      <c r="H331" t="s">
        <v>13521</v>
      </c>
      <c r="I331" t="s">
        <v>6479</v>
      </c>
      <c r="J331" t="s">
        <v>13463</v>
      </c>
      <c r="K331">
        <v>4</v>
      </c>
      <c r="L331" t="s">
        <v>13483</v>
      </c>
      <c r="M331" t="s">
        <v>13466</v>
      </c>
      <c r="N331" t="str">
        <f>_xlfn.XLOOKUP(C:C,'Resource Table'!A:A,'Resource Table'!B:B,"NOT FOUND",0,1)</f>
        <v>Dedicated</v>
      </c>
      <c r="O331" t="str">
        <f>_xlfn.XLOOKUP(N:N,'Resource Table'!B:B,'Resource Table'!C:C,"n/a",0,1)</f>
        <v>AFS Dedicated Tech</v>
      </c>
      <c r="P331" t="str">
        <f>_xlfn.XLOOKUP(N:N,'Resource Table'!B:B,'Resource Table'!D:D,"n/a",0,1)</f>
        <v>Dedicated</v>
      </c>
    </row>
    <row r="332" spans="1:16" x14ac:dyDescent="0.45">
      <c r="A332" t="s">
        <v>5431</v>
      </c>
      <c r="B332" t="s">
        <v>5431</v>
      </c>
      <c r="C332" t="s">
        <v>5497</v>
      </c>
      <c r="D332" t="s">
        <v>5998</v>
      </c>
      <c r="E332" t="s">
        <v>6461</v>
      </c>
      <c r="F332" t="s">
        <v>13460</v>
      </c>
      <c r="G332" t="s">
        <v>13481</v>
      </c>
      <c r="H332" t="s">
        <v>13482</v>
      </c>
      <c r="I332" t="s">
        <v>6479</v>
      </c>
      <c r="J332" t="s">
        <v>13463</v>
      </c>
      <c r="K332">
        <v>2</v>
      </c>
      <c r="L332" t="s">
        <v>13483</v>
      </c>
      <c r="M332" t="s">
        <v>13512</v>
      </c>
      <c r="N332" t="str">
        <f>_xlfn.XLOOKUP(C:C,'Resource Table'!A:A,'Resource Table'!B:B,"NOT FOUND",0,1)</f>
        <v>Dedicated</v>
      </c>
      <c r="O332" t="str">
        <f>_xlfn.XLOOKUP(N:N,'Resource Table'!B:B,'Resource Table'!C:C,"n/a",0,1)</f>
        <v>AFS Dedicated Tech</v>
      </c>
      <c r="P332" t="str">
        <f>_xlfn.XLOOKUP(N:N,'Resource Table'!B:B,'Resource Table'!D:D,"n/a",0,1)</f>
        <v>Dedicated</v>
      </c>
    </row>
    <row r="333" spans="1:16" x14ac:dyDescent="0.45">
      <c r="A333" t="s">
        <v>5431</v>
      </c>
      <c r="B333" t="s">
        <v>5431</v>
      </c>
      <c r="C333" t="s">
        <v>5497</v>
      </c>
      <c r="D333" t="s">
        <v>5881</v>
      </c>
      <c r="E333" t="s">
        <v>6451</v>
      </c>
      <c r="F333" t="s">
        <v>13473</v>
      </c>
      <c r="G333" t="s">
        <v>13474</v>
      </c>
      <c r="H333" t="s">
        <v>13475</v>
      </c>
      <c r="I333" t="s">
        <v>6479</v>
      </c>
      <c r="J333" t="s">
        <v>13463</v>
      </c>
      <c r="K333">
        <v>2</v>
      </c>
      <c r="L333" t="s">
        <v>13529</v>
      </c>
      <c r="M333" t="s">
        <v>13466</v>
      </c>
      <c r="N333" t="str">
        <f>_xlfn.XLOOKUP(C:C,'Resource Table'!A:A,'Resource Table'!B:B,"NOT FOUND",0,1)</f>
        <v>Dedicated</v>
      </c>
      <c r="O333" t="str">
        <f>_xlfn.XLOOKUP(N:N,'Resource Table'!B:B,'Resource Table'!C:C,"n/a",0,1)</f>
        <v>AFS Dedicated Tech</v>
      </c>
      <c r="P333" t="str">
        <f>_xlfn.XLOOKUP(N:N,'Resource Table'!B:B,'Resource Table'!D:D,"n/a",0,1)</f>
        <v>Dedicated</v>
      </c>
    </row>
    <row r="334" spans="1:16" x14ac:dyDescent="0.45">
      <c r="A334" t="s">
        <v>5431</v>
      </c>
      <c r="B334" t="s">
        <v>5431</v>
      </c>
      <c r="C334" t="s">
        <v>5497</v>
      </c>
      <c r="D334" t="s">
        <v>6145</v>
      </c>
      <c r="E334" t="s">
        <v>6461</v>
      </c>
      <c r="F334" t="s">
        <v>13460</v>
      </c>
      <c r="G334" t="s">
        <v>13509</v>
      </c>
      <c r="H334" t="s">
        <v>13510</v>
      </c>
      <c r="I334" t="s">
        <v>6479</v>
      </c>
      <c r="J334" t="s">
        <v>13463</v>
      </c>
      <c r="K334">
        <v>1</v>
      </c>
      <c r="L334" t="s">
        <v>13469</v>
      </c>
      <c r="M334" t="s">
        <v>20</v>
      </c>
      <c r="N334" t="str">
        <f>_xlfn.XLOOKUP(C:C,'Resource Table'!A:A,'Resource Table'!B:B,"NOT FOUND",0,1)</f>
        <v>Dedicated</v>
      </c>
      <c r="O334" t="str">
        <f>_xlfn.XLOOKUP(N:N,'Resource Table'!B:B,'Resource Table'!C:C,"n/a",0,1)</f>
        <v>AFS Dedicated Tech</v>
      </c>
      <c r="P334" t="str">
        <f>_xlfn.XLOOKUP(N:N,'Resource Table'!B:B,'Resource Table'!D:D,"n/a",0,1)</f>
        <v>Dedicated</v>
      </c>
    </row>
    <row r="335" spans="1:16" x14ac:dyDescent="0.45">
      <c r="A335" t="s">
        <v>5431</v>
      </c>
      <c r="B335" t="s">
        <v>5431</v>
      </c>
      <c r="C335" t="s">
        <v>5497</v>
      </c>
      <c r="D335" t="s">
        <v>5997</v>
      </c>
      <c r="E335" t="s">
        <v>6461</v>
      </c>
      <c r="F335" t="s">
        <v>13460</v>
      </c>
      <c r="G335" t="s">
        <v>13481</v>
      </c>
      <c r="H335" t="s">
        <v>13482</v>
      </c>
      <c r="I335" t="s">
        <v>6479</v>
      </c>
      <c r="J335" t="s">
        <v>13463</v>
      </c>
      <c r="K335">
        <v>3</v>
      </c>
      <c r="L335" t="s">
        <v>13544</v>
      </c>
      <c r="M335" t="s">
        <v>20</v>
      </c>
      <c r="N335" t="str">
        <f>_xlfn.XLOOKUP(C:C,'Resource Table'!A:A,'Resource Table'!B:B,"NOT FOUND",0,1)</f>
        <v>Dedicated</v>
      </c>
      <c r="O335" t="str">
        <f>_xlfn.XLOOKUP(N:N,'Resource Table'!B:B,'Resource Table'!C:C,"n/a",0,1)</f>
        <v>AFS Dedicated Tech</v>
      </c>
      <c r="P335" t="str">
        <f>_xlfn.XLOOKUP(N:N,'Resource Table'!B:B,'Resource Table'!D:D,"n/a",0,1)</f>
        <v>Dedicated</v>
      </c>
    </row>
    <row r="336" spans="1:16" x14ac:dyDescent="0.45">
      <c r="A336" t="s">
        <v>5431</v>
      </c>
      <c r="B336" t="s">
        <v>5431</v>
      </c>
      <c r="C336" t="s">
        <v>5497</v>
      </c>
      <c r="D336" t="s">
        <v>6010</v>
      </c>
      <c r="E336" t="s">
        <v>6461</v>
      </c>
      <c r="F336" t="s">
        <v>13460</v>
      </c>
      <c r="G336" t="s">
        <v>13538</v>
      </c>
      <c r="H336" t="s">
        <v>13539</v>
      </c>
      <c r="I336" t="s">
        <v>6479</v>
      </c>
      <c r="J336" t="s">
        <v>13463</v>
      </c>
      <c r="K336">
        <v>1</v>
      </c>
      <c r="L336" t="s">
        <v>13536</v>
      </c>
      <c r="M336" t="s">
        <v>20</v>
      </c>
      <c r="N336" t="str">
        <f>_xlfn.XLOOKUP(C:C,'Resource Table'!A:A,'Resource Table'!B:B,"NOT FOUND",0,1)</f>
        <v>Dedicated</v>
      </c>
      <c r="O336" t="str">
        <f>_xlfn.XLOOKUP(N:N,'Resource Table'!B:B,'Resource Table'!C:C,"n/a",0,1)</f>
        <v>AFS Dedicated Tech</v>
      </c>
      <c r="P336" t="str">
        <f>_xlfn.XLOOKUP(N:N,'Resource Table'!B:B,'Resource Table'!D:D,"n/a",0,1)</f>
        <v>Dedicated</v>
      </c>
    </row>
    <row r="337" spans="1:16" x14ac:dyDescent="0.45">
      <c r="A337" t="s">
        <v>5431</v>
      </c>
      <c r="B337" t="s">
        <v>5431</v>
      </c>
      <c r="C337" t="s">
        <v>5786</v>
      </c>
      <c r="D337" t="s">
        <v>513</v>
      </c>
      <c r="E337" t="s">
        <v>6451</v>
      </c>
      <c r="F337" t="s">
        <v>13473</v>
      </c>
      <c r="G337" t="s">
        <v>13474</v>
      </c>
      <c r="H337" t="s">
        <v>13521</v>
      </c>
      <c r="I337" t="s">
        <v>6479</v>
      </c>
      <c r="J337" t="s">
        <v>13463</v>
      </c>
      <c r="K337">
        <v>2</v>
      </c>
      <c r="L337" t="s">
        <v>13512</v>
      </c>
      <c r="M337" t="s">
        <v>13466</v>
      </c>
      <c r="N337" t="str">
        <f>_xlfn.XLOOKUP(C:C,'Resource Table'!A:A,'Resource Table'!B:B,"NOT FOUND",0,1)</f>
        <v>Brittany Williams</v>
      </c>
      <c r="O337" t="str">
        <f>_xlfn.XLOOKUP(N:N,'Resource Table'!B:B,'Resource Table'!C:C,"n/a",0,1)</f>
        <v>bwilliams5@ameritfleet.com</v>
      </c>
      <c r="P337" t="str">
        <f>_xlfn.XLOOKUP(N:N,'Resource Table'!B:B,'Resource Table'!D:D,"n/a",0,1)</f>
        <v>Vended Repair</v>
      </c>
    </row>
    <row r="338" spans="1:16" x14ac:dyDescent="0.45">
      <c r="A338" t="s">
        <v>5431</v>
      </c>
      <c r="B338" t="s">
        <v>5431</v>
      </c>
      <c r="C338" t="s">
        <v>5786</v>
      </c>
      <c r="D338" t="s">
        <v>6218</v>
      </c>
      <c r="E338" t="s">
        <v>6451</v>
      </c>
      <c r="F338" t="s">
        <v>13460</v>
      </c>
      <c r="G338" t="s">
        <v>13476</v>
      </c>
      <c r="H338" t="s">
        <v>13531</v>
      </c>
      <c r="I338" t="s">
        <v>6479</v>
      </c>
      <c r="J338" t="s">
        <v>13463</v>
      </c>
      <c r="K338">
        <v>3</v>
      </c>
      <c r="L338" t="s">
        <v>13544</v>
      </c>
      <c r="M338" t="s">
        <v>13505</v>
      </c>
      <c r="N338" t="str">
        <f>_xlfn.XLOOKUP(C:C,'Resource Table'!A:A,'Resource Table'!B:B,"NOT FOUND",0,1)</f>
        <v>Brittany Williams</v>
      </c>
      <c r="O338" t="str">
        <f>_xlfn.XLOOKUP(N:N,'Resource Table'!B:B,'Resource Table'!C:C,"n/a",0,1)</f>
        <v>bwilliams5@ameritfleet.com</v>
      </c>
      <c r="P338" t="str">
        <f>_xlfn.XLOOKUP(N:N,'Resource Table'!B:B,'Resource Table'!D:D,"n/a",0,1)</f>
        <v>Vended Repair</v>
      </c>
    </row>
    <row r="339" spans="1:16" x14ac:dyDescent="0.45">
      <c r="A339" t="s">
        <v>5431</v>
      </c>
      <c r="B339" t="s">
        <v>5431</v>
      </c>
      <c r="C339" t="s">
        <v>5786</v>
      </c>
      <c r="D339" t="s">
        <v>1395</v>
      </c>
      <c r="E339" t="s">
        <v>6451</v>
      </c>
      <c r="F339" t="s">
        <v>13514</v>
      </c>
      <c r="G339" t="s">
        <v>13557</v>
      </c>
      <c r="H339" t="s">
        <v>13565</v>
      </c>
      <c r="I339" t="s">
        <v>6479</v>
      </c>
      <c r="J339" t="s">
        <v>13463</v>
      </c>
      <c r="K339">
        <v>1</v>
      </c>
      <c r="L339" t="s">
        <v>13512</v>
      </c>
      <c r="M339" t="s">
        <v>13493</v>
      </c>
      <c r="N339" t="str">
        <f>_xlfn.XLOOKUP(C:C,'Resource Table'!A:A,'Resource Table'!B:B,"NOT FOUND",0,1)</f>
        <v>Brittany Williams</v>
      </c>
      <c r="O339" t="str">
        <f>_xlfn.XLOOKUP(N:N,'Resource Table'!B:B,'Resource Table'!C:C,"n/a",0,1)</f>
        <v>bwilliams5@ameritfleet.com</v>
      </c>
      <c r="P339" t="str">
        <f>_xlfn.XLOOKUP(N:N,'Resource Table'!B:B,'Resource Table'!D:D,"n/a",0,1)</f>
        <v>Vended Repair</v>
      </c>
    </row>
    <row r="340" spans="1:16" x14ac:dyDescent="0.45">
      <c r="A340" t="s">
        <v>5431</v>
      </c>
      <c r="B340" t="s">
        <v>5431</v>
      </c>
      <c r="C340" t="s">
        <v>5786</v>
      </c>
      <c r="D340" t="s">
        <v>6011</v>
      </c>
      <c r="E340" t="s">
        <v>6461</v>
      </c>
      <c r="F340" t="s">
        <v>13460</v>
      </c>
      <c r="G340" t="s">
        <v>13538</v>
      </c>
      <c r="H340" t="s">
        <v>13539</v>
      </c>
      <c r="I340" t="s">
        <v>6479</v>
      </c>
      <c r="J340" t="s">
        <v>13463</v>
      </c>
      <c r="K340">
        <v>3</v>
      </c>
      <c r="L340" t="s">
        <v>13512</v>
      </c>
      <c r="M340" t="s">
        <v>13505</v>
      </c>
      <c r="N340" t="str">
        <f>_xlfn.XLOOKUP(C:C,'Resource Table'!A:A,'Resource Table'!B:B,"NOT FOUND",0,1)</f>
        <v>Brittany Williams</v>
      </c>
      <c r="O340" t="str">
        <f>_xlfn.XLOOKUP(N:N,'Resource Table'!B:B,'Resource Table'!C:C,"n/a",0,1)</f>
        <v>bwilliams5@ameritfleet.com</v>
      </c>
      <c r="P340" t="str">
        <f>_xlfn.XLOOKUP(N:N,'Resource Table'!B:B,'Resource Table'!D:D,"n/a",0,1)</f>
        <v>Vended Repair</v>
      </c>
    </row>
    <row r="341" spans="1:16" x14ac:dyDescent="0.45">
      <c r="A341" t="s">
        <v>5431</v>
      </c>
      <c r="B341" t="s">
        <v>5431</v>
      </c>
      <c r="C341" t="s">
        <v>5786</v>
      </c>
      <c r="D341" t="s">
        <v>6074</v>
      </c>
      <c r="E341" t="s">
        <v>6461</v>
      </c>
      <c r="F341" t="s">
        <v>13460</v>
      </c>
      <c r="G341" t="s">
        <v>13481</v>
      </c>
      <c r="H341" t="s">
        <v>13511</v>
      </c>
      <c r="I341" t="s">
        <v>6479</v>
      </c>
      <c r="J341" t="s">
        <v>13463</v>
      </c>
      <c r="K341">
        <v>2</v>
      </c>
      <c r="L341" t="s">
        <v>13536</v>
      </c>
      <c r="M341" t="s">
        <v>13505</v>
      </c>
      <c r="N341" t="str">
        <f>_xlfn.XLOOKUP(C:C,'Resource Table'!A:A,'Resource Table'!B:B,"NOT FOUND",0,1)</f>
        <v>Brittany Williams</v>
      </c>
      <c r="O341" t="str">
        <f>_xlfn.XLOOKUP(N:N,'Resource Table'!B:B,'Resource Table'!C:C,"n/a",0,1)</f>
        <v>bwilliams5@ameritfleet.com</v>
      </c>
      <c r="P341" t="str">
        <f>_xlfn.XLOOKUP(N:N,'Resource Table'!B:B,'Resource Table'!D:D,"n/a",0,1)</f>
        <v>Vended Repair</v>
      </c>
    </row>
    <row r="342" spans="1:16" x14ac:dyDescent="0.45">
      <c r="A342" t="s">
        <v>5431</v>
      </c>
      <c r="B342" t="s">
        <v>5431</v>
      </c>
      <c r="C342" t="s">
        <v>5786</v>
      </c>
      <c r="D342" t="s">
        <v>1282</v>
      </c>
      <c r="E342" t="s">
        <v>6451</v>
      </c>
      <c r="F342" t="s">
        <v>13473</v>
      </c>
      <c r="G342" t="s">
        <v>13474</v>
      </c>
      <c r="H342" t="s">
        <v>13475</v>
      </c>
      <c r="I342" t="s">
        <v>6479</v>
      </c>
      <c r="J342" t="s">
        <v>13463</v>
      </c>
      <c r="K342">
        <v>4</v>
      </c>
      <c r="L342" t="s">
        <v>13536</v>
      </c>
      <c r="M342" t="s">
        <v>13468</v>
      </c>
      <c r="N342" t="str">
        <f>_xlfn.XLOOKUP(C:C,'Resource Table'!A:A,'Resource Table'!B:B,"NOT FOUND",0,1)</f>
        <v>Brittany Williams</v>
      </c>
      <c r="O342" t="str">
        <f>_xlfn.XLOOKUP(N:N,'Resource Table'!B:B,'Resource Table'!C:C,"n/a",0,1)</f>
        <v>bwilliams5@ameritfleet.com</v>
      </c>
      <c r="P342" t="str">
        <f>_xlfn.XLOOKUP(N:N,'Resource Table'!B:B,'Resource Table'!D:D,"n/a",0,1)</f>
        <v>Vended Repair</v>
      </c>
    </row>
    <row r="343" spans="1:16" x14ac:dyDescent="0.45">
      <c r="A343" t="s">
        <v>5431</v>
      </c>
      <c r="B343" t="s">
        <v>5431</v>
      </c>
      <c r="C343" t="s">
        <v>5532</v>
      </c>
      <c r="D343" t="s">
        <v>11044</v>
      </c>
      <c r="E343" t="s">
        <v>6451</v>
      </c>
      <c r="F343" t="s">
        <v>13460</v>
      </c>
      <c r="G343" t="s">
        <v>13476</v>
      </c>
      <c r="H343" t="s">
        <v>13531</v>
      </c>
      <c r="I343" t="s">
        <v>6479</v>
      </c>
      <c r="J343" t="s">
        <v>13463</v>
      </c>
      <c r="K343">
        <v>1</v>
      </c>
      <c r="L343" t="s">
        <v>13566</v>
      </c>
      <c r="M343" t="s">
        <v>13505</v>
      </c>
      <c r="N343" t="str">
        <f>_xlfn.XLOOKUP(C:C,'Resource Table'!A:A,'Resource Table'!B:B,"NOT FOUND",0,1)</f>
        <v>Brittany Williams</v>
      </c>
      <c r="O343" t="str">
        <f>_xlfn.XLOOKUP(N:N,'Resource Table'!B:B,'Resource Table'!C:C,"n/a",0,1)</f>
        <v>bwilliams5@ameritfleet.com</v>
      </c>
      <c r="P343" t="str">
        <f>_xlfn.XLOOKUP(N:N,'Resource Table'!B:B,'Resource Table'!D:D,"n/a",0,1)</f>
        <v>Vended Repair</v>
      </c>
    </row>
    <row r="344" spans="1:16" x14ac:dyDescent="0.45">
      <c r="A344" t="s">
        <v>5431</v>
      </c>
      <c r="B344" t="s">
        <v>5431</v>
      </c>
      <c r="C344" t="s">
        <v>5532</v>
      </c>
      <c r="D344" t="s">
        <v>3099</v>
      </c>
      <c r="E344" t="s">
        <v>6451</v>
      </c>
      <c r="F344" t="s">
        <v>13460</v>
      </c>
      <c r="G344" t="s">
        <v>13476</v>
      </c>
      <c r="H344" t="s">
        <v>13477</v>
      </c>
      <c r="I344" t="s">
        <v>6479</v>
      </c>
      <c r="J344" t="s">
        <v>13463</v>
      </c>
      <c r="K344">
        <v>0</v>
      </c>
      <c r="L344" t="s">
        <v>20</v>
      </c>
      <c r="M344" t="s">
        <v>20</v>
      </c>
      <c r="N344" t="str">
        <f>_xlfn.XLOOKUP(C:C,'Resource Table'!A:A,'Resource Table'!B:B,"NOT FOUND",0,1)</f>
        <v>Brittany Williams</v>
      </c>
      <c r="O344" t="str">
        <f>_xlfn.XLOOKUP(N:N,'Resource Table'!B:B,'Resource Table'!C:C,"n/a",0,1)</f>
        <v>bwilliams5@ameritfleet.com</v>
      </c>
      <c r="P344" t="str">
        <f>_xlfn.XLOOKUP(N:N,'Resource Table'!B:B,'Resource Table'!D:D,"n/a",0,1)</f>
        <v>Vended Repair</v>
      </c>
    </row>
    <row r="345" spans="1:16" x14ac:dyDescent="0.45">
      <c r="A345" t="s">
        <v>5431</v>
      </c>
      <c r="B345" t="s">
        <v>5431</v>
      </c>
      <c r="C345" t="s">
        <v>5532</v>
      </c>
      <c r="D345" t="s">
        <v>4591</v>
      </c>
      <c r="E345" t="s">
        <v>6461</v>
      </c>
      <c r="F345" t="s">
        <v>13460</v>
      </c>
      <c r="G345" t="s">
        <v>13481</v>
      </c>
      <c r="H345" t="s">
        <v>13511</v>
      </c>
      <c r="I345" t="s">
        <v>6479</v>
      </c>
      <c r="J345" t="s">
        <v>13463</v>
      </c>
      <c r="K345">
        <v>1</v>
      </c>
      <c r="L345" t="s">
        <v>13524</v>
      </c>
      <c r="M345" t="s">
        <v>13535</v>
      </c>
      <c r="N345" t="str">
        <f>_xlfn.XLOOKUP(C:C,'Resource Table'!A:A,'Resource Table'!B:B,"NOT FOUND",0,1)</f>
        <v>Brittany Williams</v>
      </c>
      <c r="O345" t="str">
        <f>_xlfn.XLOOKUP(N:N,'Resource Table'!B:B,'Resource Table'!C:C,"n/a",0,1)</f>
        <v>bwilliams5@ameritfleet.com</v>
      </c>
      <c r="P345" t="str">
        <f>_xlfn.XLOOKUP(N:N,'Resource Table'!B:B,'Resource Table'!D:D,"n/a",0,1)</f>
        <v>Vended Repair</v>
      </c>
    </row>
    <row r="346" spans="1:16" x14ac:dyDescent="0.45">
      <c r="A346" t="s">
        <v>5431</v>
      </c>
      <c r="B346" t="s">
        <v>5431</v>
      </c>
      <c r="C346" t="s">
        <v>5532</v>
      </c>
      <c r="D346" t="s">
        <v>5873</v>
      </c>
      <c r="E346" t="s">
        <v>6451</v>
      </c>
      <c r="F346" t="s">
        <v>13473</v>
      </c>
      <c r="G346" t="s">
        <v>13474</v>
      </c>
      <c r="H346" t="s">
        <v>13475</v>
      </c>
      <c r="I346" t="s">
        <v>6479</v>
      </c>
      <c r="J346" t="s">
        <v>13463</v>
      </c>
      <c r="K346">
        <v>1</v>
      </c>
      <c r="L346" t="s">
        <v>13566</v>
      </c>
      <c r="M346" t="s">
        <v>13505</v>
      </c>
      <c r="N346" t="str">
        <f>_xlfn.XLOOKUP(C:C,'Resource Table'!A:A,'Resource Table'!B:B,"NOT FOUND",0,1)</f>
        <v>Brittany Williams</v>
      </c>
      <c r="O346" t="str">
        <f>_xlfn.XLOOKUP(N:N,'Resource Table'!B:B,'Resource Table'!C:C,"n/a",0,1)</f>
        <v>bwilliams5@ameritfleet.com</v>
      </c>
      <c r="P346" t="str">
        <f>_xlfn.XLOOKUP(N:N,'Resource Table'!B:B,'Resource Table'!D:D,"n/a",0,1)</f>
        <v>Vended Repair</v>
      </c>
    </row>
    <row r="347" spans="1:16" x14ac:dyDescent="0.45">
      <c r="A347" t="s">
        <v>5431</v>
      </c>
      <c r="B347" t="s">
        <v>5431</v>
      </c>
      <c r="C347" t="s">
        <v>5532</v>
      </c>
      <c r="D347" t="s">
        <v>10983</v>
      </c>
      <c r="E347" t="s">
        <v>6451</v>
      </c>
      <c r="F347" t="s">
        <v>13460</v>
      </c>
      <c r="G347" t="s">
        <v>13476</v>
      </c>
      <c r="H347" t="s">
        <v>13477</v>
      </c>
      <c r="I347" t="s">
        <v>6479</v>
      </c>
      <c r="J347" t="s">
        <v>13463</v>
      </c>
      <c r="K347">
        <v>1</v>
      </c>
      <c r="L347" t="s">
        <v>13566</v>
      </c>
      <c r="M347" t="s">
        <v>13505</v>
      </c>
      <c r="N347" t="str">
        <f>_xlfn.XLOOKUP(C:C,'Resource Table'!A:A,'Resource Table'!B:B,"NOT FOUND",0,1)</f>
        <v>Brittany Williams</v>
      </c>
      <c r="O347" t="str">
        <f>_xlfn.XLOOKUP(N:N,'Resource Table'!B:B,'Resource Table'!C:C,"n/a",0,1)</f>
        <v>bwilliams5@ameritfleet.com</v>
      </c>
      <c r="P347" t="str">
        <f>_xlfn.XLOOKUP(N:N,'Resource Table'!B:B,'Resource Table'!D:D,"n/a",0,1)</f>
        <v>Vended Repair</v>
      </c>
    </row>
    <row r="348" spans="1:16" x14ac:dyDescent="0.45">
      <c r="A348" t="s">
        <v>5431</v>
      </c>
      <c r="B348" t="s">
        <v>5431</v>
      </c>
      <c r="C348" t="s">
        <v>5532</v>
      </c>
      <c r="D348" t="s">
        <v>4134</v>
      </c>
      <c r="E348" t="s">
        <v>6451</v>
      </c>
      <c r="F348" t="s">
        <v>13460</v>
      </c>
      <c r="G348" t="s">
        <v>13550</v>
      </c>
      <c r="H348" t="s">
        <v>13551</v>
      </c>
      <c r="I348" t="s">
        <v>6479</v>
      </c>
      <c r="J348" t="s">
        <v>13463</v>
      </c>
      <c r="K348">
        <v>2</v>
      </c>
      <c r="L348" t="s">
        <v>13566</v>
      </c>
      <c r="M348" t="s">
        <v>13505</v>
      </c>
      <c r="N348" t="str">
        <f>_xlfn.XLOOKUP(C:C,'Resource Table'!A:A,'Resource Table'!B:B,"NOT FOUND",0,1)</f>
        <v>Brittany Williams</v>
      </c>
      <c r="O348" t="str">
        <f>_xlfn.XLOOKUP(N:N,'Resource Table'!B:B,'Resource Table'!C:C,"n/a",0,1)</f>
        <v>bwilliams5@ameritfleet.com</v>
      </c>
      <c r="P348" t="str">
        <f>_xlfn.XLOOKUP(N:N,'Resource Table'!B:B,'Resource Table'!D:D,"n/a",0,1)</f>
        <v>Vended Repair</v>
      </c>
    </row>
    <row r="349" spans="1:16" x14ac:dyDescent="0.45">
      <c r="A349" t="s">
        <v>5431</v>
      </c>
      <c r="B349" t="s">
        <v>5431</v>
      </c>
      <c r="C349" t="s">
        <v>5532</v>
      </c>
      <c r="D349" t="s">
        <v>3948</v>
      </c>
      <c r="E349" t="s">
        <v>6461</v>
      </c>
      <c r="F349" t="s">
        <v>13460</v>
      </c>
      <c r="G349" t="s">
        <v>13481</v>
      </c>
      <c r="H349" t="s">
        <v>13490</v>
      </c>
      <c r="I349" t="s">
        <v>6479</v>
      </c>
      <c r="J349" t="s">
        <v>13463</v>
      </c>
      <c r="K349">
        <v>2</v>
      </c>
      <c r="L349" t="s">
        <v>13524</v>
      </c>
      <c r="M349" t="s">
        <v>13505</v>
      </c>
      <c r="N349" t="str">
        <f>_xlfn.XLOOKUP(C:C,'Resource Table'!A:A,'Resource Table'!B:B,"NOT FOUND",0,1)</f>
        <v>Brittany Williams</v>
      </c>
      <c r="O349" t="str">
        <f>_xlfn.XLOOKUP(N:N,'Resource Table'!B:B,'Resource Table'!C:C,"n/a",0,1)</f>
        <v>bwilliams5@ameritfleet.com</v>
      </c>
      <c r="P349" t="str">
        <f>_xlfn.XLOOKUP(N:N,'Resource Table'!B:B,'Resource Table'!D:D,"n/a",0,1)</f>
        <v>Vended Repair</v>
      </c>
    </row>
    <row r="350" spans="1:16" x14ac:dyDescent="0.45">
      <c r="A350" t="s">
        <v>5431</v>
      </c>
      <c r="B350" t="s">
        <v>5431</v>
      </c>
      <c r="C350" t="s">
        <v>5532</v>
      </c>
      <c r="D350" t="s">
        <v>10970</v>
      </c>
      <c r="E350" t="s">
        <v>6451</v>
      </c>
      <c r="F350" t="s">
        <v>13460</v>
      </c>
      <c r="G350" t="s">
        <v>13461</v>
      </c>
      <c r="H350" t="s">
        <v>13555</v>
      </c>
      <c r="I350" t="s">
        <v>6479</v>
      </c>
      <c r="J350" t="s">
        <v>13463</v>
      </c>
      <c r="K350">
        <v>1</v>
      </c>
      <c r="L350" t="s">
        <v>13566</v>
      </c>
      <c r="M350" t="s">
        <v>13505</v>
      </c>
      <c r="N350" t="str">
        <f>_xlfn.XLOOKUP(C:C,'Resource Table'!A:A,'Resource Table'!B:B,"NOT FOUND",0,1)</f>
        <v>Brittany Williams</v>
      </c>
      <c r="O350" t="str">
        <f>_xlfn.XLOOKUP(N:N,'Resource Table'!B:B,'Resource Table'!C:C,"n/a",0,1)</f>
        <v>bwilliams5@ameritfleet.com</v>
      </c>
      <c r="P350" t="str">
        <f>_xlfn.XLOOKUP(N:N,'Resource Table'!B:B,'Resource Table'!D:D,"n/a",0,1)</f>
        <v>Vended Repair</v>
      </c>
    </row>
    <row r="351" spans="1:16" x14ac:dyDescent="0.45">
      <c r="A351" t="s">
        <v>5431</v>
      </c>
      <c r="B351" t="s">
        <v>5431</v>
      </c>
      <c r="C351" t="s">
        <v>5532</v>
      </c>
      <c r="D351" t="s">
        <v>3300</v>
      </c>
      <c r="E351" t="s">
        <v>6451</v>
      </c>
      <c r="F351" t="s">
        <v>13460</v>
      </c>
      <c r="G351" t="s">
        <v>13476</v>
      </c>
      <c r="H351" t="s">
        <v>13531</v>
      </c>
      <c r="I351" t="s">
        <v>6479</v>
      </c>
      <c r="J351" t="s">
        <v>13463</v>
      </c>
      <c r="K351">
        <v>2</v>
      </c>
      <c r="L351" t="s">
        <v>13524</v>
      </c>
      <c r="M351" t="s">
        <v>13505</v>
      </c>
      <c r="N351" t="str">
        <f>_xlfn.XLOOKUP(C:C,'Resource Table'!A:A,'Resource Table'!B:B,"NOT FOUND",0,1)</f>
        <v>Brittany Williams</v>
      </c>
      <c r="O351" t="str">
        <f>_xlfn.XLOOKUP(N:N,'Resource Table'!B:B,'Resource Table'!C:C,"n/a",0,1)</f>
        <v>bwilliams5@ameritfleet.com</v>
      </c>
      <c r="P351" t="str">
        <f>_xlfn.XLOOKUP(N:N,'Resource Table'!B:B,'Resource Table'!D:D,"n/a",0,1)</f>
        <v>Vended Repair</v>
      </c>
    </row>
    <row r="352" spans="1:16" x14ac:dyDescent="0.45">
      <c r="A352" t="s">
        <v>5431</v>
      </c>
      <c r="B352" t="s">
        <v>5431</v>
      </c>
      <c r="C352" t="s">
        <v>5532</v>
      </c>
      <c r="D352" t="s">
        <v>3213</v>
      </c>
      <c r="E352" t="s">
        <v>6451</v>
      </c>
      <c r="F352" t="s">
        <v>13473</v>
      </c>
      <c r="G352" t="s">
        <v>13474</v>
      </c>
      <c r="H352" t="s">
        <v>13475</v>
      </c>
      <c r="I352" t="s">
        <v>6479</v>
      </c>
      <c r="J352" t="s">
        <v>13463</v>
      </c>
      <c r="K352">
        <v>0</v>
      </c>
      <c r="L352" t="s">
        <v>20</v>
      </c>
      <c r="M352" t="s">
        <v>20</v>
      </c>
      <c r="N352" t="str">
        <f>_xlfn.XLOOKUP(C:C,'Resource Table'!A:A,'Resource Table'!B:B,"NOT FOUND",0,1)</f>
        <v>Brittany Williams</v>
      </c>
      <c r="O352" t="str">
        <f>_xlfn.XLOOKUP(N:N,'Resource Table'!B:B,'Resource Table'!C:C,"n/a",0,1)</f>
        <v>bwilliams5@ameritfleet.com</v>
      </c>
      <c r="P352" t="str">
        <f>_xlfn.XLOOKUP(N:N,'Resource Table'!B:B,'Resource Table'!D:D,"n/a",0,1)</f>
        <v>Vended Repair</v>
      </c>
    </row>
    <row r="353" spans="1:16" x14ac:dyDescent="0.45">
      <c r="A353" t="s">
        <v>5431</v>
      </c>
      <c r="B353" t="s">
        <v>5431</v>
      </c>
      <c r="C353" t="s">
        <v>5543</v>
      </c>
      <c r="D353" t="s">
        <v>5454</v>
      </c>
      <c r="E353" t="s">
        <v>6451</v>
      </c>
      <c r="F353" t="s">
        <v>13473</v>
      </c>
      <c r="G353" t="s">
        <v>13474</v>
      </c>
      <c r="H353" t="s">
        <v>13492</v>
      </c>
      <c r="I353" t="s">
        <v>6479</v>
      </c>
      <c r="J353" t="s">
        <v>13463</v>
      </c>
      <c r="K353">
        <v>2</v>
      </c>
      <c r="L353" t="s">
        <v>13487</v>
      </c>
      <c r="M353" t="s">
        <v>20</v>
      </c>
      <c r="N353" t="str">
        <f>_xlfn.XLOOKUP(C:C,'Resource Table'!A:A,'Resource Table'!B:B,"NOT FOUND",0,1)</f>
        <v>Dedicated</v>
      </c>
      <c r="O353" t="str">
        <f>_xlfn.XLOOKUP(N:N,'Resource Table'!B:B,'Resource Table'!C:C,"n/a",0,1)</f>
        <v>AFS Dedicated Tech</v>
      </c>
      <c r="P353" t="str">
        <f>_xlfn.XLOOKUP(N:N,'Resource Table'!B:B,'Resource Table'!D:D,"n/a",0,1)</f>
        <v>Dedicated</v>
      </c>
    </row>
    <row r="354" spans="1:16" x14ac:dyDescent="0.45">
      <c r="A354" t="s">
        <v>5431</v>
      </c>
      <c r="B354" t="s">
        <v>5431</v>
      </c>
      <c r="C354" t="s">
        <v>5543</v>
      </c>
      <c r="D354" t="s">
        <v>5581</v>
      </c>
      <c r="E354" t="s">
        <v>6451</v>
      </c>
      <c r="F354" t="s">
        <v>13460</v>
      </c>
      <c r="G354" t="s">
        <v>13476</v>
      </c>
      <c r="H354" t="s">
        <v>13531</v>
      </c>
      <c r="I354" t="s">
        <v>29</v>
      </c>
      <c r="J354" t="s">
        <v>13463</v>
      </c>
      <c r="K354">
        <v>1</v>
      </c>
      <c r="L354" t="s">
        <v>13487</v>
      </c>
      <c r="M354" t="s">
        <v>20</v>
      </c>
      <c r="N354" t="str">
        <f>_xlfn.XLOOKUP(C:C,'Resource Table'!A:A,'Resource Table'!B:B,"NOT FOUND",0,1)</f>
        <v>Dedicated</v>
      </c>
      <c r="O354" t="str">
        <f>_xlfn.XLOOKUP(N:N,'Resource Table'!B:B,'Resource Table'!C:C,"n/a",0,1)</f>
        <v>AFS Dedicated Tech</v>
      </c>
      <c r="P354" t="str">
        <f>_xlfn.XLOOKUP(N:N,'Resource Table'!B:B,'Resource Table'!D:D,"n/a",0,1)</f>
        <v>Dedicated</v>
      </c>
    </row>
    <row r="355" spans="1:16" x14ac:dyDescent="0.45">
      <c r="A355" t="s">
        <v>5431</v>
      </c>
      <c r="B355" t="s">
        <v>5431</v>
      </c>
      <c r="C355" t="s">
        <v>5543</v>
      </c>
      <c r="D355" t="s">
        <v>6271</v>
      </c>
      <c r="E355" t="s">
        <v>6451</v>
      </c>
      <c r="F355" t="s">
        <v>13460</v>
      </c>
      <c r="G355" t="s">
        <v>13461</v>
      </c>
      <c r="H355" t="s">
        <v>13465</v>
      </c>
      <c r="I355" t="s">
        <v>6479</v>
      </c>
      <c r="J355" t="s">
        <v>13463</v>
      </c>
      <c r="K355">
        <v>1</v>
      </c>
      <c r="L355" t="s">
        <v>13493</v>
      </c>
      <c r="M355" t="s">
        <v>20</v>
      </c>
      <c r="N355" t="str">
        <f>_xlfn.XLOOKUP(C:C,'Resource Table'!A:A,'Resource Table'!B:B,"NOT FOUND",0,1)</f>
        <v>Dedicated</v>
      </c>
      <c r="O355" t="str">
        <f>_xlfn.XLOOKUP(N:N,'Resource Table'!B:B,'Resource Table'!C:C,"n/a",0,1)</f>
        <v>AFS Dedicated Tech</v>
      </c>
      <c r="P355" t="str">
        <f>_xlfn.XLOOKUP(N:N,'Resource Table'!B:B,'Resource Table'!D:D,"n/a",0,1)</f>
        <v>Dedicated</v>
      </c>
    </row>
    <row r="356" spans="1:16" x14ac:dyDescent="0.45">
      <c r="A356" t="s">
        <v>5431</v>
      </c>
      <c r="B356" t="s">
        <v>5431</v>
      </c>
      <c r="C356" t="s">
        <v>5543</v>
      </c>
      <c r="D356" t="s">
        <v>5544</v>
      </c>
      <c r="E356" t="s">
        <v>6461</v>
      </c>
      <c r="F356" t="s">
        <v>13460</v>
      </c>
      <c r="G356" t="s">
        <v>13481</v>
      </c>
      <c r="H356" t="s">
        <v>13490</v>
      </c>
      <c r="I356" t="s">
        <v>29</v>
      </c>
      <c r="J356" t="s">
        <v>13486</v>
      </c>
      <c r="K356">
        <v>2</v>
      </c>
      <c r="L356" t="s">
        <v>13507</v>
      </c>
      <c r="M356" t="s">
        <v>20</v>
      </c>
      <c r="N356" t="str">
        <f>_xlfn.XLOOKUP(C:C,'Resource Table'!A:A,'Resource Table'!B:B,"NOT FOUND",0,1)</f>
        <v>Dedicated</v>
      </c>
      <c r="O356" t="str">
        <f>_xlfn.XLOOKUP(N:N,'Resource Table'!B:B,'Resource Table'!C:C,"n/a",0,1)</f>
        <v>AFS Dedicated Tech</v>
      </c>
      <c r="P356" t="str">
        <f>_xlfn.XLOOKUP(N:N,'Resource Table'!B:B,'Resource Table'!D:D,"n/a",0,1)</f>
        <v>Dedicated</v>
      </c>
    </row>
    <row r="357" spans="1:16" x14ac:dyDescent="0.45">
      <c r="A357" t="s">
        <v>5431</v>
      </c>
      <c r="B357" t="s">
        <v>5431</v>
      </c>
      <c r="C357" t="s">
        <v>5543</v>
      </c>
      <c r="D357" t="s">
        <v>5781</v>
      </c>
      <c r="E357" t="s">
        <v>6451</v>
      </c>
      <c r="F357" t="s">
        <v>13473</v>
      </c>
      <c r="G357" t="s">
        <v>13474</v>
      </c>
      <c r="H357" t="s">
        <v>13521</v>
      </c>
      <c r="I357" t="s">
        <v>6479</v>
      </c>
      <c r="J357" t="s">
        <v>13463</v>
      </c>
      <c r="K357">
        <v>1</v>
      </c>
      <c r="L357" t="s">
        <v>13472</v>
      </c>
      <c r="M357" t="s">
        <v>13507</v>
      </c>
      <c r="N357" t="str">
        <f>_xlfn.XLOOKUP(C:C,'Resource Table'!A:A,'Resource Table'!B:B,"NOT FOUND",0,1)</f>
        <v>Dedicated</v>
      </c>
      <c r="O357" t="str">
        <f>_xlfn.XLOOKUP(N:N,'Resource Table'!B:B,'Resource Table'!C:C,"n/a",0,1)</f>
        <v>AFS Dedicated Tech</v>
      </c>
      <c r="P357" t="str">
        <f>_xlfn.XLOOKUP(N:N,'Resource Table'!B:B,'Resource Table'!D:D,"n/a",0,1)</f>
        <v>Dedicated</v>
      </c>
    </row>
    <row r="358" spans="1:16" x14ac:dyDescent="0.45">
      <c r="A358" t="s">
        <v>5431</v>
      </c>
      <c r="B358" t="s">
        <v>5431</v>
      </c>
      <c r="C358" t="s">
        <v>5543</v>
      </c>
      <c r="D358" t="s">
        <v>5602</v>
      </c>
      <c r="E358" t="s">
        <v>6451</v>
      </c>
      <c r="F358" t="s">
        <v>13460</v>
      </c>
      <c r="G358" t="s">
        <v>13476</v>
      </c>
      <c r="H358" t="s">
        <v>13477</v>
      </c>
      <c r="I358" t="s">
        <v>29</v>
      </c>
      <c r="J358" t="s">
        <v>13463</v>
      </c>
      <c r="K358">
        <v>2</v>
      </c>
      <c r="L358" t="s">
        <v>13499</v>
      </c>
      <c r="M358" t="s">
        <v>13544</v>
      </c>
      <c r="N358" t="str">
        <f>_xlfn.XLOOKUP(C:C,'Resource Table'!A:A,'Resource Table'!B:B,"NOT FOUND",0,1)</f>
        <v>Dedicated</v>
      </c>
      <c r="O358" t="str">
        <f>_xlfn.XLOOKUP(N:N,'Resource Table'!B:B,'Resource Table'!C:C,"n/a",0,1)</f>
        <v>AFS Dedicated Tech</v>
      </c>
      <c r="P358" t="str">
        <f>_xlfn.XLOOKUP(N:N,'Resource Table'!B:B,'Resource Table'!D:D,"n/a",0,1)</f>
        <v>Dedicated</v>
      </c>
    </row>
    <row r="359" spans="1:16" x14ac:dyDescent="0.45">
      <c r="A359" t="s">
        <v>5431</v>
      </c>
      <c r="B359" t="s">
        <v>5431</v>
      </c>
      <c r="C359" t="s">
        <v>5543</v>
      </c>
      <c r="D359" t="s">
        <v>6255</v>
      </c>
      <c r="E359" t="s">
        <v>6451</v>
      </c>
      <c r="F359" t="s">
        <v>13460</v>
      </c>
      <c r="G359" t="s">
        <v>13476</v>
      </c>
      <c r="H359" t="s">
        <v>13477</v>
      </c>
      <c r="I359" t="s">
        <v>6479</v>
      </c>
      <c r="J359" t="s">
        <v>13463</v>
      </c>
      <c r="K359">
        <v>1</v>
      </c>
      <c r="L359" t="s">
        <v>13480</v>
      </c>
      <c r="M359" t="s">
        <v>20</v>
      </c>
      <c r="N359" t="str">
        <f>_xlfn.XLOOKUP(C:C,'Resource Table'!A:A,'Resource Table'!B:B,"NOT FOUND",0,1)</f>
        <v>Dedicated</v>
      </c>
      <c r="O359" t="str">
        <f>_xlfn.XLOOKUP(N:N,'Resource Table'!B:B,'Resource Table'!C:C,"n/a",0,1)</f>
        <v>AFS Dedicated Tech</v>
      </c>
      <c r="P359" t="str">
        <f>_xlfn.XLOOKUP(N:N,'Resource Table'!B:B,'Resource Table'!D:D,"n/a",0,1)</f>
        <v>Dedicated</v>
      </c>
    </row>
    <row r="360" spans="1:16" x14ac:dyDescent="0.45">
      <c r="A360" t="s">
        <v>5431</v>
      </c>
      <c r="B360" t="s">
        <v>5431</v>
      </c>
      <c r="C360" t="s">
        <v>5543</v>
      </c>
      <c r="D360" t="s">
        <v>5833</v>
      </c>
      <c r="E360" t="s">
        <v>6451</v>
      </c>
      <c r="F360" t="s">
        <v>13473</v>
      </c>
      <c r="G360" t="s">
        <v>13474</v>
      </c>
      <c r="H360" t="s">
        <v>13475</v>
      </c>
      <c r="I360" t="s">
        <v>6479</v>
      </c>
      <c r="J360" t="s">
        <v>13463</v>
      </c>
      <c r="K360">
        <v>0</v>
      </c>
      <c r="L360" t="s">
        <v>20</v>
      </c>
      <c r="M360" t="s">
        <v>20</v>
      </c>
      <c r="N360" t="str">
        <f>_xlfn.XLOOKUP(C:C,'Resource Table'!A:A,'Resource Table'!B:B,"NOT FOUND",0,1)</f>
        <v>Dedicated</v>
      </c>
      <c r="O360" t="str">
        <f>_xlfn.XLOOKUP(N:N,'Resource Table'!B:B,'Resource Table'!C:C,"n/a",0,1)</f>
        <v>AFS Dedicated Tech</v>
      </c>
      <c r="P360" t="str">
        <f>_xlfn.XLOOKUP(N:N,'Resource Table'!B:B,'Resource Table'!D:D,"n/a",0,1)</f>
        <v>Dedicated</v>
      </c>
    </row>
    <row r="361" spans="1:16" x14ac:dyDescent="0.45">
      <c r="A361" t="s">
        <v>5431</v>
      </c>
      <c r="B361" t="s">
        <v>5431</v>
      </c>
      <c r="C361" t="s">
        <v>5543</v>
      </c>
      <c r="D361" t="s">
        <v>6388</v>
      </c>
      <c r="E361" t="s">
        <v>6451</v>
      </c>
      <c r="F361" t="s">
        <v>13460</v>
      </c>
      <c r="G361" t="s">
        <v>13461</v>
      </c>
      <c r="H361" t="s">
        <v>13471</v>
      </c>
      <c r="I361" t="s">
        <v>6479</v>
      </c>
      <c r="J361" t="s">
        <v>13463</v>
      </c>
      <c r="K361">
        <v>1</v>
      </c>
      <c r="L361" t="s">
        <v>13493</v>
      </c>
      <c r="M361" t="s">
        <v>20</v>
      </c>
      <c r="N361" t="str">
        <f>_xlfn.XLOOKUP(C:C,'Resource Table'!A:A,'Resource Table'!B:B,"NOT FOUND",0,1)</f>
        <v>Dedicated</v>
      </c>
      <c r="O361" t="str">
        <f>_xlfn.XLOOKUP(N:N,'Resource Table'!B:B,'Resource Table'!C:C,"n/a",0,1)</f>
        <v>AFS Dedicated Tech</v>
      </c>
      <c r="P361" t="str">
        <f>_xlfn.XLOOKUP(N:N,'Resource Table'!B:B,'Resource Table'!D:D,"n/a",0,1)</f>
        <v>Dedicated</v>
      </c>
    </row>
    <row r="362" spans="1:16" x14ac:dyDescent="0.45">
      <c r="A362" t="s">
        <v>5431</v>
      </c>
      <c r="B362" t="s">
        <v>5431</v>
      </c>
      <c r="C362" t="s">
        <v>5543</v>
      </c>
      <c r="D362" t="s">
        <v>13074</v>
      </c>
      <c r="E362" t="s">
        <v>6451</v>
      </c>
      <c r="F362" t="s">
        <v>13460</v>
      </c>
      <c r="G362" t="s">
        <v>13476</v>
      </c>
      <c r="H362" t="s">
        <v>13531</v>
      </c>
      <c r="I362" t="s">
        <v>6479</v>
      </c>
      <c r="J362" t="s">
        <v>13463</v>
      </c>
      <c r="K362">
        <v>0</v>
      </c>
      <c r="L362" t="s">
        <v>20</v>
      </c>
      <c r="M362" t="s">
        <v>20</v>
      </c>
      <c r="N362" t="str">
        <f>_xlfn.XLOOKUP(C:C,'Resource Table'!A:A,'Resource Table'!B:B,"NOT FOUND",0,1)</f>
        <v>Dedicated</v>
      </c>
      <c r="O362" t="str">
        <f>_xlfn.XLOOKUP(N:N,'Resource Table'!B:B,'Resource Table'!C:C,"n/a",0,1)</f>
        <v>AFS Dedicated Tech</v>
      </c>
      <c r="P362" t="str">
        <f>_xlfn.XLOOKUP(N:N,'Resource Table'!B:B,'Resource Table'!D:D,"n/a",0,1)</f>
        <v>Dedicated</v>
      </c>
    </row>
    <row r="363" spans="1:16" x14ac:dyDescent="0.45">
      <c r="A363" t="s">
        <v>5431</v>
      </c>
      <c r="B363" t="s">
        <v>5431</v>
      </c>
      <c r="C363" t="s">
        <v>5543</v>
      </c>
      <c r="D363" t="s">
        <v>5834</v>
      </c>
      <c r="E363" t="s">
        <v>6451</v>
      </c>
      <c r="F363" t="s">
        <v>13473</v>
      </c>
      <c r="G363" t="s">
        <v>13474</v>
      </c>
      <c r="H363" t="s">
        <v>13475</v>
      </c>
      <c r="I363" t="s">
        <v>6479</v>
      </c>
      <c r="J363" t="s">
        <v>13463</v>
      </c>
      <c r="K363">
        <v>0</v>
      </c>
      <c r="L363" t="s">
        <v>20</v>
      </c>
      <c r="M363" t="s">
        <v>20</v>
      </c>
      <c r="N363" t="str">
        <f>_xlfn.XLOOKUP(C:C,'Resource Table'!A:A,'Resource Table'!B:B,"NOT FOUND",0,1)</f>
        <v>Dedicated</v>
      </c>
      <c r="O363" t="str">
        <f>_xlfn.XLOOKUP(N:N,'Resource Table'!B:B,'Resource Table'!C:C,"n/a",0,1)</f>
        <v>AFS Dedicated Tech</v>
      </c>
      <c r="P363" t="str">
        <f>_xlfn.XLOOKUP(N:N,'Resource Table'!B:B,'Resource Table'!D:D,"n/a",0,1)</f>
        <v>Dedicated</v>
      </c>
    </row>
    <row r="364" spans="1:16" x14ac:dyDescent="0.45">
      <c r="A364" t="s">
        <v>5431</v>
      </c>
      <c r="B364" t="s">
        <v>5431</v>
      </c>
      <c r="C364" t="s">
        <v>5543</v>
      </c>
      <c r="D364" t="s">
        <v>13075</v>
      </c>
      <c r="E364" t="s">
        <v>6451</v>
      </c>
      <c r="F364" t="s">
        <v>13460</v>
      </c>
      <c r="G364" t="s">
        <v>13461</v>
      </c>
      <c r="H364" t="s">
        <v>13579</v>
      </c>
      <c r="I364" t="s">
        <v>6479</v>
      </c>
      <c r="J364" t="s">
        <v>13463</v>
      </c>
      <c r="K364">
        <v>0</v>
      </c>
      <c r="L364" t="s">
        <v>20</v>
      </c>
      <c r="M364" t="s">
        <v>20</v>
      </c>
      <c r="N364" t="str">
        <f>_xlfn.XLOOKUP(C:C,'Resource Table'!A:A,'Resource Table'!B:B,"NOT FOUND",0,1)</f>
        <v>Dedicated</v>
      </c>
      <c r="O364" t="str">
        <f>_xlfn.XLOOKUP(N:N,'Resource Table'!B:B,'Resource Table'!C:C,"n/a",0,1)</f>
        <v>AFS Dedicated Tech</v>
      </c>
      <c r="P364" t="str">
        <f>_xlfn.XLOOKUP(N:N,'Resource Table'!B:B,'Resource Table'!D:D,"n/a",0,1)</f>
        <v>Dedicated</v>
      </c>
    </row>
    <row r="365" spans="1:16" x14ac:dyDescent="0.45">
      <c r="A365" t="s">
        <v>5431</v>
      </c>
      <c r="B365" t="s">
        <v>5431</v>
      </c>
      <c r="C365" t="s">
        <v>5543</v>
      </c>
      <c r="D365" t="s">
        <v>13076</v>
      </c>
      <c r="E365" t="s">
        <v>6451</v>
      </c>
      <c r="F365" t="s">
        <v>13460</v>
      </c>
      <c r="G365" t="s">
        <v>13476</v>
      </c>
      <c r="H365" t="s">
        <v>13531</v>
      </c>
      <c r="I365" t="s">
        <v>6479</v>
      </c>
      <c r="J365" t="s">
        <v>13463</v>
      </c>
      <c r="K365">
        <v>0</v>
      </c>
      <c r="L365" t="s">
        <v>20</v>
      </c>
      <c r="M365" t="s">
        <v>20</v>
      </c>
      <c r="N365" t="str">
        <f>_xlfn.XLOOKUP(C:C,'Resource Table'!A:A,'Resource Table'!B:B,"NOT FOUND",0,1)</f>
        <v>Dedicated</v>
      </c>
      <c r="O365" t="str">
        <f>_xlfn.XLOOKUP(N:N,'Resource Table'!B:B,'Resource Table'!C:C,"n/a",0,1)</f>
        <v>AFS Dedicated Tech</v>
      </c>
      <c r="P365" t="str">
        <f>_xlfn.XLOOKUP(N:N,'Resource Table'!B:B,'Resource Table'!D:D,"n/a",0,1)</f>
        <v>Dedicated</v>
      </c>
    </row>
    <row r="366" spans="1:16" x14ac:dyDescent="0.45">
      <c r="A366" t="s">
        <v>5431</v>
      </c>
      <c r="B366" t="s">
        <v>5431</v>
      </c>
      <c r="C366" t="s">
        <v>5795</v>
      </c>
      <c r="D366" t="s">
        <v>6131</v>
      </c>
      <c r="E366" t="s">
        <v>6461</v>
      </c>
      <c r="F366" t="s">
        <v>13460</v>
      </c>
      <c r="G366" t="s">
        <v>13481</v>
      </c>
      <c r="H366" t="s">
        <v>13568</v>
      </c>
      <c r="I366" t="s">
        <v>6479</v>
      </c>
      <c r="J366" t="s">
        <v>13463</v>
      </c>
      <c r="K366">
        <v>0</v>
      </c>
      <c r="L366" t="s">
        <v>20</v>
      </c>
      <c r="M366" t="s">
        <v>20</v>
      </c>
      <c r="N366" t="str">
        <f>_xlfn.XLOOKUP(C:C,'Resource Table'!A:A,'Resource Table'!B:B,"NOT FOUND",0,1)</f>
        <v>Brittany Williams</v>
      </c>
      <c r="O366" t="str">
        <f>_xlfn.XLOOKUP(N:N,'Resource Table'!B:B,'Resource Table'!C:C,"n/a",0,1)</f>
        <v>bwilliams5@ameritfleet.com</v>
      </c>
      <c r="P366" t="str">
        <f>_xlfn.XLOOKUP(N:N,'Resource Table'!B:B,'Resource Table'!D:D,"n/a",0,1)</f>
        <v>Vended Repair</v>
      </c>
    </row>
    <row r="367" spans="1:16" x14ac:dyDescent="0.45">
      <c r="A367" t="s">
        <v>5431</v>
      </c>
      <c r="B367" t="s">
        <v>5431</v>
      </c>
      <c r="C367" t="s">
        <v>5795</v>
      </c>
      <c r="D367" t="s">
        <v>759</v>
      </c>
      <c r="E367" t="s">
        <v>6451</v>
      </c>
      <c r="F367" t="s">
        <v>13473</v>
      </c>
      <c r="G367" t="s">
        <v>13474</v>
      </c>
      <c r="H367" t="s">
        <v>13521</v>
      </c>
      <c r="I367" t="s">
        <v>6479</v>
      </c>
      <c r="J367" t="s">
        <v>13463</v>
      </c>
      <c r="K367">
        <v>2</v>
      </c>
      <c r="L367" t="s">
        <v>13464</v>
      </c>
      <c r="M367" t="s">
        <v>13493</v>
      </c>
      <c r="N367" t="str">
        <f>_xlfn.XLOOKUP(C:C,'Resource Table'!A:A,'Resource Table'!B:B,"NOT FOUND",0,1)</f>
        <v>Brittany Williams</v>
      </c>
      <c r="O367" t="str">
        <f>_xlfn.XLOOKUP(N:N,'Resource Table'!B:B,'Resource Table'!C:C,"n/a",0,1)</f>
        <v>bwilliams5@ameritfleet.com</v>
      </c>
      <c r="P367" t="str">
        <f>_xlfn.XLOOKUP(N:N,'Resource Table'!B:B,'Resource Table'!D:D,"n/a",0,1)</f>
        <v>Vended Repair</v>
      </c>
    </row>
    <row r="368" spans="1:16" x14ac:dyDescent="0.45">
      <c r="A368" t="s">
        <v>5431</v>
      </c>
      <c r="B368" t="s">
        <v>5431</v>
      </c>
      <c r="C368" t="s">
        <v>5795</v>
      </c>
      <c r="D368" t="s">
        <v>6132</v>
      </c>
      <c r="E368" t="s">
        <v>6461</v>
      </c>
      <c r="F368" t="s">
        <v>13460</v>
      </c>
      <c r="G368" t="s">
        <v>13481</v>
      </c>
      <c r="H368" t="s">
        <v>13568</v>
      </c>
      <c r="I368" t="s">
        <v>6479</v>
      </c>
      <c r="J368" t="s">
        <v>13463</v>
      </c>
      <c r="K368">
        <v>1</v>
      </c>
      <c r="L368" t="s">
        <v>13566</v>
      </c>
      <c r="M368" t="s">
        <v>13505</v>
      </c>
      <c r="N368" t="str">
        <f>_xlfn.XLOOKUP(C:C,'Resource Table'!A:A,'Resource Table'!B:B,"NOT FOUND",0,1)</f>
        <v>Brittany Williams</v>
      </c>
      <c r="O368" t="str">
        <f>_xlfn.XLOOKUP(N:N,'Resource Table'!B:B,'Resource Table'!C:C,"n/a",0,1)</f>
        <v>bwilliams5@ameritfleet.com</v>
      </c>
      <c r="P368" t="str">
        <f>_xlfn.XLOOKUP(N:N,'Resource Table'!B:B,'Resource Table'!D:D,"n/a",0,1)</f>
        <v>Vended Repair</v>
      </c>
    </row>
    <row r="369" spans="1:16" x14ac:dyDescent="0.45">
      <c r="A369" t="s">
        <v>5431</v>
      </c>
      <c r="B369" t="s">
        <v>5431</v>
      </c>
      <c r="C369" t="s">
        <v>5795</v>
      </c>
      <c r="D369" t="s">
        <v>6012</v>
      </c>
      <c r="E369" t="s">
        <v>6461</v>
      </c>
      <c r="F369" t="s">
        <v>13460</v>
      </c>
      <c r="G369" t="s">
        <v>13538</v>
      </c>
      <c r="H369" t="s">
        <v>13539</v>
      </c>
      <c r="I369" t="s">
        <v>6479</v>
      </c>
      <c r="J369" t="s">
        <v>13486</v>
      </c>
      <c r="K369">
        <v>3</v>
      </c>
      <c r="L369" t="s">
        <v>13507</v>
      </c>
      <c r="M369" t="s">
        <v>13505</v>
      </c>
      <c r="N369" t="str">
        <f>_xlfn.XLOOKUP(C:C,'Resource Table'!A:A,'Resource Table'!B:B,"NOT FOUND",0,1)</f>
        <v>Brittany Williams</v>
      </c>
      <c r="O369" t="str">
        <f>_xlfn.XLOOKUP(N:N,'Resource Table'!B:B,'Resource Table'!C:C,"n/a",0,1)</f>
        <v>bwilliams5@ameritfleet.com</v>
      </c>
      <c r="P369" t="str">
        <f>_xlfn.XLOOKUP(N:N,'Resource Table'!B:B,'Resource Table'!D:D,"n/a",0,1)</f>
        <v>Vended Repair</v>
      </c>
    </row>
    <row r="370" spans="1:16" x14ac:dyDescent="0.45">
      <c r="A370" t="s">
        <v>5431</v>
      </c>
      <c r="B370" t="s">
        <v>5431</v>
      </c>
      <c r="C370" t="s">
        <v>5795</v>
      </c>
      <c r="D370" t="s">
        <v>415</v>
      </c>
      <c r="E370" t="s">
        <v>6461</v>
      </c>
      <c r="F370" t="s">
        <v>13460</v>
      </c>
      <c r="G370" t="s">
        <v>13481</v>
      </c>
      <c r="H370" t="s">
        <v>13482</v>
      </c>
      <c r="I370" t="s">
        <v>29</v>
      </c>
      <c r="J370" t="s">
        <v>13463</v>
      </c>
      <c r="K370">
        <v>1</v>
      </c>
      <c r="L370" t="s">
        <v>13472</v>
      </c>
      <c r="M370" t="s">
        <v>13505</v>
      </c>
      <c r="N370" t="str">
        <f>_xlfn.XLOOKUP(C:C,'Resource Table'!A:A,'Resource Table'!B:B,"NOT FOUND",0,1)</f>
        <v>Brittany Williams</v>
      </c>
      <c r="O370" t="str">
        <f>_xlfn.XLOOKUP(N:N,'Resource Table'!B:B,'Resource Table'!C:C,"n/a",0,1)</f>
        <v>bwilliams5@ameritfleet.com</v>
      </c>
      <c r="P370" t="str">
        <f>_xlfn.XLOOKUP(N:N,'Resource Table'!B:B,'Resource Table'!D:D,"n/a",0,1)</f>
        <v>Vended Repair</v>
      </c>
    </row>
    <row r="371" spans="1:16" x14ac:dyDescent="0.45">
      <c r="A371" t="s">
        <v>5431</v>
      </c>
      <c r="B371" t="s">
        <v>5431</v>
      </c>
      <c r="C371" t="s">
        <v>5795</v>
      </c>
      <c r="D371" t="s">
        <v>897</v>
      </c>
      <c r="E371" t="s">
        <v>6451</v>
      </c>
      <c r="F371" t="s">
        <v>13473</v>
      </c>
      <c r="G371" t="s">
        <v>13474</v>
      </c>
      <c r="H371" t="s">
        <v>13521</v>
      </c>
      <c r="I371" t="s">
        <v>6479</v>
      </c>
      <c r="J371" t="s">
        <v>13463</v>
      </c>
      <c r="K371">
        <v>4</v>
      </c>
      <c r="L371" t="s">
        <v>13529</v>
      </c>
      <c r="M371" t="s">
        <v>13505</v>
      </c>
      <c r="N371" t="str">
        <f>_xlfn.XLOOKUP(C:C,'Resource Table'!A:A,'Resource Table'!B:B,"NOT FOUND",0,1)</f>
        <v>Brittany Williams</v>
      </c>
      <c r="O371" t="str">
        <f>_xlfn.XLOOKUP(N:N,'Resource Table'!B:B,'Resource Table'!C:C,"n/a",0,1)</f>
        <v>bwilliams5@ameritfleet.com</v>
      </c>
      <c r="P371" t="str">
        <f>_xlfn.XLOOKUP(N:N,'Resource Table'!B:B,'Resource Table'!D:D,"n/a",0,1)</f>
        <v>Vended Repair</v>
      </c>
    </row>
    <row r="372" spans="1:16" x14ac:dyDescent="0.45">
      <c r="A372" t="s">
        <v>5431</v>
      </c>
      <c r="B372" t="s">
        <v>5431</v>
      </c>
      <c r="C372" t="s">
        <v>5795</v>
      </c>
      <c r="D372" t="s">
        <v>616</v>
      </c>
      <c r="E372" t="s">
        <v>6461</v>
      </c>
      <c r="F372" t="s">
        <v>13460</v>
      </c>
      <c r="G372" t="s">
        <v>13481</v>
      </c>
      <c r="H372" t="s">
        <v>13511</v>
      </c>
      <c r="I372" t="s">
        <v>6479</v>
      </c>
      <c r="J372" t="s">
        <v>13463</v>
      </c>
      <c r="K372">
        <v>2</v>
      </c>
      <c r="L372" t="s">
        <v>13543</v>
      </c>
      <c r="M372" t="s">
        <v>13505</v>
      </c>
      <c r="N372" t="str">
        <f>_xlfn.XLOOKUP(C:C,'Resource Table'!A:A,'Resource Table'!B:B,"NOT FOUND",0,1)</f>
        <v>Brittany Williams</v>
      </c>
      <c r="O372" t="str">
        <f>_xlfn.XLOOKUP(N:N,'Resource Table'!B:B,'Resource Table'!C:C,"n/a",0,1)</f>
        <v>bwilliams5@ameritfleet.com</v>
      </c>
      <c r="P372" t="str">
        <f>_xlfn.XLOOKUP(N:N,'Resource Table'!B:B,'Resource Table'!D:D,"n/a",0,1)</f>
        <v>Vended Repair</v>
      </c>
    </row>
    <row r="373" spans="1:16" x14ac:dyDescent="0.45">
      <c r="A373" t="s">
        <v>5431</v>
      </c>
      <c r="B373" t="s">
        <v>5431</v>
      </c>
      <c r="C373" t="s">
        <v>5795</v>
      </c>
      <c r="D373" t="s">
        <v>13077</v>
      </c>
      <c r="E373" t="s">
        <v>6451</v>
      </c>
      <c r="F373" t="s">
        <v>13460</v>
      </c>
      <c r="G373" t="s">
        <v>13461</v>
      </c>
      <c r="H373" t="s">
        <v>13465</v>
      </c>
      <c r="I373" t="s">
        <v>6479</v>
      </c>
      <c r="J373" t="s">
        <v>13463</v>
      </c>
      <c r="K373">
        <v>0</v>
      </c>
      <c r="L373" t="s">
        <v>20</v>
      </c>
      <c r="M373" t="s">
        <v>20</v>
      </c>
      <c r="N373" t="str">
        <f>_xlfn.XLOOKUP(C:C,'Resource Table'!A:A,'Resource Table'!B:B,"NOT FOUND",0,1)</f>
        <v>Brittany Williams</v>
      </c>
      <c r="O373" t="str">
        <f>_xlfn.XLOOKUP(N:N,'Resource Table'!B:B,'Resource Table'!C:C,"n/a",0,1)</f>
        <v>bwilliams5@ameritfleet.com</v>
      </c>
      <c r="P373" t="str">
        <f>_xlfn.XLOOKUP(N:N,'Resource Table'!B:B,'Resource Table'!D:D,"n/a",0,1)</f>
        <v>Vended Repair</v>
      </c>
    </row>
    <row r="374" spans="1:16" x14ac:dyDescent="0.45">
      <c r="A374" t="s">
        <v>5431</v>
      </c>
      <c r="B374" t="s">
        <v>5431</v>
      </c>
      <c r="C374" t="s">
        <v>5477</v>
      </c>
      <c r="D374" t="s">
        <v>2666</v>
      </c>
      <c r="E374" t="s">
        <v>6451</v>
      </c>
      <c r="F374" t="s">
        <v>13473</v>
      </c>
      <c r="G374" t="s">
        <v>13474</v>
      </c>
      <c r="H374" t="s">
        <v>13475</v>
      </c>
      <c r="I374" t="s">
        <v>29</v>
      </c>
      <c r="J374" t="s">
        <v>13463</v>
      </c>
      <c r="K374">
        <v>1</v>
      </c>
      <c r="L374" t="s">
        <v>13536</v>
      </c>
      <c r="M374" t="s">
        <v>13472</v>
      </c>
      <c r="N374" t="str">
        <f>_xlfn.XLOOKUP(C:C,'Resource Table'!A:A,'Resource Table'!B:B,"NOT FOUND",0,1)</f>
        <v>Brittany Williams</v>
      </c>
      <c r="O374" t="str">
        <f>_xlfn.XLOOKUP(N:N,'Resource Table'!B:B,'Resource Table'!C:C,"n/a",0,1)</f>
        <v>bwilliams5@ameritfleet.com</v>
      </c>
      <c r="P374" t="str">
        <f>_xlfn.XLOOKUP(N:N,'Resource Table'!B:B,'Resource Table'!D:D,"n/a",0,1)</f>
        <v>Vended Repair</v>
      </c>
    </row>
    <row r="375" spans="1:16" x14ac:dyDescent="0.45">
      <c r="A375" t="s">
        <v>5431</v>
      </c>
      <c r="B375" t="s">
        <v>5431</v>
      </c>
      <c r="C375" t="s">
        <v>5477</v>
      </c>
      <c r="D375" t="s">
        <v>3712</v>
      </c>
      <c r="E375" t="s">
        <v>6451</v>
      </c>
      <c r="F375" t="s">
        <v>13473</v>
      </c>
      <c r="G375" t="s">
        <v>13474</v>
      </c>
      <c r="H375" t="s">
        <v>13521</v>
      </c>
      <c r="I375" t="s">
        <v>6479</v>
      </c>
      <c r="J375" t="s">
        <v>13463</v>
      </c>
      <c r="K375">
        <v>0</v>
      </c>
      <c r="L375" t="s">
        <v>20</v>
      </c>
      <c r="M375" t="s">
        <v>20</v>
      </c>
      <c r="N375" t="str">
        <f>_xlfn.XLOOKUP(C:C,'Resource Table'!A:A,'Resource Table'!B:B,"NOT FOUND",0,1)</f>
        <v>Brittany Williams</v>
      </c>
      <c r="O375" t="str">
        <f>_xlfn.XLOOKUP(N:N,'Resource Table'!B:B,'Resource Table'!C:C,"n/a",0,1)</f>
        <v>bwilliams5@ameritfleet.com</v>
      </c>
      <c r="P375" t="str">
        <f>_xlfn.XLOOKUP(N:N,'Resource Table'!B:B,'Resource Table'!D:D,"n/a",0,1)</f>
        <v>Vended Repair</v>
      </c>
    </row>
    <row r="376" spans="1:16" x14ac:dyDescent="0.45">
      <c r="A376" t="s">
        <v>5431</v>
      </c>
      <c r="B376" t="s">
        <v>5431</v>
      </c>
      <c r="C376" t="s">
        <v>5477</v>
      </c>
      <c r="D376" t="s">
        <v>4202</v>
      </c>
      <c r="E376" t="s">
        <v>6451</v>
      </c>
      <c r="F376" t="s">
        <v>13473</v>
      </c>
      <c r="G376" t="s">
        <v>13474</v>
      </c>
      <c r="H376" t="s">
        <v>13521</v>
      </c>
      <c r="I376" t="s">
        <v>6479</v>
      </c>
      <c r="J376" t="s">
        <v>13463</v>
      </c>
      <c r="K376">
        <v>3</v>
      </c>
      <c r="L376" t="s">
        <v>13480</v>
      </c>
      <c r="M376" t="s">
        <v>13498</v>
      </c>
      <c r="N376" t="str">
        <f>_xlfn.XLOOKUP(C:C,'Resource Table'!A:A,'Resource Table'!B:B,"NOT FOUND",0,1)</f>
        <v>Brittany Williams</v>
      </c>
      <c r="O376" t="str">
        <f>_xlfn.XLOOKUP(N:N,'Resource Table'!B:B,'Resource Table'!C:C,"n/a",0,1)</f>
        <v>bwilliams5@ameritfleet.com</v>
      </c>
      <c r="P376" t="str">
        <f>_xlfn.XLOOKUP(N:N,'Resource Table'!B:B,'Resource Table'!D:D,"n/a",0,1)</f>
        <v>Vended Repair</v>
      </c>
    </row>
    <row r="377" spans="1:16" x14ac:dyDescent="0.45">
      <c r="A377" t="s">
        <v>5431</v>
      </c>
      <c r="B377" t="s">
        <v>5431</v>
      </c>
      <c r="C377" t="s">
        <v>5477</v>
      </c>
      <c r="D377" t="s">
        <v>2199</v>
      </c>
      <c r="E377" t="s">
        <v>6461</v>
      </c>
      <c r="F377" t="s">
        <v>13460</v>
      </c>
      <c r="G377" t="s">
        <v>13538</v>
      </c>
      <c r="H377" t="s">
        <v>13539</v>
      </c>
      <c r="I377" t="s">
        <v>6479</v>
      </c>
      <c r="J377" t="s">
        <v>13486</v>
      </c>
      <c r="K377">
        <v>2</v>
      </c>
      <c r="L377" t="s">
        <v>13487</v>
      </c>
      <c r="M377" t="s">
        <v>13513</v>
      </c>
      <c r="N377" t="str">
        <f>_xlfn.XLOOKUP(C:C,'Resource Table'!A:A,'Resource Table'!B:B,"NOT FOUND",0,1)</f>
        <v>Brittany Williams</v>
      </c>
      <c r="O377" t="str">
        <f>_xlfn.XLOOKUP(N:N,'Resource Table'!B:B,'Resource Table'!C:C,"n/a",0,1)</f>
        <v>bwilliams5@ameritfleet.com</v>
      </c>
      <c r="P377" t="str">
        <f>_xlfn.XLOOKUP(N:N,'Resource Table'!B:B,'Resource Table'!D:D,"n/a",0,1)</f>
        <v>Vended Repair</v>
      </c>
    </row>
    <row r="378" spans="1:16" x14ac:dyDescent="0.45">
      <c r="A378" t="s">
        <v>5431</v>
      </c>
      <c r="B378" t="s">
        <v>5431</v>
      </c>
      <c r="C378" t="s">
        <v>5477</v>
      </c>
      <c r="D378" t="s">
        <v>593</v>
      </c>
      <c r="E378" t="s">
        <v>6451</v>
      </c>
      <c r="F378" t="s">
        <v>13473</v>
      </c>
      <c r="G378" t="s">
        <v>13474</v>
      </c>
      <c r="H378" t="s">
        <v>13521</v>
      </c>
      <c r="I378" t="s">
        <v>29</v>
      </c>
      <c r="J378" t="s">
        <v>13463</v>
      </c>
      <c r="K378">
        <v>1</v>
      </c>
      <c r="L378" t="s">
        <v>13487</v>
      </c>
      <c r="M378" t="s">
        <v>20</v>
      </c>
      <c r="N378" t="str">
        <f>_xlfn.XLOOKUP(C:C,'Resource Table'!A:A,'Resource Table'!B:B,"NOT FOUND",0,1)</f>
        <v>Brittany Williams</v>
      </c>
      <c r="O378" t="str">
        <f>_xlfn.XLOOKUP(N:N,'Resource Table'!B:B,'Resource Table'!C:C,"n/a",0,1)</f>
        <v>bwilliams5@ameritfleet.com</v>
      </c>
      <c r="P378" t="str">
        <f>_xlfn.XLOOKUP(N:N,'Resource Table'!B:B,'Resource Table'!D:D,"n/a",0,1)</f>
        <v>Vended Repair</v>
      </c>
    </row>
    <row r="379" spans="1:16" x14ac:dyDescent="0.45">
      <c r="A379" t="s">
        <v>5431</v>
      </c>
      <c r="B379" t="s">
        <v>5431</v>
      </c>
      <c r="C379" t="s">
        <v>5477</v>
      </c>
      <c r="D379" t="s">
        <v>5679</v>
      </c>
      <c r="E379" t="s">
        <v>6451</v>
      </c>
      <c r="F379" t="s">
        <v>13473</v>
      </c>
      <c r="G379" t="s">
        <v>13474</v>
      </c>
      <c r="H379" t="s">
        <v>13492</v>
      </c>
      <c r="I379" t="s">
        <v>6479</v>
      </c>
      <c r="J379" t="s">
        <v>13463</v>
      </c>
      <c r="K379">
        <v>0</v>
      </c>
      <c r="L379" t="s">
        <v>20</v>
      </c>
      <c r="M379" t="s">
        <v>20</v>
      </c>
      <c r="N379" t="str">
        <f>_xlfn.XLOOKUP(C:C,'Resource Table'!A:A,'Resource Table'!B:B,"NOT FOUND",0,1)</f>
        <v>Brittany Williams</v>
      </c>
      <c r="O379" t="str">
        <f>_xlfn.XLOOKUP(N:N,'Resource Table'!B:B,'Resource Table'!C:C,"n/a",0,1)</f>
        <v>bwilliams5@ameritfleet.com</v>
      </c>
      <c r="P379" t="str">
        <f>_xlfn.XLOOKUP(N:N,'Resource Table'!B:B,'Resource Table'!D:D,"n/a",0,1)</f>
        <v>Vended Repair</v>
      </c>
    </row>
    <row r="380" spans="1:16" x14ac:dyDescent="0.45">
      <c r="A380" t="s">
        <v>5431</v>
      </c>
      <c r="B380" t="s">
        <v>5431</v>
      </c>
      <c r="C380" t="s">
        <v>5477</v>
      </c>
      <c r="D380" t="s">
        <v>1709</v>
      </c>
      <c r="E380" t="s">
        <v>6461</v>
      </c>
      <c r="F380" t="s">
        <v>13460</v>
      </c>
      <c r="G380" t="s">
        <v>13481</v>
      </c>
      <c r="H380" t="s">
        <v>13482</v>
      </c>
      <c r="I380" t="s">
        <v>6479</v>
      </c>
      <c r="J380" t="s">
        <v>13463</v>
      </c>
      <c r="K380">
        <v>3</v>
      </c>
      <c r="L380" t="s">
        <v>13504</v>
      </c>
      <c r="M380" t="s">
        <v>13468</v>
      </c>
      <c r="N380" t="str">
        <f>_xlfn.XLOOKUP(C:C,'Resource Table'!A:A,'Resource Table'!B:B,"NOT FOUND",0,1)</f>
        <v>Brittany Williams</v>
      </c>
      <c r="O380" t="str">
        <f>_xlfn.XLOOKUP(N:N,'Resource Table'!B:B,'Resource Table'!C:C,"n/a",0,1)</f>
        <v>bwilliams5@ameritfleet.com</v>
      </c>
      <c r="P380" t="str">
        <f>_xlfn.XLOOKUP(N:N,'Resource Table'!B:B,'Resource Table'!D:D,"n/a",0,1)</f>
        <v>Vended Repair</v>
      </c>
    </row>
    <row r="381" spans="1:16" x14ac:dyDescent="0.45">
      <c r="A381" t="s">
        <v>5431</v>
      </c>
      <c r="B381" t="s">
        <v>5431</v>
      </c>
      <c r="C381" t="s">
        <v>5477</v>
      </c>
      <c r="D381" t="s">
        <v>2058</v>
      </c>
      <c r="E381" t="s">
        <v>6461</v>
      </c>
      <c r="F381" t="s">
        <v>13460</v>
      </c>
      <c r="G381" t="s">
        <v>13481</v>
      </c>
      <c r="H381" t="s">
        <v>13482</v>
      </c>
      <c r="I381" t="s">
        <v>29</v>
      </c>
      <c r="J381" t="s">
        <v>13486</v>
      </c>
      <c r="K381">
        <v>2</v>
      </c>
      <c r="L381" t="s">
        <v>13469</v>
      </c>
      <c r="M381" t="s">
        <v>20</v>
      </c>
      <c r="N381" t="str">
        <f>_xlfn.XLOOKUP(C:C,'Resource Table'!A:A,'Resource Table'!B:B,"NOT FOUND",0,1)</f>
        <v>Brittany Williams</v>
      </c>
      <c r="O381" t="str">
        <f>_xlfn.XLOOKUP(N:N,'Resource Table'!B:B,'Resource Table'!C:C,"n/a",0,1)</f>
        <v>bwilliams5@ameritfleet.com</v>
      </c>
      <c r="P381" t="str">
        <f>_xlfn.XLOOKUP(N:N,'Resource Table'!B:B,'Resource Table'!D:D,"n/a",0,1)</f>
        <v>Vended Repair</v>
      </c>
    </row>
    <row r="382" spans="1:16" x14ac:dyDescent="0.45">
      <c r="A382" t="s">
        <v>5431</v>
      </c>
      <c r="B382" t="s">
        <v>5431</v>
      </c>
      <c r="C382" t="s">
        <v>5477</v>
      </c>
      <c r="D382" t="s">
        <v>3721</v>
      </c>
      <c r="E382" t="s">
        <v>6451</v>
      </c>
      <c r="F382" t="s">
        <v>13473</v>
      </c>
      <c r="G382" t="s">
        <v>13474</v>
      </c>
      <c r="H382" t="s">
        <v>13517</v>
      </c>
      <c r="I382" t="s">
        <v>6479</v>
      </c>
      <c r="J382" t="s">
        <v>13463</v>
      </c>
      <c r="K382">
        <v>2</v>
      </c>
      <c r="L382" t="s">
        <v>13548</v>
      </c>
      <c r="M382" t="s">
        <v>13469</v>
      </c>
      <c r="N382" t="str">
        <f>_xlfn.XLOOKUP(C:C,'Resource Table'!A:A,'Resource Table'!B:B,"NOT FOUND",0,1)</f>
        <v>Brittany Williams</v>
      </c>
      <c r="O382" t="str">
        <f>_xlfn.XLOOKUP(N:N,'Resource Table'!B:B,'Resource Table'!C:C,"n/a",0,1)</f>
        <v>bwilliams5@ameritfleet.com</v>
      </c>
      <c r="P382" t="str">
        <f>_xlfn.XLOOKUP(N:N,'Resource Table'!B:B,'Resource Table'!D:D,"n/a",0,1)</f>
        <v>Vended Repair</v>
      </c>
    </row>
    <row r="383" spans="1:16" x14ac:dyDescent="0.45">
      <c r="A383" t="s">
        <v>5431</v>
      </c>
      <c r="B383" t="s">
        <v>5431</v>
      </c>
      <c r="C383" t="s">
        <v>5477</v>
      </c>
      <c r="D383" t="s">
        <v>1826</v>
      </c>
      <c r="E383" t="s">
        <v>6461</v>
      </c>
      <c r="F383" t="s">
        <v>13460</v>
      </c>
      <c r="G383" t="s">
        <v>13538</v>
      </c>
      <c r="H383" t="s">
        <v>13539</v>
      </c>
      <c r="I383" t="s">
        <v>6479</v>
      </c>
      <c r="J383" t="s">
        <v>13463</v>
      </c>
      <c r="K383">
        <v>4</v>
      </c>
      <c r="L383" t="s">
        <v>13472</v>
      </c>
      <c r="M383" t="s">
        <v>13484</v>
      </c>
      <c r="N383" t="str">
        <f>_xlfn.XLOOKUP(C:C,'Resource Table'!A:A,'Resource Table'!B:B,"NOT FOUND",0,1)</f>
        <v>Brittany Williams</v>
      </c>
      <c r="O383" t="str">
        <f>_xlfn.XLOOKUP(N:N,'Resource Table'!B:B,'Resource Table'!C:C,"n/a",0,1)</f>
        <v>bwilliams5@ameritfleet.com</v>
      </c>
      <c r="P383" t="str">
        <f>_xlfn.XLOOKUP(N:N,'Resource Table'!B:B,'Resource Table'!D:D,"n/a",0,1)</f>
        <v>Vended Repair</v>
      </c>
    </row>
    <row r="384" spans="1:16" x14ac:dyDescent="0.45">
      <c r="A384" t="s">
        <v>5431</v>
      </c>
      <c r="B384" t="s">
        <v>5431</v>
      </c>
      <c r="C384" t="s">
        <v>5477</v>
      </c>
      <c r="D384" t="s">
        <v>2860</v>
      </c>
      <c r="E384" t="s">
        <v>6462</v>
      </c>
      <c r="F384" t="s">
        <v>13460</v>
      </c>
      <c r="G384" t="s">
        <v>13481</v>
      </c>
      <c r="H384" t="s">
        <v>13485</v>
      </c>
      <c r="I384" t="s">
        <v>29</v>
      </c>
      <c r="J384" t="s">
        <v>13463</v>
      </c>
      <c r="K384">
        <v>1</v>
      </c>
      <c r="L384" t="s">
        <v>13480</v>
      </c>
      <c r="M384" t="s">
        <v>13484</v>
      </c>
      <c r="N384" t="str">
        <f>_xlfn.XLOOKUP(C:C,'Resource Table'!A:A,'Resource Table'!B:B,"NOT FOUND",0,1)</f>
        <v>Brittany Williams</v>
      </c>
      <c r="O384" t="str">
        <f>_xlfn.XLOOKUP(N:N,'Resource Table'!B:B,'Resource Table'!C:C,"n/a",0,1)</f>
        <v>bwilliams5@ameritfleet.com</v>
      </c>
      <c r="P384" t="str">
        <f>_xlfn.XLOOKUP(N:N,'Resource Table'!B:B,'Resource Table'!D:D,"n/a",0,1)</f>
        <v>Vended Repair</v>
      </c>
    </row>
    <row r="385" spans="1:16" x14ac:dyDescent="0.45">
      <c r="A385" t="s">
        <v>5431</v>
      </c>
      <c r="B385" t="s">
        <v>5431</v>
      </c>
      <c r="C385" t="s">
        <v>5477</v>
      </c>
      <c r="D385" t="s">
        <v>1496</v>
      </c>
      <c r="E385" t="s">
        <v>6461</v>
      </c>
      <c r="F385" t="s">
        <v>13460</v>
      </c>
      <c r="G385" t="s">
        <v>13481</v>
      </c>
      <c r="H385" t="s">
        <v>13482</v>
      </c>
      <c r="I385" t="s">
        <v>6479</v>
      </c>
      <c r="J385" t="s">
        <v>13486</v>
      </c>
      <c r="K385">
        <v>4</v>
      </c>
      <c r="L385" t="s">
        <v>13580</v>
      </c>
      <c r="M385" t="s">
        <v>13581</v>
      </c>
      <c r="N385" t="str">
        <f>_xlfn.XLOOKUP(C:C,'Resource Table'!A:A,'Resource Table'!B:B,"NOT FOUND",0,1)</f>
        <v>Brittany Williams</v>
      </c>
      <c r="O385" t="str">
        <f>_xlfn.XLOOKUP(N:N,'Resource Table'!B:B,'Resource Table'!C:C,"n/a",0,1)</f>
        <v>bwilliams5@ameritfleet.com</v>
      </c>
      <c r="P385" t="str">
        <f>_xlfn.XLOOKUP(N:N,'Resource Table'!B:B,'Resource Table'!D:D,"n/a",0,1)</f>
        <v>Vended Repair</v>
      </c>
    </row>
    <row r="386" spans="1:16" x14ac:dyDescent="0.45">
      <c r="A386" t="s">
        <v>5431</v>
      </c>
      <c r="B386" t="s">
        <v>5431</v>
      </c>
      <c r="C386" t="s">
        <v>5477</v>
      </c>
      <c r="D386" t="s">
        <v>3417</v>
      </c>
      <c r="E386" t="s">
        <v>6462</v>
      </c>
      <c r="F386" t="s">
        <v>13460</v>
      </c>
      <c r="G386" t="s">
        <v>13481</v>
      </c>
      <c r="H386" t="s">
        <v>13485</v>
      </c>
      <c r="I386" t="s">
        <v>29</v>
      </c>
      <c r="J386" t="s">
        <v>13463</v>
      </c>
      <c r="K386">
        <v>1</v>
      </c>
      <c r="L386" t="s">
        <v>13507</v>
      </c>
      <c r="M386" t="s">
        <v>13505</v>
      </c>
      <c r="N386" t="str">
        <f>_xlfn.XLOOKUP(C:C,'Resource Table'!A:A,'Resource Table'!B:B,"NOT FOUND",0,1)</f>
        <v>Brittany Williams</v>
      </c>
      <c r="O386" t="str">
        <f>_xlfn.XLOOKUP(N:N,'Resource Table'!B:B,'Resource Table'!C:C,"n/a",0,1)</f>
        <v>bwilliams5@ameritfleet.com</v>
      </c>
      <c r="P386" t="str">
        <f>_xlfn.XLOOKUP(N:N,'Resource Table'!B:B,'Resource Table'!D:D,"n/a",0,1)</f>
        <v>Vended Repair</v>
      </c>
    </row>
    <row r="387" spans="1:16" x14ac:dyDescent="0.45">
      <c r="A387" t="s">
        <v>5431</v>
      </c>
      <c r="B387" t="s">
        <v>5431</v>
      </c>
      <c r="C387" t="s">
        <v>5477</v>
      </c>
      <c r="D387" t="s">
        <v>2517</v>
      </c>
      <c r="E387" t="s">
        <v>6451</v>
      </c>
      <c r="F387" t="s">
        <v>13473</v>
      </c>
      <c r="G387" t="s">
        <v>13474</v>
      </c>
      <c r="H387" t="s">
        <v>13521</v>
      </c>
      <c r="I387" t="s">
        <v>6479</v>
      </c>
      <c r="J387" t="s">
        <v>13463</v>
      </c>
      <c r="K387">
        <v>3</v>
      </c>
      <c r="L387" t="s">
        <v>13504</v>
      </c>
      <c r="M387" t="s">
        <v>13468</v>
      </c>
      <c r="N387" t="str">
        <f>_xlfn.XLOOKUP(C:C,'Resource Table'!A:A,'Resource Table'!B:B,"NOT FOUND",0,1)</f>
        <v>Brittany Williams</v>
      </c>
      <c r="O387" t="str">
        <f>_xlfn.XLOOKUP(N:N,'Resource Table'!B:B,'Resource Table'!C:C,"n/a",0,1)</f>
        <v>bwilliams5@ameritfleet.com</v>
      </c>
      <c r="P387" t="str">
        <f>_xlfn.XLOOKUP(N:N,'Resource Table'!B:B,'Resource Table'!D:D,"n/a",0,1)</f>
        <v>Vended Repair</v>
      </c>
    </row>
    <row r="388" spans="1:16" x14ac:dyDescent="0.45">
      <c r="A388" t="s">
        <v>5431</v>
      </c>
      <c r="B388" t="s">
        <v>5431</v>
      </c>
      <c r="C388" t="s">
        <v>5477</v>
      </c>
      <c r="D388" t="s">
        <v>1171</v>
      </c>
      <c r="E388" t="s">
        <v>6451</v>
      </c>
      <c r="F388" t="s">
        <v>13473</v>
      </c>
      <c r="G388" t="s">
        <v>13474</v>
      </c>
      <c r="H388" t="s">
        <v>13475</v>
      </c>
      <c r="I388" t="s">
        <v>6479</v>
      </c>
      <c r="J388" t="s">
        <v>13463</v>
      </c>
      <c r="K388">
        <v>0</v>
      </c>
      <c r="L388" t="s">
        <v>20</v>
      </c>
      <c r="M388" t="s">
        <v>20</v>
      </c>
      <c r="N388" t="str">
        <f>_xlfn.XLOOKUP(C:C,'Resource Table'!A:A,'Resource Table'!B:B,"NOT FOUND",0,1)</f>
        <v>Brittany Williams</v>
      </c>
      <c r="O388" t="str">
        <f>_xlfn.XLOOKUP(N:N,'Resource Table'!B:B,'Resource Table'!C:C,"n/a",0,1)</f>
        <v>bwilliams5@ameritfleet.com</v>
      </c>
      <c r="P388" t="str">
        <f>_xlfn.XLOOKUP(N:N,'Resource Table'!B:B,'Resource Table'!D:D,"n/a",0,1)</f>
        <v>Vended Repair</v>
      </c>
    </row>
    <row r="389" spans="1:16" x14ac:dyDescent="0.45">
      <c r="A389" t="s">
        <v>5431</v>
      </c>
      <c r="B389" t="s">
        <v>5431</v>
      </c>
      <c r="C389" t="s">
        <v>5477</v>
      </c>
      <c r="D389" t="s">
        <v>1489</v>
      </c>
      <c r="E389" t="s">
        <v>6461</v>
      </c>
      <c r="F389" t="s">
        <v>13460</v>
      </c>
      <c r="G389" t="s">
        <v>13481</v>
      </c>
      <c r="H389" t="s">
        <v>13482</v>
      </c>
      <c r="I389" t="s">
        <v>6479</v>
      </c>
      <c r="J389" t="s">
        <v>13486</v>
      </c>
      <c r="K389">
        <v>5</v>
      </c>
      <c r="L389" t="s">
        <v>13561</v>
      </c>
      <c r="M389" t="s">
        <v>13508</v>
      </c>
      <c r="N389" t="str">
        <f>_xlfn.XLOOKUP(C:C,'Resource Table'!A:A,'Resource Table'!B:B,"NOT FOUND",0,1)</f>
        <v>Brittany Williams</v>
      </c>
      <c r="O389" t="str">
        <f>_xlfn.XLOOKUP(N:N,'Resource Table'!B:B,'Resource Table'!C:C,"n/a",0,1)</f>
        <v>bwilliams5@ameritfleet.com</v>
      </c>
      <c r="P389" t="str">
        <f>_xlfn.XLOOKUP(N:N,'Resource Table'!B:B,'Resource Table'!D:D,"n/a",0,1)</f>
        <v>Vended Repair</v>
      </c>
    </row>
    <row r="390" spans="1:16" x14ac:dyDescent="0.45">
      <c r="A390" t="s">
        <v>5443</v>
      </c>
      <c r="B390" t="s">
        <v>5524</v>
      </c>
      <c r="C390" t="s">
        <v>5570</v>
      </c>
      <c r="D390" t="s">
        <v>1844</v>
      </c>
      <c r="E390" t="s">
        <v>6451</v>
      </c>
      <c r="F390" t="s">
        <v>13473</v>
      </c>
      <c r="G390" t="s">
        <v>13474</v>
      </c>
      <c r="H390" t="s">
        <v>13475</v>
      </c>
      <c r="I390" t="s">
        <v>6479</v>
      </c>
      <c r="J390" t="s">
        <v>13463</v>
      </c>
      <c r="K390">
        <v>1</v>
      </c>
      <c r="L390" t="s">
        <v>13507</v>
      </c>
      <c r="M390" t="s">
        <v>13491</v>
      </c>
      <c r="N390" t="str">
        <f>_xlfn.XLOOKUP(C:C,'Resource Table'!A:A,'Resource Table'!B:B,"NOT FOUND",0,1)</f>
        <v>Hollie Francis</v>
      </c>
      <c r="O390" t="str">
        <f>_xlfn.XLOOKUP(N:N,'Resource Table'!B:B,'Resource Table'!C:C,"n/a",0,1)</f>
        <v>hfrancis@ameritfleet.com</v>
      </c>
      <c r="P390" t="str">
        <f>_xlfn.XLOOKUP(N:N,'Resource Table'!B:B,'Resource Table'!D:D,"n/a",0,1)</f>
        <v>Vended Repair</v>
      </c>
    </row>
    <row r="391" spans="1:16" x14ac:dyDescent="0.45">
      <c r="A391" t="s">
        <v>5443</v>
      </c>
      <c r="B391" t="s">
        <v>5524</v>
      </c>
      <c r="C391" t="s">
        <v>5570</v>
      </c>
      <c r="D391" t="s">
        <v>3594</v>
      </c>
      <c r="E391" t="s">
        <v>6451</v>
      </c>
      <c r="F391" t="s">
        <v>13525</v>
      </c>
      <c r="G391" t="s">
        <v>13582</v>
      </c>
      <c r="H391" t="s">
        <v>13583</v>
      </c>
      <c r="I391" t="s">
        <v>29</v>
      </c>
      <c r="J391" t="s">
        <v>13463</v>
      </c>
      <c r="K391">
        <v>1</v>
      </c>
      <c r="L391" t="s">
        <v>13503</v>
      </c>
      <c r="M391" t="s">
        <v>13505</v>
      </c>
      <c r="N391" t="str">
        <f>_xlfn.XLOOKUP(C:C,'Resource Table'!A:A,'Resource Table'!B:B,"NOT FOUND",0,1)</f>
        <v>Hollie Francis</v>
      </c>
      <c r="O391" t="str">
        <f>_xlfn.XLOOKUP(N:N,'Resource Table'!B:B,'Resource Table'!C:C,"n/a",0,1)</f>
        <v>hfrancis@ameritfleet.com</v>
      </c>
      <c r="P391" t="str">
        <f>_xlfn.XLOOKUP(N:N,'Resource Table'!B:B,'Resource Table'!D:D,"n/a",0,1)</f>
        <v>Vended Repair</v>
      </c>
    </row>
    <row r="392" spans="1:16" x14ac:dyDescent="0.45">
      <c r="A392" t="s">
        <v>5443</v>
      </c>
      <c r="B392" t="s">
        <v>5524</v>
      </c>
      <c r="C392" t="s">
        <v>5570</v>
      </c>
      <c r="D392" t="s">
        <v>1737</v>
      </c>
      <c r="E392" t="s">
        <v>6451</v>
      </c>
      <c r="F392" t="s">
        <v>13473</v>
      </c>
      <c r="G392" t="s">
        <v>13474</v>
      </c>
      <c r="H392" t="s">
        <v>13475</v>
      </c>
      <c r="I392" t="s">
        <v>6479</v>
      </c>
      <c r="J392" t="s">
        <v>13463</v>
      </c>
      <c r="K392">
        <v>2</v>
      </c>
      <c r="L392" t="s">
        <v>13470</v>
      </c>
      <c r="M392" t="s">
        <v>13505</v>
      </c>
      <c r="N392" t="str">
        <f>_xlfn.XLOOKUP(C:C,'Resource Table'!A:A,'Resource Table'!B:B,"NOT FOUND",0,1)</f>
        <v>Hollie Francis</v>
      </c>
      <c r="O392" t="str">
        <f>_xlfn.XLOOKUP(N:N,'Resource Table'!B:B,'Resource Table'!C:C,"n/a",0,1)</f>
        <v>hfrancis@ameritfleet.com</v>
      </c>
      <c r="P392" t="str">
        <f>_xlfn.XLOOKUP(N:N,'Resource Table'!B:B,'Resource Table'!D:D,"n/a",0,1)</f>
        <v>Vended Repair</v>
      </c>
    </row>
    <row r="393" spans="1:16" x14ac:dyDescent="0.45">
      <c r="A393" t="s">
        <v>5443</v>
      </c>
      <c r="B393" t="s">
        <v>5524</v>
      </c>
      <c r="C393" t="s">
        <v>5567</v>
      </c>
      <c r="D393" t="s">
        <v>5684</v>
      </c>
      <c r="E393" t="s">
        <v>6451</v>
      </c>
      <c r="F393" t="s">
        <v>13473</v>
      </c>
      <c r="G393" t="s">
        <v>13474</v>
      </c>
      <c r="H393" t="s">
        <v>13492</v>
      </c>
      <c r="I393" t="s">
        <v>6479</v>
      </c>
      <c r="J393" t="s">
        <v>13463</v>
      </c>
      <c r="K393">
        <v>0</v>
      </c>
      <c r="L393" t="s">
        <v>20</v>
      </c>
      <c r="M393" t="s">
        <v>20</v>
      </c>
      <c r="N393" t="str">
        <f>_xlfn.XLOOKUP(C:C,'Resource Table'!A:A,'Resource Table'!B:B,"NOT FOUND",0,1)</f>
        <v>Hollie Francis</v>
      </c>
      <c r="O393" t="str">
        <f>_xlfn.XLOOKUP(N:N,'Resource Table'!B:B,'Resource Table'!C:C,"n/a",0,1)</f>
        <v>hfrancis@ameritfleet.com</v>
      </c>
      <c r="P393" t="str">
        <f>_xlfn.XLOOKUP(N:N,'Resource Table'!B:B,'Resource Table'!D:D,"n/a",0,1)</f>
        <v>Vended Repair</v>
      </c>
    </row>
    <row r="394" spans="1:16" x14ac:dyDescent="0.45">
      <c r="A394" t="s">
        <v>5443</v>
      </c>
      <c r="B394" t="s">
        <v>5524</v>
      </c>
      <c r="C394" t="s">
        <v>5567</v>
      </c>
      <c r="D394" t="s">
        <v>1525</v>
      </c>
      <c r="E394" t="s">
        <v>6451</v>
      </c>
      <c r="F394" t="s">
        <v>13525</v>
      </c>
      <c r="G394" t="s">
        <v>13526</v>
      </c>
      <c r="H394" t="s">
        <v>13584</v>
      </c>
      <c r="I394" t="s">
        <v>6479</v>
      </c>
      <c r="J394" t="s">
        <v>13463</v>
      </c>
      <c r="K394">
        <v>0</v>
      </c>
      <c r="L394" t="s">
        <v>20</v>
      </c>
      <c r="M394" t="s">
        <v>20</v>
      </c>
      <c r="N394" t="str">
        <f>_xlfn.XLOOKUP(C:C,'Resource Table'!A:A,'Resource Table'!B:B,"NOT FOUND",0,1)</f>
        <v>Hollie Francis</v>
      </c>
      <c r="O394" t="str">
        <f>_xlfn.XLOOKUP(N:N,'Resource Table'!B:B,'Resource Table'!C:C,"n/a",0,1)</f>
        <v>hfrancis@ameritfleet.com</v>
      </c>
      <c r="P394" t="str">
        <f>_xlfn.XLOOKUP(N:N,'Resource Table'!B:B,'Resource Table'!D:D,"n/a",0,1)</f>
        <v>Vended Repair</v>
      </c>
    </row>
    <row r="395" spans="1:16" x14ac:dyDescent="0.45">
      <c r="A395" t="s">
        <v>5443</v>
      </c>
      <c r="B395" t="s">
        <v>5524</v>
      </c>
      <c r="C395" t="s">
        <v>5567</v>
      </c>
      <c r="D395" t="s">
        <v>5851</v>
      </c>
      <c r="E395" t="s">
        <v>6451</v>
      </c>
      <c r="F395" t="s">
        <v>13473</v>
      </c>
      <c r="G395" t="s">
        <v>13474</v>
      </c>
      <c r="H395" t="s">
        <v>13475</v>
      </c>
      <c r="I395" t="s">
        <v>6479</v>
      </c>
      <c r="J395" t="s">
        <v>13463</v>
      </c>
      <c r="K395">
        <v>0</v>
      </c>
      <c r="L395" t="s">
        <v>20</v>
      </c>
      <c r="M395" t="s">
        <v>20</v>
      </c>
      <c r="N395" t="str">
        <f>_xlfn.XLOOKUP(C:C,'Resource Table'!A:A,'Resource Table'!B:B,"NOT FOUND",0,1)</f>
        <v>Hollie Francis</v>
      </c>
      <c r="O395" t="str">
        <f>_xlfn.XLOOKUP(N:N,'Resource Table'!B:B,'Resource Table'!C:C,"n/a",0,1)</f>
        <v>hfrancis@ameritfleet.com</v>
      </c>
      <c r="P395" t="str">
        <f>_xlfn.XLOOKUP(N:N,'Resource Table'!B:B,'Resource Table'!D:D,"n/a",0,1)</f>
        <v>Vended Repair</v>
      </c>
    </row>
    <row r="396" spans="1:16" x14ac:dyDescent="0.45">
      <c r="A396" t="s">
        <v>5443</v>
      </c>
      <c r="B396" t="s">
        <v>5450</v>
      </c>
      <c r="C396" t="s">
        <v>5639</v>
      </c>
      <c r="D396" t="s">
        <v>6294</v>
      </c>
      <c r="E396" t="s">
        <v>6451</v>
      </c>
      <c r="F396" t="s">
        <v>13460</v>
      </c>
      <c r="G396" t="s">
        <v>13461</v>
      </c>
      <c r="H396" t="s">
        <v>13465</v>
      </c>
      <c r="I396" t="s">
        <v>6479</v>
      </c>
      <c r="J396" t="s">
        <v>13463</v>
      </c>
      <c r="K396">
        <v>3</v>
      </c>
      <c r="L396" t="s">
        <v>13542</v>
      </c>
      <c r="M396" t="s">
        <v>13484</v>
      </c>
      <c r="N396" t="str">
        <f>_xlfn.XLOOKUP(C:C,'Resource Table'!A:A,'Resource Table'!B:B,"NOT FOUND",0,1)</f>
        <v>Hollie Francis</v>
      </c>
      <c r="O396" t="str">
        <f>_xlfn.XLOOKUP(N:N,'Resource Table'!B:B,'Resource Table'!C:C,"n/a",0,1)</f>
        <v>hfrancis@ameritfleet.com</v>
      </c>
      <c r="P396" t="str">
        <f>_xlfn.XLOOKUP(N:N,'Resource Table'!B:B,'Resource Table'!D:D,"n/a",0,1)</f>
        <v>Vended Repair</v>
      </c>
    </row>
    <row r="397" spans="1:16" x14ac:dyDescent="0.45">
      <c r="A397" t="s">
        <v>5443</v>
      </c>
      <c r="B397" t="s">
        <v>5450</v>
      </c>
      <c r="C397" t="s">
        <v>5639</v>
      </c>
      <c r="D397" t="s">
        <v>1982</v>
      </c>
      <c r="E397" t="s">
        <v>6451</v>
      </c>
      <c r="F397" t="s">
        <v>13460</v>
      </c>
      <c r="G397" t="s">
        <v>13550</v>
      </c>
      <c r="H397" t="s">
        <v>13551</v>
      </c>
      <c r="I397" t="s">
        <v>6479</v>
      </c>
      <c r="J397" t="s">
        <v>13463</v>
      </c>
      <c r="K397">
        <v>1</v>
      </c>
      <c r="L397" t="s">
        <v>13491</v>
      </c>
      <c r="M397" t="s">
        <v>13505</v>
      </c>
      <c r="N397" t="str">
        <f>_xlfn.XLOOKUP(C:C,'Resource Table'!A:A,'Resource Table'!B:B,"NOT FOUND",0,1)</f>
        <v>Hollie Francis</v>
      </c>
      <c r="O397" t="str">
        <f>_xlfn.XLOOKUP(N:N,'Resource Table'!B:B,'Resource Table'!C:C,"n/a",0,1)</f>
        <v>hfrancis@ameritfleet.com</v>
      </c>
      <c r="P397" t="str">
        <f>_xlfn.XLOOKUP(N:N,'Resource Table'!B:B,'Resource Table'!D:D,"n/a",0,1)</f>
        <v>Vended Repair</v>
      </c>
    </row>
    <row r="398" spans="1:16" x14ac:dyDescent="0.45">
      <c r="A398" t="s">
        <v>5443</v>
      </c>
      <c r="B398" t="s">
        <v>5450</v>
      </c>
      <c r="C398" t="s">
        <v>5639</v>
      </c>
      <c r="D398" t="s">
        <v>6300</v>
      </c>
      <c r="E398" t="s">
        <v>6451</v>
      </c>
      <c r="F398" t="s">
        <v>13460</v>
      </c>
      <c r="G398" t="s">
        <v>13461</v>
      </c>
      <c r="H398" t="s">
        <v>13462</v>
      </c>
      <c r="I398" t="s">
        <v>6479</v>
      </c>
      <c r="J398" t="s">
        <v>13463</v>
      </c>
      <c r="K398">
        <v>1</v>
      </c>
      <c r="L398" t="s">
        <v>13491</v>
      </c>
      <c r="M398" t="s">
        <v>13505</v>
      </c>
      <c r="N398" t="str">
        <f>_xlfn.XLOOKUP(C:C,'Resource Table'!A:A,'Resource Table'!B:B,"NOT FOUND",0,1)</f>
        <v>Hollie Francis</v>
      </c>
      <c r="O398" t="str">
        <f>_xlfn.XLOOKUP(N:N,'Resource Table'!B:B,'Resource Table'!C:C,"n/a",0,1)</f>
        <v>hfrancis@ameritfleet.com</v>
      </c>
      <c r="P398" t="str">
        <f>_xlfn.XLOOKUP(N:N,'Resource Table'!B:B,'Resource Table'!D:D,"n/a",0,1)</f>
        <v>Vended Repair</v>
      </c>
    </row>
    <row r="399" spans="1:16" x14ac:dyDescent="0.45">
      <c r="A399" t="s">
        <v>5443</v>
      </c>
      <c r="B399" t="s">
        <v>5450</v>
      </c>
      <c r="C399" t="s">
        <v>5639</v>
      </c>
      <c r="D399" t="s">
        <v>13078</v>
      </c>
      <c r="E399" t="s">
        <v>6451</v>
      </c>
      <c r="F399" t="s">
        <v>13460</v>
      </c>
      <c r="G399" t="s">
        <v>13461</v>
      </c>
      <c r="H399" t="s">
        <v>13465</v>
      </c>
      <c r="I399" t="s">
        <v>6479</v>
      </c>
      <c r="J399" t="s">
        <v>13463</v>
      </c>
      <c r="K399">
        <v>0</v>
      </c>
      <c r="L399" t="s">
        <v>20</v>
      </c>
      <c r="M399" t="s">
        <v>20</v>
      </c>
      <c r="N399" t="str">
        <f>_xlfn.XLOOKUP(C:C,'Resource Table'!A:A,'Resource Table'!B:B,"NOT FOUND",0,1)</f>
        <v>Hollie Francis</v>
      </c>
      <c r="O399" t="str">
        <f>_xlfn.XLOOKUP(N:N,'Resource Table'!B:B,'Resource Table'!C:C,"n/a",0,1)</f>
        <v>hfrancis@ameritfleet.com</v>
      </c>
      <c r="P399" t="str">
        <f>_xlfn.XLOOKUP(N:N,'Resource Table'!B:B,'Resource Table'!D:D,"n/a",0,1)</f>
        <v>Vended Repair</v>
      </c>
    </row>
    <row r="400" spans="1:16" x14ac:dyDescent="0.45">
      <c r="A400" t="s">
        <v>5443</v>
      </c>
      <c r="B400" t="s">
        <v>5450</v>
      </c>
      <c r="C400" t="s">
        <v>5527</v>
      </c>
      <c r="D400" t="s">
        <v>1157</v>
      </c>
      <c r="E400" t="s">
        <v>6451</v>
      </c>
      <c r="F400" t="s">
        <v>13473</v>
      </c>
      <c r="G400" t="s">
        <v>13474</v>
      </c>
      <c r="H400" t="s">
        <v>13521</v>
      </c>
      <c r="I400" t="s">
        <v>6479</v>
      </c>
      <c r="J400" t="s">
        <v>13463</v>
      </c>
      <c r="K400">
        <v>0</v>
      </c>
      <c r="L400" t="s">
        <v>20</v>
      </c>
      <c r="M400" t="s">
        <v>20</v>
      </c>
      <c r="N400" t="str">
        <f>_xlfn.XLOOKUP(C:C,'Resource Table'!A:A,'Resource Table'!B:B,"NOT FOUND",0,1)</f>
        <v>Hollie Francis</v>
      </c>
      <c r="O400" t="str">
        <f>_xlfn.XLOOKUP(N:N,'Resource Table'!B:B,'Resource Table'!C:C,"n/a",0,1)</f>
        <v>hfrancis@ameritfleet.com</v>
      </c>
      <c r="P400" t="str">
        <f>_xlfn.XLOOKUP(N:N,'Resource Table'!B:B,'Resource Table'!D:D,"n/a",0,1)</f>
        <v>Vended Repair</v>
      </c>
    </row>
    <row r="401" spans="1:16" x14ac:dyDescent="0.45">
      <c r="A401" t="s">
        <v>5443</v>
      </c>
      <c r="B401" t="s">
        <v>5450</v>
      </c>
      <c r="C401" t="s">
        <v>5527</v>
      </c>
      <c r="D401" t="s">
        <v>130</v>
      </c>
      <c r="E401" t="s">
        <v>6451</v>
      </c>
      <c r="F401" t="s">
        <v>13525</v>
      </c>
      <c r="G401" t="s">
        <v>13526</v>
      </c>
      <c r="H401" t="s">
        <v>13527</v>
      </c>
      <c r="I401" t="s">
        <v>29</v>
      </c>
      <c r="J401" t="s">
        <v>13463</v>
      </c>
      <c r="K401">
        <v>1</v>
      </c>
      <c r="L401" t="s">
        <v>13479</v>
      </c>
      <c r="M401" t="s">
        <v>13505</v>
      </c>
      <c r="N401" t="str">
        <f>_xlfn.XLOOKUP(C:C,'Resource Table'!A:A,'Resource Table'!B:B,"NOT FOUND",0,1)</f>
        <v>Hollie Francis</v>
      </c>
      <c r="O401" t="str">
        <f>_xlfn.XLOOKUP(N:N,'Resource Table'!B:B,'Resource Table'!C:C,"n/a",0,1)</f>
        <v>hfrancis@ameritfleet.com</v>
      </c>
      <c r="P401" t="str">
        <f>_xlfn.XLOOKUP(N:N,'Resource Table'!B:B,'Resource Table'!D:D,"n/a",0,1)</f>
        <v>Vended Repair</v>
      </c>
    </row>
    <row r="402" spans="1:16" x14ac:dyDescent="0.45">
      <c r="A402" t="s">
        <v>5443</v>
      </c>
      <c r="B402" t="s">
        <v>5450</v>
      </c>
      <c r="C402" t="s">
        <v>5986</v>
      </c>
      <c r="D402" t="s">
        <v>2273</v>
      </c>
      <c r="E402" t="s">
        <v>6451</v>
      </c>
      <c r="F402" t="s">
        <v>13460</v>
      </c>
      <c r="G402" t="s">
        <v>13476</v>
      </c>
      <c r="H402" t="s">
        <v>13477</v>
      </c>
      <c r="I402" t="s">
        <v>6479</v>
      </c>
      <c r="J402" t="s">
        <v>13463</v>
      </c>
      <c r="K402">
        <v>0</v>
      </c>
      <c r="L402" t="s">
        <v>20</v>
      </c>
      <c r="M402" t="s">
        <v>20</v>
      </c>
      <c r="N402" t="str">
        <f>_xlfn.XLOOKUP(C:C,'Resource Table'!A:A,'Resource Table'!B:B,"NOT FOUND",0,1)</f>
        <v>Hollie Francis</v>
      </c>
      <c r="O402" t="str">
        <f>_xlfn.XLOOKUP(N:N,'Resource Table'!B:B,'Resource Table'!C:C,"n/a",0,1)</f>
        <v>hfrancis@ameritfleet.com</v>
      </c>
      <c r="P402" t="str">
        <f>_xlfn.XLOOKUP(N:N,'Resource Table'!B:B,'Resource Table'!D:D,"n/a",0,1)</f>
        <v>Vended Repair</v>
      </c>
    </row>
    <row r="403" spans="1:16" x14ac:dyDescent="0.45">
      <c r="A403" t="s">
        <v>5443</v>
      </c>
      <c r="B403" t="s">
        <v>5450</v>
      </c>
      <c r="C403" t="s">
        <v>5986</v>
      </c>
      <c r="D403" t="s">
        <v>1857</v>
      </c>
      <c r="E403" t="s">
        <v>6461</v>
      </c>
      <c r="F403" t="s">
        <v>13460</v>
      </c>
      <c r="G403" t="s">
        <v>13481</v>
      </c>
      <c r="H403" t="s">
        <v>13482</v>
      </c>
      <c r="I403" t="s">
        <v>6479</v>
      </c>
      <c r="J403" t="s">
        <v>13463</v>
      </c>
      <c r="K403">
        <v>2</v>
      </c>
      <c r="L403" t="s">
        <v>13534</v>
      </c>
      <c r="M403" t="s">
        <v>13464</v>
      </c>
      <c r="N403" t="str">
        <f>_xlfn.XLOOKUP(C:C,'Resource Table'!A:A,'Resource Table'!B:B,"NOT FOUND",0,1)</f>
        <v>Hollie Francis</v>
      </c>
      <c r="O403" t="str">
        <f>_xlfn.XLOOKUP(N:N,'Resource Table'!B:B,'Resource Table'!C:C,"n/a",0,1)</f>
        <v>hfrancis@ameritfleet.com</v>
      </c>
      <c r="P403" t="str">
        <f>_xlfn.XLOOKUP(N:N,'Resource Table'!B:B,'Resource Table'!D:D,"n/a",0,1)</f>
        <v>Vended Repair</v>
      </c>
    </row>
    <row r="404" spans="1:16" x14ac:dyDescent="0.45">
      <c r="A404" t="s">
        <v>5443</v>
      </c>
      <c r="B404" t="s">
        <v>5450</v>
      </c>
      <c r="C404" t="s">
        <v>5451</v>
      </c>
      <c r="D404" t="s">
        <v>626</v>
      </c>
      <c r="E404" t="s">
        <v>6461</v>
      </c>
      <c r="F404" t="s">
        <v>13460</v>
      </c>
      <c r="G404" t="s">
        <v>13481</v>
      </c>
      <c r="H404" t="s">
        <v>13482</v>
      </c>
      <c r="I404" t="s">
        <v>6479</v>
      </c>
      <c r="J404" t="s">
        <v>13463</v>
      </c>
      <c r="K404">
        <v>1</v>
      </c>
      <c r="L404" t="s">
        <v>13540</v>
      </c>
      <c r="M404" t="s">
        <v>13464</v>
      </c>
      <c r="N404" t="str">
        <f>_xlfn.XLOOKUP(C:C,'Resource Table'!A:A,'Resource Table'!B:B,"NOT FOUND",0,1)</f>
        <v>Hollie Francis</v>
      </c>
      <c r="O404" t="str">
        <f>_xlfn.XLOOKUP(N:N,'Resource Table'!B:B,'Resource Table'!C:C,"n/a",0,1)</f>
        <v>hfrancis@ameritfleet.com</v>
      </c>
      <c r="P404" t="str">
        <f>_xlfn.XLOOKUP(N:N,'Resource Table'!B:B,'Resource Table'!D:D,"n/a",0,1)</f>
        <v>Vended Repair</v>
      </c>
    </row>
    <row r="405" spans="1:16" x14ac:dyDescent="0.45">
      <c r="A405" t="s">
        <v>5443</v>
      </c>
      <c r="B405" t="s">
        <v>5450</v>
      </c>
      <c r="C405" t="s">
        <v>5451</v>
      </c>
      <c r="D405" t="s">
        <v>1483</v>
      </c>
      <c r="E405" t="s">
        <v>6461</v>
      </c>
      <c r="F405" t="s">
        <v>13460</v>
      </c>
      <c r="G405" t="s">
        <v>13481</v>
      </c>
      <c r="H405" t="s">
        <v>13482</v>
      </c>
      <c r="I405" t="s">
        <v>6479</v>
      </c>
      <c r="J405" t="s">
        <v>13463</v>
      </c>
      <c r="K405">
        <v>2</v>
      </c>
      <c r="L405" t="s">
        <v>13534</v>
      </c>
      <c r="M405" t="s">
        <v>13493</v>
      </c>
      <c r="N405" t="str">
        <f>_xlfn.XLOOKUP(C:C,'Resource Table'!A:A,'Resource Table'!B:B,"NOT FOUND",0,1)</f>
        <v>Hollie Francis</v>
      </c>
      <c r="O405" t="str">
        <f>_xlfn.XLOOKUP(N:N,'Resource Table'!B:B,'Resource Table'!C:C,"n/a",0,1)</f>
        <v>hfrancis@ameritfleet.com</v>
      </c>
      <c r="P405" t="str">
        <f>_xlfn.XLOOKUP(N:N,'Resource Table'!B:B,'Resource Table'!D:D,"n/a",0,1)</f>
        <v>Vended Repair</v>
      </c>
    </row>
    <row r="406" spans="1:16" x14ac:dyDescent="0.45">
      <c r="A406" t="s">
        <v>5443</v>
      </c>
      <c r="B406" t="s">
        <v>5450</v>
      </c>
      <c r="C406" t="s">
        <v>5451</v>
      </c>
      <c r="D406" t="s">
        <v>271</v>
      </c>
      <c r="E406" t="s">
        <v>6451</v>
      </c>
      <c r="F406" t="s">
        <v>13460</v>
      </c>
      <c r="G406" t="s">
        <v>13550</v>
      </c>
      <c r="H406" t="s">
        <v>13551</v>
      </c>
      <c r="I406" t="s">
        <v>6479</v>
      </c>
      <c r="J406" t="s">
        <v>13463</v>
      </c>
      <c r="K406">
        <v>0</v>
      </c>
      <c r="L406" t="s">
        <v>20</v>
      </c>
      <c r="M406" t="s">
        <v>20</v>
      </c>
      <c r="N406" t="str">
        <f>_xlfn.XLOOKUP(C:C,'Resource Table'!A:A,'Resource Table'!B:B,"NOT FOUND",0,1)</f>
        <v>Hollie Francis</v>
      </c>
      <c r="O406" t="str">
        <f>_xlfn.XLOOKUP(N:N,'Resource Table'!B:B,'Resource Table'!C:C,"n/a",0,1)</f>
        <v>hfrancis@ameritfleet.com</v>
      </c>
      <c r="P406" t="str">
        <f>_xlfn.XLOOKUP(N:N,'Resource Table'!B:B,'Resource Table'!D:D,"n/a",0,1)</f>
        <v>Vended Repair</v>
      </c>
    </row>
    <row r="407" spans="1:16" x14ac:dyDescent="0.45">
      <c r="A407" t="s">
        <v>5443</v>
      </c>
      <c r="B407" t="s">
        <v>5450</v>
      </c>
      <c r="C407" t="s">
        <v>5451</v>
      </c>
      <c r="D407" t="s">
        <v>1527</v>
      </c>
      <c r="E407" t="s">
        <v>6461</v>
      </c>
      <c r="F407" t="s">
        <v>13460</v>
      </c>
      <c r="G407" t="s">
        <v>13481</v>
      </c>
      <c r="H407" t="s">
        <v>13511</v>
      </c>
      <c r="I407" t="s">
        <v>6479</v>
      </c>
      <c r="J407" t="s">
        <v>13463</v>
      </c>
      <c r="K407">
        <v>2</v>
      </c>
      <c r="L407" t="s">
        <v>13540</v>
      </c>
      <c r="M407" t="s">
        <v>13566</v>
      </c>
      <c r="N407" t="str">
        <f>_xlfn.XLOOKUP(C:C,'Resource Table'!A:A,'Resource Table'!B:B,"NOT FOUND",0,1)</f>
        <v>Hollie Francis</v>
      </c>
      <c r="O407" t="str">
        <f>_xlfn.XLOOKUP(N:N,'Resource Table'!B:B,'Resource Table'!C:C,"n/a",0,1)</f>
        <v>hfrancis@ameritfleet.com</v>
      </c>
      <c r="P407" t="str">
        <f>_xlfn.XLOOKUP(N:N,'Resource Table'!B:B,'Resource Table'!D:D,"n/a",0,1)</f>
        <v>Vended Repair</v>
      </c>
    </row>
    <row r="408" spans="1:16" x14ac:dyDescent="0.45">
      <c r="A408" t="s">
        <v>5443</v>
      </c>
      <c r="B408" t="s">
        <v>5450</v>
      </c>
      <c r="C408" t="s">
        <v>5451</v>
      </c>
      <c r="D408" t="s">
        <v>1553</v>
      </c>
      <c r="E408" t="s">
        <v>6451</v>
      </c>
      <c r="F408" t="s">
        <v>13473</v>
      </c>
      <c r="G408" t="s">
        <v>13474</v>
      </c>
      <c r="H408" t="s">
        <v>13492</v>
      </c>
      <c r="I408" t="s">
        <v>29</v>
      </c>
      <c r="J408" t="s">
        <v>13463</v>
      </c>
      <c r="K408">
        <v>1</v>
      </c>
      <c r="L408" t="s">
        <v>13479</v>
      </c>
      <c r="M408" t="s">
        <v>13556</v>
      </c>
      <c r="N408" t="str">
        <f>_xlfn.XLOOKUP(C:C,'Resource Table'!A:A,'Resource Table'!B:B,"NOT FOUND",0,1)</f>
        <v>Hollie Francis</v>
      </c>
      <c r="O408" t="str">
        <f>_xlfn.XLOOKUP(N:N,'Resource Table'!B:B,'Resource Table'!C:C,"n/a",0,1)</f>
        <v>hfrancis@ameritfleet.com</v>
      </c>
      <c r="P408" t="str">
        <f>_xlfn.XLOOKUP(N:N,'Resource Table'!B:B,'Resource Table'!D:D,"n/a",0,1)</f>
        <v>Vended Repair</v>
      </c>
    </row>
    <row r="409" spans="1:16" x14ac:dyDescent="0.45">
      <c r="A409" t="s">
        <v>5443</v>
      </c>
      <c r="B409" t="s">
        <v>5450</v>
      </c>
      <c r="C409" t="s">
        <v>5451</v>
      </c>
      <c r="D409" t="s">
        <v>1776</v>
      </c>
      <c r="E409" t="s">
        <v>6451</v>
      </c>
      <c r="F409" t="s">
        <v>13460</v>
      </c>
      <c r="G409" t="s">
        <v>13476</v>
      </c>
      <c r="H409" t="s">
        <v>13531</v>
      </c>
      <c r="I409" t="s">
        <v>6479</v>
      </c>
      <c r="J409" t="s">
        <v>13463</v>
      </c>
      <c r="K409">
        <v>0</v>
      </c>
      <c r="L409" t="s">
        <v>20</v>
      </c>
      <c r="M409" t="s">
        <v>20</v>
      </c>
      <c r="N409" t="str">
        <f>_xlfn.XLOOKUP(C:C,'Resource Table'!A:A,'Resource Table'!B:B,"NOT FOUND",0,1)</f>
        <v>Hollie Francis</v>
      </c>
      <c r="O409" t="str">
        <f>_xlfn.XLOOKUP(N:N,'Resource Table'!B:B,'Resource Table'!C:C,"n/a",0,1)</f>
        <v>hfrancis@ameritfleet.com</v>
      </c>
      <c r="P409" t="str">
        <f>_xlfn.XLOOKUP(N:N,'Resource Table'!B:B,'Resource Table'!D:D,"n/a",0,1)</f>
        <v>Vended Repair</v>
      </c>
    </row>
    <row r="410" spans="1:16" x14ac:dyDescent="0.45">
      <c r="A410" t="s">
        <v>5443</v>
      </c>
      <c r="B410" t="s">
        <v>5450</v>
      </c>
      <c r="C410" t="s">
        <v>5451</v>
      </c>
      <c r="D410" t="s">
        <v>991</v>
      </c>
      <c r="E410" t="s">
        <v>6451</v>
      </c>
      <c r="F410" t="s">
        <v>13460</v>
      </c>
      <c r="G410" t="s">
        <v>13476</v>
      </c>
      <c r="H410" t="s">
        <v>13477</v>
      </c>
      <c r="I410" t="s">
        <v>6479</v>
      </c>
      <c r="J410" t="s">
        <v>13463</v>
      </c>
      <c r="K410">
        <v>1</v>
      </c>
      <c r="L410" t="s">
        <v>13540</v>
      </c>
      <c r="M410" t="s">
        <v>13464</v>
      </c>
      <c r="N410" t="str">
        <f>_xlfn.XLOOKUP(C:C,'Resource Table'!A:A,'Resource Table'!B:B,"NOT FOUND",0,1)</f>
        <v>Hollie Francis</v>
      </c>
      <c r="O410" t="str">
        <f>_xlfn.XLOOKUP(N:N,'Resource Table'!B:B,'Resource Table'!C:C,"n/a",0,1)</f>
        <v>hfrancis@ameritfleet.com</v>
      </c>
      <c r="P410" t="str">
        <f>_xlfn.XLOOKUP(N:N,'Resource Table'!B:B,'Resource Table'!D:D,"n/a",0,1)</f>
        <v>Vended Repair</v>
      </c>
    </row>
    <row r="411" spans="1:16" x14ac:dyDescent="0.45">
      <c r="A411" t="s">
        <v>5443</v>
      </c>
      <c r="B411" t="s">
        <v>5450</v>
      </c>
      <c r="C411" t="s">
        <v>5451</v>
      </c>
      <c r="D411" t="s">
        <v>2570</v>
      </c>
      <c r="E411" t="s">
        <v>6451</v>
      </c>
      <c r="F411" t="s">
        <v>13473</v>
      </c>
      <c r="G411" t="s">
        <v>13474</v>
      </c>
      <c r="H411" t="s">
        <v>13492</v>
      </c>
      <c r="I411" t="s">
        <v>6479</v>
      </c>
      <c r="J411" t="s">
        <v>13463</v>
      </c>
      <c r="K411">
        <v>3</v>
      </c>
      <c r="L411" t="s">
        <v>13530</v>
      </c>
      <c r="M411" t="s">
        <v>13537</v>
      </c>
      <c r="N411" t="str">
        <f>_xlfn.XLOOKUP(C:C,'Resource Table'!A:A,'Resource Table'!B:B,"NOT FOUND",0,1)</f>
        <v>Hollie Francis</v>
      </c>
      <c r="O411" t="str">
        <f>_xlfn.XLOOKUP(N:N,'Resource Table'!B:B,'Resource Table'!C:C,"n/a",0,1)</f>
        <v>hfrancis@ameritfleet.com</v>
      </c>
      <c r="P411" t="str">
        <f>_xlfn.XLOOKUP(N:N,'Resource Table'!B:B,'Resource Table'!D:D,"n/a",0,1)</f>
        <v>Vended Repair</v>
      </c>
    </row>
    <row r="412" spans="1:16" x14ac:dyDescent="0.45">
      <c r="A412" t="s">
        <v>5443</v>
      </c>
      <c r="B412" t="s">
        <v>5450</v>
      </c>
      <c r="C412" t="s">
        <v>5594</v>
      </c>
      <c r="D412" t="s">
        <v>527</v>
      </c>
      <c r="E412" t="s">
        <v>6451</v>
      </c>
      <c r="F412" t="s">
        <v>13460</v>
      </c>
      <c r="G412" t="s">
        <v>13476</v>
      </c>
      <c r="H412" t="s">
        <v>13531</v>
      </c>
      <c r="I412" t="s">
        <v>6479</v>
      </c>
      <c r="J412" t="s">
        <v>13463</v>
      </c>
      <c r="K412">
        <v>1</v>
      </c>
      <c r="L412" t="s">
        <v>13493</v>
      </c>
      <c r="M412" t="s">
        <v>13508</v>
      </c>
      <c r="N412" t="str">
        <f>_xlfn.XLOOKUP(C:C,'Resource Table'!A:A,'Resource Table'!B:B,"NOT FOUND",0,1)</f>
        <v>Hollie Francis</v>
      </c>
      <c r="O412" t="str">
        <f>_xlfn.XLOOKUP(N:N,'Resource Table'!B:B,'Resource Table'!C:C,"n/a",0,1)</f>
        <v>hfrancis@ameritfleet.com</v>
      </c>
      <c r="P412" t="str">
        <f>_xlfn.XLOOKUP(N:N,'Resource Table'!B:B,'Resource Table'!D:D,"n/a",0,1)</f>
        <v>Vended Repair</v>
      </c>
    </row>
    <row r="413" spans="1:16" x14ac:dyDescent="0.45">
      <c r="A413" t="s">
        <v>5443</v>
      </c>
      <c r="B413" t="s">
        <v>5450</v>
      </c>
      <c r="C413" t="s">
        <v>5594</v>
      </c>
      <c r="D413" t="s">
        <v>596</v>
      </c>
      <c r="E413" t="s">
        <v>6461</v>
      </c>
      <c r="F413" t="s">
        <v>13460</v>
      </c>
      <c r="G413" t="s">
        <v>13461</v>
      </c>
      <c r="H413" t="s">
        <v>13471</v>
      </c>
      <c r="I413" t="s">
        <v>6479</v>
      </c>
      <c r="J413" t="s">
        <v>13486</v>
      </c>
      <c r="K413">
        <v>2</v>
      </c>
      <c r="L413" t="s">
        <v>13540</v>
      </c>
      <c r="M413" t="s">
        <v>13464</v>
      </c>
      <c r="N413" t="str">
        <f>_xlfn.XLOOKUP(C:C,'Resource Table'!A:A,'Resource Table'!B:B,"NOT FOUND",0,1)</f>
        <v>Hollie Francis</v>
      </c>
      <c r="O413" t="str">
        <f>_xlfn.XLOOKUP(N:N,'Resource Table'!B:B,'Resource Table'!C:C,"n/a",0,1)</f>
        <v>hfrancis@ameritfleet.com</v>
      </c>
      <c r="P413" t="str">
        <f>_xlfn.XLOOKUP(N:N,'Resource Table'!B:B,'Resource Table'!D:D,"n/a",0,1)</f>
        <v>Vended Repair</v>
      </c>
    </row>
    <row r="414" spans="1:16" x14ac:dyDescent="0.45">
      <c r="A414" t="s">
        <v>5443</v>
      </c>
      <c r="B414" t="s">
        <v>5450</v>
      </c>
      <c r="C414" t="s">
        <v>5594</v>
      </c>
      <c r="D414" t="s">
        <v>1327</v>
      </c>
      <c r="E414" t="s">
        <v>6451</v>
      </c>
      <c r="F414" t="s">
        <v>13473</v>
      </c>
      <c r="G414" t="s">
        <v>13474</v>
      </c>
      <c r="H414" t="s">
        <v>13475</v>
      </c>
      <c r="I414" t="s">
        <v>6479</v>
      </c>
      <c r="J414" t="s">
        <v>13463</v>
      </c>
      <c r="K414">
        <v>2</v>
      </c>
      <c r="L414" t="s">
        <v>13540</v>
      </c>
      <c r="M414" t="s">
        <v>13505</v>
      </c>
      <c r="N414" t="str">
        <f>_xlfn.XLOOKUP(C:C,'Resource Table'!A:A,'Resource Table'!B:B,"NOT FOUND",0,1)</f>
        <v>Hollie Francis</v>
      </c>
      <c r="O414" t="str">
        <f>_xlfn.XLOOKUP(N:N,'Resource Table'!B:B,'Resource Table'!C:C,"n/a",0,1)</f>
        <v>hfrancis@ameritfleet.com</v>
      </c>
      <c r="P414" t="str">
        <f>_xlfn.XLOOKUP(N:N,'Resource Table'!B:B,'Resource Table'!D:D,"n/a",0,1)</f>
        <v>Vended Repair</v>
      </c>
    </row>
    <row r="415" spans="1:16" x14ac:dyDescent="0.45">
      <c r="A415" t="s">
        <v>5443</v>
      </c>
      <c r="B415" t="s">
        <v>5450</v>
      </c>
      <c r="C415" t="s">
        <v>5594</v>
      </c>
      <c r="D415" t="s">
        <v>830</v>
      </c>
      <c r="E415" t="s">
        <v>6451</v>
      </c>
      <c r="F415" t="s">
        <v>13460</v>
      </c>
      <c r="G415" t="s">
        <v>13476</v>
      </c>
      <c r="H415" t="s">
        <v>13477</v>
      </c>
      <c r="I415" t="s">
        <v>29</v>
      </c>
      <c r="J415" t="s">
        <v>13463</v>
      </c>
      <c r="K415">
        <v>1</v>
      </c>
      <c r="L415" t="s">
        <v>13540</v>
      </c>
      <c r="M415" t="s">
        <v>13508</v>
      </c>
      <c r="N415" t="str">
        <f>_xlfn.XLOOKUP(C:C,'Resource Table'!A:A,'Resource Table'!B:B,"NOT FOUND",0,1)</f>
        <v>Hollie Francis</v>
      </c>
      <c r="O415" t="str">
        <f>_xlfn.XLOOKUP(N:N,'Resource Table'!B:B,'Resource Table'!C:C,"n/a",0,1)</f>
        <v>hfrancis@ameritfleet.com</v>
      </c>
      <c r="P415" t="str">
        <f>_xlfn.XLOOKUP(N:N,'Resource Table'!B:B,'Resource Table'!D:D,"n/a",0,1)</f>
        <v>Vended Repair</v>
      </c>
    </row>
    <row r="416" spans="1:16" x14ac:dyDescent="0.45">
      <c r="A416" t="s">
        <v>5443</v>
      </c>
      <c r="B416" t="s">
        <v>5450</v>
      </c>
      <c r="C416" t="s">
        <v>5594</v>
      </c>
      <c r="D416" t="s">
        <v>2039</v>
      </c>
      <c r="E416" t="s">
        <v>6461</v>
      </c>
      <c r="F416" t="s">
        <v>13460</v>
      </c>
      <c r="G416" t="s">
        <v>13481</v>
      </c>
      <c r="H416" t="s">
        <v>13482</v>
      </c>
      <c r="I416" t="s">
        <v>6479</v>
      </c>
      <c r="J416" t="s">
        <v>13486</v>
      </c>
      <c r="K416">
        <v>3</v>
      </c>
      <c r="L416" t="s">
        <v>13520</v>
      </c>
      <c r="M416" t="s">
        <v>13505</v>
      </c>
      <c r="N416" t="str">
        <f>_xlfn.XLOOKUP(C:C,'Resource Table'!A:A,'Resource Table'!B:B,"NOT FOUND",0,1)</f>
        <v>Hollie Francis</v>
      </c>
      <c r="O416" t="str">
        <f>_xlfn.XLOOKUP(N:N,'Resource Table'!B:B,'Resource Table'!C:C,"n/a",0,1)</f>
        <v>hfrancis@ameritfleet.com</v>
      </c>
      <c r="P416" t="str">
        <f>_xlfn.XLOOKUP(N:N,'Resource Table'!B:B,'Resource Table'!D:D,"n/a",0,1)</f>
        <v>Vended Repair</v>
      </c>
    </row>
    <row r="417" spans="1:16" x14ac:dyDescent="0.45">
      <c r="A417" t="s">
        <v>5443</v>
      </c>
      <c r="B417" t="s">
        <v>5450</v>
      </c>
      <c r="C417" t="s">
        <v>5594</v>
      </c>
      <c r="D417" t="s">
        <v>2499</v>
      </c>
      <c r="E417" t="s">
        <v>6451</v>
      </c>
      <c r="F417" t="s">
        <v>13460</v>
      </c>
      <c r="G417" t="s">
        <v>13476</v>
      </c>
      <c r="H417" t="s">
        <v>13477</v>
      </c>
      <c r="I417" t="s">
        <v>29</v>
      </c>
      <c r="J417" t="s">
        <v>13463</v>
      </c>
      <c r="K417">
        <v>1</v>
      </c>
      <c r="L417" t="s">
        <v>13540</v>
      </c>
      <c r="M417" t="s">
        <v>13508</v>
      </c>
      <c r="N417" t="str">
        <f>_xlfn.XLOOKUP(C:C,'Resource Table'!A:A,'Resource Table'!B:B,"NOT FOUND",0,1)</f>
        <v>Hollie Francis</v>
      </c>
      <c r="O417" t="str">
        <f>_xlfn.XLOOKUP(N:N,'Resource Table'!B:B,'Resource Table'!C:C,"n/a",0,1)</f>
        <v>hfrancis@ameritfleet.com</v>
      </c>
      <c r="P417" t="str">
        <f>_xlfn.XLOOKUP(N:N,'Resource Table'!B:B,'Resource Table'!D:D,"n/a",0,1)</f>
        <v>Vended Repair</v>
      </c>
    </row>
    <row r="418" spans="1:16" x14ac:dyDescent="0.45">
      <c r="A418" t="s">
        <v>5443</v>
      </c>
      <c r="B418" t="s">
        <v>5450</v>
      </c>
      <c r="C418" t="s">
        <v>5582</v>
      </c>
      <c r="D418" t="s">
        <v>6030</v>
      </c>
      <c r="E418" t="s">
        <v>6461</v>
      </c>
      <c r="F418" t="s">
        <v>13460</v>
      </c>
      <c r="G418" t="s">
        <v>13538</v>
      </c>
      <c r="H418" t="s">
        <v>13539</v>
      </c>
      <c r="I418" t="s">
        <v>6479</v>
      </c>
      <c r="J418" t="s">
        <v>13463</v>
      </c>
      <c r="K418">
        <v>1</v>
      </c>
      <c r="L418" t="s">
        <v>13520</v>
      </c>
      <c r="M418" t="s">
        <v>13512</v>
      </c>
      <c r="N418" t="str">
        <f>_xlfn.XLOOKUP(C:C,'Resource Table'!A:A,'Resource Table'!B:B,"NOT FOUND",0,1)</f>
        <v>Dedicated</v>
      </c>
      <c r="O418" t="str">
        <f>_xlfn.XLOOKUP(N:N,'Resource Table'!B:B,'Resource Table'!C:C,"n/a",0,1)</f>
        <v>AFS Dedicated Tech</v>
      </c>
      <c r="P418" t="str">
        <f>_xlfn.XLOOKUP(N:N,'Resource Table'!B:B,'Resource Table'!D:D,"n/a",0,1)</f>
        <v>Dedicated</v>
      </c>
    </row>
    <row r="419" spans="1:16" x14ac:dyDescent="0.45">
      <c r="A419" t="s">
        <v>5443</v>
      </c>
      <c r="B419" t="s">
        <v>5450</v>
      </c>
      <c r="C419" t="s">
        <v>5582</v>
      </c>
      <c r="D419" t="s">
        <v>5622</v>
      </c>
      <c r="E419" t="s">
        <v>6461</v>
      </c>
      <c r="F419" t="s">
        <v>13460</v>
      </c>
      <c r="G419" t="s">
        <v>13461</v>
      </c>
      <c r="H419" t="s">
        <v>13471</v>
      </c>
      <c r="I419" t="s">
        <v>29</v>
      </c>
      <c r="J419" t="s">
        <v>13463</v>
      </c>
      <c r="K419">
        <v>1</v>
      </c>
      <c r="L419" t="s">
        <v>13504</v>
      </c>
      <c r="M419" t="s">
        <v>20</v>
      </c>
      <c r="N419" t="str">
        <f>_xlfn.XLOOKUP(C:C,'Resource Table'!A:A,'Resource Table'!B:B,"NOT FOUND",0,1)</f>
        <v>Dedicated</v>
      </c>
      <c r="O419" t="str">
        <f>_xlfn.XLOOKUP(N:N,'Resource Table'!B:B,'Resource Table'!C:C,"n/a",0,1)</f>
        <v>AFS Dedicated Tech</v>
      </c>
      <c r="P419" t="str">
        <f>_xlfn.XLOOKUP(N:N,'Resource Table'!B:B,'Resource Table'!D:D,"n/a",0,1)</f>
        <v>Dedicated</v>
      </c>
    </row>
    <row r="420" spans="1:16" x14ac:dyDescent="0.45">
      <c r="A420" t="s">
        <v>5443</v>
      </c>
      <c r="B420" t="s">
        <v>5450</v>
      </c>
      <c r="C420" t="s">
        <v>5582</v>
      </c>
      <c r="D420" t="s">
        <v>6323</v>
      </c>
      <c r="E420" t="s">
        <v>6461</v>
      </c>
      <c r="F420" t="s">
        <v>13460</v>
      </c>
      <c r="G420" t="s">
        <v>13461</v>
      </c>
      <c r="H420" t="s">
        <v>13471</v>
      </c>
      <c r="I420" t="s">
        <v>6479</v>
      </c>
      <c r="J420" t="s">
        <v>13463</v>
      </c>
      <c r="K420">
        <v>1</v>
      </c>
      <c r="L420" t="s">
        <v>13464</v>
      </c>
      <c r="M420" t="s">
        <v>13507</v>
      </c>
      <c r="N420" t="str">
        <f>_xlfn.XLOOKUP(C:C,'Resource Table'!A:A,'Resource Table'!B:B,"NOT FOUND",0,1)</f>
        <v>Dedicated</v>
      </c>
      <c r="O420" t="str">
        <f>_xlfn.XLOOKUP(N:N,'Resource Table'!B:B,'Resource Table'!C:C,"n/a",0,1)</f>
        <v>AFS Dedicated Tech</v>
      </c>
      <c r="P420" t="str">
        <f>_xlfn.XLOOKUP(N:N,'Resource Table'!B:B,'Resource Table'!D:D,"n/a",0,1)</f>
        <v>Dedicated</v>
      </c>
    </row>
    <row r="421" spans="1:16" x14ac:dyDescent="0.45">
      <c r="A421" t="s">
        <v>5443</v>
      </c>
      <c r="B421" t="s">
        <v>5450</v>
      </c>
      <c r="C421" t="s">
        <v>5582</v>
      </c>
      <c r="D421" t="s">
        <v>5767</v>
      </c>
      <c r="E421" t="s">
        <v>6451</v>
      </c>
      <c r="F421" t="s">
        <v>13473</v>
      </c>
      <c r="G421" t="s">
        <v>13474</v>
      </c>
      <c r="H421" t="s">
        <v>13521</v>
      </c>
      <c r="I421" t="s">
        <v>6479</v>
      </c>
      <c r="J421" t="s">
        <v>13463</v>
      </c>
      <c r="K421">
        <v>0</v>
      </c>
      <c r="L421" t="s">
        <v>20</v>
      </c>
      <c r="M421" t="s">
        <v>20</v>
      </c>
      <c r="N421" t="str">
        <f>_xlfn.XLOOKUP(C:C,'Resource Table'!A:A,'Resource Table'!B:B,"NOT FOUND",0,1)</f>
        <v>Dedicated</v>
      </c>
      <c r="O421" t="str">
        <f>_xlfn.XLOOKUP(N:N,'Resource Table'!B:B,'Resource Table'!C:C,"n/a",0,1)</f>
        <v>AFS Dedicated Tech</v>
      </c>
      <c r="P421" t="str">
        <f>_xlfn.XLOOKUP(N:N,'Resource Table'!B:B,'Resource Table'!D:D,"n/a",0,1)</f>
        <v>Dedicated</v>
      </c>
    </row>
    <row r="422" spans="1:16" x14ac:dyDescent="0.45">
      <c r="A422" t="s">
        <v>5443</v>
      </c>
      <c r="B422" t="s">
        <v>5450</v>
      </c>
      <c r="C422" t="s">
        <v>5582</v>
      </c>
      <c r="D422" t="s">
        <v>5583</v>
      </c>
      <c r="E422" t="s">
        <v>6451</v>
      </c>
      <c r="F422" t="s">
        <v>13460</v>
      </c>
      <c r="G422" t="s">
        <v>13476</v>
      </c>
      <c r="H422" t="s">
        <v>13531</v>
      </c>
      <c r="I422" t="s">
        <v>29</v>
      </c>
      <c r="J422" t="s">
        <v>13463</v>
      </c>
      <c r="K422">
        <v>1</v>
      </c>
      <c r="L422" t="s">
        <v>13487</v>
      </c>
      <c r="M422" t="s">
        <v>20</v>
      </c>
      <c r="N422" t="str">
        <f>_xlfn.XLOOKUP(C:C,'Resource Table'!A:A,'Resource Table'!B:B,"NOT FOUND",0,1)</f>
        <v>Dedicated</v>
      </c>
      <c r="O422" t="str">
        <f>_xlfn.XLOOKUP(N:N,'Resource Table'!B:B,'Resource Table'!C:C,"n/a",0,1)</f>
        <v>AFS Dedicated Tech</v>
      </c>
      <c r="P422" t="str">
        <f>_xlfn.XLOOKUP(N:N,'Resource Table'!B:B,'Resource Table'!D:D,"n/a",0,1)</f>
        <v>Dedicated</v>
      </c>
    </row>
    <row r="423" spans="1:16" x14ac:dyDescent="0.45">
      <c r="A423" t="s">
        <v>5443</v>
      </c>
      <c r="B423" t="s">
        <v>5450</v>
      </c>
      <c r="C423" t="s">
        <v>5582</v>
      </c>
      <c r="D423" t="s">
        <v>6057</v>
      </c>
      <c r="E423" t="s">
        <v>6461</v>
      </c>
      <c r="F423" t="s">
        <v>13460</v>
      </c>
      <c r="G423" t="s">
        <v>13481</v>
      </c>
      <c r="H423" t="s">
        <v>13511</v>
      </c>
      <c r="I423" t="s">
        <v>6479</v>
      </c>
      <c r="J423" t="s">
        <v>13463</v>
      </c>
      <c r="K423">
        <v>0</v>
      </c>
      <c r="L423" t="s">
        <v>20</v>
      </c>
      <c r="M423" t="s">
        <v>20</v>
      </c>
      <c r="N423" t="str">
        <f>_xlfn.XLOOKUP(C:C,'Resource Table'!A:A,'Resource Table'!B:B,"NOT FOUND",0,1)</f>
        <v>Dedicated</v>
      </c>
      <c r="O423" t="str">
        <f>_xlfn.XLOOKUP(N:N,'Resource Table'!B:B,'Resource Table'!C:C,"n/a",0,1)</f>
        <v>AFS Dedicated Tech</v>
      </c>
      <c r="P423" t="str">
        <f>_xlfn.XLOOKUP(N:N,'Resource Table'!B:B,'Resource Table'!D:D,"n/a",0,1)</f>
        <v>Dedicated</v>
      </c>
    </row>
    <row r="424" spans="1:16" x14ac:dyDescent="0.45">
      <c r="A424" t="s">
        <v>5443</v>
      </c>
      <c r="B424" t="s">
        <v>5450</v>
      </c>
      <c r="C424" t="s">
        <v>5582</v>
      </c>
      <c r="D424" t="s">
        <v>6031</v>
      </c>
      <c r="E424" t="s">
        <v>6461</v>
      </c>
      <c r="F424" t="s">
        <v>13460</v>
      </c>
      <c r="G424" t="s">
        <v>13538</v>
      </c>
      <c r="H424" t="s">
        <v>13539</v>
      </c>
      <c r="I424" t="s">
        <v>6479</v>
      </c>
      <c r="J424" t="s">
        <v>13463</v>
      </c>
      <c r="K424">
        <v>0</v>
      </c>
      <c r="L424" t="s">
        <v>20</v>
      </c>
      <c r="M424" t="s">
        <v>20</v>
      </c>
      <c r="N424" t="str">
        <f>_xlfn.XLOOKUP(C:C,'Resource Table'!A:A,'Resource Table'!B:B,"NOT FOUND",0,1)</f>
        <v>Dedicated</v>
      </c>
      <c r="O424" t="str">
        <f>_xlfn.XLOOKUP(N:N,'Resource Table'!B:B,'Resource Table'!C:C,"n/a",0,1)</f>
        <v>AFS Dedicated Tech</v>
      </c>
      <c r="P424" t="str">
        <f>_xlfn.XLOOKUP(N:N,'Resource Table'!B:B,'Resource Table'!D:D,"n/a",0,1)</f>
        <v>Dedicated</v>
      </c>
    </row>
    <row r="425" spans="1:16" x14ac:dyDescent="0.45">
      <c r="A425" t="s">
        <v>5443</v>
      </c>
      <c r="B425" t="s">
        <v>5450</v>
      </c>
      <c r="C425" t="s">
        <v>5582</v>
      </c>
      <c r="D425" t="s">
        <v>6055</v>
      </c>
      <c r="E425" t="s">
        <v>6461</v>
      </c>
      <c r="F425" t="s">
        <v>13460</v>
      </c>
      <c r="G425" t="s">
        <v>13481</v>
      </c>
      <c r="H425" t="s">
        <v>13511</v>
      </c>
      <c r="I425" t="s">
        <v>6479</v>
      </c>
      <c r="J425" t="s">
        <v>13463</v>
      </c>
      <c r="K425">
        <v>0</v>
      </c>
      <c r="L425" t="s">
        <v>20</v>
      </c>
      <c r="M425" t="s">
        <v>20</v>
      </c>
      <c r="N425" t="str">
        <f>_xlfn.XLOOKUP(C:C,'Resource Table'!A:A,'Resource Table'!B:B,"NOT FOUND",0,1)</f>
        <v>Dedicated</v>
      </c>
      <c r="O425" t="str">
        <f>_xlfn.XLOOKUP(N:N,'Resource Table'!B:B,'Resource Table'!C:C,"n/a",0,1)</f>
        <v>AFS Dedicated Tech</v>
      </c>
      <c r="P425" t="str">
        <f>_xlfn.XLOOKUP(N:N,'Resource Table'!B:B,'Resource Table'!D:D,"n/a",0,1)</f>
        <v>Dedicated</v>
      </c>
    </row>
    <row r="426" spans="1:16" x14ac:dyDescent="0.45">
      <c r="A426" t="s">
        <v>5443</v>
      </c>
      <c r="B426" t="s">
        <v>5450</v>
      </c>
      <c r="C426" t="s">
        <v>5582</v>
      </c>
      <c r="D426" t="s">
        <v>6309</v>
      </c>
      <c r="E426" t="s">
        <v>6461</v>
      </c>
      <c r="F426" t="s">
        <v>13460</v>
      </c>
      <c r="G426" t="s">
        <v>13461</v>
      </c>
      <c r="H426" t="s">
        <v>13471</v>
      </c>
      <c r="I426" t="s">
        <v>6479</v>
      </c>
      <c r="J426" t="s">
        <v>13463</v>
      </c>
      <c r="K426">
        <v>0</v>
      </c>
      <c r="L426" t="s">
        <v>20</v>
      </c>
      <c r="M426" t="s">
        <v>20</v>
      </c>
      <c r="N426" t="str">
        <f>_xlfn.XLOOKUP(C:C,'Resource Table'!A:A,'Resource Table'!B:B,"NOT FOUND",0,1)</f>
        <v>Dedicated</v>
      </c>
      <c r="O426" t="str">
        <f>_xlfn.XLOOKUP(N:N,'Resource Table'!B:B,'Resource Table'!C:C,"n/a",0,1)</f>
        <v>AFS Dedicated Tech</v>
      </c>
      <c r="P426" t="str">
        <f>_xlfn.XLOOKUP(N:N,'Resource Table'!B:B,'Resource Table'!D:D,"n/a",0,1)</f>
        <v>Dedicated</v>
      </c>
    </row>
    <row r="427" spans="1:16" x14ac:dyDescent="0.45">
      <c r="A427" t="s">
        <v>5443</v>
      </c>
      <c r="B427" t="s">
        <v>5450</v>
      </c>
      <c r="C427" t="s">
        <v>5582</v>
      </c>
      <c r="D427" t="s">
        <v>6251</v>
      </c>
      <c r="E427" t="s">
        <v>6451</v>
      </c>
      <c r="F427" t="s">
        <v>13460</v>
      </c>
      <c r="G427" t="s">
        <v>13476</v>
      </c>
      <c r="H427" t="s">
        <v>13477</v>
      </c>
      <c r="I427" t="s">
        <v>6479</v>
      </c>
      <c r="J427" t="s">
        <v>13463</v>
      </c>
      <c r="K427">
        <v>0</v>
      </c>
      <c r="L427" t="s">
        <v>20</v>
      </c>
      <c r="M427" t="s">
        <v>20</v>
      </c>
      <c r="N427" t="str">
        <f>_xlfn.XLOOKUP(C:C,'Resource Table'!A:A,'Resource Table'!B:B,"NOT FOUND",0,1)</f>
        <v>Dedicated</v>
      </c>
      <c r="O427" t="str">
        <f>_xlfn.XLOOKUP(N:N,'Resource Table'!B:B,'Resource Table'!C:C,"n/a",0,1)</f>
        <v>AFS Dedicated Tech</v>
      </c>
      <c r="P427" t="str">
        <f>_xlfn.XLOOKUP(N:N,'Resource Table'!B:B,'Resource Table'!D:D,"n/a",0,1)</f>
        <v>Dedicated</v>
      </c>
    </row>
    <row r="428" spans="1:16" x14ac:dyDescent="0.45">
      <c r="A428" t="s">
        <v>5443</v>
      </c>
      <c r="B428" t="s">
        <v>5450</v>
      </c>
      <c r="C428" t="s">
        <v>5582</v>
      </c>
      <c r="D428" t="s">
        <v>6237</v>
      </c>
      <c r="E428" t="s">
        <v>6451</v>
      </c>
      <c r="F428" t="s">
        <v>13460</v>
      </c>
      <c r="G428" t="s">
        <v>13476</v>
      </c>
      <c r="H428" t="s">
        <v>13477</v>
      </c>
      <c r="I428" t="s">
        <v>6479</v>
      </c>
      <c r="J428" t="s">
        <v>13463</v>
      </c>
      <c r="K428">
        <v>0</v>
      </c>
      <c r="L428" t="s">
        <v>20</v>
      </c>
      <c r="M428" t="s">
        <v>20</v>
      </c>
      <c r="N428" t="str">
        <f>_xlfn.XLOOKUP(C:C,'Resource Table'!A:A,'Resource Table'!B:B,"NOT FOUND",0,1)</f>
        <v>Dedicated</v>
      </c>
      <c r="O428" t="str">
        <f>_xlfn.XLOOKUP(N:N,'Resource Table'!B:B,'Resource Table'!C:C,"n/a",0,1)</f>
        <v>AFS Dedicated Tech</v>
      </c>
      <c r="P428" t="str">
        <f>_xlfn.XLOOKUP(N:N,'Resource Table'!B:B,'Resource Table'!D:D,"n/a",0,1)</f>
        <v>Dedicated</v>
      </c>
    </row>
    <row r="429" spans="1:16" x14ac:dyDescent="0.45">
      <c r="A429" t="s">
        <v>5443</v>
      </c>
      <c r="B429" t="s">
        <v>5450</v>
      </c>
      <c r="C429" t="s">
        <v>5582</v>
      </c>
      <c r="D429" t="s">
        <v>5985</v>
      </c>
      <c r="E429" t="s">
        <v>6461</v>
      </c>
      <c r="F429" t="s">
        <v>13460</v>
      </c>
      <c r="G429" t="s">
        <v>13481</v>
      </c>
      <c r="H429" t="s">
        <v>13482</v>
      </c>
      <c r="I429" t="s">
        <v>29</v>
      </c>
      <c r="J429" t="s">
        <v>13463</v>
      </c>
      <c r="K429">
        <v>1</v>
      </c>
      <c r="L429" t="s">
        <v>13472</v>
      </c>
      <c r="M429" t="s">
        <v>20</v>
      </c>
      <c r="N429" t="str">
        <f>_xlfn.XLOOKUP(C:C,'Resource Table'!A:A,'Resource Table'!B:B,"NOT FOUND",0,1)</f>
        <v>Dedicated</v>
      </c>
      <c r="O429" t="str">
        <f>_xlfn.XLOOKUP(N:N,'Resource Table'!B:B,'Resource Table'!C:C,"n/a",0,1)</f>
        <v>AFS Dedicated Tech</v>
      </c>
      <c r="P429" t="str">
        <f>_xlfn.XLOOKUP(N:N,'Resource Table'!B:B,'Resource Table'!D:D,"n/a",0,1)</f>
        <v>Dedicated</v>
      </c>
    </row>
    <row r="430" spans="1:16" x14ac:dyDescent="0.45">
      <c r="A430" t="s">
        <v>5443</v>
      </c>
      <c r="B430" t="s">
        <v>5450</v>
      </c>
      <c r="C430" t="s">
        <v>5582</v>
      </c>
      <c r="D430" t="s">
        <v>4006</v>
      </c>
      <c r="E430" t="s">
        <v>6461</v>
      </c>
      <c r="F430" t="s">
        <v>13460</v>
      </c>
      <c r="G430" t="s">
        <v>13481</v>
      </c>
      <c r="H430" t="s">
        <v>13482</v>
      </c>
      <c r="I430" t="s">
        <v>6479</v>
      </c>
      <c r="J430" t="s">
        <v>13463</v>
      </c>
      <c r="K430">
        <v>0</v>
      </c>
      <c r="L430" t="s">
        <v>20</v>
      </c>
      <c r="M430" t="s">
        <v>20</v>
      </c>
      <c r="N430" t="str">
        <f>_xlfn.XLOOKUP(C:C,'Resource Table'!A:A,'Resource Table'!B:B,"NOT FOUND",0,1)</f>
        <v>Dedicated</v>
      </c>
      <c r="O430" t="str">
        <f>_xlfn.XLOOKUP(N:N,'Resource Table'!B:B,'Resource Table'!C:C,"n/a",0,1)</f>
        <v>AFS Dedicated Tech</v>
      </c>
      <c r="P430" t="str">
        <f>_xlfn.XLOOKUP(N:N,'Resource Table'!B:B,'Resource Table'!D:D,"n/a",0,1)</f>
        <v>Dedicated</v>
      </c>
    </row>
    <row r="431" spans="1:16" x14ac:dyDescent="0.45">
      <c r="A431" t="s">
        <v>5443</v>
      </c>
      <c r="B431" t="s">
        <v>5450</v>
      </c>
      <c r="C431" t="s">
        <v>5582</v>
      </c>
      <c r="D431" t="s">
        <v>5979</v>
      </c>
      <c r="E431" t="s">
        <v>6461</v>
      </c>
      <c r="F431" t="s">
        <v>13460</v>
      </c>
      <c r="G431" t="s">
        <v>13481</v>
      </c>
      <c r="H431" t="s">
        <v>13482</v>
      </c>
      <c r="I431" t="s">
        <v>6479</v>
      </c>
      <c r="J431" t="s">
        <v>13463</v>
      </c>
      <c r="K431">
        <v>0</v>
      </c>
      <c r="L431" t="s">
        <v>20</v>
      </c>
      <c r="M431" t="s">
        <v>20</v>
      </c>
      <c r="N431" t="str">
        <f>_xlfn.XLOOKUP(C:C,'Resource Table'!A:A,'Resource Table'!B:B,"NOT FOUND",0,1)</f>
        <v>Dedicated</v>
      </c>
      <c r="O431" t="str">
        <f>_xlfn.XLOOKUP(N:N,'Resource Table'!B:B,'Resource Table'!C:C,"n/a",0,1)</f>
        <v>AFS Dedicated Tech</v>
      </c>
      <c r="P431" t="str">
        <f>_xlfn.XLOOKUP(N:N,'Resource Table'!B:B,'Resource Table'!D:D,"n/a",0,1)</f>
        <v>Dedicated</v>
      </c>
    </row>
    <row r="432" spans="1:16" x14ac:dyDescent="0.45">
      <c r="A432" t="s">
        <v>5443</v>
      </c>
      <c r="B432" t="s">
        <v>5450</v>
      </c>
      <c r="C432" t="s">
        <v>5582</v>
      </c>
      <c r="D432" t="s">
        <v>5907</v>
      </c>
      <c r="E432" t="s">
        <v>6462</v>
      </c>
      <c r="F432" t="s">
        <v>13460</v>
      </c>
      <c r="G432" t="s">
        <v>13481</v>
      </c>
      <c r="H432" t="s">
        <v>13490</v>
      </c>
      <c r="I432" t="s">
        <v>6479</v>
      </c>
      <c r="J432" t="s">
        <v>13463</v>
      </c>
      <c r="K432">
        <v>0</v>
      </c>
      <c r="L432" t="s">
        <v>20</v>
      </c>
      <c r="M432" t="s">
        <v>20</v>
      </c>
      <c r="N432" t="str">
        <f>_xlfn.XLOOKUP(C:C,'Resource Table'!A:A,'Resource Table'!B:B,"NOT FOUND",0,1)</f>
        <v>Dedicated</v>
      </c>
      <c r="O432" t="str">
        <f>_xlfn.XLOOKUP(N:N,'Resource Table'!B:B,'Resource Table'!C:C,"n/a",0,1)</f>
        <v>AFS Dedicated Tech</v>
      </c>
      <c r="P432" t="str">
        <f>_xlfn.XLOOKUP(N:N,'Resource Table'!B:B,'Resource Table'!D:D,"n/a",0,1)</f>
        <v>Dedicated</v>
      </c>
    </row>
    <row r="433" spans="1:16" x14ac:dyDescent="0.45">
      <c r="A433" t="s">
        <v>5443</v>
      </c>
      <c r="B433" t="s">
        <v>5450</v>
      </c>
      <c r="C433" t="s">
        <v>5582</v>
      </c>
      <c r="D433" t="s">
        <v>6253</v>
      </c>
      <c r="E433" t="s">
        <v>6451</v>
      </c>
      <c r="F433" t="s">
        <v>13460</v>
      </c>
      <c r="G433" t="s">
        <v>13476</v>
      </c>
      <c r="H433" t="s">
        <v>13477</v>
      </c>
      <c r="I433" t="s">
        <v>6479</v>
      </c>
      <c r="J433" t="s">
        <v>13463</v>
      </c>
      <c r="K433">
        <v>0</v>
      </c>
      <c r="L433" t="s">
        <v>20</v>
      </c>
      <c r="M433" t="s">
        <v>20</v>
      </c>
      <c r="N433" t="str">
        <f>_xlfn.XLOOKUP(C:C,'Resource Table'!A:A,'Resource Table'!B:B,"NOT FOUND",0,1)</f>
        <v>Dedicated</v>
      </c>
      <c r="O433" t="str">
        <f>_xlfn.XLOOKUP(N:N,'Resource Table'!B:B,'Resource Table'!C:C,"n/a",0,1)</f>
        <v>AFS Dedicated Tech</v>
      </c>
      <c r="P433" t="str">
        <f>_xlfn.XLOOKUP(N:N,'Resource Table'!B:B,'Resource Table'!D:D,"n/a",0,1)</f>
        <v>Dedicated</v>
      </c>
    </row>
    <row r="434" spans="1:16" x14ac:dyDescent="0.45">
      <c r="A434" t="s">
        <v>5443</v>
      </c>
      <c r="B434" t="s">
        <v>5450</v>
      </c>
      <c r="C434" t="s">
        <v>5582</v>
      </c>
      <c r="D434" t="s">
        <v>6056</v>
      </c>
      <c r="E434" t="s">
        <v>6461</v>
      </c>
      <c r="F434" t="s">
        <v>13460</v>
      </c>
      <c r="G434" t="s">
        <v>13481</v>
      </c>
      <c r="H434" t="s">
        <v>13511</v>
      </c>
      <c r="I434" t="s">
        <v>6479</v>
      </c>
      <c r="J434" t="s">
        <v>13463</v>
      </c>
      <c r="K434">
        <v>1</v>
      </c>
      <c r="L434" t="s">
        <v>13480</v>
      </c>
      <c r="M434" t="s">
        <v>20</v>
      </c>
      <c r="N434" t="str">
        <f>_xlfn.XLOOKUP(C:C,'Resource Table'!A:A,'Resource Table'!B:B,"NOT FOUND",0,1)</f>
        <v>Dedicated</v>
      </c>
      <c r="O434" t="str">
        <f>_xlfn.XLOOKUP(N:N,'Resource Table'!B:B,'Resource Table'!C:C,"n/a",0,1)</f>
        <v>AFS Dedicated Tech</v>
      </c>
      <c r="P434" t="str">
        <f>_xlfn.XLOOKUP(N:N,'Resource Table'!B:B,'Resource Table'!D:D,"n/a",0,1)</f>
        <v>Dedicated</v>
      </c>
    </row>
    <row r="435" spans="1:16" x14ac:dyDescent="0.45">
      <c r="A435" t="s">
        <v>5443</v>
      </c>
      <c r="B435" t="s">
        <v>5450</v>
      </c>
      <c r="C435" t="s">
        <v>5582</v>
      </c>
      <c r="D435" t="s">
        <v>6363</v>
      </c>
      <c r="E435" t="s">
        <v>6475</v>
      </c>
      <c r="F435" t="s">
        <v>13460</v>
      </c>
      <c r="G435" t="s">
        <v>13461</v>
      </c>
      <c r="H435" t="s">
        <v>13471</v>
      </c>
      <c r="I435" t="s">
        <v>6479</v>
      </c>
      <c r="J435" t="s">
        <v>13463</v>
      </c>
      <c r="K435">
        <v>0</v>
      </c>
      <c r="L435" t="s">
        <v>20</v>
      </c>
      <c r="M435" t="s">
        <v>20</v>
      </c>
      <c r="N435" t="str">
        <f>_xlfn.XLOOKUP(C:C,'Resource Table'!A:A,'Resource Table'!B:B,"NOT FOUND",0,1)</f>
        <v>Dedicated</v>
      </c>
      <c r="O435" t="str">
        <f>_xlfn.XLOOKUP(N:N,'Resource Table'!B:B,'Resource Table'!C:C,"n/a",0,1)</f>
        <v>AFS Dedicated Tech</v>
      </c>
      <c r="P435" t="str">
        <f>_xlfn.XLOOKUP(N:N,'Resource Table'!B:B,'Resource Table'!D:D,"n/a",0,1)</f>
        <v>Dedicated</v>
      </c>
    </row>
    <row r="436" spans="1:16" x14ac:dyDescent="0.45">
      <c r="A436" t="s">
        <v>5443</v>
      </c>
      <c r="B436" t="s">
        <v>5450</v>
      </c>
      <c r="C436" t="s">
        <v>5582</v>
      </c>
      <c r="D436" t="s">
        <v>6224</v>
      </c>
      <c r="E436" t="s">
        <v>6451</v>
      </c>
      <c r="F436" t="s">
        <v>13460</v>
      </c>
      <c r="G436" t="s">
        <v>13476</v>
      </c>
      <c r="H436" t="s">
        <v>13477</v>
      </c>
      <c r="I436" t="s">
        <v>6479</v>
      </c>
      <c r="J436" t="s">
        <v>13463</v>
      </c>
      <c r="K436">
        <v>0</v>
      </c>
      <c r="L436" t="s">
        <v>20</v>
      </c>
      <c r="M436" t="s">
        <v>20</v>
      </c>
      <c r="N436" t="str">
        <f>_xlfn.XLOOKUP(C:C,'Resource Table'!A:A,'Resource Table'!B:B,"NOT FOUND",0,1)</f>
        <v>Dedicated</v>
      </c>
      <c r="O436" t="str">
        <f>_xlfn.XLOOKUP(N:N,'Resource Table'!B:B,'Resource Table'!C:C,"n/a",0,1)</f>
        <v>AFS Dedicated Tech</v>
      </c>
      <c r="P436" t="str">
        <f>_xlfn.XLOOKUP(N:N,'Resource Table'!B:B,'Resource Table'!D:D,"n/a",0,1)</f>
        <v>Dedicated</v>
      </c>
    </row>
    <row r="437" spans="1:16" x14ac:dyDescent="0.45">
      <c r="A437" t="s">
        <v>5443</v>
      </c>
      <c r="B437" t="s">
        <v>5450</v>
      </c>
      <c r="C437" t="s">
        <v>5623</v>
      </c>
      <c r="D437" t="s">
        <v>587</v>
      </c>
      <c r="E437" t="s">
        <v>6461</v>
      </c>
      <c r="F437" t="s">
        <v>13460</v>
      </c>
      <c r="G437" t="s">
        <v>13481</v>
      </c>
      <c r="H437" t="s">
        <v>13511</v>
      </c>
      <c r="I437" t="s">
        <v>6479</v>
      </c>
      <c r="J437" t="s">
        <v>13463</v>
      </c>
      <c r="K437">
        <v>3</v>
      </c>
      <c r="L437" t="s">
        <v>13523</v>
      </c>
      <c r="M437" t="s">
        <v>13505</v>
      </c>
      <c r="N437" t="str">
        <f>_xlfn.XLOOKUP(C:C,'Resource Table'!A:A,'Resource Table'!B:B,"NOT FOUND",0,1)</f>
        <v>Hollie Francis</v>
      </c>
      <c r="O437" t="str">
        <f>_xlfn.XLOOKUP(N:N,'Resource Table'!B:B,'Resource Table'!C:C,"n/a",0,1)</f>
        <v>hfrancis@ameritfleet.com</v>
      </c>
      <c r="P437" t="str">
        <f>_xlfn.XLOOKUP(N:N,'Resource Table'!B:B,'Resource Table'!D:D,"n/a",0,1)</f>
        <v>Vended Repair</v>
      </c>
    </row>
    <row r="438" spans="1:16" x14ac:dyDescent="0.45">
      <c r="A438" t="s">
        <v>5443</v>
      </c>
      <c r="B438" t="s">
        <v>5450</v>
      </c>
      <c r="C438" t="s">
        <v>5623</v>
      </c>
      <c r="D438" t="s">
        <v>2095</v>
      </c>
      <c r="E438" t="s">
        <v>6475</v>
      </c>
      <c r="F438" t="s">
        <v>13460</v>
      </c>
      <c r="G438" t="s">
        <v>13461</v>
      </c>
      <c r="H438" t="s">
        <v>13471</v>
      </c>
      <c r="I438" t="s">
        <v>6479</v>
      </c>
      <c r="J438" t="s">
        <v>13463</v>
      </c>
      <c r="K438">
        <v>2</v>
      </c>
      <c r="L438" t="s">
        <v>13523</v>
      </c>
      <c r="M438" t="s">
        <v>13505</v>
      </c>
      <c r="N438" t="str">
        <f>_xlfn.XLOOKUP(C:C,'Resource Table'!A:A,'Resource Table'!B:B,"NOT FOUND",0,1)</f>
        <v>Hollie Francis</v>
      </c>
      <c r="O438" t="str">
        <f>_xlfn.XLOOKUP(N:N,'Resource Table'!B:B,'Resource Table'!C:C,"n/a",0,1)</f>
        <v>hfrancis@ameritfleet.com</v>
      </c>
      <c r="P438" t="str">
        <f>_xlfn.XLOOKUP(N:N,'Resource Table'!B:B,'Resource Table'!D:D,"n/a",0,1)</f>
        <v>Vended Repair</v>
      </c>
    </row>
    <row r="439" spans="1:16" x14ac:dyDescent="0.45">
      <c r="A439" t="s">
        <v>5443</v>
      </c>
      <c r="B439" t="s">
        <v>5450</v>
      </c>
      <c r="C439" t="s">
        <v>5623</v>
      </c>
      <c r="D439" t="s">
        <v>510</v>
      </c>
      <c r="E439" t="s">
        <v>6461</v>
      </c>
      <c r="F439" t="s">
        <v>13460</v>
      </c>
      <c r="G439" t="s">
        <v>13481</v>
      </c>
      <c r="H439" t="s">
        <v>13482</v>
      </c>
      <c r="I439" t="s">
        <v>29</v>
      </c>
      <c r="J439" t="s">
        <v>13463</v>
      </c>
      <c r="K439">
        <v>3</v>
      </c>
      <c r="L439" t="s">
        <v>13542</v>
      </c>
      <c r="M439" t="s">
        <v>13513</v>
      </c>
      <c r="N439" t="str">
        <f>_xlfn.XLOOKUP(C:C,'Resource Table'!A:A,'Resource Table'!B:B,"NOT FOUND",0,1)</f>
        <v>Hollie Francis</v>
      </c>
      <c r="O439" t="str">
        <f>_xlfn.XLOOKUP(N:N,'Resource Table'!B:B,'Resource Table'!C:C,"n/a",0,1)</f>
        <v>hfrancis@ameritfleet.com</v>
      </c>
      <c r="P439" t="str">
        <f>_xlfn.XLOOKUP(N:N,'Resource Table'!B:B,'Resource Table'!D:D,"n/a",0,1)</f>
        <v>Vended Repair</v>
      </c>
    </row>
    <row r="440" spans="1:16" x14ac:dyDescent="0.45">
      <c r="A440" t="s">
        <v>5443</v>
      </c>
      <c r="B440" t="s">
        <v>5450</v>
      </c>
      <c r="C440" t="s">
        <v>5623</v>
      </c>
      <c r="D440" t="s">
        <v>13079</v>
      </c>
      <c r="E440" t="s">
        <v>6451</v>
      </c>
      <c r="F440" t="s">
        <v>13460</v>
      </c>
      <c r="G440" t="s">
        <v>13476</v>
      </c>
      <c r="H440" t="s">
        <v>13477</v>
      </c>
      <c r="I440" t="s">
        <v>6479</v>
      </c>
      <c r="J440" t="s">
        <v>13463</v>
      </c>
      <c r="K440">
        <v>0</v>
      </c>
      <c r="L440" t="s">
        <v>20</v>
      </c>
      <c r="M440" t="s">
        <v>20</v>
      </c>
      <c r="N440" t="str">
        <f>_xlfn.XLOOKUP(C:C,'Resource Table'!A:A,'Resource Table'!B:B,"NOT FOUND",0,1)</f>
        <v>Hollie Francis</v>
      </c>
      <c r="O440" t="str">
        <f>_xlfn.XLOOKUP(N:N,'Resource Table'!B:B,'Resource Table'!C:C,"n/a",0,1)</f>
        <v>hfrancis@ameritfleet.com</v>
      </c>
      <c r="P440" t="str">
        <f>_xlfn.XLOOKUP(N:N,'Resource Table'!B:B,'Resource Table'!D:D,"n/a",0,1)</f>
        <v>Vended Repair</v>
      </c>
    </row>
    <row r="441" spans="1:16" x14ac:dyDescent="0.45">
      <c r="A441" t="s">
        <v>5443</v>
      </c>
      <c r="B441" t="s">
        <v>5450</v>
      </c>
      <c r="C441" t="s">
        <v>5623</v>
      </c>
      <c r="D441" t="s">
        <v>2469</v>
      </c>
      <c r="E441" t="s">
        <v>6451</v>
      </c>
      <c r="F441" t="s">
        <v>13460</v>
      </c>
      <c r="G441" t="s">
        <v>13476</v>
      </c>
      <c r="H441" t="s">
        <v>13477</v>
      </c>
      <c r="I441" t="s">
        <v>6479</v>
      </c>
      <c r="J441" t="s">
        <v>13463</v>
      </c>
      <c r="K441">
        <v>2</v>
      </c>
      <c r="L441" t="s">
        <v>13542</v>
      </c>
      <c r="M441" t="s">
        <v>13513</v>
      </c>
      <c r="N441" t="str">
        <f>_xlfn.XLOOKUP(C:C,'Resource Table'!A:A,'Resource Table'!B:B,"NOT FOUND",0,1)</f>
        <v>Hollie Francis</v>
      </c>
      <c r="O441" t="str">
        <f>_xlfn.XLOOKUP(N:N,'Resource Table'!B:B,'Resource Table'!C:C,"n/a",0,1)</f>
        <v>hfrancis@ameritfleet.com</v>
      </c>
      <c r="P441" t="str">
        <f>_xlfn.XLOOKUP(N:N,'Resource Table'!B:B,'Resource Table'!D:D,"n/a",0,1)</f>
        <v>Vended Repair</v>
      </c>
    </row>
    <row r="442" spans="1:16" x14ac:dyDescent="0.45">
      <c r="A442" t="s">
        <v>5443</v>
      </c>
      <c r="B442" t="s">
        <v>5450</v>
      </c>
      <c r="C442" t="s">
        <v>5623</v>
      </c>
      <c r="D442" t="s">
        <v>13080</v>
      </c>
      <c r="E442" t="s">
        <v>6451</v>
      </c>
      <c r="F442" t="s">
        <v>13460</v>
      </c>
      <c r="G442" t="s">
        <v>13476</v>
      </c>
      <c r="H442" t="s">
        <v>13571</v>
      </c>
      <c r="I442" t="s">
        <v>6479</v>
      </c>
      <c r="J442" t="s">
        <v>13463</v>
      </c>
      <c r="K442">
        <v>0</v>
      </c>
      <c r="L442" t="s">
        <v>20</v>
      </c>
      <c r="M442" t="s">
        <v>20</v>
      </c>
      <c r="N442" t="str">
        <f>_xlfn.XLOOKUP(C:C,'Resource Table'!A:A,'Resource Table'!B:B,"NOT FOUND",0,1)</f>
        <v>Hollie Francis</v>
      </c>
      <c r="O442" t="str">
        <f>_xlfn.XLOOKUP(N:N,'Resource Table'!B:B,'Resource Table'!C:C,"n/a",0,1)</f>
        <v>hfrancis@ameritfleet.com</v>
      </c>
      <c r="P442" t="str">
        <f>_xlfn.XLOOKUP(N:N,'Resource Table'!B:B,'Resource Table'!D:D,"n/a",0,1)</f>
        <v>Vended Repair</v>
      </c>
    </row>
    <row r="443" spans="1:16" x14ac:dyDescent="0.45">
      <c r="A443" t="s">
        <v>5443</v>
      </c>
      <c r="B443" t="s">
        <v>5450</v>
      </c>
      <c r="C443" t="s">
        <v>5558</v>
      </c>
      <c r="D443" t="s">
        <v>507</v>
      </c>
      <c r="E443" t="s">
        <v>6462</v>
      </c>
      <c r="F443" t="s">
        <v>13460</v>
      </c>
      <c r="G443" t="s">
        <v>13481</v>
      </c>
      <c r="H443" t="s">
        <v>13490</v>
      </c>
      <c r="I443" t="s">
        <v>6479</v>
      </c>
      <c r="J443" t="s">
        <v>13463</v>
      </c>
      <c r="K443">
        <v>3</v>
      </c>
      <c r="L443" t="s">
        <v>13464</v>
      </c>
      <c r="M443" t="s">
        <v>13493</v>
      </c>
      <c r="N443" t="str">
        <f>_xlfn.XLOOKUP(C:C,'Resource Table'!A:A,'Resource Table'!B:B,"NOT FOUND",0,1)</f>
        <v>Hollie Francis</v>
      </c>
      <c r="O443" t="str">
        <f>_xlfn.XLOOKUP(N:N,'Resource Table'!B:B,'Resource Table'!C:C,"n/a",0,1)</f>
        <v>hfrancis@ameritfleet.com</v>
      </c>
      <c r="P443" t="str">
        <f>_xlfn.XLOOKUP(N:N,'Resource Table'!B:B,'Resource Table'!D:D,"n/a",0,1)</f>
        <v>Vended Repair</v>
      </c>
    </row>
    <row r="444" spans="1:16" x14ac:dyDescent="0.45">
      <c r="A444" t="s">
        <v>5443</v>
      </c>
      <c r="B444" t="s">
        <v>5450</v>
      </c>
      <c r="C444" t="s">
        <v>5558</v>
      </c>
      <c r="D444" t="s">
        <v>2481</v>
      </c>
      <c r="E444" t="s">
        <v>6461</v>
      </c>
      <c r="F444" t="s">
        <v>13460</v>
      </c>
      <c r="G444" t="s">
        <v>13481</v>
      </c>
      <c r="H444" t="s">
        <v>13482</v>
      </c>
      <c r="I444" t="s">
        <v>6479</v>
      </c>
      <c r="J444" t="s">
        <v>13463</v>
      </c>
      <c r="K444">
        <v>1</v>
      </c>
      <c r="L444" t="s">
        <v>13464</v>
      </c>
      <c r="M444" t="s">
        <v>13544</v>
      </c>
      <c r="N444" t="str">
        <f>_xlfn.XLOOKUP(C:C,'Resource Table'!A:A,'Resource Table'!B:B,"NOT FOUND",0,1)</f>
        <v>Hollie Francis</v>
      </c>
      <c r="O444" t="str">
        <f>_xlfn.XLOOKUP(N:N,'Resource Table'!B:B,'Resource Table'!C:C,"n/a",0,1)</f>
        <v>hfrancis@ameritfleet.com</v>
      </c>
      <c r="P444" t="str">
        <f>_xlfn.XLOOKUP(N:N,'Resource Table'!B:B,'Resource Table'!D:D,"n/a",0,1)</f>
        <v>Vended Repair</v>
      </c>
    </row>
    <row r="445" spans="1:16" x14ac:dyDescent="0.45">
      <c r="A445" t="s">
        <v>5443</v>
      </c>
      <c r="B445" t="s">
        <v>5450</v>
      </c>
      <c r="C445" t="s">
        <v>5558</v>
      </c>
      <c r="D445" t="s">
        <v>1623</v>
      </c>
      <c r="E445" t="s">
        <v>6462</v>
      </c>
      <c r="F445" t="s">
        <v>13460</v>
      </c>
      <c r="G445" t="s">
        <v>13481</v>
      </c>
      <c r="H445" t="s">
        <v>13490</v>
      </c>
      <c r="I445" t="s">
        <v>6479</v>
      </c>
      <c r="J445" t="s">
        <v>13463</v>
      </c>
      <c r="K445">
        <v>2</v>
      </c>
      <c r="L445" t="s">
        <v>13523</v>
      </c>
      <c r="M445" t="s">
        <v>13505</v>
      </c>
      <c r="N445" t="str">
        <f>_xlfn.XLOOKUP(C:C,'Resource Table'!A:A,'Resource Table'!B:B,"NOT FOUND",0,1)</f>
        <v>Hollie Francis</v>
      </c>
      <c r="O445" t="str">
        <f>_xlfn.XLOOKUP(N:N,'Resource Table'!B:B,'Resource Table'!C:C,"n/a",0,1)</f>
        <v>hfrancis@ameritfleet.com</v>
      </c>
      <c r="P445" t="str">
        <f>_xlfn.XLOOKUP(N:N,'Resource Table'!B:B,'Resource Table'!D:D,"n/a",0,1)</f>
        <v>Vended Repair</v>
      </c>
    </row>
    <row r="446" spans="1:16" x14ac:dyDescent="0.45">
      <c r="A446" t="s">
        <v>5443</v>
      </c>
      <c r="B446" t="s">
        <v>5450</v>
      </c>
      <c r="C446" t="s">
        <v>5558</v>
      </c>
      <c r="D446" t="s">
        <v>789</v>
      </c>
      <c r="E446" t="s">
        <v>6451</v>
      </c>
      <c r="F446" t="s">
        <v>13460</v>
      </c>
      <c r="G446" t="s">
        <v>13476</v>
      </c>
      <c r="H446" t="s">
        <v>13531</v>
      </c>
      <c r="I446" t="s">
        <v>6479</v>
      </c>
      <c r="J446" t="s">
        <v>13463</v>
      </c>
      <c r="K446">
        <v>2</v>
      </c>
      <c r="L446" t="s">
        <v>13540</v>
      </c>
      <c r="M446" t="s">
        <v>13484</v>
      </c>
      <c r="N446" t="str">
        <f>_xlfn.XLOOKUP(C:C,'Resource Table'!A:A,'Resource Table'!B:B,"NOT FOUND",0,1)</f>
        <v>Hollie Francis</v>
      </c>
      <c r="O446" t="str">
        <f>_xlfn.XLOOKUP(N:N,'Resource Table'!B:B,'Resource Table'!C:C,"n/a",0,1)</f>
        <v>hfrancis@ameritfleet.com</v>
      </c>
      <c r="P446" t="str">
        <f>_xlfn.XLOOKUP(N:N,'Resource Table'!B:B,'Resource Table'!D:D,"n/a",0,1)</f>
        <v>Vended Repair</v>
      </c>
    </row>
    <row r="447" spans="1:16" x14ac:dyDescent="0.45">
      <c r="A447" t="s">
        <v>5443</v>
      </c>
      <c r="B447" t="s">
        <v>5450</v>
      </c>
      <c r="C447" t="s">
        <v>5558</v>
      </c>
      <c r="D447" t="s">
        <v>5690</v>
      </c>
      <c r="E447" t="s">
        <v>6451</v>
      </c>
      <c r="F447" t="s">
        <v>13473</v>
      </c>
      <c r="G447" t="s">
        <v>13474</v>
      </c>
      <c r="H447" t="s">
        <v>13492</v>
      </c>
      <c r="I447" t="s">
        <v>6479</v>
      </c>
      <c r="J447" t="s">
        <v>13463</v>
      </c>
      <c r="K447">
        <v>1</v>
      </c>
      <c r="L447" t="s">
        <v>13464</v>
      </c>
      <c r="M447" t="s">
        <v>13544</v>
      </c>
      <c r="N447" t="str">
        <f>_xlfn.XLOOKUP(C:C,'Resource Table'!A:A,'Resource Table'!B:B,"NOT FOUND",0,1)</f>
        <v>Hollie Francis</v>
      </c>
      <c r="O447" t="str">
        <f>_xlfn.XLOOKUP(N:N,'Resource Table'!B:B,'Resource Table'!C:C,"n/a",0,1)</f>
        <v>hfrancis@ameritfleet.com</v>
      </c>
      <c r="P447" t="str">
        <f>_xlfn.XLOOKUP(N:N,'Resource Table'!B:B,'Resource Table'!D:D,"n/a",0,1)</f>
        <v>Vended Repair</v>
      </c>
    </row>
    <row r="448" spans="1:16" x14ac:dyDescent="0.45">
      <c r="A448" t="s">
        <v>5443</v>
      </c>
      <c r="B448" t="s">
        <v>5450</v>
      </c>
      <c r="C448" t="s">
        <v>5558</v>
      </c>
      <c r="D448" t="s">
        <v>6238</v>
      </c>
      <c r="E448" t="s">
        <v>6451</v>
      </c>
      <c r="F448" t="s">
        <v>13460</v>
      </c>
      <c r="G448" t="s">
        <v>13476</v>
      </c>
      <c r="H448" t="s">
        <v>13477</v>
      </c>
      <c r="I448" t="s">
        <v>6479</v>
      </c>
      <c r="J448" t="s">
        <v>13463</v>
      </c>
      <c r="K448">
        <v>1</v>
      </c>
      <c r="L448" t="s">
        <v>13464</v>
      </c>
      <c r="M448" t="s">
        <v>13544</v>
      </c>
      <c r="N448" t="str">
        <f>_xlfn.XLOOKUP(C:C,'Resource Table'!A:A,'Resource Table'!B:B,"NOT FOUND",0,1)</f>
        <v>Hollie Francis</v>
      </c>
      <c r="O448" t="str">
        <f>_xlfn.XLOOKUP(N:N,'Resource Table'!B:B,'Resource Table'!C:C,"n/a",0,1)</f>
        <v>hfrancis@ameritfleet.com</v>
      </c>
      <c r="P448" t="str">
        <f>_xlfn.XLOOKUP(N:N,'Resource Table'!B:B,'Resource Table'!D:D,"n/a",0,1)</f>
        <v>Vended Repair</v>
      </c>
    </row>
    <row r="449" spans="1:16" x14ac:dyDescent="0.45">
      <c r="A449" t="s">
        <v>5443</v>
      </c>
      <c r="B449" t="s">
        <v>5450</v>
      </c>
      <c r="C449" t="s">
        <v>5558</v>
      </c>
      <c r="D449" t="s">
        <v>1662</v>
      </c>
      <c r="E449" t="s">
        <v>6461</v>
      </c>
      <c r="F449" t="s">
        <v>13460</v>
      </c>
      <c r="G449" t="s">
        <v>13481</v>
      </c>
      <c r="H449" t="s">
        <v>13511</v>
      </c>
      <c r="I449" t="s">
        <v>6479</v>
      </c>
      <c r="J449" t="s">
        <v>13463</v>
      </c>
      <c r="K449">
        <v>2</v>
      </c>
      <c r="L449" t="s">
        <v>13523</v>
      </c>
      <c r="M449" t="s">
        <v>13544</v>
      </c>
      <c r="N449" t="str">
        <f>_xlfn.XLOOKUP(C:C,'Resource Table'!A:A,'Resource Table'!B:B,"NOT FOUND",0,1)</f>
        <v>Hollie Francis</v>
      </c>
      <c r="O449" t="str">
        <f>_xlfn.XLOOKUP(N:N,'Resource Table'!B:B,'Resource Table'!C:C,"n/a",0,1)</f>
        <v>hfrancis@ameritfleet.com</v>
      </c>
      <c r="P449" t="str">
        <f>_xlfn.XLOOKUP(N:N,'Resource Table'!B:B,'Resource Table'!D:D,"n/a",0,1)</f>
        <v>Vended Repair</v>
      </c>
    </row>
    <row r="450" spans="1:16" x14ac:dyDescent="0.45">
      <c r="A450" t="s">
        <v>5443</v>
      </c>
      <c r="B450" t="s">
        <v>5450</v>
      </c>
      <c r="C450" t="s">
        <v>5558</v>
      </c>
      <c r="D450" t="s">
        <v>6283</v>
      </c>
      <c r="E450" t="s">
        <v>6451</v>
      </c>
      <c r="F450" t="s">
        <v>13460</v>
      </c>
      <c r="G450" t="s">
        <v>13461</v>
      </c>
      <c r="H450" t="s">
        <v>13465</v>
      </c>
      <c r="I450" t="s">
        <v>6479</v>
      </c>
      <c r="J450" t="s">
        <v>13463</v>
      </c>
      <c r="K450">
        <v>1</v>
      </c>
      <c r="L450" t="s">
        <v>13464</v>
      </c>
      <c r="M450" t="s">
        <v>13544</v>
      </c>
      <c r="N450" t="str">
        <f>_xlfn.XLOOKUP(C:C,'Resource Table'!A:A,'Resource Table'!B:B,"NOT FOUND",0,1)</f>
        <v>Hollie Francis</v>
      </c>
      <c r="O450" t="str">
        <f>_xlfn.XLOOKUP(N:N,'Resource Table'!B:B,'Resource Table'!C:C,"n/a",0,1)</f>
        <v>hfrancis@ameritfleet.com</v>
      </c>
      <c r="P450" t="str">
        <f>_xlfn.XLOOKUP(N:N,'Resource Table'!B:B,'Resource Table'!D:D,"n/a",0,1)</f>
        <v>Vended Repair</v>
      </c>
    </row>
    <row r="451" spans="1:16" x14ac:dyDescent="0.45">
      <c r="A451" t="s">
        <v>5443</v>
      </c>
      <c r="B451" t="s">
        <v>5450</v>
      </c>
      <c r="C451" t="s">
        <v>5571</v>
      </c>
      <c r="D451" t="s">
        <v>1579</v>
      </c>
      <c r="E451" t="s">
        <v>6461</v>
      </c>
      <c r="F451" t="s">
        <v>13460</v>
      </c>
      <c r="G451" t="s">
        <v>13461</v>
      </c>
      <c r="H451" t="s">
        <v>13471</v>
      </c>
      <c r="I451" t="s">
        <v>6479</v>
      </c>
      <c r="J451" t="s">
        <v>13463</v>
      </c>
      <c r="K451">
        <v>0</v>
      </c>
      <c r="L451" t="s">
        <v>20</v>
      </c>
      <c r="M451" t="s">
        <v>20</v>
      </c>
      <c r="N451" t="str">
        <f>_xlfn.XLOOKUP(C:C,'Resource Table'!A:A,'Resource Table'!B:B,"NOT FOUND",0,1)</f>
        <v>Hollie Francis</v>
      </c>
      <c r="O451" t="str">
        <f>_xlfn.XLOOKUP(N:N,'Resource Table'!B:B,'Resource Table'!C:C,"n/a",0,1)</f>
        <v>hfrancis@ameritfleet.com</v>
      </c>
      <c r="P451" t="str">
        <f>_xlfn.XLOOKUP(N:N,'Resource Table'!B:B,'Resource Table'!D:D,"n/a",0,1)</f>
        <v>Vended Repair</v>
      </c>
    </row>
    <row r="452" spans="1:16" x14ac:dyDescent="0.45">
      <c r="A452" t="s">
        <v>5443</v>
      </c>
      <c r="B452" t="s">
        <v>5450</v>
      </c>
      <c r="C452" t="s">
        <v>5571</v>
      </c>
      <c r="D452" t="s">
        <v>765</v>
      </c>
      <c r="E452" t="s">
        <v>6461</v>
      </c>
      <c r="F452" t="s">
        <v>13460</v>
      </c>
      <c r="G452" t="s">
        <v>13461</v>
      </c>
      <c r="H452" t="s">
        <v>13471</v>
      </c>
      <c r="I452" t="s">
        <v>6479</v>
      </c>
      <c r="J452" t="s">
        <v>13463</v>
      </c>
      <c r="K452">
        <v>5</v>
      </c>
      <c r="L452" t="s">
        <v>13523</v>
      </c>
      <c r="M452" t="s">
        <v>13468</v>
      </c>
      <c r="N452" t="str">
        <f>_xlfn.XLOOKUP(C:C,'Resource Table'!A:A,'Resource Table'!B:B,"NOT FOUND",0,1)</f>
        <v>Hollie Francis</v>
      </c>
      <c r="O452" t="str">
        <f>_xlfn.XLOOKUP(N:N,'Resource Table'!B:B,'Resource Table'!C:C,"n/a",0,1)</f>
        <v>hfrancis@ameritfleet.com</v>
      </c>
      <c r="P452" t="str">
        <f>_xlfn.XLOOKUP(N:N,'Resource Table'!B:B,'Resource Table'!D:D,"n/a",0,1)</f>
        <v>Vended Repair</v>
      </c>
    </row>
    <row r="453" spans="1:16" x14ac:dyDescent="0.45">
      <c r="A453" t="s">
        <v>5443</v>
      </c>
      <c r="B453" t="s">
        <v>5450</v>
      </c>
      <c r="C453" t="s">
        <v>5571</v>
      </c>
      <c r="D453" t="s">
        <v>1800</v>
      </c>
      <c r="E453" t="s">
        <v>6451</v>
      </c>
      <c r="F453" t="s">
        <v>13525</v>
      </c>
      <c r="G453" t="s">
        <v>13585</v>
      </c>
      <c r="H453" t="s">
        <v>13586</v>
      </c>
      <c r="I453" t="s">
        <v>29</v>
      </c>
      <c r="J453" t="s">
        <v>13463</v>
      </c>
      <c r="K453">
        <v>2</v>
      </c>
      <c r="L453" t="s">
        <v>13479</v>
      </c>
      <c r="M453" t="s">
        <v>13464</v>
      </c>
      <c r="N453" t="str">
        <f>_xlfn.XLOOKUP(C:C,'Resource Table'!A:A,'Resource Table'!B:B,"NOT FOUND",0,1)</f>
        <v>Hollie Francis</v>
      </c>
      <c r="O453" t="str">
        <f>_xlfn.XLOOKUP(N:N,'Resource Table'!B:B,'Resource Table'!C:C,"n/a",0,1)</f>
        <v>hfrancis@ameritfleet.com</v>
      </c>
      <c r="P453" t="str">
        <f>_xlfn.XLOOKUP(N:N,'Resource Table'!B:B,'Resource Table'!D:D,"n/a",0,1)</f>
        <v>Vended Repair</v>
      </c>
    </row>
    <row r="454" spans="1:16" x14ac:dyDescent="0.45">
      <c r="A454" t="s">
        <v>5443</v>
      </c>
      <c r="B454" t="s">
        <v>5450</v>
      </c>
      <c r="C454" t="s">
        <v>5571</v>
      </c>
      <c r="D454" t="s">
        <v>2160</v>
      </c>
      <c r="E454" t="s">
        <v>6451</v>
      </c>
      <c r="F454" t="s">
        <v>13460</v>
      </c>
      <c r="G454" t="s">
        <v>13550</v>
      </c>
      <c r="H454" t="s">
        <v>13551</v>
      </c>
      <c r="I454" t="s">
        <v>6479</v>
      </c>
      <c r="J454" t="s">
        <v>13463</v>
      </c>
      <c r="K454">
        <v>0</v>
      </c>
      <c r="L454" t="s">
        <v>20</v>
      </c>
      <c r="M454" t="s">
        <v>20</v>
      </c>
      <c r="N454" t="str">
        <f>_xlfn.XLOOKUP(C:C,'Resource Table'!A:A,'Resource Table'!B:B,"NOT FOUND",0,1)</f>
        <v>Hollie Francis</v>
      </c>
      <c r="O454" t="str">
        <f>_xlfn.XLOOKUP(N:N,'Resource Table'!B:B,'Resource Table'!C:C,"n/a",0,1)</f>
        <v>hfrancis@ameritfleet.com</v>
      </c>
      <c r="P454" t="str">
        <f>_xlfn.XLOOKUP(N:N,'Resource Table'!B:B,'Resource Table'!D:D,"n/a",0,1)</f>
        <v>Vended Repair</v>
      </c>
    </row>
    <row r="455" spans="1:16" x14ac:dyDescent="0.45">
      <c r="A455" t="s">
        <v>5443</v>
      </c>
      <c r="B455" t="s">
        <v>5450</v>
      </c>
      <c r="C455" t="s">
        <v>5571</v>
      </c>
      <c r="D455" t="s">
        <v>1442</v>
      </c>
      <c r="E455" t="s">
        <v>6461</v>
      </c>
      <c r="F455" t="s">
        <v>13460</v>
      </c>
      <c r="G455" t="s">
        <v>13461</v>
      </c>
      <c r="H455" t="s">
        <v>13471</v>
      </c>
      <c r="I455" t="s">
        <v>6479</v>
      </c>
      <c r="J455" t="s">
        <v>13486</v>
      </c>
      <c r="K455">
        <v>1</v>
      </c>
      <c r="L455" t="s">
        <v>13487</v>
      </c>
      <c r="M455" t="s">
        <v>20</v>
      </c>
      <c r="N455" t="str">
        <f>_xlfn.XLOOKUP(C:C,'Resource Table'!A:A,'Resource Table'!B:B,"NOT FOUND",0,1)</f>
        <v>Hollie Francis</v>
      </c>
      <c r="O455" t="str">
        <f>_xlfn.XLOOKUP(N:N,'Resource Table'!B:B,'Resource Table'!C:C,"n/a",0,1)</f>
        <v>hfrancis@ameritfleet.com</v>
      </c>
      <c r="P455" t="str">
        <f>_xlfn.XLOOKUP(N:N,'Resource Table'!B:B,'Resource Table'!D:D,"n/a",0,1)</f>
        <v>Vended Repair</v>
      </c>
    </row>
    <row r="456" spans="1:16" x14ac:dyDescent="0.45">
      <c r="A456" t="s">
        <v>5443</v>
      </c>
      <c r="B456" t="s">
        <v>5450</v>
      </c>
      <c r="C456" t="s">
        <v>5571</v>
      </c>
      <c r="D456" t="s">
        <v>644</v>
      </c>
      <c r="E456" t="s">
        <v>6461</v>
      </c>
      <c r="F456" t="s">
        <v>13460</v>
      </c>
      <c r="G456" t="s">
        <v>13481</v>
      </c>
      <c r="H456" t="s">
        <v>13482</v>
      </c>
      <c r="I456" t="s">
        <v>6479</v>
      </c>
      <c r="J456" t="s">
        <v>13463</v>
      </c>
      <c r="K456">
        <v>1</v>
      </c>
      <c r="L456" t="s">
        <v>13523</v>
      </c>
      <c r="M456" t="s">
        <v>13548</v>
      </c>
      <c r="N456" t="str">
        <f>_xlfn.XLOOKUP(C:C,'Resource Table'!A:A,'Resource Table'!B:B,"NOT FOUND",0,1)</f>
        <v>Hollie Francis</v>
      </c>
      <c r="O456" t="str">
        <f>_xlfn.XLOOKUP(N:N,'Resource Table'!B:B,'Resource Table'!C:C,"n/a",0,1)</f>
        <v>hfrancis@ameritfleet.com</v>
      </c>
      <c r="P456" t="str">
        <f>_xlfn.XLOOKUP(N:N,'Resource Table'!B:B,'Resource Table'!D:D,"n/a",0,1)</f>
        <v>Vended Repair</v>
      </c>
    </row>
    <row r="457" spans="1:16" x14ac:dyDescent="0.45">
      <c r="A457" t="s">
        <v>5443</v>
      </c>
      <c r="B457" t="s">
        <v>5450</v>
      </c>
      <c r="C457" t="s">
        <v>5571</v>
      </c>
      <c r="D457" t="s">
        <v>427</v>
      </c>
      <c r="E457" t="s">
        <v>6462</v>
      </c>
      <c r="F457" t="s">
        <v>13460</v>
      </c>
      <c r="G457" t="s">
        <v>13481</v>
      </c>
      <c r="H457" t="s">
        <v>13490</v>
      </c>
      <c r="I457" t="s">
        <v>6479</v>
      </c>
      <c r="J457" t="s">
        <v>13463</v>
      </c>
      <c r="K457">
        <v>3</v>
      </c>
      <c r="L457" t="s">
        <v>13540</v>
      </c>
      <c r="M457" t="s">
        <v>13472</v>
      </c>
      <c r="N457" t="str">
        <f>_xlfn.XLOOKUP(C:C,'Resource Table'!A:A,'Resource Table'!B:B,"NOT FOUND",0,1)</f>
        <v>Hollie Francis</v>
      </c>
      <c r="O457" t="str">
        <f>_xlfn.XLOOKUP(N:N,'Resource Table'!B:B,'Resource Table'!C:C,"n/a",0,1)</f>
        <v>hfrancis@ameritfleet.com</v>
      </c>
      <c r="P457" t="str">
        <f>_xlfn.XLOOKUP(N:N,'Resource Table'!B:B,'Resource Table'!D:D,"n/a",0,1)</f>
        <v>Vended Repair</v>
      </c>
    </row>
    <row r="458" spans="1:16" x14ac:dyDescent="0.45">
      <c r="A458" t="s">
        <v>5443</v>
      </c>
      <c r="B458" t="s">
        <v>5450</v>
      </c>
      <c r="C458" t="s">
        <v>5571</v>
      </c>
      <c r="D458" t="s">
        <v>1970</v>
      </c>
      <c r="E458" t="s">
        <v>6451</v>
      </c>
      <c r="F458" t="s">
        <v>13473</v>
      </c>
      <c r="G458" t="s">
        <v>13474</v>
      </c>
      <c r="H458" t="s">
        <v>13517</v>
      </c>
      <c r="I458" t="s">
        <v>6479</v>
      </c>
      <c r="J458" t="s">
        <v>13463</v>
      </c>
      <c r="K458">
        <v>1</v>
      </c>
      <c r="L458" t="s">
        <v>13540</v>
      </c>
      <c r="M458" t="s">
        <v>13535</v>
      </c>
      <c r="N458" t="str">
        <f>_xlfn.XLOOKUP(C:C,'Resource Table'!A:A,'Resource Table'!B:B,"NOT FOUND",0,1)</f>
        <v>Hollie Francis</v>
      </c>
      <c r="O458" t="str">
        <f>_xlfn.XLOOKUP(N:N,'Resource Table'!B:B,'Resource Table'!C:C,"n/a",0,1)</f>
        <v>hfrancis@ameritfleet.com</v>
      </c>
      <c r="P458" t="str">
        <f>_xlfn.XLOOKUP(N:N,'Resource Table'!B:B,'Resource Table'!D:D,"n/a",0,1)</f>
        <v>Vended Repair</v>
      </c>
    </row>
    <row r="459" spans="1:16" x14ac:dyDescent="0.45">
      <c r="A459" t="s">
        <v>5443</v>
      </c>
      <c r="B459" t="s">
        <v>5450</v>
      </c>
      <c r="C459" t="s">
        <v>5571</v>
      </c>
      <c r="D459" t="s">
        <v>2672</v>
      </c>
      <c r="E459" t="s">
        <v>6461</v>
      </c>
      <c r="F459" t="s">
        <v>13460</v>
      </c>
      <c r="G459" t="s">
        <v>13481</v>
      </c>
      <c r="H459" t="s">
        <v>13482</v>
      </c>
      <c r="I459" t="s">
        <v>6479</v>
      </c>
      <c r="J459" t="s">
        <v>13463</v>
      </c>
      <c r="K459">
        <v>2</v>
      </c>
      <c r="L459" t="s">
        <v>13540</v>
      </c>
      <c r="M459" t="s">
        <v>13524</v>
      </c>
      <c r="N459" t="str">
        <f>_xlfn.XLOOKUP(C:C,'Resource Table'!A:A,'Resource Table'!B:B,"NOT FOUND",0,1)</f>
        <v>Hollie Francis</v>
      </c>
      <c r="O459" t="str">
        <f>_xlfn.XLOOKUP(N:N,'Resource Table'!B:B,'Resource Table'!C:C,"n/a",0,1)</f>
        <v>hfrancis@ameritfleet.com</v>
      </c>
      <c r="P459" t="str">
        <f>_xlfn.XLOOKUP(N:N,'Resource Table'!B:B,'Resource Table'!D:D,"n/a",0,1)</f>
        <v>Vended Repair</v>
      </c>
    </row>
    <row r="460" spans="1:16" x14ac:dyDescent="0.45">
      <c r="A460" t="s">
        <v>5443</v>
      </c>
      <c r="B460" t="s">
        <v>5450</v>
      </c>
      <c r="C460" t="s">
        <v>5528</v>
      </c>
      <c r="D460" t="s">
        <v>4280</v>
      </c>
      <c r="E460" t="s">
        <v>6451</v>
      </c>
      <c r="F460" t="s">
        <v>13473</v>
      </c>
      <c r="G460" t="s">
        <v>13474</v>
      </c>
      <c r="H460" t="s">
        <v>13475</v>
      </c>
      <c r="I460" t="s">
        <v>6479</v>
      </c>
      <c r="J460" t="s">
        <v>13463</v>
      </c>
      <c r="K460">
        <v>1</v>
      </c>
      <c r="L460" t="s">
        <v>13464</v>
      </c>
      <c r="M460" t="s">
        <v>13544</v>
      </c>
      <c r="N460" t="str">
        <f>_xlfn.XLOOKUP(C:C,'Resource Table'!A:A,'Resource Table'!B:B,"NOT FOUND",0,1)</f>
        <v>Hollie Francis</v>
      </c>
      <c r="O460" t="str">
        <f>_xlfn.XLOOKUP(N:N,'Resource Table'!B:B,'Resource Table'!C:C,"n/a",0,1)</f>
        <v>hfrancis@ameritfleet.com</v>
      </c>
      <c r="P460" t="str">
        <f>_xlfn.XLOOKUP(N:N,'Resource Table'!B:B,'Resource Table'!D:D,"n/a",0,1)</f>
        <v>Vended Repair</v>
      </c>
    </row>
    <row r="461" spans="1:16" x14ac:dyDescent="0.45">
      <c r="A461" t="s">
        <v>5443</v>
      </c>
      <c r="B461" t="s">
        <v>5450</v>
      </c>
      <c r="C461" t="s">
        <v>5528</v>
      </c>
      <c r="D461" t="s">
        <v>2374</v>
      </c>
      <c r="E461" t="s">
        <v>6461</v>
      </c>
      <c r="F461" t="s">
        <v>13460</v>
      </c>
      <c r="G461" t="s">
        <v>13481</v>
      </c>
      <c r="H461" t="s">
        <v>13511</v>
      </c>
      <c r="I461" t="s">
        <v>6479</v>
      </c>
      <c r="J461" t="s">
        <v>13463</v>
      </c>
      <c r="K461">
        <v>2</v>
      </c>
      <c r="L461" t="s">
        <v>13523</v>
      </c>
      <c r="M461" t="s">
        <v>13544</v>
      </c>
      <c r="N461" t="str">
        <f>_xlfn.XLOOKUP(C:C,'Resource Table'!A:A,'Resource Table'!B:B,"NOT FOUND",0,1)</f>
        <v>Hollie Francis</v>
      </c>
      <c r="O461" t="str">
        <f>_xlfn.XLOOKUP(N:N,'Resource Table'!B:B,'Resource Table'!C:C,"n/a",0,1)</f>
        <v>hfrancis@ameritfleet.com</v>
      </c>
      <c r="P461" t="str">
        <f>_xlfn.XLOOKUP(N:N,'Resource Table'!B:B,'Resource Table'!D:D,"n/a",0,1)</f>
        <v>Vended Repair</v>
      </c>
    </row>
    <row r="462" spans="1:16" x14ac:dyDescent="0.45">
      <c r="A462" t="s">
        <v>5443</v>
      </c>
      <c r="B462" t="s">
        <v>5450</v>
      </c>
      <c r="C462" t="s">
        <v>5528</v>
      </c>
      <c r="D462" t="s">
        <v>1029</v>
      </c>
      <c r="E462" t="s">
        <v>6461</v>
      </c>
      <c r="F462" t="s">
        <v>13460</v>
      </c>
      <c r="G462" t="s">
        <v>13481</v>
      </c>
      <c r="H462" t="s">
        <v>13482</v>
      </c>
      <c r="I462" t="s">
        <v>6479</v>
      </c>
      <c r="J462" t="s">
        <v>13463</v>
      </c>
      <c r="K462">
        <v>2</v>
      </c>
      <c r="L462" t="s">
        <v>13523</v>
      </c>
      <c r="M462" t="s">
        <v>13544</v>
      </c>
      <c r="N462" t="str">
        <f>_xlfn.XLOOKUP(C:C,'Resource Table'!A:A,'Resource Table'!B:B,"NOT FOUND",0,1)</f>
        <v>Hollie Francis</v>
      </c>
      <c r="O462" t="str">
        <f>_xlfn.XLOOKUP(N:N,'Resource Table'!B:B,'Resource Table'!C:C,"n/a",0,1)</f>
        <v>hfrancis@ameritfleet.com</v>
      </c>
      <c r="P462" t="str">
        <f>_xlfn.XLOOKUP(N:N,'Resource Table'!B:B,'Resource Table'!D:D,"n/a",0,1)</f>
        <v>Vended Repair</v>
      </c>
    </row>
    <row r="463" spans="1:16" x14ac:dyDescent="0.45">
      <c r="A463" t="s">
        <v>5443</v>
      </c>
      <c r="B463" t="s">
        <v>5450</v>
      </c>
      <c r="C463" t="s">
        <v>5528</v>
      </c>
      <c r="D463" t="s">
        <v>1591</v>
      </c>
      <c r="E463" t="s">
        <v>6461</v>
      </c>
      <c r="F463" t="s">
        <v>13460</v>
      </c>
      <c r="G463" t="s">
        <v>13481</v>
      </c>
      <c r="H463" t="s">
        <v>13482</v>
      </c>
      <c r="I463" t="s">
        <v>6479</v>
      </c>
      <c r="J463" t="s">
        <v>13463</v>
      </c>
      <c r="K463">
        <v>2</v>
      </c>
      <c r="L463" t="s">
        <v>13523</v>
      </c>
      <c r="M463" t="s">
        <v>13544</v>
      </c>
      <c r="N463" t="str">
        <f>_xlfn.XLOOKUP(C:C,'Resource Table'!A:A,'Resource Table'!B:B,"NOT FOUND",0,1)</f>
        <v>Hollie Francis</v>
      </c>
      <c r="O463" t="str">
        <f>_xlfn.XLOOKUP(N:N,'Resource Table'!B:B,'Resource Table'!C:C,"n/a",0,1)</f>
        <v>hfrancis@ameritfleet.com</v>
      </c>
      <c r="P463" t="str">
        <f>_xlfn.XLOOKUP(N:N,'Resource Table'!B:B,'Resource Table'!D:D,"n/a",0,1)</f>
        <v>Vended Repair</v>
      </c>
    </row>
    <row r="464" spans="1:16" x14ac:dyDescent="0.45">
      <c r="A464" t="s">
        <v>5443</v>
      </c>
      <c r="B464" t="s">
        <v>5450</v>
      </c>
      <c r="C464" t="s">
        <v>5528</v>
      </c>
      <c r="D464" t="s">
        <v>3780</v>
      </c>
      <c r="E464" t="s">
        <v>6451</v>
      </c>
      <c r="F464" t="s">
        <v>13473</v>
      </c>
      <c r="G464" t="s">
        <v>13474</v>
      </c>
      <c r="H464" t="s">
        <v>13475</v>
      </c>
      <c r="I464" t="s">
        <v>29</v>
      </c>
      <c r="J464" t="s">
        <v>13463</v>
      </c>
      <c r="K464">
        <v>1</v>
      </c>
      <c r="L464" t="s">
        <v>13464</v>
      </c>
      <c r="M464" t="s">
        <v>13587</v>
      </c>
      <c r="N464" t="str">
        <f>_xlfn.XLOOKUP(C:C,'Resource Table'!A:A,'Resource Table'!B:B,"NOT FOUND",0,1)</f>
        <v>Hollie Francis</v>
      </c>
      <c r="O464" t="str">
        <f>_xlfn.XLOOKUP(N:N,'Resource Table'!B:B,'Resource Table'!C:C,"n/a",0,1)</f>
        <v>hfrancis@ameritfleet.com</v>
      </c>
      <c r="P464" t="str">
        <f>_xlfn.XLOOKUP(N:N,'Resource Table'!B:B,'Resource Table'!D:D,"n/a",0,1)</f>
        <v>Vended Repair</v>
      </c>
    </row>
    <row r="465" spans="1:16" x14ac:dyDescent="0.45">
      <c r="A465" t="s">
        <v>5443</v>
      </c>
      <c r="B465" t="s">
        <v>5450</v>
      </c>
      <c r="C465" t="s">
        <v>5528</v>
      </c>
      <c r="D465" t="s">
        <v>3760</v>
      </c>
      <c r="E465" t="s">
        <v>6451</v>
      </c>
      <c r="F465" t="s">
        <v>13473</v>
      </c>
      <c r="G465" t="s">
        <v>13474</v>
      </c>
      <c r="H465" t="s">
        <v>13475</v>
      </c>
      <c r="I465" t="s">
        <v>29</v>
      </c>
      <c r="J465" t="s">
        <v>13463</v>
      </c>
      <c r="K465">
        <v>2</v>
      </c>
      <c r="L465" t="s">
        <v>13479</v>
      </c>
      <c r="M465" t="s">
        <v>13544</v>
      </c>
      <c r="N465" t="str">
        <f>_xlfn.XLOOKUP(C:C,'Resource Table'!A:A,'Resource Table'!B:B,"NOT FOUND",0,1)</f>
        <v>Hollie Francis</v>
      </c>
      <c r="O465" t="str">
        <f>_xlfn.XLOOKUP(N:N,'Resource Table'!B:B,'Resource Table'!C:C,"n/a",0,1)</f>
        <v>hfrancis@ameritfleet.com</v>
      </c>
      <c r="P465" t="str">
        <f>_xlfn.XLOOKUP(N:N,'Resource Table'!B:B,'Resource Table'!D:D,"n/a",0,1)</f>
        <v>Vended Repair</v>
      </c>
    </row>
    <row r="466" spans="1:16" x14ac:dyDescent="0.45">
      <c r="A466" t="s">
        <v>5443</v>
      </c>
      <c r="B466" t="s">
        <v>5450</v>
      </c>
      <c r="C466" t="s">
        <v>5528</v>
      </c>
      <c r="D466" t="s">
        <v>6187</v>
      </c>
      <c r="E466" t="s">
        <v>6451</v>
      </c>
      <c r="F466" t="s">
        <v>13525</v>
      </c>
      <c r="G466" t="s">
        <v>13588</v>
      </c>
      <c r="H466" t="s">
        <v>13589</v>
      </c>
      <c r="I466" t="s">
        <v>6479</v>
      </c>
      <c r="J466" t="s">
        <v>13463</v>
      </c>
      <c r="K466">
        <v>1</v>
      </c>
      <c r="L466" t="s">
        <v>13464</v>
      </c>
      <c r="M466" t="s">
        <v>13544</v>
      </c>
      <c r="N466" t="str">
        <f>_xlfn.XLOOKUP(C:C,'Resource Table'!A:A,'Resource Table'!B:B,"NOT FOUND",0,1)</f>
        <v>Hollie Francis</v>
      </c>
      <c r="O466" t="str">
        <f>_xlfn.XLOOKUP(N:N,'Resource Table'!B:B,'Resource Table'!C:C,"n/a",0,1)</f>
        <v>hfrancis@ameritfleet.com</v>
      </c>
      <c r="P466" t="str">
        <f>_xlfn.XLOOKUP(N:N,'Resource Table'!B:B,'Resource Table'!D:D,"n/a",0,1)</f>
        <v>Vended Repair</v>
      </c>
    </row>
    <row r="467" spans="1:16" x14ac:dyDescent="0.45">
      <c r="A467" t="s">
        <v>5443</v>
      </c>
      <c r="B467" t="s">
        <v>5450</v>
      </c>
      <c r="C467" t="s">
        <v>5528</v>
      </c>
      <c r="D467" t="s">
        <v>5740</v>
      </c>
      <c r="E467" t="s">
        <v>6451</v>
      </c>
      <c r="F467" t="s">
        <v>13473</v>
      </c>
      <c r="G467" t="s">
        <v>13474</v>
      </c>
      <c r="H467" t="s">
        <v>13517</v>
      </c>
      <c r="I467" t="s">
        <v>6479</v>
      </c>
      <c r="J467" t="s">
        <v>13463</v>
      </c>
      <c r="K467">
        <v>1</v>
      </c>
      <c r="L467" t="s">
        <v>13464</v>
      </c>
      <c r="M467" t="s">
        <v>13544</v>
      </c>
      <c r="N467" t="str">
        <f>_xlfn.XLOOKUP(C:C,'Resource Table'!A:A,'Resource Table'!B:B,"NOT FOUND",0,1)</f>
        <v>Hollie Francis</v>
      </c>
      <c r="O467" t="str">
        <f>_xlfn.XLOOKUP(N:N,'Resource Table'!B:B,'Resource Table'!C:C,"n/a",0,1)</f>
        <v>hfrancis@ameritfleet.com</v>
      </c>
      <c r="P467" t="str">
        <f>_xlfn.XLOOKUP(N:N,'Resource Table'!B:B,'Resource Table'!D:D,"n/a",0,1)</f>
        <v>Vended Repair</v>
      </c>
    </row>
    <row r="468" spans="1:16" x14ac:dyDescent="0.45">
      <c r="A468" t="s">
        <v>5443</v>
      </c>
      <c r="B468" t="s">
        <v>5450</v>
      </c>
      <c r="C468" t="s">
        <v>5592</v>
      </c>
      <c r="D468" t="s">
        <v>3306</v>
      </c>
      <c r="E468" t="s">
        <v>6451</v>
      </c>
      <c r="F468" t="s">
        <v>13460</v>
      </c>
      <c r="G468" t="s">
        <v>13550</v>
      </c>
      <c r="H468" t="s">
        <v>13551</v>
      </c>
      <c r="I468" t="s">
        <v>29</v>
      </c>
      <c r="J468" t="s">
        <v>13463</v>
      </c>
      <c r="K468">
        <v>1</v>
      </c>
      <c r="L468" t="s">
        <v>13523</v>
      </c>
      <c r="M468" t="s">
        <v>13508</v>
      </c>
      <c r="N468" t="str">
        <f>_xlfn.XLOOKUP(C:C,'Resource Table'!A:A,'Resource Table'!B:B,"NOT FOUND",0,1)</f>
        <v>Hollie Francis</v>
      </c>
      <c r="O468" t="str">
        <f>_xlfn.XLOOKUP(N:N,'Resource Table'!B:B,'Resource Table'!C:C,"n/a",0,1)</f>
        <v>hfrancis@ameritfleet.com</v>
      </c>
      <c r="P468" t="str">
        <f>_xlfn.XLOOKUP(N:N,'Resource Table'!B:B,'Resource Table'!D:D,"n/a",0,1)</f>
        <v>Vended Repair</v>
      </c>
    </row>
    <row r="469" spans="1:16" x14ac:dyDescent="0.45">
      <c r="A469" t="s">
        <v>5443</v>
      </c>
      <c r="B469" t="s">
        <v>5450</v>
      </c>
      <c r="C469" t="s">
        <v>5592</v>
      </c>
      <c r="D469" t="s">
        <v>1933</v>
      </c>
      <c r="E469" t="s">
        <v>6451</v>
      </c>
      <c r="F469" t="s">
        <v>13460</v>
      </c>
      <c r="G469" t="s">
        <v>13476</v>
      </c>
      <c r="H469" t="s">
        <v>13531</v>
      </c>
      <c r="I469" t="s">
        <v>29</v>
      </c>
      <c r="J469" t="s">
        <v>13463</v>
      </c>
      <c r="K469">
        <v>2</v>
      </c>
      <c r="L469" t="s">
        <v>13543</v>
      </c>
      <c r="M469" t="s">
        <v>13513</v>
      </c>
      <c r="N469" t="str">
        <f>_xlfn.XLOOKUP(C:C,'Resource Table'!A:A,'Resource Table'!B:B,"NOT FOUND",0,1)</f>
        <v>Hollie Francis</v>
      </c>
      <c r="O469" t="str">
        <f>_xlfn.XLOOKUP(N:N,'Resource Table'!B:B,'Resource Table'!C:C,"n/a",0,1)</f>
        <v>hfrancis@ameritfleet.com</v>
      </c>
      <c r="P469" t="str">
        <f>_xlfn.XLOOKUP(N:N,'Resource Table'!B:B,'Resource Table'!D:D,"n/a",0,1)</f>
        <v>Vended Repair</v>
      </c>
    </row>
    <row r="470" spans="1:16" x14ac:dyDescent="0.45">
      <c r="A470" t="s">
        <v>5443</v>
      </c>
      <c r="B470" t="s">
        <v>5450</v>
      </c>
      <c r="C470" t="s">
        <v>5592</v>
      </c>
      <c r="D470" t="s">
        <v>6220</v>
      </c>
      <c r="E470" t="s">
        <v>6451</v>
      </c>
      <c r="F470" t="s">
        <v>13460</v>
      </c>
      <c r="G470" t="s">
        <v>13476</v>
      </c>
      <c r="H470" t="s">
        <v>13477</v>
      </c>
      <c r="I470" t="s">
        <v>6479</v>
      </c>
      <c r="J470" t="s">
        <v>13463</v>
      </c>
      <c r="K470">
        <v>1</v>
      </c>
      <c r="L470" t="s">
        <v>13524</v>
      </c>
      <c r="M470" t="s">
        <v>13507</v>
      </c>
      <c r="N470" t="str">
        <f>_xlfn.XLOOKUP(C:C,'Resource Table'!A:A,'Resource Table'!B:B,"NOT FOUND",0,1)</f>
        <v>Hollie Francis</v>
      </c>
      <c r="O470" t="str">
        <f>_xlfn.XLOOKUP(N:N,'Resource Table'!B:B,'Resource Table'!C:C,"n/a",0,1)</f>
        <v>hfrancis@ameritfleet.com</v>
      </c>
      <c r="P470" t="str">
        <f>_xlfn.XLOOKUP(N:N,'Resource Table'!B:B,'Resource Table'!D:D,"n/a",0,1)</f>
        <v>Vended Repair</v>
      </c>
    </row>
    <row r="471" spans="1:16" x14ac:dyDescent="0.45">
      <c r="A471" t="s">
        <v>5443</v>
      </c>
      <c r="B471" t="s">
        <v>5450</v>
      </c>
      <c r="C471" t="s">
        <v>5592</v>
      </c>
      <c r="D471" t="s">
        <v>1139</v>
      </c>
      <c r="E471" t="s">
        <v>6451</v>
      </c>
      <c r="F471" t="s">
        <v>13460</v>
      </c>
      <c r="G471" t="s">
        <v>13476</v>
      </c>
      <c r="H471" t="s">
        <v>13477</v>
      </c>
      <c r="I471" t="s">
        <v>29</v>
      </c>
      <c r="J471" t="s">
        <v>13463</v>
      </c>
      <c r="K471">
        <v>2</v>
      </c>
      <c r="L471" t="s">
        <v>13479</v>
      </c>
      <c r="M471" t="s">
        <v>13556</v>
      </c>
      <c r="N471" t="str">
        <f>_xlfn.XLOOKUP(C:C,'Resource Table'!A:A,'Resource Table'!B:B,"NOT FOUND",0,1)</f>
        <v>Hollie Francis</v>
      </c>
      <c r="O471" t="str">
        <f>_xlfn.XLOOKUP(N:N,'Resource Table'!B:B,'Resource Table'!C:C,"n/a",0,1)</f>
        <v>hfrancis@ameritfleet.com</v>
      </c>
      <c r="P471" t="str">
        <f>_xlfn.XLOOKUP(N:N,'Resource Table'!B:B,'Resource Table'!D:D,"n/a",0,1)</f>
        <v>Vended Repair</v>
      </c>
    </row>
    <row r="472" spans="1:16" x14ac:dyDescent="0.45">
      <c r="A472" t="s">
        <v>5443</v>
      </c>
      <c r="B472" t="s">
        <v>5450</v>
      </c>
      <c r="C472" t="s">
        <v>5592</v>
      </c>
      <c r="D472" t="s">
        <v>5847</v>
      </c>
      <c r="E472" t="s">
        <v>6451</v>
      </c>
      <c r="F472" t="s">
        <v>13473</v>
      </c>
      <c r="G472" t="s">
        <v>13474</v>
      </c>
      <c r="H472" t="s">
        <v>13475</v>
      </c>
      <c r="I472" t="s">
        <v>6479</v>
      </c>
      <c r="J472" t="s">
        <v>13463</v>
      </c>
      <c r="K472">
        <v>1</v>
      </c>
      <c r="L472" t="s">
        <v>13464</v>
      </c>
      <c r="M472" t="s">
        <v>13544</v>
      </c>
      <c r="N472" t="str">
        <f>_xlfn.XLOOKUP(C:C,'Resource Table'!A:A,'Resource Table'!B:B,"NOT FOUND",0,1)</f>
        <v>Hollie Francis</v>
      </c>
      <c r="O472" t="str">
        <f>_xlfn.XLOOKUP(N:N,'Resource Table'!B:B,'Resource Table'!C:C,"n/a",0,1)</f>
        <v>hfrancis@ameritfleet.com</v>
      </c>
      <c r="P472" t="str">
        <f>_xlfn.XLOOKUP(N:N,'Resource Table'!B:B,'Resource Table'!D:D,"n/a",0,1)</f>
        <v>Vended Repair</v>
      </c>
    </row>
    <row r="473" spans="1:16" x14ac:dyDescent="0.45">
      <c r="A473" t="s">
        <v>5443</v>
      </c>
      <c r="B473" t="s">
        <v>5450</v>
      </c>
      <c r="C473" t="s">
        <v>5514</v>
      </c>
      <c r="D473" t="s">
        <v>5984</v>
      </c>
      <c r="E473" t="s">
        <v>6461</v>
      </c>
      <c r="F473" t="s">
        <v>13460</v>
      </c>
      <c r="G473" t="s">
        <v>13481</v>
      </c>
      <c r="H473" t="s">
        <v>13482</v>
      </c>
      <c r="I473" t="s">
        <v>6479</v>
      </c>
      <c r="J473" t="s">
        <v>13463</v>
      </c>
      <c r="K473">
        <v>3</v>
      </c>
      <c r="L473" t="s">
        <v>13523</v>
      </c>
      <c r="M473" t="s">
        <v>13505</v>
      </c>
      <c r="N473" t="str">
        <f>_xlfn.XLOOKUP(C:C,'Resource Table'!A:A,'Resource Table'!B:B,"NOT FOUND",0,1)</f>
        <v>Hollie Francis</v>
      </c>
      <c r="O473" t="str">
        <f>_xlfn.XLOOKUP(N:N,'Resource Table'!B:B,'Resource Table'!C:C,"n/a",0,1)</f>
        <v>hfrancis@ameritfleet.com</v>
      </c>
      <c r="P473" t="str">
        <f>_xlfn.XLOOKUP(N:N,'Resource Table'!B:B,'Resource Table'!D:D,"n/a",0,1)</f>
        <v>Vended Repair</v>
      </c>
    </row>
    <row r="474" spans="1:16" x14ac:dyDescent="0.45">
      <c r="A474" t="s">
        <v>5443</v>
      </c>
      <c r="B474" t="s">
        <v>5450</v>
      </c>
      <c r="C474" t="s">
        <v>5514</v>
      </c>
      <c r="D474" t="s">
        <v>4325</v>
      </c>
      <c r="E474" t="s">
        <v>6451</v>
      </c>
      <c r="F474" t="s">
        <v>13525</v>
      </c>
      <c r="G474" t="s">
        <v>13585</v>
      </c>
      <c r="H474" t="s">
        <v>13590</v>
      </c>
      <c r="I474" t="s">
        <v>6479</v>
      </c>
      <c r="J474" t="s">
        <v>13463</v>
      </c>
      <c r="K474">
        <v>0</v>
      </c>
      <c r="L474" t="s">
        <v>20</v>
      </c>
      <c r="M474" t="s">
        <v>20</v>
      </c>
      <c r="N474" t="str">
        <f>_xlfn.XLOOKUP(C:C,'Resource Table'!A:A,'Resource Table'!B:B,"NOT FOUND",0,1)</f>
        <v>Hollie Francis</v>
      </c>
      <c r="O474" t="str">
        <f>_xlfn.XLOOKUP(N:N,'Resource Table'!B:B,'Resource Table'!C:C,"n/a",0,1)</f>
        <v>hfrancis@ameritfleet.com</v>
      </c>
      <c r="P474" t="str">
        <f>_xlfn.XLOOKUP(N:N,'Resource Table'!B:B,'Resource Table'!D:D,"n/a",0,1)</f>
        <v>Vended Repair</v>
      </c>
    </row>
    <row r="475" spans="1:16" x14ac:dyDescent="0.45">
      <c r="A475" t="s">
        <v>5443</v>
      </c>
      <c r="B475" t="s">
        <v>5450</v>
      </c>
      <c r="C475" t="s">
        <v>5514</v>
      </c>
      <c r="D475" t="s">
        <v>5819</v>
      </c>
      <c r="E475" t="s">
        <v>6451</v>
      </c>
      <c r="F475" t="s">
        <v>13473</v>
      </c>
      <c r="G475" t="s">
        <v>13474</v>
      </c>
      <c r="H475" t="s">
        <v>13475</v>
      </c>
      <c r="I475" t="s">
        <v>6479</v>
      </c>
      <c r="J475" t="s">
        <v>13463</v>
      </c>
      <c r="K475">
        <v>0</v>
      </c>
      <c r="L475" t="s">
        <v>20</v>
      </c>
      <c r="M475" t="s">
        <v>20</v>
      </c>
      <c r="N475" t="str">
        <f>_xlfn.XLOOKUP(C:C,'Resource Table'!A:A,'Resource Table'!B:B,"NOT FOUND",0,1)</f>
        <v>Hollie Francis</v>
      </c>
      <c r="O475" t="str">
        <f>_xlfn.XLOOKUP(N:N,'Resource Table'!B:B,'Resource Table'!C:C,"n/a",0,1)</f>
        <v>hfrancis@ameritfleet.com</v>
      </c>
      <c r="P475" t="str">
        <f>_xlfn.XLOOKUP(N:N,'Resource Table'!B:B,'Resource Table'!D:D,"n/a",0,1)</f>
        <v>Vended Repair</v>
      </c>
    </row>
    <row r="476" spans="1:16" x14ac:dyDescent="0.45">
      <c r="A476" t="s">
        <v>5443</v>
      </c>
      <c r="B476" t="s">
        <v>5450</v>
      </c>
      <c r="C476" t="s">
        <v>5514</v>
      </c>
      <c r="D476" t="s">
        <v>5818</v>
      </c>
      <c r="E476" t="s">
        <v>6451</v>
      </c>
      <c r="F476" t="s">
        <v>13473</v>
      </c>
      <c r="G476" t="s">
        <v>13474</v>
      </c>
      <c r="H476" t="s">
        <v>13475</v>
      </c>
      <c r="I476" t="s">
        <v>6479</v>
      </c>
      <c r="J476" t="s">
        <v>13463</v>
      </c>
      <c r="K476">
        <v>0</v>
      </c>
      <c r="L476" t="s">
        <v>20</v>
      </c>
      <c r="M476" t="s">
        <v>20</v>
      </c>
      <c r="N476" t="str">
        <f>_xlfn.XLOOKUP(C:C,'Resource Table'!A:A,'Resource Table'!B:B,"NOT FOUND",0,1)</f>
        <v>Hollie Francis</v>
      </c>
      <c r="O476" t="str">
        <f>_xlfn.XLOOKUP(N:N,'Resource Table'!B:B,'Resource Table'!C:C,"n/a",0,1)</f>
        <v>hfrancis@ameritfleet.com</v>
      </c>
      <c r="P476" t="str">
        <f>_xlfn.XLOOKUP(N:N,'Resource Table'!B:B,'Resource Table'!D:D,"n/a",0,1)</f>
        <v>Vended Repair</v>
      </c>
    </row>
    <row r="477" spans="1:16" x14ac:dyDescent="0.45">
      <c r="A477" t="s">
        <v>5443</v>
      </c>
      <c r="B477" t="s">
        <v>5450</v>
      </c>
      <c r="C477" t="s">
        <v>5514</v>
      </c>
      <c r="D477" t="s">
        <v>8080</v>
      </c>
      <c r="E477" t="s">
        <v>6451</v>
      </c>
      <c r="F477" t="s">
        <v>13460</v>
      </c>
      <c r="G477" t="s">
        <v>13476</v>
      </c>
      <c r="H477" t="s">
        <v>13477</v>
      </c>
      <c r="I477" t="s">
        <v>6479</v>
      </c>
      <c r="J477" t="s">
        <v>13463</v>
      </c>
      <c r="K477">
        <v>1</v>
      </c>
      <c r="L477" t="s">
        <v>13524</v>
      </c>
      <c r="M477" t="s">
        <v>13507</v>
      </c>
      <c r="N477" t="str">
        <f>_xlfn.XLOOKUP(C:C,'Resource Table'!A:A,'Resource Table'!B:B,"NOT FOUND",0,1)</f>
        <v>Hollie Francis</v>
      </c>
      <c r="O477" t="str">
        <f>_xlfn.XLOOKUP(N:N,'Resource Table'!B:B,'Resource Table'!C:C,"n/a",0,1)</f>
        <v>hfrancis@ameritfleet.com</v>
      </c>
      <c r="P477" t="str">
        <f>_xlfn.XLOOKUP(N:N,'Resource Table'!B:B,'Resource Table'!D:D,"n/a",0,1)</f>
        <v>Vended Repair</v>
      </c>
    </row>
    <row r="478" spans="1:16" x14ac:dyDescent="0.45">
      <c r="A478" t="s">
        <v>5443</v>
      </c>
      <c r="B478" t="s">
        <v>5450</v>
      </c>
      <c r="C478" t="s">
        <v>5514</v>
      </c>
      <c r="D478" t="s">
        <v>3930</v>
      </c>
      <c r="E478" t="s">
        <v>6461</v>
      </c>
      <c r="F478" t="s">
        <v>13460</v>
      </c>
      <c r="G478" t="s">
        <v>13481</v>
      </c>
      <c r="H478" t="s">
        <v>13482</v>
      </c>
      <c r="I478" t="s">
        <v>6479</v>
      </c>
      <c r="J478" t="s">
        <v>13463</v>
      </c>
      <c r="K478">
        <v>2</v>
      </c>
      <c r="L478" t="s">
        <v>13524</v>
      </c>
      <c r="M478" t="s">
        <v>13505</v>
      </c>
      <c r="N478" t="str">
        <f>_xlfn.XLOOKUP(C:C,'Resource Table'!A:A,'Resource Table'!B:B,"NOT FOUND",0,1)</f>
        <v>Hollie Francis</v>
      </c>
      <c r="O478" t="str">
        <f>_xlfn.XLOOKUP(N:N,'Resource Table'!B:B,'Resource Table'!C:C,"n/a",0,1)</f>
        <v>hfrancis@ameritfleet.com</v>
      </c>
      <c r="P478" t="str">
        <f>_xlfn.XLOOKUP(N:N,'Resource Table'!B:B,'Resource Table'!D:D,"n/a",0,1)</f>
        <v>Vended Repair</v>
      </c>
    </row>
    <row r="479" spans="1:16" x14ac:dyDescent="0.45">
      <c r="A479" t="s">
        <v>5443</v>
      </c>
      <c r="B479" t="s">
        <v>5450</v>
      </c>
      <c r="C479" t="s">
        <v>5514</v>
      </c>
      <c r="D479" t="s">
        <v>543</v>
      </c>
      <c r="E479" t="s">
        <v>6451</v>
      </c>
      <c r="F479" t="s">
        <v>13473</v>
      </c>
      <c r="G479" t="s">
        <v>13474</v>
      </c>
      <c r="H479" t="s">
        <v>13475</v>
      </c>
      <c r="I479" t="s">
        <v>29</v>
      </c>
      <c r="J479" t="s">
        <v>13463</v>
      </c>
      <c r="K479">
        <v>2</v>
      </c>
      <c r="L479" t="s">
        <v>13479</v>
      </c>
      <c r="M479" t="s">
        <v>13505</v>
      </c>
      <c r="N479" t="str">
        <f>_xlfn.XLOOKUP(C:C,'Resource Table'!A:A,'Resource Table'!B:B,"NOT FOUND",0,1)</f>
        <v>Hollie Francis</v>
      </c>
      <c r="O479" t="str">
        <f>_xlfn.XLOOKUP(N:N,'Resource Table'!B:B,'Resource Table'!C:C,"n/a",0,1)</f>
        <v>hfrancis@ameritfleet.com</v>
      </c>
      <c r="P479" t="str">
        <f>_xlfn.XLOOKUP(N:N,'Resource Table'!B:B,'Resource Table'!D:D,"n/a",0,1)</f>
        <v>Vended Repair</v>
      </c>
    </row>
    <row r="480" spans="1:16" x14ac:dyDescent="0.45">
      <c r="A480" t="s">
        <v>5443</v>
      </c>
      <c r="B480" t="s">
        <v>5450</v>
      </c>
      <c r="C480" t="s">
        <v>5514</v>
      </c>
      <c r="D480" t="s">
        <v>6236</v>
      </c>
      <c r="E480" t="s">
        <v>6451</v>
      </c>
      <c r="F480" t="s">
        <v>13460</v>
      </c>
      <c r="G480" t="s">
        <v>13476</v>
      </c>
      <c r="H480" t="s">
        <v>13477</v>
      </c>
      <c r="I480" t="s">
        <v>6479</v>
      </c>
      <c r="J480" t="s">
        <v>13463</v>
      </c>
      <c r="K480">
        <v>1</v>
      </c>
      <c r="L480" t="s">
        <v>13464</v>
      </c>
      <c r="M480" t="s">
        <v>13464</v>
      </c>
      <c r="N480" t="str">
        <f>_xlfn.XLOOKUP(C:C,'Resource Table'!A:A,'Resource Table'!B:B,"NOT FOUND",0,1)</f>
        <v>Hollie Francis</v>
      </c>
      <c r="O480" t="str">
        <f>_xlfn.XLOOKUP(N:N,'Resource Table'!B:B,'Resource Table'!C:C,"n/a",0,1)</f>
        <v>hfrancis@ameritfleet.com</v>
      </c>
      <c r="P480" t="str">
        <f>_xlfn.XLOOKUP(N:N,'Resource Table'!B:B,'Resource Table'!D:D,"n/a",0,1)</f>
        <v>Vended Repair</v>
      </c>
    </row>
    <row r="481" spans="1:16" x14ac:dyDescent="0.45">
      <c r="A481" t="s">
        <v>5443</v>
      </c>
      <c r="B481" t="s">
        <v>5450</v>
      </c>
      <c r="C481" t="s">
        <v>5514</v>
      </c>
      <c r="D481" t="s">
        <v>3749</v>
      </c>
      <c r="E481" t="s">
        <v>6451</v>
      </c>
      <c r="F481" t="s">
        <v>13460</v>
      </c>
      <c r="G481" t="s">
        <v>13461</v>
      </c>
      <c r="H481" t="s">
        <v>13575</v>
      </c>
      <c r="I481" t="s">
        <v>29</v>
      </c>
      <c r="J481" t="s">
        <v>13463</v>
      </c>
      <c r="K481">
        <v>2</v>
      </c>
      <c r="L481" t="s">
        <v>13529</v>
      </c>
      <c r="M481" t="s">
        <v>13544</v>
      </c>
      <c r="N481" t="str">
        <f>_xlfn.XLOOKUP(C:C,'Resource Table'!A:A,'Resource Table'!B:B,"NOT FOUND",0,1)</f>
        <v>Hollie Francis</v>
      </c>
      <c r="O481" t="str">
        <f>_xlfn.XLOOKUP(N:N,'Resource Table'!B:B,'Resource Table'!C:C,"n/a",0,1)</f>
        <v>hfrancis@ameritfleet.com</v>
      </c>
      <c r="P481" t="str">
        <f>_xlfn.XLOOKUP(N:N,'Resource Table'!B:B,'Resource Table'!D:D,"n/a",0,1)</f>
        <v>Vended Repair</v>
      </c>
    </row>
    <row r="482" spans="1:16" x14ac:dyDescent="0.45">
      <c r="A482" t="s">
        <v>5443</v>
      </c>
      <c r="B482" t="s">
        <v>5450</v>
      </c>
      <c r="C482" t="s">
        <v>5514</v>
      </c>
      <c r="D482" t="s">
        <v>2052</v>
      </c>
      <c r="E482" t="s">
        <v>6451</v>
      </c>
      <c r="F482" t="s">
        <v>13525</v>
      </c>
      <c r="G482" t="s">
        <v>13582</v>
      </c>
      <c r="H482" t="s">
        <v>13583</v>
      </c>
      <c r="I482" t="s">
        <v>29</v>
      </c>
      <c r="J482" t="s">
        <v>13463</v>
      </c>
      <c r="K482">
        <v>1</v>
      </c>
      <c r="L482" t="s">
        <v>13524</v>
      </c>
      <c r="M482" t="s">
        <v>13507</v>
      </c>
      <c r="N482" t="str">
        <f>_xlfn.XLOOKUP(C:C,'Resource Table'!A:A,'Resource Table'!B:B,"NOT FOUND",0,1)</f>
        <v>Hollie Francis</v>
      </c>
      <c r="O482" t="str">
        <f>_xlfn.XLOOKUP(N:N,'Resource Table'!B:B,'Resource Table'!C:C,"n/a",0,1)</f>
        <v>hfrancis@ameritfleet.com</v>
      </c>
      <c r="P482" t="str">
        <f>_xlfn.XLOOKUP(N:N,'Resource Table'!B:B,'Resource Table'!D:D,"n/a",0,1)</f>
        <v>Vended Repair</v>
      </c>
    </row>
    <row r="483" spans="1:16" x14ac:dyDescent="0.45">
      <c r="A483" t="s">
        <v>5443</v>
      </c>
      <c r="B483" t="s">
        <v>5450</v>
      </c>
      <c r="C483" t="s">
        <v>5514</v>
      </c>
      <c r="D483" t="s">
        <v>364</v>
      </c>
      <c r="E483" t="s">
        <v>6462</v>
      </c>
      <c r="F483" t="s">
        <v>13460</v>
      </c>
      <c r="G483" t="s">
        <v>13481</v>
      </c>
      <c r="H483" t="s">
        <v>13490</v>
      </c>
      <c r="I483" t="s">
        <v>6479</v>
      </c>
      <c r="J483" t="s">
        <v>13463</v>
      </c>
      <c r="K483">
        <v>2</v>
      </c>
      <c r="L483" t="s">
        <v>13479</v>
      </c>
      <c r="M483" t="s">
        <v>13507</v>
      </c>
      <c r="N483" t="str">
        <f>_xlfn.XLOOKUP(C:C,'Resource Table'!A:A,'Resource Table'!B:B,"NOT FOUND",0,1)</f>
        <v>Hollie Francis</v>
      </c>
      <c r="O483" t="str">
        <f>_xlfn.XLOOKUP(N:N,'Resource Table'!B:B,'Resource Table'!C:C,"n/a",0,1)</f>
        <v>hfrancis@ameritfleet.com</v>
      </c>
      <c r="P483" t="str">
        <f>_xlfn.XLOOKUP(N:N,'Resource Table'!B:B,'Resource Table'!D:D,"n/a",0,1)</f>
        <v>Vended Repair</v>
      </c>
    </row>
    <row r="484" spans="1:16" x14ac:dyDescent="0.45">
      <c r="A484" t="s">
        <v>5443</v>
      </c>
      <c r="B484" t="s">
        <v>5450</v>
      </c>
      <c r="C484" t="s">
        <v>5731</v>
      </c>
      <c r="D484" t="s">
        <v>520</v>
      </c>
      <c r="E484" t="s">
        <v>6461</v>
      </c>
      <c r="F484" t="s">
        <v>13460</v>
      </c>
      <c r="G484" t="s">
        <v>13481</v>
      </c>
      <c r="H484" t="s">
        <v>13511</v>
      </c>
      <c r="I484" t="s">
        <v>6479</v>
      </c>
      <c r="J484" t="s">
        <v>13463</v>
      </c>
      <c r="K484">
        <v>1</v>
      </c>
      <c r="L484" t="s">
        <v>13466</v>
      </c>
      <c r="M484" t="s">
        <v>13505</v>
      </c>
      <c r="N484" t="str">
        <f>_xlfn.XLOOKUP(C:C,'Resource Table'!A:A,'Resource Table'!B:B,"NOT FOUND",0,1)</f>
        <v>Hollie Francis</v>
      </c>
      <c r="O484" t="str">
        <f>_xlfn.XLOOKUP(N:N,'Resource Table'!B:B,'Resource Table'!C:C,"n/a",0,1)</f>
        <v>hfrancis@ameritfleet.com</v>
      </c>
      <c r="P484" t="str">
        <f>_xlfn.XLOOKUP(N:N,'Resource Table'!B:B,'Resource Table'!D:D,"n/a",0,1)</f>
        <v>Vended Repair</v>
      </c>
    </row>
    <row r="485" spans="1:16" x14ac:dyDescent="0.45">
      <c r="A485" t="s">
        <v>5443</v>
      </c>
      <c r="B485" t="s">
        <v>5450</v>
      </c>
      <c r="C485" t="s">
        <v>5731</v>
      </c>
      <c r="D485" t="s">
        <v>2422</v>
      </c>
      <c r="E485" t="s">
        <v>6461</v>
      </c>
      <c r="F485" t="s">
        <v>13460</v>
      </c>
      <c r="G485" t="s">
        <v>13481</v>
      </c>
      <c r="H485" t="s">
        <v>13482</v>
      </c>
      <c r="I485" t="s">
        <v>6479</v>
      </c>
      <c r="J485" t="s">
        <v>13463</v>
      </c>
      <c r="K485">
        <v>1</v>
      </c>
      <c r="L485" t="s">
        <v>13466</v>
      </c>
      <c r="M485" t="s">
        <v>13505</v>
      </c>
      <c r="N485" t="str">
        <f>_xlfn.XLOOKUP(C:C,'Resource Table'!A:A,'Resource Table'!B:B,"NOT FOUND",0,1)</f>
        <v>Hollie Francis</v>
      </c>
      <c r="O485" t="str">
        <f>_xlfn.XLOOKUP(N:N,'Resource Table'!B:B,'Resource Table'!C:C,"n/a",0,1)</f>
        <v>hfrancis@ameritfleet.com</v>
      </c>
      <c r="P485" t="str">
        <f>_xlfn.XLOOKUP(N:N,'Resource Table'!B:B,'Resource Table'!D:D,"n/a",0,1)</f>
        <v>Vended Repair</v>
      </c>
    </row>
    <row r="486" spans="1:16" x14ac:dyDescent="0.45">
      <c r="A486" t="s">
        <v>5443</v>
      </c>
      <c r="B486" t="s">
        <v>5450</v>
      </c>
      <c r="C486" t="s">
        <v>5731</v>
      </c>
      <c r="D486" t="s">
        <v>1788</v>
      </c>
      <c r="E486" t="s">
        <v>6451</v>
      </c>
      <c r="F486" t="s">
        <v>13473</v>
      </c>
      <c r="G486" t="s">
        <v>13474</v>
      </c>
      <c r="H486" t="s">
        <v>13517</v>
      </c>
      <c r="I486" t="s">
        <v>6479</v>
      </c>
      <c r="J486" t="s">
        <v>13463</v>
      </c>
      <c r="K486">
        <v>0</v>
      </c>
      <c r="L486" t="s">
        <v>20</v>
      </c>
      <c r="M486" t="s">
        <v>20</v>
      </c>
      <c r="N486" t="str">
        <f>_xlfn.XLOOKUP(C:C,'Resource Table'!A:A,'Resource Table'!B:B,"NOT FOUND",0,1)</f>
        <v>Hollie Francis</v>
      </c>
      <c r="O486" t="str">
        <f>_xlfn.XLOOKUP(N:N,'Resource Table'!B:B,'Resource Table'!C:C,"n/a",0,1)</f>
        <v>hfrancis@ameritfleet.com</v>
      </c>
      <c r="P486" t="str">
        <f>_xlfn.XLOOKUP(N:N,'Resource Table'!B:B,'Resource Table'!D:D,"n/a",0,1)</f>
        <v>Vended Repair</v>
      </c>
    </row>
    <row r="487" spans="1:16" x14ac:dyDescent="0.45">
      <c r="A487" t="s">
        <v>5443</v>
      </c>
      <c r="B487" t="s">
        <v>5450</v>
      </c>
      <c r="C487" t="s">
        <v>5731</v>
      </c>
      <c r="D487" t="s">
        <v>1471</v>
      </c>
      <c r="E487" t="s">
        <v>6451</v>
      </c>
      <c r="F487" t="s">
        <v>13525</v>
      </c>
      <c r="G487" t="s">
        <v>13582</v>
      </c>
      <c r="H487" t="s">
        <v>13583</v>
      </c>
      <c r="I487" t="s">
        <v>6479</v>
      </c>
      <c r="J487" t="s">
        <v>13463</v>
      </c>
      <c r="K487">
        <v>0</v>
      </c>
      <c r="L487" t="s">
        <v>20</v>
      </c>
      <c r="M487" t="s">
        <v>20</v>
      </c>
      <c r="N487" t="str">
        <f>_xlfn.XLOOKUP(C:C,'Resource Table'!A:A,'Resource Table'!B:B,"NOT FOUND",0,1)</f>
        <v>Hollie Francis</v>
      </c>
      <c r="O487" t="str">
        <f>_xlfn.XLOOKUP(N:N,'Resource Table'!B:B,'Resource Table'!C:C,"n/a",0,1)</f>
        <v>hfrancis@ameritfleet.com</v>
      </c>
      <c r="P487" t="str">
        <f>_xlfn.XLOOKUP(N:N,'Resource Table'!B:B,'Resource Table'!D:D,"n/a",0,1)</f>
        <v>Vended Repair</v>
      </c>
    </row>
    <row r="488" spans="1:16" x14ac:dyDescent="0.45">
      <c r="A488" t="s">
        <v>5443</v>
      </c>
      <c r="B488" t="s">
        <v>5524</v>
      </c>
      <c r="C488" t="s">
        <v>5753</v>
      </c>
      <c r="D488" t="s">
        <v>1313</v>
      </c>
      <c r="E488" t="s">
        <v>6461</v>
      </c>
      <c r="F488" t="s">
        <v>13460</v>
      </c>
      <c r="G488" t="s">
        <v>13481</v>
      </c>
      <c r="H488" t="s">
        <v>13482</v>
      </c>
      <c r="I488" t="s">
        <v>6479</v>
      </c>
      <c r="J488" t="s">
        <v>13463</v>
      </c>
      <c r="K488">
        <v>3</v>
      </c>
      <c r="L488" t="s">
        <v>13479</v>
      </c>
      <c r="M488" t="s">
        <v>13505</v>
      </c>
      <c r="N488" t="str">
        <f>_xlfn.XLOOKUP(C:C,'Resource Table'!A:A,'Resource Table'!B:B,"NOT FOUND",0,1)</f>
        <v>Hollie Francis</v>
      </c>
      <c r="O488" t="str">
        <f>_xlfn.XLOOKUP(N:N,'Resource Table'!B:B,'Resource Table'!C:C,"n/a",0,1)</f>
        <v>hfrancis@ameritfleet.com</v>
      </c>
      <c r="P488" t="str">
        <f>_xlfn.XLOOKUP(N:N,'Resource Table'!B:B,'Resource Table'!D:D,"n/a",0,1)</f>
        <v>Vended Repair</v>
      </c>
    </row>
    <row r="489" spans="1:16" x14ac:dyDescent="0.45">
      <c r="A489" t="s">
        <v>5443</v>
      </c>
      <c r="B489" t="s">
        <v>5524</v>
      </c>
      <c r="C489" t="s">
        <v>5753</v>
      </c>
      <c r="D489" t="s">
        <v>6109</v>
      </c>
      <c r="E489" t="s">
        <v>6461</v>
      </c>
      <c r="F489" t="s">
        <v>13460</v>
      </c>
      <c r="G489" t="s">
        <v>13538</v>
      </c>
      <c r="H489" t="s">
        <v>13547</v>
      </c>
      <c r="I489" t="s">
        <v>6479</v>
      </c>
      <c r="J489" t="s">
        <v>13486</v>
      </c>
      <c r="K489">
        <v>2</v>
      </c>
      <c r="L489" t="s">
        <v>13520</v>
      </c>
      <c r="M489" t="s">
        <v>13491</v>
      </c>
      <c r="N489" t="str">
        <f>_xlfn.XLOOKUP(C:C,'Resource Table'!A:A,'Resource Table'!B:B,"NOT FOUND",0,1)</f>
        <v>Hollie Francis</v>
      </c>
      <c r="O489" t="str">
        <f>_xlfn.XLOOKUP(N:N,'Resource Table'!B:B,'Resource Table'!C:C,"n/a",0,1)</f>
        <v>hfrancis@ameritfleet.com</v>
      </c>
      <c r="P489" t="str">
        <f>_xlfn.XLOOKUP(N:N,'Resource Table'!B:B,'Resource Table'!D:D,"n/a",0,1)</f>
        <v>Vended Repair</v>
      </c>
    </row>
    <row r="490" spans="1:16" x14ac:dyDescent="0.45">
      <c r="A490" t="s">
        <v>5443</v>
      </c>
      <c r="B490" t="s">
        <v>5524</v>
      </c>
      <c r="C490" t="s">
        <v>5753</v>
      </c>
      <c r="D490" t="s">
        <v>12380</v>
      </c>
      <c r="E490" t="s">
        <v>6451</v>
      </c>
      <c r="F490" t="s">
        <v>13525</v>
      </c>
      <c r="G490" t="s">
        <v>13582</v>
      </c>
      <c r="H490" t="s">
        <v>13583</v>
      </c>
      <c r="I490" t="s">
        <v>29</v>
      </c>
      <c r="J490" t="s">
        <v>13463</v>
      </c>
      <c r="K490">
        <v>1</v>
      </c>
      <c r="L490" t="s">
        <v>13468</v>
      </c>
      <c r="M490" t="s">
        <v>20</v>
      </c>
      <c r="N490" t="str">
        <f>_xlfn.XLOOKUP(C:C,'Resource Table'!A:A,'Resource Table'!B:B,"NOT FOUND",0,1)</f>
        <v>Hollie Francis</v>
      </c>
      <c r="O490" t="str">
        <f>_xlfn.XLOOKUP(N:N,'Resource Table'!B:B,'Resource Table'!C:C,"n/a",0,1)</f>
        <v>hfrancis@ameritfleet.com</v>
      </c>
      <c r="P490" t="str">
        <f>_xlfn.XLOOKUP(N:N,'Resource Table'!B:B,'Resource Table'!D:D,"n/a",0,1)</f>
        <v>Vended Repair</v>
      </c>
    </row>
    <row r="491" spans="1:16" x14ac:dyDescent="0.45">
      <c r="A491" t="s">
        <v>5443</v>
      </c>
      <c r="B491" t="s">
        <v>5524</v>
      </c>
      <c r="C491" t="s">
        <v>5753</v>
      </c>
      <c r="D491" t="s">
        <v>530</v>
      </c>
      <c r="E491" t="s">
        <v>6451</v>
      </c>
      <c r="F491" t="s">
        <v>13460</v>
      </c>
      <c r="G491" t="s">
        <v>13476</v>
      </c>
      <c r="H491" t="s">
        <v>13531</v>
      </c>
      <c r="I491" t="s">
        <v>6479</v>
      </c>
      <c r="J491" t="s">
        <v>13463</v>
      </c>
      <c r="K491">
        <v>0</v>
      </c>
      <c r="L491" t="s">
        <v>20</v>
      </c>
      <c r="M491" t="s">
        <v>20</v>
      </c>
      <c r="N491" t="str">
        <f>_xlfn.XLOOKUP(C:C,'Resource Table'!A:A,'Resource Table'!B:B,"NOT FOUND",0,1)</f>
        <v>Hollie Francis</v>
      </c>
      <c r="O491" t="str">
        <f>_xlfn.XLOOKUP(N:N,'Resource Table'!B:B,'Resource Table'!C:C,"n/a",0,1)</f>
        <v>hfrancis@ameritfleet.com</v>
      </c>
      <c r="P491" t="str">
        <f>_xlfn.XLOOKUP(N:N,'Resource Table'!B:B,'Resource Table'!D:D,"n/a",0,1)</f>
        <v>Vended Repair</v>
      </c>
    </row>
    <row r="492" spans="1:16" x14ac:dyDescent="0.45">
      <c r="A492" t="s">
        <v>5443</v>
      </c>
      <c r="B492" t="s">
        <v>5524</v>
      </c>
      <c r="C492" t="s">
        <v>5753</v>
      </c>
      <c r="D492" t="s">
        <v>1794</v>
      </c>
      <c r="E492" t="s">
        <v>6451</v>
      </c>
      <c r="F492" t="s">
        <v>13473</v>
      </c>
      <c r="G492" t="s">
        <v>13474</v>
      </c>
      <c r="H492" t="s">
        <v>13517</v>
      </c>
      <c r="I492" t="s">
        <v>29</v>
      </c>
      <c r="J492" t="s">
        <v>13463</v>
      </c>
      <c r="K492">
        <v>1</v>
      </c>
      <c r="L492" t="s">
        <v>13540</v>
      </c>
      <c r="M492" t="s">
        <v>13505</v>
      </c>
      <c r="N492" t="str">
        <f>_xlfn.XLOOKUP(C:C,'Resource Table'!A:A,'Resource Table'!B:B,"NOT FOUND",0,1)</f>
        <v>Hollie Francis</v>
      </c>
      <c r="O492" t="str">
        <f>_xlfn.XLOOKUP(N:N,'Resource Table'!B:B,'Resource Table'!C:C,"n/a",0,1)</f>
        <v>hfrancis@ameritfleet.com</v>
      </c>
      <c r="P492" t="str">
        <f>_xlfn.XLOOKUP(N:N,'Resource Table'!B:B,'Resource Table'!D:D,"n/a",0,1)</f>
        <v>Vended Repair</v>
      </c>
    </row>
    <row r="493" spans="1:16" x14ac:dyDescent="0.45">
      <c r="A493" t="s">
        <v>5443</v>
      </c>
      <c r="B493" t="s">
        <v>5524</v>
      </c>
      <c r="C493" t="s">
        <v>5753</v>
      </c>
      <c r="D493" t="s">
        <v>880</v>
      </c>
      <c r="E493" t="s">
        <v>6451</v>
      </c>
      <c r="F493" t="s">
        <v>13473</v>
      </c>
      <c r="G493" t="s">
        <v>13474</v>
      </c>
      <c r="H493" t="s">
        <v>13521</v>
      </c>
      <c r="I493" t="s">
        <v>6479</v>
      </c>
      <c r="J493" t="s">
        <v>13463</v>
      </c>
      <c r="K493">
        <v>0</v>
      </c>
      <c r="L493" t="s">
        <v>20</v>
      </c>
      <c r="M493" t="s">
        <v>20</v>
      </c>
      <c r="N493" t="str">
        <f>_xlfn.XLOOKUP(C:C,'Resource Table'!A:A,'Resource Table'!B:B,"NOT FOUND",0,1)</f>
        <v>Hollie Francis</v>
      </c>
      <c r="O493" t="str">
        <f>_xlfn.XLOOKUP(N:N,'Resource Table'!B:B,'Resource Table'!C:C,"n/a",0,1)</f>
        <v>hfrancis@ameritfleet.com</v>
      </c>
      <c r="P493" t="str">
        <f>_xlfn.XLOOKUP(N:N,'Resource Table'!B:B,'Resource Table'!D:D,"n/a",0,1)</f>
        <v>Vended Repair</v>
      </c>
    </row>
    <row r="494" spans="1:16" x14ac:dyDescent="0.45">
      <c r="A494" t="s">
        <v>5443</v>
      </c>
      <c r="B494" t="s">
        <v>5524</v>
      </c>
      <c r="C494" t="s">
        <v>5753</v>
      </c>
      <c r="D494" t="s">
        <v>2267</v>
      </c>
      <c r="E494" t="s">
        <v>6451</v>
      </c>
      <c r="F494" t="s">
        <v>13460</v>
      </c>
      <c r="G494" t="s">
        <v>13476</v>
      </c>
      <c r="H494" t="s">
        <v>13477</v>
      </c>
      <c r="I494" t="s">
        <v>6479</v>
      </c>
      <c r="J494" t="s">
        <v>13463</v>
      </c>
      <c r="K494">
        <v>0</v>
      </c>
      <c r="L494" t="s">
        <v>20</v>
      </c>
      <c r="M494" t="s">
        <v>20</v>
      </c>
      <c r="N494" t="str">
        <f>_xlfn.XLOOKUP(C:C,'Resource Table'!A:A,'Resource Table'!B:B,"NOT FOUND",0,1)</f>
        <v>Hollie Francis</v>
      </c>
      <c r="O494" t="str">
        <f>_xlfn.XLOOKUP(N:N,'Resource Table'!B:B,'Resource Table'!C:C,"n/a",0,1)</f>
        <v>hfrancis@ameritfleet.com</v>
      </c>
      <c r="P494" t="str">
        <f>_xlfn.XLOOKUP(N:N,'Resource Table'!B:B,'Resource Table'!D:D,"n/a",0,1)</f>
        <v>Vended Repair</v>
      </c>
    </row>
    <row r="495" spans="1:16" x14ac:dyDescent="0.45">
      <c r="A495" t="s">
        <v>5443</v>
      </c>
      <c r="B495" t="s">
        <v>5524</v>
      </c>
      <c r="C495" t="s">
        <v>5753</v>
      </c>
      <c r="D495" t="s">
        <v>780</v>
      </c>
      <c r="E495" t="s">
        <v>6451</v>
      </c>
      <c r="F495" t="s">
        <v>13473</v>
      </c>
      <c r="G495" t="s">
        <v>13474</v>
      </c>
      <c r="H495" t="s">
        <v>13521</v>
      </c>
      <c r="I495" t="s">
        <v>6479</v>
      </c>
      <c r="J495" t="s">
        <v>13463</v>
      </c>
      <c r="K495">
        <v>1</v>
      </c>
      <c r="L495" t="s">
        <v>13524</v>
      </c>
      <c r="M495" t="s">
        <v>13591</v>
      </c>
      <c r="N495" t="str">
        <f>_xlfn.XLOOKUP(C:C,'Resource Table'!A:A,'Resource Table'!B:B,"NOT FOUND",0,1)</f>
        <v>Hollie Francis</v>
      </c>
      <c r="O495" t="str">
        <f>_xlfn.XLOOKUP(N:N,'Resource Table'!B:B,'Resource Table'!C:C,"n/a",0,1)</f>
        <v>hfrancis@ameritfleet.com</v>
      </c>
      <c r="P495" t="str">
        <f>_xlfn.XLOOKUP(N:N,'Resource Table'!B:B,'Resource Table'!D:D,"n/a",0,1)</f>
        <v>Vended Repair</v>
      </c>
    </row>
    <row r="496" spans="1:16" x14ac:dyDescent="0.45">
      <c r="A496" t="s">
        <v>5443</v>
      </c>
      <c r="B496" t="s">
        <v>5524</v>
      </c>
      <c r="C496" t="s">
        <v>5753</v>
      </c>
      <c r="D496" t="s">
        <v>680</v>
      </c>
      <c r="E496" t="s">
        <v>6451</v>
      </c>
      <c r="F496" t="s">
        <v>13460</v>
      </c>
      <c r="G496" t="s">
        <v>13476</v>
      </c>
      <c r="H496" t="s">
        <v>13533</v>
      </c>
      <c r="I496" t="s">
        <v>6479</v>
      </c>
      <c r="J496" t="s">
        <v>13463</v>
      </c>
      <c r="K496">
        <v>2</v>
      </c>
      <c r="L496" t="s">
        <v>13530</v>
      </c>
      <c r="M496" t="s">
        <v>13464</v>
      </c>
      <c r="N496" t="str">
        <f>_xlfn.XLOOKUP(C:C,'Resource Table'!A:A,'Resource Table'!B:B,"NOT FOUND",0,1)</f>
        <v>Hollie Francis</v>
      </c>
      <c r="O496" t="str">
        <f>_xlfn.XLOOKUP(N:N,'Resource Table'!B:B,'Resource Table'!C:C,"n/a",0,1)</f>
        <v>hfrancis@ameritfleet.com</v>
      </c>
      <c r="P496" t="str">
        <f>_xlfn.XLOOKUP(N:N,'Resource Table'!B:B,'Resource Table'!D:D,"n/a",0,1)</f>
        <v>Vended Repair</v>
      </c>
    </row>
    <row r="497" spans="1:16" x14ac:dyDescent="0.45">
      <c r="A497" t="s">
        <v>5443</v>
      </c>
      <c r="B497" t="s">
        <v>5524</v>
      </c>
      <c r="C497" t="s">
        <v>5753</v>
      </c>
      <c r="D497" t="s">
        <v>248</v>
      </c>
      <c r="E497" t="s">
        <v>6451</v>
      </c>
      <c r="F497" t="s">
        <v>13473</v>
      </c>
      <c r="G497" t="s">
        <v>13474</v>
      </c>
      <c r="H497" t="s">
        <v>13475</v>
      </c>
      <c r="I497" t="s">
        <v>6479</v>
      </c>
      <c r="J497" t="s">
        <v>13463</v>
      </c>
      <c r="K497">
        <v>1</v>
      </c>
      <c r="L497" t="s">
        <v>13540</v>
      </c>
      <c r="M497" t="s">
        <v>13464</v>
      </c>
      <c r="N497" t="str">
        <f>_xlfn.XLOOKUP(C:C,'Resource Table'!A:A,'Resource Table'!B:B,"NOT FOUND",0,1)</f>
        <v>Hollie Francis</v>
      </c>
      <c r="O497" t="str">
        <f>_xlfn.XLOOKUP(N:N,'Resource Table'!B:B,'Resource Table'!C:C,"n/a",0,1)</f>
        <v>hfrancis@ameritfleet.com</v>
      </c>
      <c r="P497" t="str">
        <f>_xlfn.XLOOKUP(N:N,'Resource Table'!B:B,'Resource Table'!D:D,"n/a",0,1)</f>
        <v>Vended Repair</v>
      </c>
    </row>
    <row r="498" spans="1:16" x14ac:dyDescent="0.45">
      <c r="A498" t="s">
        <v>5443</v>
      </c>
      <c r="B498" t="s">
        <v>5524</v>
      </c>
      <c r="C498" t="s">
        <v>5989</v>
      </c>
      <c r="D498" t="s">
        <v>6417</v>
      </c>
      <c r="E498" t="s">
        <v>6451</v>
      </c>
      <c r="F498" t="s">
        <v>13460</v>
      </c>
      <c r="G498" t="s">
        <v>13592</v>
      </c>
      <c r="H498" t="s">
        <v>13593</v>
      </c>
      <c r="I498" t="s">
        <v>6479</v>
      </c>
      <c r="J498" t="s">
        <v>13463</v>
      </c>
      <c r="K498">
        <v>0</v>
      </c>
      <c r="L498" t="s">
        <v>20</v>
      </c>
      <c r="M498" t="s">
        <v>20</v>
      </c>
      <c r="N498" t="str">
        <f>_xlfn.XLOOKUP(C:C,'Resource Table'!A:A,'Resource Table'!B:B,"NOT FOUND",0,1)</f>
        <v>Hollie Francis</v>
      </c>
      <c r="O498" t="str">
        <f>_xlfn.XLOOKUP(N:N,'Resource Table'!B:B,'Resource Table'!C:C,"n/a",0,1)</f>
        <v>hfrancis@ameritfleet.com</v>
      </c>
      <c r="P498" t="str">
        <f>_xlfn.XLOOKUP(N:N,'Resource Table'!B:B,'Resource Table'!D:D,"n/a",0,1)</f>
        <v>Vended Repair</v>
      </c>
    </row>
    <row r="499" spans="1:16" x14ac:dyDescent="0.45">
      <c r="A499" t="s">
        <v>5443</v>
      </c>
      <c r="B499" t="s">
        <v>5524</v>
      </c>
      <c r="C499" t="s">
        <v>5989</v>
      </c>
      <c r="D499" t="s">
        <v>6444</v>
      </c>
      <c r="E499" t="s">
        <v>6451</v>
      </c>
      <c r="F499" t="s">
        <v>13460</v>
      </c>
      <c r="G499" t="s">
        <v>13550</v>
      </c>
      <c r="H499" t="s">
        <v>13551</v>
      </c>
      <c r="I499" t="s">
        <v>6479</v>
      </c>
      <c r="J499" t="s">
        <v>13463</v>
      </c>
      <c r="K499">
        <v>0</v>
      </c>
      <c r="L499" t="s">
        <v>20</v>
      </c>
      <c r="M499" t="s">
        <v>20</v>
      </c>
      <c r="N499" t="str">
        <f>_xlfn.XLOOKUP(C:C,'Resource Table'!A:A,'Resource Table'!B:B,"NOT FOUND",0,1)</f>
        <v>Hollie Francis</v>
      </c>
      <c r="O499" t="str">
        <f>_xlfn.XLOOKUP(N:N,'Resource Table'!B:B,'Resource Table'!C:C,"n/a",0,1)</f>
        <v>hfrancis@ameritfleet.com</v>
      </c>
      <c r="P499" t="str">
        <f>_xlfn.XLOOKUP(N:N,'Resource Table'!B:B,'Resource Table'!D:D,"n/a",0,1)</f>
        <v>Vended Repair</v>
      </c>
    </row>
    <row r="500" spans="1:16" x14ac:dyDescent="0.45">
      <c r="A500" t="s">
        <v>5443</v>
      </c>
      <c r="B500" t="s">
        <v>5524</v>
      </c>
      <c r="C500" t="s">
        <v>5989</v>
      </c>
      <c r="D500" t="s">
        <v>5990</v>
      </c>
      <c r="E500" t="s">
        <v>6461</v>
      </c>
      <c r="F500" t="s">
        <v>13460</v>
      </c>
      <c r="G500" t="s">
        <v>13481</v>
      </c>
      <c r="H500" t="s">
        <v>13482</v>
      </c>
      <c r="I500" t="s">
        <v>6479</v>
      </c>
      <c r="J500" t="s">
        <v>13463</v>
      </c>
      <c r="K500">
        <v>0</v>
      </c>
      <c r="L500" t="s">
        <v>20</v>
      </c>
      <c r="M500" t="s">
        <v>20</v>
      </c>
      <c r="N500" t="str">
        <f>_xlfn.XLOOKUP(C:C,'Resource Table'!A:A,'Resource Table'!B:B,"NOT FOUND",0,1)</f>
        <v>Hollie Francis</v>
      </c>
      <c r="O500" t="str">
        <f>_xlfn.XLOOKUP(N:N,'Resource Table'!B:B,'Resource Table'!C:C,"n/a",0,1)</f>
        <v>hfrancis@ameritfleet.com</v>
      </c>
      <c r="P500" t="str">
        <f>_xlfn.XLOOKUP(N:N,'Resource Table'!B:B,'Resource Table'!D:D,"n/a",0,1)</f>
        <v>Vended Repair</v>
      </c>
    </row>
    <row r="501" spans="1:16" x14ac:dyDescent="0.45">
      <c r="A501" t="s">
        <v>5443</v>
      </c>
      <c r="B501" t="s">
        <v>5524</v>
      </c>
      <c r="C501" t="s">
        <v>5541</v>
      </c>
      <c r="D501" t="s">
        <v>3706</v>
      </c>
      <c r="E501" t="s">
        <v>6461</v>
      </c>
      <c r="F501" t="s">
        <v>13460</v>
      </c>
      <c r="G501" t="s">
        <v>13481</v>
      </c>
      <c r="H501" t="s">
        <v>13482</v>
      </c>
      <c r="I501" t="s">
        <v>29</v>
      </c>
      <c r="J501" t="s">
        <v>13463</v>
      </c>
      <c r="K501">
        <v>3</v>
      </c>
      <c r="L501" t="s">
        <v>13524</v>
      </c>
      <c r="M501" t="s">
        <v>13505</v>
      </c>
      <c r="N501" t="str">
        <f>_xlfn.XLOOKUP(C:C,'Resource Table'!A:A,'Resource Table'!B:B,"NOT FOUND",0,1)</f>
        <v>Dedicated</v>
      </c>
      <c r="O501" t="str">
        <f>_xlfn.XLOOKUP(N:N,'Resource Table'!B:B,'Resource Table'!C:C,"n/a",0,1)</f>
        <v>AFS Dedicated Tech</v>
      </c>
      <c r="P501" t="str">
        <f>_xlfn.XLOOKUP(N:N,'Resource Table'!B:B,'Resource Table'!D:D,"n/a",0,1)</f>
        <v>Dedicated</v>
      </c>
    </row>
    <row r="502" spans="1:16" x14ac:dyDescent="0.45">
      <c r="A502" t="s">
        <v>5443</v>
      </c>
      <c r="B502" t="s">
        <v>5524</v>
      </c>
      <c r="C502" t="s">
        <v>5541</v>
      </c>
      <c r="D502" t="s">
        <v>6065</v>
      </c>
      <c r="E502" t="s">
        <v>6461</v>
      </c>
      <c r="F502" t="s">
        <v>13460</v>
      </c>
      <c r="G502" t="s">
        <v>13481</v>
      </c>
      <c r="H502" t="s">
        <v>13511</v>
      </c>
      <c r="I502" t="s">
        <v>6479</v>
      </c>
      <c r="J502" t="s">
        <v>13463</v>
      </c>
      <c r="K502">
        <v>0</v>
      </c>
      <c r="L502" t="s">
        <v>20</v>
      </c>
      <c r="M502" t="s">
        <v>20</v>
      </c>
      <c r="N502" t="str">
        <f>_xlfn.XLOOKUP(C:C,'Resource Table'!A:A,'Resource Table'!B:B,"NOT FOUND",0,1)</f>
        <v>Dedicated</v>
      </c>
      <c r="O502" t="str">
        <f>_xlfn.XLOOKUP(N:N,'Resource Table'!B:B,'Resource Table'!C:C,"n/a",0,1)</f>
        <v>AFS Dedicated Tech</v>
      </c>
      <c r="P502" t="str">
        <f>_xlfn.XLOOKUP(N:N,'Resource Table'!B:B,'Resource Table'!D:D,"n/a",0,1)</f>
        <v>Dedicated</v>
      </c>
    </row>
    <row r="503" spans="1:16" x14ac:dyDescent="0.45">
      <c r="A503" t="s">
        <v>5443</v>
      </c>
      <c r="B503" t="s">
        <v>5524</v>
      </c>
      <c r="C503" t="s">
        <v>5541</v>
      </c>
      <c r="D503" t="s">
        <v>5912</v>
      </c>
      <c r="E503" t="s">
        <v>6462</v>
      </c>
      <c r="F503" t="s">
        <v>13460</v>
      </c>
      <c r="G503" t="s">
        <v>13481</v>
      </c>
      <c r="H503" t="s">
        <v>13490</v>
      </c>
      <c r="I503" t="s">
        <v>6479</v>
      </c>
      <c r="J503" t="s">
        <v>13463</v>
      </c>
      <c r="K503">
        <v>0</v>
      </c>
      <c r="L503" t="s">
        <v>20</v>
      </c>
      <c r="M503" t="s">
        <v>20</v>
      </c>
      <c r="N503" t="str">
        <f>_xlfn.XLOOKUP(C:C,'Resource Table'!A:A,'Resource Table'!B:B,"NOT FOUND",0,1)</f>
        <v>Dedicated</v>
      </c>
      <c r="O503" t="str">
        <f>_xlfn.XLOOKUP(N:N,'Resource Table'!B:B,'Resource Table'!C:C,"n/a",0,1)</f>
        <v>AFS Dedicated Tech</v>
      </c>
      <c r="P503" t="str">
        <f>_xlfn.XLOOKUP(N:N,'Resource Table'!B:B,'Resource Table'!D:D,"n/a",0,1)</f>
        <v>Dedicated</v>
      </c>
    </row>
    <row r="504" spans="1:16" x14ac:dyDescent="0.45">
      <c r="A504" t="s">
        <v>5443</v>
      </c>
      <c r="B504" t="s">
        <v>5524</v>
      </c>
      <c r="C504" t="s">
        <v>5541</v>
      </c>
      <c r="D504" t="s">
        <v>4565</v>
      </c>
      <c r="E504" t="s">
        <v>6462</v>
      </c>
      <c r="F504" t="s">
        <v>13460</v>
      </c>
      <c r="G504" t="s">
        <v>13481</v>
      </c>
      <c r="H504" t="s">
        <v>13490</v>
      </c>
      <c r="I504" t="s">
        <v>6479</v>
      </c>
      <c r="J504" t="s">
        <v>13463</v>
      </c>
      <c r="K504">
        <v>0</v>
      </c>
      <c r="L504" t="s">
        <v>20</v>
      </c>
      <c r="M504" t="s">
        <v>20</v>
      </c>
      <c r="N504" t="str">
        <f>_xlfn.XLOOKUP(C:C,'Resource Table'!A:A,'Resource Table'!B:B,"NOT FOUND",0,1)</f>
        <v>Dedicated</v>
      </c>
      <c r="O504" t="str">
        <f>_xlfn.XLOOKUP(N:N,'Resource Table'!B:B,'Resource Table'!C:C,"n/a",0,1)</f>
        <v>AFS Dedicated Tech</v>
      </c>
      <c r="P504" t="str">
        <f>_xlfn.XLOOKUP(N:N,'Resource Table'!B:B,'Resource Table'!D:D,"n/a",0,1)</f>
        <v>Dedicated</v>
      </c>
    </row>
    <row r="505" spans="1:16" x14ac:dyDescent="0.45">
      <c r="A505" t="s">
        <v>5443</v>
      </c>
      <c r="B505" t="s">
        <v>5524</v>
      </c>
      <c r="C505" t="s">
        <v>5541</v>
      </c>
      <c r="D505" t="s">
        <v>6222</v>
      </c>
      <c r="E505" t="s">
        <v>6451</v>
      </c>
      <c r="F505" t="s">
        <v>13460</v>
      </c>
      <c r="G505" t="s">
        <v>13476</v>
      </c>
      <c r="H505" t="s">
        <v>13477</v>
      </c>
      <c r="I505" t="s">
        <v>29</v>
      </c>
      <c r="J505" t="s">
        <v>13463</v>
      </c>
      <c r="K505">
        <v>2</v>
      </c>
      <c r="L505" t="s">
        <v>13503</v>
      </c>
      <c r="M505" t="s">
        <v>20</v>
      </c>
      <c r="N505" t="str">
        <f>_xlfn.XLOOKUP(C:C,'Resource Table'!A:A,'Resource Table'!B:B,"NOT FOUND",0,1)</f>
        <v>Dedicated</v>
      </c>
      <c r="O505" t="str">
        <f>_xlfn.XLOOKUP(N:N,'Resource Table'!B:B,'Resource Table'!C:C,"n/a",0,1)</f>
        <v>AFS Dedicated Tech</v>
      </c>
      <c r="P505" t="str">
        <f>_xlfn.XLOOKUP(N:N,'Resource Table'!B:B,'Resource Table'!D:D,"n/a",0,1)</f>
        <v>Dedicated</v>
      </c>
    </row>
    <row r="506" spans="1:16" x14ac:dyDescent="0.45">
      <c r="A506" t="s">
        <v>5443</v>
      </c>
      <c r="B506" t="s">
        <v>5524</v>
      </c>
      <c r="C506" t="s">
        <v>5541</v>
      </c>
      <c r="D506" t="s">
        <v>5595</v>
      </c>
      <c r="E506" t="s">
        <v>6451</v>
      </c>
      <c r="F506" t="s">
        <v>13460</v>
      </c>
      <c r="G506" t="s">
        <v>13476</v>
      </c>
      <c r="H506" t="s">
        <v>13477</v>
      </c>
      <c r="I506" t="s">
        <v>6479</v>
      </c>
      <c r="J506" t="s">
        <v>13463</v>
      </c>
      <c r="K506">
        <v>1</v>
      </c>
      <c r="L506" t="s">
        <v>13487</v>
      </c>
      <c r="M506" t="s">
        <v>20</v>
      </c>
      <c r="N506" t="str">
        <f>_xlfn.XLOOKUP(C:C,'Resource Table'!A:A,'Resource Table'!B:B,"NOT FOUND",0,1)</f>
        <v>Dedicated</v>
      </c>
      <c r="O506" t="str">
        <f>_xlfn.XLOOKUP(N:N,'Resource Table'!B:B,'Resource Table'!C:C,"n/a",0,1)</f>
        <v>AFS Dedicated Tech</v>
      </c>
      <c r="P506" t="str">
        <f>_xlfn.XLOOKUP(N:N,'Resource Table'!B:B,'Resource Table'!D:D,"n/a",0,1)</f>
        <v>Dedicated</v>
      </c>
    </row>
    <row r="507" spans="1:16" x14ac:dyDescent="0.45">
      <c r="A507" t="s">
        <v>5443</v>
      </c>
      <c r="B507" t="s">
        <v>5524</v>
      </c>
      <c r="C507" t="s">
        <v>5541</v>
      </c>
      <c r="D507" t="s">
        <v>5631</v>
      </c>
      <c r="E507" t="s">
        <v>6451</v>
      </c>
      <c r="F507" t="s">
        <v>13460</v>
      </c>
      <c r="G507" t="s">
        <v>13592</v>
      </c>
      <c r="H507" t="s">
        <v>13594</v>
      </c>
      <c r="I507" t="s">
        <v>29</v>
      </c>
      <c r="J507" t="s">
        <v>13463</v>
      </c>
      <c r="K507">
        <v>2</v>
      </c>
      <c r="L507" t="s">
        <v>13524</v>
      </c>
      <c r="M507" t="s">
        <v>13507</v>
      </c>
      <c r="N507" t="str">
        <f>_xlfn.XLOOKUP(C:C,'Resource Table'!A:A,'Resource Table'!B:B,"NOT FOUND",0,1)</f>
        <v>Dedicated</v>
      </c>
      <c r="O507" t="str">
        <f>_xlfn.XLOOKUP(N:N,'Resource Table'!B:B,'Resource Table'!C:C,"n/a",0,1)</f>
        <v>AFS Dedicated Tech</v>
      </c>
      <c r="P507" t="str">
        <f>_xlfn.XLOOKUP(N:N,'Resource Table'!B:B,'Resource Table'!D:D,"n/a",0,1)</f>
        <v>Dedicated</v>
      </c>
    </row>
    <row r="508" spans="1:16" x14ac:dyDescent="0.45">
      <c r="A508" t="s">
        <v>5443</v>
      </c>
      <c r="B508" t="s">
        <v>5524</v>
      </c>
      <c r="C508" t="s">
        <v>5541</v>
      </c>
      <c r="D508" t="s">
        <v>5689</v>
      </c>
      <c r="E508" t="s">
        <v>6451</v>
      </c>
      <c r="F508" t="s">
        <v>13473</v>
      </c>
      <c r="G508" t="s">
        <v>13474</v>
      </c>
      <c r="H508" t="s">
        <v>13492</v>
      </c>
      <c r="I508" t="s">
        <v>6479</v>
      </c>
      <c r="J508" t="s">
        <v>13463</v>
      </c>
      <c r="K508">
        <v>0</v>
      </c>
      <c r="L508" t="s">
        <v>20</v>
      </c>
      <c r="M508" t="s">
        <v>20</v>
      </c>
      <c r="N508" t="str">
        <f>_xlfn.XLOOKUP(C:C,'Resource Table'!A:A,'Resource Table'!B:B,"NOT FOUND",0,1)</f>
        <v>Dedicated</v>
      </c>
      <c r="O508" t="str">
        <f>_xlfn.XLOOKUP(N:N,'Resource Table'!B:B,'Resource Table'!C:C,"n/a",0,1)</f>
        <v>AFS Dedicated Tech</v>
      </c>
      <c r="P508" t="str">
        <f>_xlfn.XLOOKUP(N:N,'Resource Table'!B:B,'Resource Table'!D:D,"n/a",0,1)</f>
        <v>Dedicated</v>
      </c>
    </row>
    <row r="509" spans="1:16" x14ac:dyDescent="0.45">
      <c r="A509" t="s">
        <v>5443</v>
      </c>
      <c r="B509" t="s">
        <v>5524</v>
      </c>
      <c r="C509" t="s">
        <v>5541</v>
      </c>
      <c r="D509" t="s">
        <v>5572</v>
      </c>
      <c r="E509" t="s">
        <v>6451</v>
      </c>
      <c r="F509" t="s">
        <v>13460</v>
      </c>
      <c r="G509" t="s">
        <v>13476</v>
      </c>
      <c r="H509" t="s">
        <v>13533</v>
      </c>
      <c r="I509" t="s">
        <v>6479</v>
      </c>
      <c r="J509" t="s">
        <v>13463</v>
      </c>
      <c r="K509">
        <v>0</v>
      </c>
      <c r="L509" t="s">
        <v>20</v>
      </c>
      <c r="M509" t="s">
        <v>20</v>
      </c>
      <c r="N509" t="str">
        <f>_xlfn.XLOOKUP(C:C,'Resource Table'!A:A,'Resource Table'!B:B,"NOT FOUND",0,1)</f>
        <v>Dedicated</v>
      </c>
      <c r="O509" t="str">
        <f>_xlfn.XLOOKUP(N:N,'Resource Table'!B:B,'Resource Table'!C:C,"n/a",0,1)</f>
        <v>AFS Dedicated Tech</v>
      </c>
      <c r="P509" t="str">
        <f>_xlfn.XLOOKUP(N:N,'Resource Table'!B:B,'Resource Table'!D:D,"n/a",0,1)</f>
        <v>Dedicated</v>
      </c>
    </row>
    <row r="510" spans="1:16" x14ac:dyDescent="0.45">
      <c r="A510" t="s">
        <v>5443</v>
      </c>
      <c r="B510" t="s">
        <v>5524</v>
      </c>
      <c r="C510" t="s">
        <v>5541</v>
      </c>
      <c r="D510" t="s">
        <v>6414</v>
      </c>
      <c r="E510" t="s">
        <v>6461</v>
      </c>
      <c r="F510" t="s">
        <v>13460</v>
      </c>
      <c r="G510" t="s">
        <v>13461</v>
      </c>
      <c r="H510" t="s">
        <v>13467</v>
      </c>
      <c r="I510" t="s">
        <v>29</v>
      </c>
      <c r="J510" t="s">
        <v>13463</v>
      </c>
      <c r="K510">
        <v>1</v>
      </c>
      <c r="L510" t="s">
        <v>13480</v>
      </c>
      <c r="M510" t="s">
        <v>20</v>
      </c>
      <c r="N510" t="str">
        <f>_xlfn.XLOOKUP(C:C,'Resource Table'!A:A,'Resource Table'!B:B,"NOT FOUND",0,1)</f>
        <v>Dedicated</v>
      </c>
      <c r="O510" t="str">
        <f>_xlfn.XLOOKUP(N:N,'Resource Table'!B:B,'Resource Table'!C:C,"n/a",0,1)</f>
        <v>AFS Dedicated Tech</v>
      </c>
      <c r="P510" t="str">
        <f>_xlfn.XLOOKUP(N:N,'Resource Table'!B:B,'Resource Table'!D:D,"n/a",0,1)</f>
        <v>Dedicated</v>
      </c>
    </row>
    <row r="511" spans="1:16" x14ac:dyDescent="0.45">
      <c r="A511" t="s">
        <v>5443</v>
      </c>
      <c r="B511" t="s">
        <v>5524</v>
      </c>
      <c r="C511" t="s">
        <v>5541</v>
      </c>
      <c r="D511" t="s">
        <v>5587</v>
      </c>
      <c r="E511" t="s">
        <v>6451</v>
      </c>
      <c r="F511" t="s">
        <v>13460</v>
      </c>
      <c r="G511" t="s">
        <v>13476</v>
      </c>
      <c r="H511" t="s">
        <v>13477</v>
      </c>
      <c r="I511" t="s">
        <v>6479</v>
      </c>
      <c r="J511" t="s">
        <v>13463</v>
      </c>
      <c r="K511">
        <v>0</v>
      </c>
      <c r="L511" t="s">
        <v>20</v>
      </c>
      <c r="M511" t="s">
        <v>20</v>
      </c>
      <c r="N511" t="str">
        <f>_xlfn.XLOOKUP(C:C,'Resource Table'!A:A,'Resource Table'!B:B,"NOT FOUND",0,1)</f>
        <v>Dedicated</v>
      </c>
      <c r="O511" t="str">
        <f>_xlfn.XLOOKUP(N:N,'Resource Table'!B:B,'Resource Table'!C:C,"n/a",0,1)</f>
        <v>AFS Dedicated Tech</v>
      </c>
      <c r="P511" t="str">
        <f>_xlfn.XLOOKUP(N:N,'Resource Table'!B:B,'Resource Table'!D:D,"n/a",0,1)</f>
        <v>Dedicated</v>
      </c>
    </row>
    <row r="512" spans="1:16" x14ac:dyDescent="0.45">
      <c r="A512" t="s">
        <v>5443</v>
      </c>
      <c r="B512" t="s">
        <v>5524</v>
      </c>
      <c r="C512" t="s">
        <v>5541</v>
      </c>
      <c r="D512" t="s">
        <v>6230</v>
      </c>
      <c r="E512" t="s">
        <v>6451</v>
      </c>
      <c r="F512" t="s">
        <v>13460</v>
      </c>
      <c r="G512" t="s">
        <v>13476</v>
      </c>
      <c r="H512" t="s">
        <v>13477</v>
      </c>
      <c r="I512" t="s">
        <v>29</v>
      </c>
      <c r="J512" t="s">
        <v>13463</v>
      </c>
      <c r="K512">
        <v>2</v>
      </c>
      <c r="L512" t="s">
        <v>13544</v>
      </c>
      <c r="M512" t="s">
        <v>20</v>
      </c>
      <c r="N512" t="str">
        <f>_xlfn.XLOOKUP(C:C,'Resource Table'!A:A,'Resource Table'!B:B,"NOT FOUND",0,1)</f>
        <v>Dedicated</v>
      </c>
      <c r="O512" t="str">
        <f>_xlfn.XLOOKUP(N:N,'Resource Table'!B:B,'Resource Table'!C:C,"n/a",0,1)</f>
        <v>AFS Dedicated Tech</v>
      </c>
      <c r="P512" t="str">
        <f>_xlfn.XLOOKUP(N:N,'Resource Table'!B:B,'Resource Table'!D:D,"n/a",0,1)</f>
        <v>Dedicated</v>
      </c>
    </row>
    <row r="513" spans="1:16" x14ac:dyDescent="0.45">
      <c r="A513" t="s">
        <v>5443</v>
      </c>
      <c r="B513" t="s">
        <v>5524</v>
      </c>
      <c r="C513" t="s">
        <v>5541</v>
      </c>
      <c r="D513" t="s">
        <v>5908</v>
      </c>
      <c r="E513" t="s">
        <v>6462</v>
      </c>
      <c r="F513" t="s">
        <v>13460</v>
      </c>
      <c r="G513" t="s">
        <v>13481</v>
      </c>
      <c r="H513" t="s">
        <v>13490</v>
      </c>
      <c r="I513" t="s">
        <v>6479</v>
      </c>
      <c r="J513" t="s">
        <v>13463</v>
      </c>
      <c r="K513">
        <v>2</v>
      </c>
      <c r="L513" t="s">
        <v>13487</v>
      </c>
      <c r="M513" t="s">
        <v>20</v>
      </c>
      <c r="N513" t="str">
        <f>_xlfn.XLOOKUP(C:C,'Resource Table'!A:A,'Resource Table'!B:B,"NOT FOUND",0,1)</f>
        <v>Dedicated</v>
      </c>
      <c r="O513" t="str">
        <f>_xlfn.XLOOKUP(N:N,'Resource Table'!B:B,'Resource Table'!C:C,"n/a",0,1)</f>
        <v>AFS Dedicated Tech</v>
      </c>
      <c r="P513" t="str">
        <f>_xlfn.XLOOKUP(N:N,'Resource Table'!B:B,'Resource Table'!D:D,"n/a",0,1)</f>
        <v>Dedicated</v>
      </c>
    </row>
    <row r="514" spans="1:16" x14ac:dyDescent="0.45">
      <c r="A514" t="s">
        <v>5443</v>
      </c>
      <c r="B514" t="s">
        <v>5524</v>
      </c>
      <c r="C514" t="s">
        <v>5541</v>
      </c>
      <c r="D514" t="s">
        <v>5580</v>
      </c>
      <c r="E514" t="s">
        <v>6451</v>
      </c>
      <c r="F514" t="s">
        <v>13460</v>
      </c>
      <c r="G514" t="s">
        <v>13476</v>
      </c>
      <c r="H514" t="s">
        <v>13531</v>
      </c>
      <c r="I514" t="s">
        <v>6479</v>
      </c>
      <c r="J514" t="s">
        <v>13463</v>
      </c>
      <c r="K514">
        <v>3</v>
      </c>
      <c r="L514" t="s">
        <v>13469</v>
      </c>
      <c r="M514" t="s">
        <v>13484</v>
      </c>
      <c r="N514" t="str">
        <f>_xlfn.XLOOKUP(C:C,'Resource Table'!A:A,'Resource Table'!B:B,"NOT FOUND",0,1)</f>
        <v>Dedicated</v>
      </c>
      <c r="O514" t="str">
        <f>_xlfn.XLOOKUP(N:N,'Resource Table'!B:B,'Resource Table'!C:C,"n/a",0,1)</f>
        <v>AFS Dedicated Tech</v>
      </c>
      <c r="P514" t="str">
        <f>_xlfn.XLOOKUP(N:N,'Resource Table'!B:B,'Resource Table'!D:D,"n/a",0,1)</f>
        <v>Dedicated</v>
      </c>
    </row>
    <row r="515" spans="1:16" x14ac:dyDescent="0.45">
      <c r="A515" t="s">
        <v>5443</v>
      </c>
      <c r="B515" t="s">
        <v>5524</v>
      </c>
      <c r="C515" t="s">
        <v>5541</v>
      </c>
      <c r="D515" t="s">
        <v>4513</v>
      </c>
      <c r="E515" t="s">
        <v>6461</v>
      </c>
      <c r="F515" t="s">
        <v>13460</v>
      </c>
      <c r="G515" t="s">
        <v>13481</v>
      </c>
      <c r="H515" t="s">
        <v>13482</v>
      </c>
      <c r="I515" t="s">
        <v>6479</v>
      </c>
      <c r="J515" t="s">
        <v>13463</v>
      </c>
      <c r="K515">
        <v>0</v>
      </c>
      <c r="L515" t="s">
        <v>20</v>
      </c>
      <c r="M515" t="s">
        <v>20</v>
      </c>
      <c r="N515" t="str">
        <f>_xlfn.XLOOKUP(C:C,'Resource Table'!A:A,'Resource Table'!B:B,"NOT FOUND",0,1)</f>
        <v>Dedicated</v>
      </c>
      <c r="O515" t="str">
        <f>_xlfn.XLOOKUP(N:N,'Resource Table'!B:B,'Resource Table'!C:C,"n/a",0,1)</f>
        <v>AFS Dedicated Tech</v>
      </c>
      <c r="P515" t="str">
        <f>_xlfn.XLOOKUP(N:N,'Resource Table'!B:B,'Resource Table'!D:D,"n/a",0,1)</f>
        <v>Dedicated</v>
      </c>
    </row>
    <row r="516" spans="1:16" x14ac:dyDescent="0.45">
      <c r="A516" t="s">
        <v>5443</v>
      </c>
      <c r="B516" t="s">
        <v>5524</v>
      </c>
      <c r="C516" t="s">
        <v>5541</v>
      </c>
      <c r="D516" t="s">
        <v>6226</v>
      </c>
      <c r="E516" t="s">
        <v>6451</v>
      </c>
      <c r="F516" t="s">
        <v>13460</v>
      </c>
      <c r="G516" t="s">
        <v>13476</v>
      </c>
      <c r="H516" t="s">
        <v>13477</v>
      </c>
      <c r="I516" t="s">
        <v>6479</v>
      </c>
      <c r="J516" t="s">
        <v>13463</v>
      </c>
      <c r="K516">
        <v>0</v>
      </c>
      <c r="L516" t="s">
        <v>20</v>
      </c>
      <c r="M516" t="s">
        <v>20</v>
      </c>
      <c r="N516" t="str">
        <f>_xlfn.XLOOKUP(C:C,'Resource Table'!A:A,'Resource Table'!B:B,"NOT FOUND",0,1)</f>
        <v>Dedicated</v>
      </c>
      <c r="O516" t="str">
        <f>_xlfn.XLOOKUP(N:N,'Resource Table'!B:B,'Resource Table'!C:C,"n/a",0,1)</f>
        <v>AFS Dedicated Tech</v>
      </c>
      <c r="P516" t="str">
        <f>_xlfn.XLOOKUP(N:N,'Resource Table'!B:B,'Resource Table'!D:D,"n/a",0,1)</f>
        <v>Dedicated</v>
      </c>
    </row>
    <row r="517" spans="1:16" x14ac:dyDescent="0.45">
      <c r="A517" t="s">
        <v>5443</v>
      </c>
      <c r="B517" t="s">
        <v>5524</v>
      </c>
      <c r="C517" t="s">
        <v>5541</v>
      </c>
      <c r="D517" t="s">
        <v>1221</v>
      </c>
      <c r="E517" t="s">
        <v>6462</v>
      </c>
      <c r="F517" t="s">
        <v>13460</v>
      </c>
      <c r="G517" t="s">
        <v>13481</v>
      </c>
      <c r="H517" t="s">
        <v>13490</v>
      </c>
      <c r="I517" t="s">
        <v>29</v>
      </c>
      <c r="J517" t="s">
        <v>13463</v>
      </c>
      <c r="K517">
        <v>3</v>
      </c>
      <c r="L517" t="s">
        <v>13529</v>
      </c>
      <c r="M517" t="s">
        <v>13505</v>
      </c>
      <c r="N517" t="str">
        <f>_xlfn.XLOOKUP(C:C,'Resource Table'!A:A,'Resource Table'!B:B,"NOT FOUND",0,1)</f>
        <v>Dedicated</v>
      </c>
      <c r="O517" t="str">
        <f>_xlfn.XLOOKUP(N:N,'Resource Table'!B:B,'Resource Table'!C:C,"n/a",0,1)</f>
        <v>AFS Dedicated Tech</v>
      </c>
      <c r="P517" t="str">
        <f>_xlfn.XLOOKUP(N:N,'Resource Table'!B:B,'Resource Table'!D:D,"n/a",0,1)</f>
        <v>Dedicated</v>
      </c>
    </row>
    <row r="518" spans="1:16" x14ac:dyDescent="0.45">
      <c r="A518" t="s">
        <v>5443</v>
      </c>
      <c r="B518" t="s">
        <v>5524</v>
      </c>
      <c r="C518" t="s">
        <v>5541</v>
      </c>
      <c r="D518" t="s">
        <v>5889</v>
      </c>
      <c r="E518" t="s">
        <v>6451</v>
      </c>
      <c r="F518" t="s">
        <v>13473</v>
      </c>
      <c r="G518" t="s">
        <v>13474</v>
      </c>
      <c r="H518" t="s">
        <v>13475</v>
      </c>
      <c r="I518" t="s">
        <v>6479</v>
      </c>
      <c r="J518" t="s">
        <v>13463</v>
      </c>
      <c r="K518">
        <v>0</v>
      </c>
      <c r="L518" t="s">
        <v>20</v>
      </c>
      <c r="M518" t="s">
        <v>20</v>
      </c>
      <c r="N518" t="str">
        <f>_xlfn.XLOOKUP(C:C,'Resource Table'!A:A,'Resource Table'!B:B,"NOT FOUND",0,1)</f>
        <v>Dedicated</v>
      </c>
      <c r="O518" t="str">
        <f>_xlfn.XLOOKUP(N:N,'Resource Table'!B:B,'Resource Table'!C:C,"n/a",0,1)</f>
        <v>AFS Dedicated Tech</v>
      </c>
      <c r="P518" t="str">
        <f>_xlfn.XLOOKUP(N:N,'Resource Table'!B:B,'Resource Table'!D:D,"n/a",0,1)</f>
        <v>Dedicated</v>
      </c>
    </row>
    <row r="519" spans="1:16" x14ac:dyDescent="0.45">
      <c r="A519" t="s">
        <v>5443</v>
      </c>
      <c r="B519" t="s">
        <v>5524</v>
      </c>
      <c r="C519" t="s">
        <v>5541</v>
      </c>
      <c r="D519" t="s">
        <v>5686</v>
      </c>
      <c r="E519" t="s">
        <v>6451</v>
      </c>
      <c r="F519" t="s">
        <v>13473</v>
      </c>
      <c r="G519" t="s">
        <v>13474</v>
      </c>
      <c r="H519" t="s">
        <v>13492</v>
      </c>
      <c r="I519" t="s">
        <v>6479</v>
      </c>
      <c r="J519" t="s">
        <v>13463</v>
      </c>
      <c r="K519">
        <v>0</v>
      </c>
      <c r="L519" t="s">
        <v>20</v>
      </c>
      <c r="M519" t="s">
        <v>20</v>
      </c>
      <c r="N519" t="str">
        <f>_xlfn.XLOOKUP(C:C,'Resource Table'!A:A,'Resource Table'!B:B,"NOT FOUND",0,1)</f>
        <v>Dedicated</v>
      </c>
      <c r="O519" t="str">
        <f>_xlfn.XLOOKUP(N:N,'Resource Table'!B:B,'Resource Table'!C:C,"n/a",0,1)</f>
        <v>AFS Dedicated Tech</v>
      </c>
      <c r="P519" t="str">
        <f>_xlfn.XLOOKUP(N:N,'Resource Table'!B:B,'Resource Table'!D:D,"n/a",0,1)</f>
        <v>Dedicated</v>
      </c>
    </row>
    <row r="520" spans="1:16" x14ac:dyDescent="0.45">
      <c r="A520" t="s">
        <v>5443</v>
      </c>
      <c r="B520" t="s">
        <v>5524</v>
      </c>
      <c r="C520" t="s">
        <v>5541</v>
      </c>
      <c r="D520" t="s">
        <v>5871</v>
      </c>
      <c r="E520" t="s">
        <v>6451</v>
      </c>
      <c r="F520" t="s">
        <v>13473</v>
      </c>
      <c r="G520" t="s">
        <v>13474</v>
      </c>
      <c r="H520" t="s">
        <v>13475</v>
      </c>
      <c r="I520" t="s">
        <v>6479</v>
      </c>
      <c r="J520" t="s">
        <v>13463</v>
      </c>
      <c r="K520">
        <v>0</v>
      </c>
      <c r="L520" t="s">
        <v>20</v>
      </c>
      <c r="M520" t="s">
        <v>20</v>
      </c>
      <c r="N520" t="str">
        <f>_xlfn.XLOOKUP(C:C,'Resource Table'!A:A,'Resource Table'!B:B,"NOT FOUND",0,1)</f>
        <v>Dedicated</v>
      </c>
      <c r="O520" t="str">
        <f>_xlfn.XLOOKUP(N:N,'Resource Table'!B:B,'Resource Table'!C:C,"n/a",0,1)</f>
        <v>AFS Dedicated Tech</v>
      </c>
      <c r="P520" t="str">
        <f>_xlfn.XLOOKUP(N:N,'Resource Table'!B:B,'Resource Table'!D:D,"n/a",0,1)</f>
        <v>Dedicated</v>
      </c>
    </row>
    <row r="521" spans="1:16" x14ac:dyDescent="0.45">
      <c r="A521" t="s">
        <v>5443</v>
      </c>
      <c r="B521" t="s">
        <v>5524</v>
      </c>
      <c r="C521" t="s">
        <v>5525</v>
      </c>
      <c r="D521" t="s">
        <v>477</v>
      </c>
      <c r="E521" t="s">
        <v>6451</v>
      </c>
      <c r="F521" t="s">
        <v>13460</v>
      </c>
      <c r="G521" t="s">
        <v>13476</v>
      </c>
      <c r="H521" t="s">
        <v>13531</v>
      </c>
      <c r="I521" t="s">
        <v>29</v>
      </c>
      <c r="J521" t="s">
        <v>13463</v>
      </c>
      <c r="K521">
        <v>1</v>
      </c>
      <c r="L521" t="s">
        <v>13479</v>
      </c>
      <c r="M521" t="s">
        <v>13513</v>
      </c>
      <c r="N521" t="str">
        <f>_xlfn.XLOOKUP(C:C,'Resource Table'!A:A,'Resource Table'!B:B,"NOT FOUND",0,1)</f>
        <v>Hollie Francis</v>
      </c>
      <c r="O521" t="str">
        <f>_xlfn.XLOOKUP(N:N,'Resource Table'!B:B,'Resource Table'!C:C,"n/a",0,1)</f>
        <v>hfrancis@ameritfleet.com</v>
      </c>
      <c r="P521" t="str">
        <f>_xlfn.XLOOKUP(N:N,'Resource Table'!B:B,'Resource Table'!D:D,"n/a",0,1)</f>
        <v>Vended Repair</v>
      </c>
    </row>
    <row r="522" spans="1:16" x14ac:dyDescent="0.45">
      <c r="A522" t="s">
        <v>5443</v>
      </c>
      <c r="B522" t="s">
        <v>5524</v>
      </c>
      <c r="C522" t="s">
        <v>5525</v>
      </c>
      <c r="D522" t="s">
        <v>5031</v>
      </c>
      <c r="E522" t="s">
        <v>6461</v>
      </c>
      <c r="F522" t="s">
        <v>13460</v>
      </c>
      <c r="G522" t="s">
        <v>13461</v>
      </c>
      <c r="H522" t="s">
        <v>13471</v>
      </c>
      <c r="I522" t="s">
        <v>6479</v>
      </c>
      <c r="J522" t="s">
        <v>13463</v>
      </c>
      <c r="K522">
        <v>2</v>
      </c>
      <c r="L522" t="s">
        <v>13469</v>
      </c>
      <c r="M522" t="s">
        <v>13505</v>
      </c>
      <c r="N522" t="str">
        <f>_xlfn.XLOOKUP(C:C,'Resource Table'!A:A,'Resource Table'!B:B,"NOT FOUND",0,1)</f>
        <v>Hollie Francis</v>
      </c>
      <c r="O522" t="str">
        <f>_xlfn.XLOOKUP(N:N,'Resource Table'!B:B,'Resource Table'!C:C,"n/a",0,1)</f>
        <v>hfrancis@ameritfleet.com</v>
      </c>
      <c r="P522" t="str">
        <f>_xlfn.XLOOKUP(N:N,'Resource Table'!B:B,'Resource Table'!D:D,"n/a",0,1)</f>
        <v>Vended Repair</v>
      </c>
    </row>
    <row r="523" spans="1:16" x14ac:dyDescent="0.45">
      <c r="A523" t="s">
        <v>5443</v>
      </c>
      <c r="B523" t="s">
        <v>5524</v>
      </c>
      <c r="C523" t="s">
        <v>5525</v>
      </c>
      <c r="D523" t="s">
        <v>3544</v>
      </c>
      <c r="E523" t="s">
        <v>6461</v>
      </c>
      <c r="F523" t="s">
        <v>13460</v>
      </c>
      <c r="G523" t="s">
        <v>13461</v>
      </c>
      <c r="H523" t="s">
        <v>13471</v>
      </c>
      <c r="I523" t="s">
        <v>29</v>
      </c>
      <c r="J523" t="s">
        <v>13463</v>
      </c>
      <c r="K523">
        <v>4</v>
      </c>
      <c r="L523" t="s">
        <v>13512</v>
      </c>
      <c r="M523" t="s">
        <v>13556</v>
      </c>
      <c r="N523" t="str">
        <f>_xlfn.XLOOKUP(C:C,'Resource Table'!A:A,'Resource Table'!B:B,"NOT FOUND",0,1)</f>
        <v>Hollie Francis</v>
      </c>
      <c r="O523" t="str">
        <f>_xlfn.XLOOKUP(N:N,'Resource Table'!B:B,'Resource Table'!C:C,"n/a",0,1)</f>
        <v>hfrancis@ameritfleet.com</v>
      </c>
      <c r="P523" t="str">
        <f>_xlfn.XLOOKUP(N:N,'Resource Table'!B:B,'Resource Table'!D:D,"n/a",0,1)</f>
        <v>Vended Repair</v>
      </c>
    </row>
    <row r="524" spans="1:16" x14ac:dyDescent="0.45">
      <c r="A524" t="s">
        <v>5443</v>
      </c>
      <c r="B524" t="s">
        <v>5524</v>
      </c>
      <c r="C524" t="s">
        <v>5525</v>
      </c>
      <c r="D524" t="s">
        <v>3581</v>
      </c>
      <c r="E524" t="s">
        <v>6451</v>
      </c>
      <c r="F524" t="s">
        <v>13473</v>
      </c>
      <c r="G524" t="s">
        <v>13474</v>
      </c>
      <c r="H524" t="s">
        <v>13517</v>
      </c>
      <c r="I524" t="s">
        <v>6479</v>
      </c>
      <c r="J524" t="s">
        <v>13463</v>
      </c>
      <c r="K524">
        <v>2</v>
      </c>
      <c r="L524" t="s">
        <v>13512</v>
      </c>
      <c r="M524" t="s">
        <v>20</v>
      </c>
      <c r="N524" t="str">
        <f>_xlfn.XLOOKUP(C:C,'Resource Table'!A:A,'Resource Table'!B:B,"NOT FOUND",0,1)</f>
        <v>Hollie Francis</v>
      </c>
      <c r="O524" t="str">
        <f>_xlfn.XLOOKUP(N:N,'Resource Table'!B:B,'Resource Table'!C:C,"n/a",0,1)</f>
        <v>hfrancis@ameritfleet.com</v>
      </c>
      <c r="P524" t="str">
        <f>_xlfn.XLOOKUP(N:N,'Resource Table'!B:B,'Resource Table'!D:D,"n/a",0,1)</f>
        <v>Vended Repair</v>
      </c>
    </row>
    <row r="525" spans="1:16" x14ac:dyDescent="0.45">
      <c r="A525" t="s">
        <v>5443</v>
      </c>
      <c r="B525" t="s">
        <v>5524</v>
      </c>
      <c r="C525" t="s">
        <v>5525</v>
      </c>
      <c r="D525" t="s">
        <v>3091</v>
      </c>
      <c r="E525" t="s">
        <v>6451</v>
      </c>
      <c r="F525" t="s">
        <v>13460</v>
      </c>
      <c r="G525" t="s">
        <v>13476</v>
      </c>
      <c r="H525" t="s">
        <v>13477</v>
      </c>
      <c r="I525" t="s">
        <v>6479</v>
      </c>
      <c r="J525" t="s">
        <v>13463</v>
      </c>
      <c r="K525">
        <v>0</v>
      </c>
      <c r="L525" t="s">
        <v>20</v>
      </c>
      <c r="M525" t="s">
        <v>20</v>
      </c>
      <c r="N525" t="str">
        <f>_xlfn.XLOOKUP(C:C,'Resource Table'!A:A,'Resource Table'!B:B,"NOT FOUND",0,1)</f>
        <v>Hollie Francis</v>
      </c>
      <c r="O525" t="str">
        <f>_xlfn.XLOOKUP(N:N,'Resource Table'!B:B,'Resource Table'!C:C,"n/a",0,1)</f>
        <v>hfrancis@ameritfleet.com</v>
      </c>
      <c r="P525" t="str">
        <f>_xlfn.XLOOKUP(N:N,'Resource Table'!B:B,'Resource Table'!D:D,"n/a",0,1)</f>
        <v>Vended Repair</v>
      </c>
    </row>
    <row r="526" spans="1:16" x14ac:dyDescent="0.45">
      <c r="A526" t="s">
        <v>5443</v>
      </c>
      <c r="B526" t="s">
        <v>5524</v>
      </c>
      <c r="C526" t="s">
        <v>5525</v>
      </c>
      <c r="D526" t="s">
        <v>6066</v>
      </c>
      <c r="E526" t="s">
        <v>6461</v>
      </c>
      <c r="F526" t="s">
        <v>13460</v>
      </c>
      <c r="G526" t="s">
        <v>13481</v>
      </c>
      <c r="H526" t="s">
        <v>13511</v>
      </c>
      <c r="I526" t="s">
        <v>6479</v>
      </c>
      <c r="J526" t="s">
        <v>13463</v>
      </c>
      <c r="K526">
        <v>0</v>
      </c>
      <c r="L526" t="s">
        <v>20</v>
      </c>
      <c r="M526" t="s">
        <v>20</v>
      </c>
      <c r="N526" t="str">
        <f>_xlfn.XLOOKUP(C:C,'Resource Table'!A:A,'Resource Table'!B:B,"NOT FOUND",0,1)</f>
        <v>Hollie Francis</v>
      </c>
      <c r="O526" t="str">
        <f>_xlfn.XLOOKUP(N:N,'Resource Table'!B:B,'Resource Table'!C:C,"n/a",0,1)</f>
        <v>hfrancis@ameritfleet.com</v>
      </c>
      <c r="P526" t="str">
        <f>_xlfn.XLOOKUP(N:N,'Resource Table'!B:B,'Resource Table'!D:D,"n/a",0,1)</f>
        <v>Vended Repair</v>
      </c>
    </row>
    <row r="527" spans="1:16" x14ac:dyDescent="0.45">
      <c r="A527" t="s">
        <v>5443</v>
      </c>
      <c r="B527" t="s">
        <v>5524</v>
      </c>
      <c r="C527" t="s">
        <v>5525</v>
      </c>
      <c r="D527" t="s">
        <v>397</v>
      </c>
      <c r="E527" t="s">
        <v>6451</v>
      </c>
      <c r="F527" t="s">
        <v>13473</v>
      </c>
      <c r="G527" t="s">
        <v>13474</v>
      </c>
      <c r="H527" t="s">
        <v>13475</v>
      </c>
      <c r="I527" t="s">
        <v>29</v>
      </c>
      <c r="J527" t="s">
        <v>13463</v>
      </c>
      <c r="K527">
        <v>2</v>
      </c>
      <c r="L527" t="s">
        <v>13530</v>
      </c>
      <c r="M527" t="s">
        <v>13508</v>
      </c>
      <c r="N527" t="str">
        <f>_xlfn.XLOOKUP(C:C,'Resource Table'!A:A,'Resource Table'!B:B,"NOT FOUND",0,1)</f>
        <v>Hollie Francis</v>
      </c>
      <c r="O527" t="str">
        <f>_xlfn.XLOOKUP(N:N,'Resource Table'!B:B,'Resource Table'!C:C,"n/a",0,1)</f>
        <v>hfrancis@ameritfleet.com</v>
      </c>
      <c r="P527" t="str">
        <f>_xlfn.XLOOKUP(N:N,'Resource Table'!B:B,'Resource Table'!D:D,"n/a",0,1)</f>
        <v>Vended Repair</v>
      </c>
    </row>
    <row r="528" spans="1:16" x14ac:dyDescent="0.45">
      <c r="A528" t="s">
        <v>5443</v>
      </c>
      <c r="B528" t="s">
        <v>5524</v>
      </c>
      <c r="C528" t="s">
        <v>5525</v>
      </c>
      <c r="D528" t="s">
        <v>1200</v>
      </c>
      <c r="E528" t="s">
        <v>6461</v>
      </c>
      <c r="F528" t="s">
        <v>13460</v>
      </c>
      <c r="G528" t="s">
        <v>13461</v>
      </c>
      <c r="H528" t="s">
        <v>13467</v>
      </c>
      <c r="I528" t="s">
        <v>29</v>
      </c>
      <c r="J528" t="s">
        <v>13463</v>
      </c>
      <c r="K528">
        <v>1</v>
      </c>
      <c r="L528" t="s">
        <v>13497</v>
      </c>
      <c r="M528" t="s">
        <v>13513</v>
      </c>
      <c r="N528" t="str">
        <f>_xlfn.XLOOKUP(C:C,'Resource Table'!A:A,'Resource Table'!B:B,"NOT FOUND",0,1)</f>
        <v>Hollie Francis</v>
      </c>
      <c r="O528" t="str">
        <f>_xlfn.XLOOKUP(N:N,'Resource Table'!B:B,'Resource Table'!C:C,"n/a",0,1)</f>
        <v>hfrancis@ameritfleet.com</v>
      </c>
      <c r="P528" t="str">
        <f>_xlfn.XLOOKUP(N:N,'Resource Table'!B:B,'Resource Table'!D:D,"n/a",0,1)</f>
        <v>Vended Repair</v>
      </c>
    </row>
    <row r="529" spans="1:16" x14ac:dyDescent="0.45">
      <c r="A529" t="s">
        <v>5443</v>
      </c>
      <c r="B529" t="s">
        <v>5524</v>
      </c>
      <c r="C529" t="s">
        <v>5525</v>
      </c>
      <c r="D529" t="s">
        <v>5382</v>
      </c>
      <c r="E529" t="s">
        <v>6451</v>
      </c>
      <c r="F529" t="s">
        <v>13473</v>
      </c>
      <c r="G529" t="s">
        <v>13474</v>
      </c>
      <c r="H529" t="s">
        <v>13517</v>
      </c>
      <c r="I529" t="s">
        <v>6479</v>
      </c>
      <c r="J529" t="s">
        <v>13463</v>
      </c>
      <c r="K529">
        <v>0</v>
      </c>
      <c r="L529" t="s">
        <v>20</v>
      </c>
      <c r="M529" t="s">
        <v>20</v>
      </c>
      <c r="N529" t="str">
        <f>_xlfn.XLOOKUP(C:C,'Resource Table'!A:A,'Resource Table'!B:B,"NOT FOUND",0,1)</f>
        <v>Hollie Francis</v>
      </c>
      <c r="O529" t="str">
        <f>_xlfn.XLOOKUP(N:N,'Resource Table'!B:B,'Resource Table'!C:C,"n/a",0,1)</f>
        <v>hfrancis@ameritfleet.com</v>
      </c>
      <c r="P529" t="str">
        <f>_xlfn.XLOOKUP(N:N,'Resource Table'!B:B,'Resource Table'!D:D,"n/a",0,1)</f>
        <v>Vended Repair</v>
      </c>
    </row>
    <row r="530" spans="1:16" x14ac:dyDescent="0.45">
      <c r="A530" t="s">
        <v>5399</v>
      </c>
      <c r="B530" t="s">
        <v>5412</v>
      </c>
      <c r="C530" t="s">
        <v>5507</v>
      </c>
      <c r="D530" t="s">
        <v>372</v>
      </c>
      <c r="E530" t="s">
        <v>6461</v>
      </c>
      <c r="F530" t="s">
        <v>13460</v>
      </c>
      <c r="G530" t="s">
        <v>13461</v>
      </c>
      <c r="H530" t="s">
        <v>13471</v>
      </c>
      <c r="I530" t="s">
        <v>6479</v>
      </c>
      <c r="J530" t="s">
        <v>13486</v>
      </c>
      <c r="K530">
        <v>2</v>
      </c>
      <c r="L530" t="s">
        <v>13528</v>
      </c>
      <c r="M530" t="s">
        <v>13528</v>
      </c>
      <c r="N530" t="str">
        <f>_xlfn.XLOOKUP(C:C,'Resource Table'!A:A,'Resource Table'!B:B,"NOT FOUND",0,1)</f>
        <v>Ralph Mann</v>
      </c>
      <c r="O530" t="str">
        <f>_xlfn.XLOOKUP(N:N,'Resource Table'!B:B,'Resource Table'!C:C,"n/a",0,1)</f>
        <v>rmann@ameritfleet.com</v>
      </c>
      <c r="P530" t="str">
        <f>_xlfn.XLOOKUP(N:N,'Resource Table'!B:B,'Resource Table'!D:D,"n/a",0,1)</f>
        <v>Vended Repair</v>
      </c>
    </row>
    <row r="531" spans="1:16" x14ac:dyDescent="0.45">
      <c r="A531" t="s">
        <v>5399</v>
      </c>
      <c r="B531" t="s">
        <v>5412</v>
      </c>
      <c r="C531" t="s">
        <v>5507</v>
      </c>
      <c r="D531" t="s">
        <v>2538</v>
      </c>
      <c r="E531" t="s">
        <v>6451</v>
      </c>
      <c r="F531" t="s">
        <v>13460</v>
      </c>
      <c r="G531" t="s">
        <v>13461</v>
      </c>
      <c r="H531" t="s">
        <v>13555</v>
      </c>
      <c r="I531" t="s">
        <v>6479</v>
      </c>
      <c r="J531" t="s">
        <v>13463</v>
      </c>
      <c r="K531">
        <v>0</v>
      </c>
      <c r="L531" t="s">
        <v>20</v>
      </c>
      <c r="M531" t="s">
        <v>20</v>
      </c>
      <c r="N531" t="str">
        <f>_xlfn.XLOOKUP(C:C,'Resource Table'!A:A,'Resource Table'!B:B,"NOT FOUND",0,1)</f>
        <v>Ralph Mann</v>
      </c>
      <c r="O531" t="str">
        <f>_xlfn.XLOOKUP(N:N,'Resource Table'!B:B,'Resource Table'!C:C,"n/a",0,1)</f>
        <v>rmann@ameritfleet.com</v>
      </c>
      <c r="P531" t="str">
        <f>_xlfn.XLOOKUP(N:N,'Resource Table'!B:B,'Resource Table'!D:D,"n/a",0,1)</f>
        <v>Vended Repair</v>
      </c>
    </row>
    <row r="532" spans="1:16" x14ac:dyDescent="0.45">
      <c r="A532" t="s">
        <v>5399</v>
      </c>
      <c r="B532" t="s">
        <v>5412</v>
      </c>
      <c r="C532" t="s">
        <v>5507</v>
      </c>
      <c r="D532" t="s">
        <v>390</v>
      </c>
      <c r="E532" t="s">
        <v>6461</v>
      </c>
      <c r="F532" t="s">
        <v>13460</v>
      </c>
      <c r="G532" t="s">
        <v>13481</v>
      </c>
      <c r="H532" t="s">
        <v>13482</v>
      </c>
      <c r="I532" t="s">
        <v>6479</v>
      </c>
      <c r="J532" t="s">
        <v>13463</v>
      </c>
      <c r="K532">
        <v>1</v>
      </c>
      <c r="L532" t="s">
        <v>13528</v>
      </c>
      <c r="M532" t="s">
        <v>13528</v>
      </c>
      <c r="N532" t="str">
        <f>_xlfn.XLOOKUP(C:C,'Resource Table'!A:A,'Resource Table'!B:B,"NOT FOUND",0,1)</f>
        <v>Ralph Mann</v>
      </c>
      <c r="O532" t="str">
        <f>_xlfn.XLOOKUP(N:N,'Resource Table'!B:B,'Resource Table'!C:C,"n/a",0,1)</f>
        <v>rmann@ameritfleet.com</v>
      </c>
      <c r="P532" t="str">
        <f>_xlfn.XLOOKUP(N:N,'Resource Table'!B:B,'Resource Table'!D:D,"n/a",0,1)</f>
        <v>Vended Repair</v>
      </c>
    </row>
    <row r="533" spans="1:16" x14ac:dyDescent="0.45">
      <c r="A533" t="s">
        <v>5399</v>
      </c>
      <c r="B533" t="s">
        <v>5412</v>
      </c>
      <c r="C533" t="s">
        <v>5507</v>
      </c>
      <c r="D533" t="s">
        <v>585</v>
      </c>
      <c r="E533" t="s">
        <v>6461</v>
      </c>
      <c r="F533" t="s">
        <v>13460</v>
      </c>
      <c r="G533" t="s">
        <v>13461</v>
      </c>
      <c r="H533" t="s">
        <v>13471</v>
      </c>
      <c r="I533" t="s">
        <v>6479</v>
      </c>
      <c r="J533" t="s">
        <v>13463</v>
      </c>
      <c r="K533">
        <v>0</v>
      </c>
      <c r="L533" t="s">
        <v>20</v>
      </c>
      <c r="M533" t="s">
        <v>20</v>
      </c>
      <c r="N533" t="str">
        <f>_xlfn.XLOOKUP(C:C,'Resource Table'!A:A,'Resource Table'!B:B,"NOT FOUND",0,1)</f>
        <v>Ralph Mann</v>
      </c>
      <c r="O533" t="str">
        <f>_xlfn.XLOOKUP(N:N,'Resource Table'!B:B,'Resource Table'!C:C,"n/a",0,1)</f>
        <v>rmann@ameritfleet.com</v>
      </c>
      <c r="P533" t="str">
        <f>_xlfn.XLOOKUP(N:N,'Resource Table'!B:B,'Resource Table'!D:D,"n/a",0,1)</f>
        <v>Vended Repair</v>
      </c>
    </row>
    <row r="534" spans="1:16" x14ac:dyDescent="0.45">
      <c r="A534" t="s">
        <v>5399</v>
      </c>
      <c r="B534" t="s">
        <v>5412</v>
      </c>
      <c r="C534" t="s">
        <v>5507</v>
      </c>
      <c r="D534" t="s">
        <v>463</v>
      </c>
      <c r="E534" t="s">
        <v>6461</v>
      </c>
      <c r="F534" t="s">
        <v>13460</v>
      </c>
      <c r="G534" t="s">
        <v>13481</v>
      </c>
      <c r="H534" t="s">
        <v>13490</v>
      </c>
      <c r="I534" t="s">
        <v>6479</v>
      </c>
      <c r="J534" t="s">
        <v>13463</v>
      </c>
      <c r="K534">
        <v>1</v>
      </c>
      <c r="L534" t="s">
        <v>13528</v>
      </c>
      <c r="M534" t="s">
        <v>13528</v>
      </c>
      <c r="N534" t="str">
        <f>_xlfn.XLOOKUP(C:C,'Resource Table'!A:A,'Resource Table'!B:B,"NOT FOUND",0,1)</f>
        <v>Ralph Mann</v>
      </c>
      <c r="O534" t="str">
        <f>_xlfn.XLOOKUP(N:N,'Resource Table'!B:B,'Resource Table'!C:C,"n/a",0,1)</f>
        <v>rmann@ameritfleet.com</v>
      </c>
      <c r="P534" t="str">
        <f>_xlfn.XLOOKUP(N:N,'Resource Table'!B:B,'Resource Table'!D:D,"n/a",0,1)</f>
        <v>Vended Repair</v>
      </c>
    </row>
    <row r="535" spans="1:16" x14ac:dyDescent="0.45">
      <c r="A535" t="s">
        <v>5399</v>
      </c>
      <c r="B535" t="s">
        <v>5412</v>
      </c>
      <c r="C535" t="s">
        <v>5507</v>
      </c>
      <c r="D535" t="s">
        <v>1374</v>
      </c>
      <c r="E535" t="s">
        <v>6451</v>
      </c>
      <c r="F535" t="s">
        <v>13473</v>
      </c>
      <c r="G535" t="s">
        <v>13474</v>
      </c>
      <c r="H535" t="s">
        <v>13521</v>
      </c>
      <c r="I535" t="s">
        <v>6479</v>
      </c>
      <c r="J535" t="s">
        <v>13463</v>
      </c>
      <c r="K535">
        <v>1</v>
      </c>
      <c r="L535" t="s">
        <v>13528</v>
      </c>
      <c r="M535" t="s">
        <v>13528</v>
      </c>
      <c r="N535" t="str">
        <f>_xlfn.XLOOKUP(C:C,'Resource Table'!A:A,'Resource Table'!B:B,"NOT FOUND",0,1)</f>
        <v>Ralph Mann</v>
      </c>
      <c r="O535" t="str">
        <f>_xlfn.XLOOKUP(N:N,'Resource Table'!B:B,'Resource Table'!C:C,"n/a",0,1)</f>
        <v>rmann@ameritfleet.com</v>
      </c>
      <c r="P535" t="str">
        <f>_xlfn.XLOOKUP(N:N,'Resource Table'!B:B,'Resource Table'!D:D,"n/a",0,1)</f>
        <v>Vended Repair</v>
      </c>
    </row>
    <row r="536" spans="1:16" x14ac:dyDescent="0.45">
      <c r="A536" t="s">
        <v>5399</v>
      </c>
      <c r="B536" t="s">
        <v>5412</v>
      </c>
      <c r="C536" t="s">
        <v>5507</v>
      </c>
      <c r="D536" t="s">
        <v>2519</v>
      </c>
      <c r="E536" t="s">
        <v>6461</v>
      </c>
      <c r="F536" t="s">
        <v>13460</v>
      </c>
      <c r="G536" t="s">
        <v>13481</v>
      </c>
      <c r="H536" t="s">
        <v>13490</v>
      </c>
      <c r="I536" t="s">
        <v>6479</v>
      </c>
      <c r="J536" t="s">
        <v>13463</v>
      </c>
      <c r="K536">
        <v>0</v>
      </c>
      <c r="L536" t="s">
        <v>20</v>
      </c>
      <c r="M536" t="s">
        <v>20</v>
      </c>
      <c r="N536" t="str">
        <f>_xlfn.XLOOKUP(C:C,'Resource Table'!A:A,'Resource Table'!B:B,"NOT FOUND",0,1)</f>
        <v>Ralph Mann</v>
      </c>
      <c r="O536" t="str">
        <f>_xlfn.XLOOKUP(N:N,'Resource Table'!B:B,'Resource Table'!C:C,"n/a",0,1)</f>
        <v>rmann@ameritfleet.com</v>
      </c>
      <c r="P536" t="str">
        <f>_xlfn.XLOOKUP(N:N,'Resource Table'!B:B,'Resource Table'!D:D,"n/a",0,1)</f>
        <v>Vended Repair</v>
      </c>
    </row>
    <row r="537" spans="1:16" x14ac:dyDescent="0.45">
      <c r="A537" t="s">
        <v>5399</v>
      </c>
      <c r="B537" t="s">
        <v>5412</v>
      </c>
      <c r="C537" t="s">
        <v>5507</v>
      </c>
      <c r="D537" t="s">
        <v>2292</v>
      </c>
      <c r="E537" t="s">
        <v>6461</v>
      </c>
      <c r="F537" t="s">
        <v>13460</v>
      </c>
      <c r="G537" t="s">
        <v>13538</v>
      </c>
      <c r="H537" t="s">
        <v>13539</v>
      </c>
      <c r="I537" t="s">
        <v>6479</v>
      </c>
      <c r="J537" t="s">
        <v>13463</v>
      </c>
      <c r="K537">
        <v>1</v>
      </c>
      <c r="L537" t="s">
        <v>13528</v>
      </c>
      <c r="M537" t="s">
        <v>13528</v>
      </c>
      <c r="N537" t="str">
        <f>_xlfn.XLOOKUP(C:C,'Resource Table'!A:A,'Resource Table'!B:B,"NOT FOUND",0,1)</f>
        <v>Ralph Mann</v>
      </c>
      <c r="O537" t="str">
        <f>_xlfn.XLOOKUP(N:N,'Resource Table'!B:B,'Resource Table'!C:C,"n/a",0,1)</f>
        <v>rmann@ameritfleet.com</v>
      </c>
      <c r="P537" t="str">
        <f>_xlfn.XLOOKUP(N:N,'Resource Table'!B:B,'Resource Table'!D:D,"n/a",0,1)</f>
        <v>Vended Repair</v>
      </c>
    </row>
    <row r="538" spans="1:16" x14ac:dyDescent="0.45">
      <c r="A538" t="s">
        <v>5399</v>
      </c>
      <c r="B538" t="s">
        <v>5412</v>
      </c>
      <c r="C538" t="s">
        <v>5507</v>
      </c>
      <c r="D538" t="s">
        <v>1477</v>
      </c>
      <c r="E538" t="s">
        <v>6461</v>
      </c>
      <c r="F538" t="s">
        <v>13473</v>
      </c>
      <c r="G538" t="s">
        <v>13474</v>
      </c>
      <c r="H538" t="s">
        <v>13475</v>
      </c>
      <c r="I538" t="s">
        <v>6479</v>
      </c>
      <c r="J538" t="s">
        <v>13486</v>
      </c>
      <c r="K538">
        <v>2</v>
      </c>
      <c r="L538" t="s">
        <v>13528</v>
      </c>
      <c r="M538" t="s">
        <v>13528</v>
      </c>
      <c r="N538" t="str">
        <f>_xlfn.XLOOKUP(C:C,'Resource Table'!A:A,'Resource Table'!B:B,"NOT FOUND",0,1)</f>
        <v>Ralph Mann</v>
      </c>
      <c r="O538" t="str">
        <f>_xlfn.XLOOKUP(N:N,'Resource Table'!B:B,'Resource Table'!C:C,"n/a",0,1)</f>
        <v>rmann@ameritfleet.com</v>
      </c>
      <c r="P538" t="str">
        <f>_xlfn.XLOOKUP(N:N,'Resource Table'!B:B,'Resource Table'!D:D,"n/a",0,1)</f>
        <v>Vended Repair</v>
      </c>
    </row>
    <row r="539" spans="1:16" x14ac:dyDescent="0.45">
      <c r="A539" t="s">
        <v>5399</v>
      </c>
      <c r="B539" t="s">
        <v>5412</v>
      </c>
      <c r="C539" t="s">
        <v>5507</v>
      </c>
      <c r="D539" t="s">
        <v>1062</v>
      </c>
      <c r="E539" t="s">
        <v>6461</v>
      </c>
      <c r="F539" t="s">
        <v>13460</v>
      </c>
      <c r="G539" t="s">
        <v>13481</v>
      </c>
      <c r="H539" t="s">
        <v>13482</v>
      </c>
      <c r="I539" t="s">
        <v>6479</v>
      </c>
      <c r="J539" t="s">
        <v>13463</v>
      </c>
      <c r="K539">
        <v>0</v>
      </c>
      <c r="L539" t="s">
        <v>20</v>
      </c>
      <c r="M539" t="s">
        <v>20</v>
      </c>
      <c r="N539" t="str">
        <f>_xlfn.XLOOKUP(C:C,'Resource Table'!A:A,'Resource Table'!B:B,"NOT FOUND",0,1)</f>
        <v>Ralph Mann</v>
      </c>
      <c r="O539" t="str">
        <f>_xlfn.XLOOKUP(N:N,'Resource Table'!B:B,'Resource Table'!C:C,"n/a",0,1)</f>
        <v>rmann@ameritfleet.com</v>
      </c>
      <c r="P539" t="str">
        <f>_xlfn.XLOOKUP(N:N,'Resource Table'!B:B,'Resource Table'!D:D,"n/a",0,1)</f>
        <v>Vended Repair</v>
      </c>
    </row>
    <row r="540" spans="1:16" x14ac:dyDescent="0.45">
      <c r="A540" t="s">
        <v>5399</v>
      </c>
      <c r="B540" t="s">
        <v>5412</v>
      </c>
      <c r="C540" t="s">
        <v>5507</v>
      </c>
      <c r="D540" t="s">
        <v>374</v>
      </c>
      <c r="E540" t="s">
        <v>6461</v>
      </c>
      <c r="F540" t="s">
        <v>13460</v>
      </c>
      <c r="G540" t="s">
        <v>13481</v>
      </c>
      <c r="H540" t="s">
        <v>13482</v>
      </c>
      <c r="I540" t="s">
        <v>6479</v>
      </c>
      <c r="J540" t="s">
        <v>13463</v>
      </c>
      <c r="K540">
        <v>1</v>
      </c>
      <c r="L540" t="s">
        <v>13528</v>
      </c>
      <c r="M540" t="s">
        <v>13528</v>
      </c>
      <c r="N540" t="str">
        <f>_xlfn.XLOOKUP(C:C,'Resource Table'!A:A,'Resource Table'!B:B,"NOT FOUND",0,1)</f>
        <v>Ralph Mann</v>
      </c>
      <c r="O540" t="str">
        <f>_xlfn.XLOOKUP(N:N,'Resource Table'!B:B,'Resource Table'!C:C,"n/a",0,1)</f>
        <v>rmann@ameritfleet.com</v>
      </c>
      <c r="P540" t="str">
        <f>_xlfn.XLOOKUP(N:N,'Resource Table'!B:B,'Resource Table'!D:D,"n/a",0,1)</f>
        <v>Vended Repair</v>
      </c>
    </row>
    <row r="541" spans="1:16" x14ac:dyDescent="0.45">
      <c r="A541" t="s">
        <v>5399</v>
      </c>
      <c r="B541" t="s">
        <v>5412</v>
      </c>
      <c r="C541" t="s">
        <v>5507</v>
      </c>
      <c r="D541" t="s">
        <v>1144</v>
      </c>
      <c r="E541" t="s">
        <v>6451</v>
      </c>
      <c r="F541" t="s">
        <v>13473</v>
      </c>
      <c r="G541" t="s">
        <v>13474</v>
      </c>
      <c r="H541" t="s">
        <v>13475</v>
      </c>
      <c r="I541" t="s">
        <v>6479</v>
      </c>
      <c r="J541" t="s">
        <v>13463</v>
      </c>
      <c r="K541">
        <v>1</v>
      </c>
      <c r="L541" t="s">
        <v>13528</v>
      </c>
      <c r="M541" t="s">
        <v>13528</v>
      </c>
      <c r="N541" t="str">
        <f>_xlfn.XLOOKUP(C:C,'Resource Table'!A:A,'Resource Table'!B:B,"NOT FOUND",0,1)</f>
        <v>Ralph Mann</v>
      </c>
      <c r="O541" t="str">
        <f>_xlfn.XLOOKUP(N:N,'Resource Table'!B:B,'Resource Table'!C:C,"n/a",0,1)</f>
        <v>rmann@ameritfleet.com</v>
      </c>
      <c r="P541" t="str">
        <f>_xlfn.XLOOKUP(N:N,'Resource Table'!B:B,'Resource Table'!D:D,"n/a",0,1)</f>
        <v>Vended Repair</v>
      </c>
    </row>
    <row r="542" spans="1:16" x14ac:dyDescent="0.45">
      <c r="A542" t="s">
        <v>5399</v>
      </c>
      <c r="B542" t="s">
        <v>5412</v>
      </c>
      <c r="C542" t="s">
        <v>5507</v>
      </c>
      <c r="D542" t="s">
        <v>1722</v>
      </c>
      <c r="E542" t="s">
        <v>6461</v>
      </c>
      <c r="F542" t="s">
        <v>13460</v>
      </c>
      <c r="G542" t="s">
        <v>13461</v>
      </c>
      <c r="H542" t="s">
        <v>13467</v>
      </c>
      <c r="I542" t="s">
        <v>6479</v>
      </c>
      <c r="J542" t="s">
        <v>13463</v>
      </c>
      <c r="K542">
        <v>0</v>
      </c>
      <c r="L542" t="s">
        <v>20</v>
      </c>
      <c r="M542" t="s">
        <v>20</v>
      </c>
      <c r="N542" t="str">
        <f>_xlfn.XLOOKUP(C:C,'Resource Table'!A:A,'Resource Table'!B:B,"NOT FOUND",0,1)</f>
        <v>Ralph Mann</v>
      </c>
      <c r="O542" t="str">
        <f>_xlfn.XLOOKUP(N:N,'Resource Table'!B:B,'Resource Table'!C:C,"n/a",0,1)</f>
        <v>rmann@ameritfleet.com</v>
      </c>
      <c r="P542" t="str">
        <f>_xlfn.XLOOKUP(N:N,'Resource Table'!B:B,'Resource Table'!D:D,"n/a",0,1)</f>
        <v>Vended Repair</v>
      </c>
    </row>
    <row r="543" spans="1:16" x14ac:dyDescent="0.45">
      <c r="A543" t="s">
        <v>5399</v>
      </c>
      <c r="B543" t="s">
        <v>5412</v>
      </c>
      <c r="C543" t="s">
        <v>5507</v>
      </c>
      <c r="D543" t="s">
        <v>28</v>
      </c>
      <c r="E543" t="s">
        <v>6461</v>
      </c>
      <c r="F543" t="s">
        <v>13460</v>
      </c>
      <c r="G543" t="s">
        <v>13481</v>
      </c>
      <c r="H543" t="s">
        <v>13522</v>
      </c>
      <c r="I543" t="s">
        <v>6479</v>
      </c>
      <c r="J543" t="s">
        <v>13463</v>
      </c>
      <c r="K543">
        <v>1</v>
      </c>
      <c r="L543" t="s">
        <v>13528</v>
      </c>
      <c r="M543" t="s">
        <v>13528</v>
      </c>
      <c r="N543" t="str">
        <f>_xlfn.XLOOKUP(C:C,'Resource Table'!A:A,'Resource Table'!B:B,"NOT FOUND",0,1)</f>
        <v>Ralph Mann</v>
      </c>
      <c r="O543" t="str">
        <f>_xlfn.XLOOKUP(N:N,'Resource Table'!B:B,'Resource Table'!C:C,"n/a",0,1)</f>
        <v>rmann@ameritfleet.com</v>
      </c>
      <c r="P543" t="str">
        <f>_xlfn.XLOOKUP(N:N,'Resource Table'!B:B,'Resource Table'!D:D,"n/a",0,1)</f>
        <v>Vended Repair</v>
      </c>
    </row>
    <row r="544" spans="1:16" x14ac:dyDescent="0.45">
      <c r="A544" t="s">
        <v>5399</v>
      </c>
      <c r="B544" t="s">
        <v>5412</v>
      </c>
      <c r="C544" t="s">
        <v>5507</v>
      </c>
      <c r="D544" t="s">
        <v>1428</v>
      </c>
      <c r="E544" t="s">
        <v>6461</v>
      </c>
      <c r="F544" t="s">
        <v>13460</v>
      </c>
      <c r="G544" t="s">
        <v>13481</v>
      </c>
      <c r="H544" t="s">
        <v>13482</v>
      </c>
      <c r="I544" t="s">
        <v>6479</v>
      </c>
      <c r="J544" t="s">
        <v>13463</v>
      </c>
      <c r="K544">
        <v>1</v>
      </c>
      <c r="L544" t="s">
        <v>13528</v>
      </c>
      <c r="M544" t="s">
        <v>13528</v>
      </c>
      <c r="N544" t="str">
        <f>_xlfn.XLOOKUP(C:C,'Resource Table'!A:A,'Resource Table'!B:B,"NOT FOUND",0,1)</f>
        <v>Ralph Mann</v>
      </c>
      <c r="O544" t="str">
        <f>_xlfn.XLOOKUP(N:N,'Resource Table'!B:B,'Resource Table'!C:C,"n/a",0,1)</f>
        <v>rmann@ameritfleet.com</v>
      </c>
      <c r="P544" t="str">
        <f>_xlfn.XLOOKUP(N:N,'Resource Table'!B:B,'Resource Table'!D:D,"n/a",0,1)</f>
        <v>Vended Repair</v>
      </c>
    </row>
    <row r="545" spans="1:16" x14ac:dyDescent="0.45">
      <c r="A545" t="s">
        <v>5399</v>
      </c>
      <c r="B545" t="s">
        <v>5412</v>
      </c>
      <c r="C545" t="s">
        <v>5507</v>
      </c>
      <c r="D545" t="s">
        <v>2794</v>
      </c>
      <c r="E545" t="s">
        <v>6461</v>
      </c>
      <c r="F545" t="s">
        <v>13460</v>
      </c>
      <c r="G545" t="s">
        <v>13461</v>
      </c>
      <c r="H545" t="s">
        <v>13471</v>
      </c>
      <c r="I545" t="s">
        <v>6479</v>
      </c>
      <c r="J545" t="s">
        <v>13463</v>
      </c>
      <c r="K545">
        <v>0</v>
      </c>
      <c r="L545" t="s">
        <v>20</v>
      </c>
      <c r="M545" t="s">
        <v>20</v>
      </c>
      <c r="N545" t="str">
        <f>_xlfn.XLOOKUP(C:C,'Resource Table'!A:A,'Resource Table'!B:B,"NOT FOUND",0,1)</f>
        <v>Ralph Mann</v>
      </c>
      <c r="O545" t="str">
        <f>_xlfn.XLOOKUP(N:N,'Resource Table'!B:B,'Resource Table'!C:C,"n/a",0,1)</f>
        <v>rmann@ameritfleet.com</v>
      </c>
      <c r="P545" t="str">
        <f>_xlfn.XLOOKUP(N:N,'Resource Table'!B:B,'Resource Table'!D:D,"n/a",0,1)</f>
        <v>Vended Repair</v>
      </c>
    </row>
    <row r="546" spans="1:16" x14ac:dyDescent="0.45">
      <c r="A546" t="s">
        <v>5399</v>
      </c>
      <c r="B546" t="s">
        <v>5412</v>
      </c>
      <c r="C546" t="s">
        <v>5507</v>
      </c>
      <c r="D546" t="s">
        <v>255</v>
      </c>
      <c r="E546" t="s">
        <v>6451</v>
      </c>
      <c r="F546" t="s">
        <v>13473</v>
      </c>
      <c r="G546" t="s">
        <v>13474</v>
      </c>
      <c r="H546" t="s">
        <v>13521</v>
      </c>
      <c r="I546" t="s">
        <v>29</v>
      </c>
      <c r="J546" t="s">
        <v>13463</v>
      </c>
      <c r="K546">
        <v>2</v>
      </c>
      <c r="L546" t="s">
        <v>13479</v>
      </c>
      <c r="M546" t="s">
        <v>13508</v>
      </c>
      <c r="N546" t="str">
        <f>_xlfn.XLOOKUP(C:C,'Resource Table'!A:A,'Resource Table'!B:B,"NOT FOUND",0,1)</f>
        <v>Ralph Mann</v>
      </c>
      <c r="O546" t="str">
        <f>_xlfn.XLOOKUP(N:N,'Resource Table'!B:B,'Resource Table'!C:C,"n/a",0,1)</f>
        <v>rmann@ameritfleet.com</v>
      </c>
      <c r="P546" t="str">
        <f>_xlfn.XLOOKUP(N:N,'Resource Table'!B:B,'Resource Table'!D:D,"n/a",0,1)</f>
        <v>Vended Repair</v>
      </c>
    </row>
    <row r="547" spans="1:16" x14ac:dyDescent="0.45">
      <c r="A547" t="s">
        <v>5399</v>
      </c>
      <c r="B547" t="s">
        <v>5412</v>
      </c>
      <c r="C547" t="s">
        <v>5507</v>
      </c>
      <c r="D547" t="s">
        <v>204</v>
      </c>
      <c r="E547" t="s">
        <v>6461</v>
      </c>
      <c r="F547" t="s">
        <v>13460</v>
      </c>
      <c r="G547" t="s">
        <v>13461</v>
      </c>
      <c r="H547" t="s">
        <v>13471</v>
      </c>
      <c r="I547" t="s">
        <v>6479</v>
      </c>
      <c r="J547" t="s">
        <v>13486</v>
      </c>
      <c r="K547">
        <v>2</v>
      </c>
      <c r="L547" t="s">
        <v>13468</v>
      </c>
      <c r="M547" t="s">
        <v>20</v>
      </c>
      <c r="N547" t="str">
        <f>_xlfn.XLOOKUP(C:C,'Resource Table'!A:A,'Resource Table'!B:B,"NOT FOUND",0,1)</f>
        <v>Ralph Mann</v>
      </c>
      <c r="O547" t="str">
        <f>_xlfn.XLOOKUP(N:N,'Resource Table'!B:B,'Resource Table'!C:C,"n/a",0,1)</f>
        <v>rmann@ameritfleet.com</v>
      </c>
      <c r="P547" t="str">
        <f>_xlfn.XLOOKUP(N:N,'Resource Table'!B:B,'Resource Table'!D:D,"n/a",0,1)</f>
        <v>Vended Repair</v>
      </c>
    </row>
    <row r="548" spans="1:16" x14ac:dyDescent="0.45">
      <c r="A548" t="s">
        <v>5399</v>
      </c>
      <c r="B548" t="s">
        <v>5412</v>
      </c>
      <c r="C548" t="s">
        <v>5507</v>
      </c>
      <c r="D548" t="s">
        <v>1840</v>
      </c>
      <c r="E548" t="s">
        <v>6461</v>
      </c>
      <c r="F548" t="s">
        <v>13460</v>
      </c>
      <c r="G548" t="s">
        <v>13481</v>
      </c>
      <c r="H548" t="s">
        <v>13568</v>
      </c>
      <c r="I548" t="s">
        <v>6479</v>
      </c>
      <c r="J548" t="s">
        <v>13463</v>
      </c>
      <c r="K548">
        <v>0</v>
      </c>
      <c r="L548" t="s">
        <v>20</v>
      </c>
      <c r="M548" t="s">
        <v>20</v>
      </c>
      <c r="N548" t="str">
        <f>_xlfn.XLOOKUP(C:C,'Resource Table'!A:A,'Resource Table'!B:B,"NOT FOUND",0,1)</f>
        <v>Ralph Mann</v>
      </c>
      <c r="O548" t="str">
        <f>_xlfn.XLOOKUP(N:N,'Resource Table'!B:B,'Resource Table'!C:C,"n/a",0,1)</f>
        <v>rmann@ameritfleet.com</v>
      </c>
      <c r="P548" t="str">
        <f>_xlfn.XLOOKUP(N:N,'Resource Table'!B:B,'Resource Table'!D:D,"n/a",0,1)</f>
        <v>Vended Repair</v>
      </c>
    </row>
    <row r="549" spans="1:16" x14ac:dyDescent="0.45">
      <c r="A549" t="s">
        <v>5399</v>
      </c>
      <c r="B549" t="s">
        <v>5412</v>
      </c>
      <c r="C549" t="s">
        <v>5506</v>
      </c>
      <c r="D549" t="s">
        <v>3588</v>
      </c>
      <c r="E549" t="s">
        <v>6451</v>
      </c>
      <c r="F549" t="s">
        <v>13473</v>
      </c>
      <c r="G549" t="s">
        <v>13474</v>
      </c>
      <c r="H549" t="s">
        <v>13475</v>
      </c>
      <c r="I549" t="s">
        <v>6479</v>
      </c>
      <c r="J549" t="s">
        <v>13463</v>
      </c>
      <c r="K549">
        <v>1</v>
      </c>
      <c r="L549" t="s">
        <v>13497</v>
      </c>
      <c r="M549" t="s">
        <v>13508</v>
      </c>
      <c r="N549" t="str">
        <f>_xlfn.XLOOKUP(C:C,'Resource Table'!A:A,'Resource Table'!B:B,"NOT FOUND",0,1)</f>
        <v>Ralph Mann</v>
      </c>
      <c r="O549" t="str">
        <f>_xlfn.XLOOKUP(N:N,'Resource Table'!B:B,'Resource Table'!C:C,"n/a",0,1)</f>
        <v>rmann@ameritfleet.com</v>
      </c>
      <c r="P549" t="str">
        <f>_xlfn.XLOOKUP(N:N,'Resource Table'!B:B,'Resource Table'!D:D,"n/a",0,1)</f>
        <v>Vended Repair</v>
      </c>
    </row>
    <row r="550" spans="1:16" x14ac:dyDescent="0.45">
      <c r="A550" t="s">
        <v>5399</v>
      </c>
      <c r="B550" t="s">
        <v>5412</v>
      </c>
      <c r="C550" t="s">
        <v>5506</v>
      </c>
      <c r="D550" t="s">
        <v>888</v>
      </c>
      <c r="E550" t="s">
        <v>6451</v>
      </c>
      <c r="F550" t="s">
        <v>13460</v>
      </c>
      <c r="G550" t="s">
        <v>13476</v>
      </c>
      <c r="H550" t="s">
        <v>13478</v>
      </c>
      <c r="I550" t="s">
        <v>6479</v>
      </c>
      <c r="J550" t="s">
        <v>13463</v>
      </c>
      <c r="K550">
        <v>1</v>
      </c>
      <c r="L550" t="s">
        <v>13487</v>
      </c>
      <c r="M550" t="s">
        <v>13468</v>
      </c>
      <c r="N550" t="str">
        <f>_xlfn.XLOOKUP(C:C,'Resource Table'!A:A,'Resource Table'!B:B,"NOT FOUND",0,1)</f>
        <v>Ralph Mann</v>
      </c>
      <c r="O550" t="str">
        <f>_xlfn.XLOOKUP(N:N,'Resource Table'!B:B,'Resource Table'!C:C,"n/a",0,1)</f>
        <v>rmann@ameritfleet.com</v>
      </c>
      <c r="P550" t="str">
        <f>_xlfn.XLOOKUP(N:N,'Resource Table'!B:B,'Resource Table'!D:D,"n/a",0,1)</f>
        <v>Vended Repair</v>
      </c>
    </row>
    <row r="551" spans="1:16" x14ac:dyDescent="0.45">
      <c r="A551" t="s">
        <v>5399</v>
      </c>
      <c r="B551" t="s">
        <v>5412</v>
      </c>
      <c r="C551" t="s">
        <v>5506</v>
      </c>
      <c r="D551" t="s">
        <v>5914</v>
      </c>
      <c r="E551" t="s">
        <v>6462</v>
      </c>
      <c r="F551" t="s">
        <v>13460</v>
      </c>
      <c r="G551" t="s">
        <v>13481</v>
      </c>
      <c r="H551" t="s">
        <v>13490</v>
      </c>
      <c r="I551" t="s">
        <v>6479</v>
      </c>
      <c r="J551" t="s">
        <v>13463</v>
      </c>
      <c r="K551">
        <v>2</v>
      </c>
      <c r="L551" t="s">
        <v>13491</v>
      </c>
      <c r="M551" t="s">
        <v>13537</v>
      </c>
      <c r="N551" t="str">
        <f>_xlfn.XLOOKUP(C:C,'Resource Table'!A:A,'Resource Table'!B:B,"NOT FOUND",0,1)</f>
        <v>Ralph Mann</v>
      </c>
      <c r="O551" t="str">
        <f>_xlfn.XLOOKUP(N:N,'Resource Table'!B:B,'Resource Table'!C:C,"n/a",0,1)</f>
        <v>rmann@ameritfleet.com</v>
      </c>
      <c r="P551" t="str">
        <f>_xlfn.XLOOKUP(N:N,'Resource Table'!B:B,'Resource Table'!D:D,"n/a",0,1)</f>
        <v>Vended Repair</v>
      </c>
    </row>
    <row r="552" spans="1:16" x14ac:dyDescent="0.45">
      <c r="A552" t="s">
        <v>5399</v>
      </c>
      <c r="B552" t="s">
        <v>5412</v>
      </c>
      <c r="C552" t="s">
        <v>5506</v>
      </c>
      <c r="D552" t="s">
        <v>2215</v>
      </c>
      <c r="E552" t="s">
        <v>6451</v>
      </c>
      <c r="F552" t="s">
        <v>13460</v>
      </c>
      <c r="G552" t="s">
        <v>13476</v>
      </c>
      <c r="H552" t="s">
        <v>13477</v>
      </c>
      <c r="I552" t="s">
        <v>6479</v>
      </c>
      <c r="J552" t="s">
        <v>13463</v>
      </c>
      <c r="K552">
        <v>2</v>
      </c>
      <c r="L552" t="s">
        <v>13466</v>
      </c>
      <c r="M552" t="s">
        <v>13505</v>
      </c>
      <c r="N552" t="str">
        <f>_xlfn.XLOOKUP(C:C,'Resource Table'!A:A,'Resource Table'!B:B,"NOT FOUND",0,1)</f>
        <v>Ralph Mann</v>
      </c>
      <c r="O552" t="str">
        <f>_xlfn.XLOOKUP(N:N,'Resource Table'!B:B,'Resource Table'!C:C,"n/a",0,1)</f>
        <v>rmann@ameritfleet.com</v>
      </c>
      <c r="P552" t="str">
        <f>_xlfn.XLOOKUP(N:N,'Resource Table'!B:B,'Resource Table'!D:D,"n/a",0,1)</f>
        <v>Vended Repair</v>
      </c>
    </row>
    <row r="553" spans="1:16" x14ac:dyDescent="0.45">
      <c r="A553" t="s">
        <v>5399</v>
      </c>
      <c r="B553" t="s">
        <v>5412</v>
      </c>
      <c r="C553" t="s">
        <v>5506</v>
      </c>
      <c r="D553" t="s">
        <v>1242</v>
      </c>
      <c r="E553" t="s">
        <v>6451</v>
      </c>
      <c r="F553" t="s">
        <v>13473</v>
      </c>
      <c r="G553" t="s">
        <v>13474</v>
      </c>
      <c r="H553" t="s">
        <v>13517</v>
      </c>
      <c r="I553" t="s">
        <v>6479</v>
      </c>
      <c r="J553" t="s">
        <v>13463</v>
      </c>
      <c r="K553">
        <v>3</v>
      </c>
      <c r="L553" t="s">
        <v>13528</v>
      </c>
      <c r="M553" t="s">
        <v>13505</v>
      </c>
      <c r="N553" t="str">
        <f>_xlfn.XLOOKUP(C:C,'Resource Table'!A:A,'Resource Table'!B:B,"NOT FOUND",0,1)</f>
        <v>Ralph Mann</v>
      </c>
      <c r="O553" t="str">
        <f>_xlfn.XLOOKUP(N:N,'Resource Table'!B:B,'Resource Table'!C:C,"n/a",0,1)</f>
        <v>rmann@ameritfleet.com</v>
      </c>
      <c r="P553" t="str">
        <f>_xlfn.XLOOKUP(N:N,'Resource Table'!B:B,'Resource Table'!D:D,"n/a",0,1)</f>
        <v>Vended Repair</v>
      </c>
    </row>
    <row r="554" spans="1:16" x14ac:dyDescent="0.45">
      <c r="A554" t="s">
        <v>5399</v>
      </c>
      <c r="B554" t="s">
        <v>5412</v>
      </c>
      <c r="C554" t="s">
        <v>5506</v>
      </c>
      <c r="D554" t="s">
        <v>360</v>
      </c>
      <c r="E554" t="s">
        <v>6451</v>
      </c>
      <c r="F554" t="s">
        <v>13473</v>
      </c>
      <c r="G554" t="s">
        <v>13474</v>
      </c>
      <c r="H554" t="s">
        <v>13475</v>
      </c>
      <c r="I554" t="s">
        <v>6479</v>
      </c>
      <c r="J554" t="s">
        <v>13463</v>
      </c>
      <c r="K554">
        <v>4</v>
      </c>
      <c r="L554" t="s">
        <v>13507</v>
      </c>
      <c r="M554" t="s">
        <v>13505</v>
      </c>
      <c r="N554" t="str">
        <f>_xlfn.XLOOKUP(C:C,'Resource Table'!A:A,'Resource Table'!B:B,"NOT FOUND",0,1)</f>
        <v>Ralph Mann</v>
      </c>
      <c r="O554" t="str">
        <f>_xlfn.XLOOKUP(N:N,'Resource Table'!B:B,'Resource Table'!C:C,"n/a",0,1)</f>
        <v>rmann@ameritfleet.com</v>
      </c>
      <c r="P554" t="str">
        <f>_xlfn.XLOOKUP(N:N,'Resource Table'!B:B,'Resource Table'!D:D,"n/a",0,1)</f>
        <v>Vended Repair</v>
      </c>
    </row>
    <row r="555" spans="1:16" x14ac:dyDescent="0.45">
      <c r="A555" t="s">
        <v>5399</v>
      </c>
      <c r="B555" t="s">
        <v>5412</v>
      </c>
      <c r="C555" t="s">
        <v>5506</v>
      </c>
      <c r="D555" t="s">
        <v>2454</v>
      </c>
      <c r="E555" t="s">
        <v>6451</v>
      </c>
      <c r="F555" t="s">
        <v>13460</v>
      </c>
      <c r="G555" t="s">
        <v>13550</v>
      </c>
      <c r="H555" t="s">
        <v>13551</v>
      </c>
      <c r="I555" t="s">
        <v>6479</v>
      </c>
      <c r="J555" t="s">
        <v>13463</v>
      </c>
      <c r="K555">
        <v>1</v>
      </c>
      <c r="L555" t="s">
        <v>13528</v>
      </c>
      <c r="M555" t="s">
        <v>13528</v>
      </c>
      <c r="N555" t="str">
        <f>_xlfn.XLOOKUP(C:C,'Resource Table'!A:A,'Resource Table'!B:B,"NOT FOUND",0,1)</f>
        <v>Ralph Mann</v>
      </c>
      <c r="O555" t="str">
        <f>_xlfn.XLOOKUP(N:N,'Resource Table'!B:B,'Resource Table'!C:C,"n/a",0,1)</f>
        <v>rmann@ameritfleet.com</v>
      </c>
      <c r="P555" t="str">
        <f>_xlfn.XLOOKUP(N:N,'Resource Table'!B:B,'Resource Table'!D:D,"n/a",0,1)</f>
        <v>Vended Repair</v>
      </c>
    </row>
    <row r="556" spans="1:16" x14ac:dyDescent="0.45">
      <c r="A556" t="s">
        <v>5399</v>
      </c>
      <c r="B556" t="s">
        <v>5412</v>
      </c>
      <c r="C556" t="s">
        <v>5506</v>
      </c>
      <c r="D556" t="s">
        <v>1265</v>
      </c>
      <c r="E556" t="s">
        <v>6451</v>
      </c>
      <c r="F556" t="s">
        <v>13473</v>
      </c>
      <c r="G556" t="s">
        <v>13474</v>
      </c>
      <c r="H556" t="s">
        <v>13521</v>
      </c>
      <c r="I556" t="s">
        <v>6479</v>
      </c>
      <c r="J556" t="s">
        <v>13463</v>
      </c>
      <c r="K556">
        <v>2</v>
      </c>
      <c r="L556" t="s">
        <v>13528</v>
      </c>
      <c r="M556" t="s">
        <v>13468</v>
      </c>
      <c r="N556" t="str">
        <f>_xlfn.XLOOKUP(C:C,'Resource Table'!A:A,'Resource Table'!B:B,"NOT FOUND",0,1)</f>
        <v>Ralph Mann</v>
      </c>
      <c r="O556" t="str">
        <f>_xlfn.XLOOKUP(N:N,'Resource Table'!B:B,'Resource Table'!C:C,"n/a",0,1)</f>
        <v>rmann@ameritfleet.com</v>
      </c>
      <c r="P556" t="str">
        <f>_xlfn.XLOOKUP(N:N,'Resource Table'!B:B,'Resource Table'!D:D,"n/a",0,1)</f>
        <v>Vended Repair</v>
      </c>
    </row>
    <row r="557" spans="1:16" x14ac:dyDescent="0.45">
      <c r="A557" t="s">
        <v>5399</v>
      </c>
      <c r="B557" t="s">
        <v>5412</v>
      </c>
      <c r="C557" t="s">
        <v>5506</v>
      </c>
      <c r="D557" t="s">
        <v>1520</v>
      </c>
      <c r="E557" t="s">
        <v>6451</v>
      </c>
      <c r="F557" t="s">
        <v>13460</v>
      </c>
      <c r="G557" t="s">
        <v>13550</v>
      </c>
      <c r="H557" t="s">
        <v>13551</v>
      </c>
      <c r="I557" t="s">
        <v>6479</v>
      </c>
      <c r="J557" t="s">
        <v>13463</v>
      </c>
      <c r="K557">
        <v>5</v>
      </c>
      <c r="L557" t="s">
        <v>13489</v>
      </c>
      <c r="M557" t="s">
        <v>13505</v>
      </c>
      <c r="N557" t="str">
        <f>_xlfn.XLOOKUP(C:C,'Resource Table'!A:A,'Resource Table'!B:B,"NOT FOUND",0,1)</f>
        <v>Ralph Mann</v>
      </c>
      <c r="O557" t="str">
        <f>_xlfn.XLOOKUP(N:N,'Resource Table'!B:B,'Resource Table'!C:C,"n/a",0,1)</f>
        <v>rmann@ameritfleet.com</v>
      </c>
      <c r="P557" t="str">
        <f>_xlfn.XLOOKUP(N:N,'Resource Table'!B:B,'Resource Table'!D:D,"n/a",0,1)</f>
        <v>Vended Repair</v>
      </c>
    </row>
    <row r="558" spans="1:16" x14ac:dyDescent="0.45">
      <c r="A558" t="s">
        <v>5399</v>
      </c>
      <c r="B558" t="s">
        <v>5412</v>
      </c>
      <c r="C558" t="s">
        <v>5506</v>
      </c>
      <c r="D558" t="s">
        <v>2497</v>
      </c>
      <c r="E558" t="s">
        <v>6451</v>
      </c>
      <c r="F558" t="s">
        <v>13473</v>
      </c>
      <c r="G558" t="s">
        <v>13474</v>
      </c>
      <c r="H558" t="s">
        <v>13521</v>
      </c>
      <c r="I558" t="s">
        <v>29</v>
      </c>
      <c r="J558" t="s">
        <v>13463</v>
      </c>
      <c r="K558">
        <v>2</v>
      </c>
      <c r="L558" t="s">
        <v>13536</v>
      </c>
      <c r="M558" t="s">
        <v>13591</v>
      </c>
      <c r="N558" t="str">
        <f>_xlfn.XLOOKUP(C:C,'Resource Table'!A:A,'Resource Table'!B:B,"NOT FOUND",0,1)</f>
        <v>Ralph Mann</v>
      </c>
      <c r="O558" t="str">
        <f>_xlfn.XLOOKUP(N:N,'Resource Table'!B:B,'Resource Table'!C:C,"n/a",0,1)</f>
        <v>rmann@ameritfleet.com</v>
      </c>
      <c r="P558" t="str">
        <f>_xlfn.XLOOKUP(N:N,'Resource Table'!B:B,'Resource Table'!D:D,"n/a",0,1)</f>
        <v>Vended Repair</v>
      </c>
    </row>
    <row r="559" spans="1:16" x14ac:dyDescent="0.45">
      <c r="A559" t="s">
        <v>5399</v>
      </c>
      <c r="B559" t="s">
        <v>5412</v>
      </c>
      <c r="C559" t="s">
        <v>5506</v>
      </c>
      <c r="D559" t="s">
        <v>2257</v>
      </c>
      <c r="E559" t="s">
        <v>6451</v>
      </c>
      <c r="F559" t="s">
        <v>13473</v>
      </c>
      <c r="G559" t="s">
        <v>13474</v>
      </c>
      <c r="H559" t="s">
        <v>13475</v>
      </c>
      <c r="I559" t="s">
        <v>6479</v>
      </c>
      <c r="J559" t="s">
        <v>13463</v>
      </c>
      <c r="K559">
        <v>1</v>
      </c>
      <c r="L559" t="s">
        <v>13507</v>
      </c>
      <c r="M559" t="s">
        <v>13493</v>
      </c>
      <c r="N559" t="str">
        <f>_xlfn.XLOOKUP(C:C,'Resource Table'!A:A,'Resource Table'!B:B,"NOT FOUND",0,1)</f>
        <v>Ralph Mann</v>
      </c>
      <c r="O559" t="str">
        <f>_xlfn.XLOOKUP(N:N,'Resource Table'!B:B,'Resource Table'!C:C,"n/a",0,1)</f>
        <v>rmann@ameritfleet.com</v>
      </c>
      <c r="P559" t="str">
        <f>_xlfn.XLOOKUP(N:N,'Resource Table'!B:B,'Resource Table'!D:D,"n/a",0,1)</f>
        <v>Vended Repair</v>
      </c>
    </row>
    <row r="560" spans="1:16" x14ac:dyDescent="0.45">
      <c r="A560" t="s">
        <v>5399</v>
      </c>
      <c r="B560" t="s">
        <v>5412</v>
      </c>
      <c r="C560" t="s">
        <v>5463</v>
      </c>
      <c r="D560" t="s">
        <v>948</v>
      </c>
      <c r="E560" t="s">
        <v>6451</v>
      </c>
      <c r="F560" t="s">
        <v>13473</v>
      </c>
      <c r="G560" t="s">
        <v>13474</v>
      </c>
      <c r="H560" t="s">
        <v>13521</v>
      </c>
      <c r="I560" t="s">
        <v>6479</v>
      </c>
      <c r="J560" t="s">
        <v>13463</v>
      </c>
      <c r="K560">
        <v>2</v>
      </c>
      <c r="L560" t="s">
        <v>13540</v>
      </c>
      <c r="M560" t="s">
        <v>13505</v>
      </c>
      <c r="N560" t="str">
        <f>_xlfn.XLOOKUP(C:C,'Resource Table'!A:A,'Resource Table'!B:B,"NOT FOUND",0,1)</f>
        <v>Ralph Mann</v>
      </c>
      <c r="O560" t="str">
        <f>_xlfn.XLOOKUP(N:N,'Resource Table'!B:B,'Resource Table'!C:C,"n/a",0,1)</f>
        <v>rmann@ameritfleet.com</v>
      </c>
      <c r="P560" t="str">
        <f>_xlfn.XLOOKUP(N:N,'Resource Table'!B:B,'Resource Table'!D:D,"n/a",0,1)</f>
        <v>Vended Repair</v>
      </c>
    </row>
    <row r="561" spans="1:16" x14ac:dyDescent="0.45">
      <c r="A561" t="s">
        <v>5399</v>
      </c>
      <c r="B561" t="s">
        <v>5412</v>
      </c>
      <c r="C561" t="s">
        <v>5463</v>
      </c>
      <c r="D561" t="s">
        <v>56</v>
      </c>
      <c r="E561" t="s">
        <v>6451</v>
      </c>
      <c r="F561" t="s">
        <v>13473</v>
      </c>
      <c r="G561" t="s">
        <v>13474</v>
      </c>
      <c r="H561" t="s">
        <v>13521</v>
      </c>
      <c r="I561" t="s">
        <v>29</v>
      </c>
      <c r="J561" t="s">
        <v>13463</v>
      </c>
      <c r="K561">
        <v>2</v>
      </c>
      <c r="L561" t="s">
        <v>13540</v>
      </c>
      <c r="M561" t="s">
        <v>13513</v>
      </c>
      <c r="N561" t="str">
        <f>_xlfn.XLOOKUP(C:C,'Resource Table'!A:A,'Resource Table'!B:B,"NOT FOUND",0,1)</f>
        <v>Ralph Mann</v>
      </c>
      <c r="O561" t="str">
        <f>_xlfn.XLOOKUP(N:N,'Resource Table'!B:B,'Resource Table'!C:C,"n/a",0,1)</f>
        <v>rmann@ameritfleet.com</v>
      </c>
      <c r="P561" t="str">
        <f>_xlfn.XLOOKUP(N:N,'Resource Table'!B:B,'Resource Table'!D:D,"n/a",0,1)</f>
        <v>Vended Repair</v>
      </c>
    </row>
    <row r="562" spans="1:16" x14ac:dyDescent="0.45">
      <c r="A562" t="s">
        <v>5399</v>
      </c>
      <c r="B562" t="s">
        <v>5412</v>
      </c>
      <c r="C562" t="s">
        <v>5463</v>
      </c>
      <c r="D562" t="s">
        <v>1702</v>
      </c>
      <c r="E562" t="s">
        <v>6451</v>
      </c>
      <c r="F562" t="s">
        <v>13473</v>
      </c>
      <c r="G562" t="s">
        <v>13474</v>
      </c>
      <c r="H562" t="s">
        <v>13517</v>
      </c>
      <c r="I562" t="s">
        <v>6479</v>
      </c>
      <c r="J562" t="s">
        <v>13463</v>
      </c>
      <c r="K562">
        <v>2</v>
      </c>
      <c r="L562" t="s">
        <v>13540</v>
      </c>
      <c r="M562" t="s">
        <v>13505</v>
      </c>
      <c r="N562" t="str">
        <f>_xlfn.XLOOKUP(C:C,'Resource Table'!A:A,'Resource Table'!B:B,"NOT FOUND",0,1)</f>
        <v>Ralph Mann</v>
      </c>
      <c r="O562" t="str">
        <f>_xlfn.XLOOKUP(N:N,'Resource Table'!B:B,'Resource Table'!C:C,"n/a",0,1)</f>
        <v>rmann@ameritfleet.com</v>
      </c>
      <c r="P562" t="str">
        <f>_xlfn.XLOOKUP(N:N,'Resource Table'!B:B,'Resource Table'!D:D,"n/a",0,1)</f>
        <v>Vended Repair</v>
      </c>
    </row>
    <row r="563" spans="1:16" x14ac:dyDescent="0.45">
      <c r="A563" t="s">
        <v>5399</v>
      </c>
      <c r="B563" t="s">
        <v>5412</v>
      </c>
      <c r="C563" t="s">
        <v>5463</v>
      </c>
      <c r="D563" t="s">
        <v>1782</v>
      </c>
      <c r="E563" t="s">
        <v>6461</v>
      </c>
      <c r="F563" t="s">
        <v>13460</v>
      </c>
      <c r="G563" t="s">
        <v>13481</v>
      </c>
      <c r="H563" t="s">
        <v>13522</v>
      </c>
      <c r="I563" t="s">
        <v>6479</v>
      </c>
      <c r="J563" t="s">
        <v>13463</v>
      </c>
      <c r="K563">
        <v>2</v>
      </c>
      <c r="L563" t="s">
        <v>13540</v>
      </c>
      <c r="M563" t="s">
        <v>13505</v>
      </c>
      <c r="N563" t="str">
        <f>_xlfn.XLOOKUP(C:C,'Resource Table'!A:A,'Resource Table'!B:B,"NOT FOUND",0,1)</f>
        <v>Ralph Mann</v>
      </c>
      <c r="O563" t="str">
        <f>_xlfn.XLOOKUP(N:N,'Resource Table'!B:B,'Resource Table'!C:C,"n/a",0,1)</f>
        <v>rmann@ameritfleet.com</v>
      </c>
      <c r="P563" t="str">
        <f>_xlfn.XLOOKUP(N:N,'Resource Table'!B:B,'Resource Table'!D:D,"n/a",0,1)</f>
        <v>Vended Repair</v>
      </c>
    </row>
    <row r="564" spans="1:16" x14ac:dyDescent="0.45">
      <c r="A564" t="s">
        <v>5399</v>
      </c>
      <c r="B564" t="s">
        <v>5412</v>
      </c>
      <c r="C564" t="s">
        <v>5463</v>
      </c>
      <c r="D564" t="s">
        <v>1214</v>
      </c>
      <c r="E564" t="s">
        <v>6461</v>
      </c>
      <c r="F564" t="s">
        <v>13460</v>
      </c>
      <c r="G564" t="s">
        <v>13481</v>
      </c>
      <c r="H564" t="s">
        <v>13482</v>
      </c>
      <c r="I564" t="s">
        <v>6479</v>
      </c>
      <c r="J564" t="s">
        <v>13463</v>
      </c>
      <c r="K564">
        <v>4</v>
      </c>
      <c r="L564" t="s">
        <v>13540</v>
      </c>
      <c r="M564" t="s">
        <v>13508</v>
      </c>
      <c r="N564" t="str">
        <f>_xlfn.XLOOKUP(C:C,'Resource Table'!A:A,'Resource Table'!B:B,"NOT FOUND",0,1)</f>
        <v>Ralph Mann</v>
      </c>
      <c r="O564" t="str">
        <f>_xlfn.XLOOKUP(N:N,'Resource Table'!B:B,'Resource Table'!C:C,"n/a",0,1)</f>
        <v>rmann@ameritfleet.com</v>
      </c>
      <c r="P564" t="str">
        <f>_xlfn.XLOOKUP(N:N,'Resource Table'!B:B,'Resource Table'!D:D,"n/a",0,1)</f>
        <v>Vended Repair</v>
      </c>
    </row>
    <row r="565" spans="1:16" x14ac:dyDescent="0.45">
      <c r="A565" t="s">
        <v>5399</v>
      </c>
      <c r="B565" t="s">
        <v>5412</v>
      </c>
      <c r="C565" t="s">
        <v>5463</v>
      </c>
      <c r="D565" t="s">
        <v>441</v>
      </c>
      <c r="E565" t="s">
        <v>6461</v>
      </c>
      <c r="F565" t="s">
        <v>13460</v>
      </c>
      <c r="G565" t="s">
        <v>13481</v>
      </c>
      <c r="H565" t="s">
        <v>13490</v>
      </c>
      <c r="I565" t="s">
        <v>6479</v>
      </c>
      <c r="J565" t="s">
        <v>13463</v>
      </c>
      <c r="K565">
        <v>1</v>
      </c>
      <c r="L565" t="s">
        <v>13542</v>
      </c>
      <c r="M565" t="s">
        <v>13505</v>
      </c>
      <c r="N565" t="str">
        <f>_xlfn.XLOOKUP(C:C,'Resource Table'!A:A,'Resource Table'!B:B,"NOT FOUND",0,1)</f>
        <v>Ralph Mann</v>
      </c>
      <c r="O565" t="str">
        <f>_xlfn.XLOOKUP(N:N,'Resource Table'!B:B,'Resource Table'!C:C,"n/a",0,1)</f>
        <v>rmann@ameritfleet.com</v>
      </c>
      <c r="P565" t="str">
        <f>_xlfn.XLOOKUP(N:N,'Resource Table'!B:B,'Resource Table'!D:D,"n/a",0,1)</f>
        <v>Vended Repair</v>
      </c>
    </row>
    <row r="566" spans="1:16" x14ac:dyDescent="0.45">
      <c r="A566" t="s">
        <v>5399</v>
      </c>
      <c r="B566" t="s">
        <v>5412</v>
      </c>
      <c r="C566" t="s">
        <v>5463</v>
      </c>
      <c r="D566" t="s">
        <v>1291</v>
      </c>
      <c r="E566" t="s">
        <v>6461</v>
      </c>
      <c r="F566" t="s">
        <v>13460</v>
      </c>
      <c r="G566" t="s">
        <v>13481</v>
      </c>
      <c r="H566" t="s">
        <v>13568</v>
      </c>
      <c r="I566" t="s">
        <v>6479</v>
      </c>
      <c r="J566" t="s">
        <v>13463</v>
      </c>
      <c r="K566">
        <v>1</v>
      </c>
      <c r="L566" t="s">
        <v>13540</v>
      </c>
      <c r="M566" t="s">
        <v>13464</v>
      </c>
      <c r="N566" t="str">
        <f>_xlfn.XLOOKUP(C:C,'Resource Table'!A:A,'Resource Table'!B:B,"NOT FOUND",0,1)</f>
        <v>Ralph Mann</v>
      </c>
      <c r="O566" t="str">
        <f>_xlfn.XLOOKUP(N:N,'Resource Table'!B:B,'Resource Table'!C:C,"n/a",0,1)</f>
        <v>rmann@ameritfleet.com</v>
      </c>
      <c r="P566" t="str">
        <f>_xlfn.XLOOKUP(N:N,'Resource Table'!B:B,'Resource Table'!D:D,"n/a",0,1)</f>
        <v>Vended Repair</v>
      </c>
    </row>
    <row r="567" spans="1:16" x14ac:dyDescent="0.45">
      <c r="A567" t="s">
        <v>5399</v>
      </c>
      <c r="B567" t="s">
        <v>5412</v>
      </c>
      <c r="C567" t="s">
        <v>5463</v>
      </c>
      <c r="D567" t="s">
        <v>163</v>
      </c>
      <c r="E567" t="s">
        <v>6461</v>
      </c>
      <c r="F567" t="s">
        <v>13460</v>
      </c>
      <c r="G567" t="s">
        <v>13481</v>
      </c>
      <c r="H567" t="s">
        <v>13490</v>
      </c>
      <c r="I567" t="s">
        <v>6479</v>
      </c>
      <c r="J567" t="s">
        <v>13463</v>
      </c>
      <c r="K567">
        <v>3</v>
      </c>
      <c r="L567" t="s">
        <v>13528</v>
      </c>
      <c r="M567" t="s">
        <v>13480</v>
      </c>
      <c r="N567" t="str">
        <f>_xlfn.XLOOKUP(C:C,'Resource Table'!A:A,'Resource Table'!B:B,"NOT FOUND",0,1)</f>
        <v>Ralph Mann</v>
      </c>
      <c r="O567" t="str">
        <f>_xlfn.XLOOKUP(N:N,'Resource Table'!B:B,'Resource Table'!C:C,"n/a",0,1)</f>
        <v>rmann@ameritfleet.com</v>
      </c>
      <c r="P567" t="str">
        <f>_xlfn.XLOOKUP(N:N,'Resource Table'!B:B,'Resource Table'!D:D,"n/a",0,1)</f>
        <v>Vended Repair</v>
      </c>
    </row>
    <row r="568" spans="1:16" x14ac:dyDescent="0.45">
      <c r="A568" t="s">
        <v>5399</v>
      </c>
      <c r="B568" t="s">
        <v>5412</v>
      </c>
      <c r="C568" t="s">
        <v>5713</v>
      </c>
      <c r="D568" t="s">
        <v>278</v>
      </c>
      <c r="E568" t="s">
        <v>6451</v>
      </c>
      <c r="F568" t="s">
        <v>13473</v>
      </c>
      <c r="G568" t="s">
        <v>13474</v>
      </c>
      <c r="H568" t="s">
        <v>13475</v>
      </c>
      <c r="I568" t="s">
        <v>6479</v>
      </c>
      <c r="J568" t="s">
        <v>13463</v>
      </c>
      <c r="K568">
        <v>2</v>
      </c>
      <c r="L568" t="s">
        <v>13528</v>
      </c>
      <c r="M568" t="s">
        <v>13572</v>
      </c>
      <c r="N568" t="str">
        <f>_xlfn.XLOOKUP(C:C,'Resource Table'!A:A,'Resource Table'!B:B,"NOT FOUND",0,1)</f>
        <v>Ralph Mann</v>
      </c>
      <c r="O568" t="str">
        <f>_xlfn.XLOOKUP(N:N,'Resource Table'!B:B,'Resource Table'!C:C,"n/a",0,1)</f>
        <v>rmann@ameritfleet.com</v>
      </c>
      <c r="P568" t="str">
        <f>_xlfn.XLOOKUP(N:N,'Resource Table'!B:B,'Resource Table'!D:D,"n/a",0,1)</f>
        <v>Vended Repair</v>
      </c>
    </row>
    <row r="569" spans="1:16" x14ac:dyDescent="0.45">
      <c r="A569" t="s">
        <v>5399</v>
      </c>
      <c r="B569" t="s">
        <v>5412</v>
      </c>
      <c r="C569" t="s">
        <v>5713</v>
      </c>
      <c r="D569" t="s">
        <v>4085</v>
      </c>
      <c r="E569" t="s">
        <v>6461</v>
      </c>
      <c r="F569" t="s">
        <v>13460</v>
      </c>
      <c r="G569" t="s">
        <v>13481</v>
      </c>
      <c r="H569" t="s">
        <v>13490</v>
      </c>
      <c r="I569" t="s">
        <v>6479</v>
      </c>
      <c r="J569" t="s">
        <v>13463</v>
      </c>
      <c r="K569">
        <v>1</v>
      </c>
      <c r="L569" t="s">
        <v>13543</v>
      </c>
      <c r="M569" t="s">
        <v>13543</v>
      </c>
      <c r="N569" t="str">
        <f>_xlfn.XLOOKUP(C:C,'Resource Table'!A:A,'Resource Table'!B:B,"NOT FOUND",0,1)</f>
        <v>Ralph Mann</v>
      </c>
      <c r="O569" t="str">
        <f>_xlfn.XLOOKUP(N:N,'Resource Table'!B:B,'Resource Table'!C:C,"n/a",0,1)</f>
        <v>rmann@ameritfleet.com</v>
      </c>
      <c r="P569" t="str">
        <f>_xlfn.XLOOKUP(N:N,'Resource Table'!B:B,'Resource Table'!D:D,"n/a",0,1)</f>
        <v>Vended Repair</v>
      </c>
    </row>
    <row r="570" spans="1:16" x14ac:dyDescent="0.45">
      <c r="A570" t="s">
        <v>5399</v>
      </c>
      <c r="B570" t="s">
        <v>5412</v>
      </c>
      <c r="C570" t="s">
        <v>5713</v>
      </c>
      <c r="D570" t="s">
        <v>1448</v>
      </c>
      <c r="E570" t="s">
        <v>6451</v>
      </c>
      <c r="F570" t="s">
        <v>13473</v>
      </c>
      <c r="G570" t="s">
        <v>13474</v>
      </c>
      <c r="H570" t="s">
        <v>13521</v>
      </c>
      <c r="I570" t="s">
        <v>6479</v>
      </c>
      <c r="J570" t="s">
        <v>13463</v>
      </c>
      <c r="K570">
        <v>0</v>
      </c>
      <c r="L570" t="s">
        <v>20</v>
      </c>
      <c r="M570" t="s">
        <v>20</v>
      </c>
      <c r="N570" t="str">
        <f>_xlfn.XLOOKUP(C:C,'Resource Table'!A:A,'Resource Table'!B:B,"NOT FOUND",0,1)</f>
        <v>Ralph Mann</v>
      </c>
      <c r="O570" t="str">
        <f>_xlfn.XLOOKUP(N:N,'Resource Table'!B:B,'Resource Table'!C:C,"n/a",0,1)</f>
        <v>rmann@ameritfleet.com</v>
      </c>
      <c r="P570" t="str">
        <f>_xlfn.XLOOKUP(N:N,'Resource Table'!B:B,'Resource Table'!D:D,"n/a",0,1)</f>
        <v>Vended Repair</v>
      </c>
    </row>
    <row r="571" spans="1:16" x14ac:dyDescent="0.45">
      <c r="A571" t="s">
        <v>5399</v>
      </c>
      <c r="B571" t="s">
        <v>5412</v>
      </c>
      <c r="C571" t="s">
        <v>5713</v>
      </c>
      <c r="D571" t="s">
        <v>6285</v>
      </c>
      <c r="E571" t="s">
        <v>6451</v>
      </c>
      <c r="F571" t="s">
        <v>13460</v>
      </c>
      <c r="G571" t="s">
        <v>13461</v>
      </c>
      <c r="H571" t="s">
        <v>13465</v>
      </c>
      <c r="I571" t="s">
        <v>6479</v>
      </c>
      <c r="J571" t="s">
        <v>13463</v>
      </c>
      <c r="K571">
        <v>0</v>
      </c>
      <c r="L571" t="s">
        <v>20</v>
      </c>
      <c r="M571" t="s">
        <v>20</v>
      </c>
      <c r="N571" t="str">
        <f>_xlfn.XLOOKUP(C:C,'Resource Table'!A:A,'Resource Table'!B:B,"NOT FOUND",0,1)</f>
        <v>Ralph Mann</v>
      </c>
      <c r="O571" t="str">
        <f>_xlfn.XLOOKUP(N:N,'Resource Table'!B:B,'Resource Table'!C:C,"n/a",0,1)</f>
        <v>rmann@ameritfleet.com</v>
      </c>
      <c r="P571" t="str">
        <f>_xlfn.XLOOKUP(N:N,'Resource Table'!B:B,'Resource Table'!D:D,"n/a",0,1)</f>
        <v>Vended Repair</v>
      </c>
    </row>
    <row r="572" spans="1:16" x14ac:dyDescent="0.45">
      <c r="A572" t="s">
        <v>5399</v>
      </c>
      <c r="B572" t="s">
        <v>5412</v>
      </c>
      <c r="C572" t="s">
        <v>5713</v>
      </c>
      <c r="D572" t="s">
        <v>418</v>
      </c>
      <c r="E572" t="s">
        <v>6451</v>
      </c>
      <c r="F572" t="s">
        <v>13473</v>
      </c>
      <c r="G572" t="s">
        <v>13474</v>
      </c>
      <c r="H572" t="s">
        <v>13492</v>
      </c>
      <c r="I572" t="s">
        <v>29</v>
      </c>
      <c r="J572" t="s">
        <v>13463</v>
      </c>
      <c r="K572">
        <v>1</v>
      </c>
      <c r="L572" t="s">
        <v>13507</v>
      </c>
      <c r="M572" t="s">
        <v>13513</v>
      </c>
      <c r="N572" t="str">
        <f>_xlfn.XLOOKUP(C:C,'Resource Table'!A:A,'Resource Table'!B:B,"NOT FOUND",0,1)</f>
        <v>Ralph Mann</v>
      </c>
      <c r="O572" t="str">
        <f>_xlfn.XLOOKUP(N:N,'Resource Table'!B:B,'Resource Table'!C:C,"n/a",0,1)</f>
        <v>rmann@ameritfleet.com</v>
      </c>
      <c r="P572" t="str">
        <f>_xlfn.XLOOKUP(N:N,'Resource Table'!B:B,'Resource Table'!D:D,"n/a",0,1)</f>
        <v>Vended Repair</v>
      </c>
    </row>
    <row r="573" spans="1:16" x14ac:dyDescent="0.45">
      <c r="A573" t="s">
        <v>5399</v>
      </c>
      <c r="B573" t="s">
        <v>5412</v>
      </c>
      <c r="C573" t="s">
        <v>5713</v>
      </c>
      <c r="D573" t="s">
        <v>753</v>
      </c>
      <c r="E573" t="s">
        <v>6461</v>
      </c>
      <c r="F573" t="s">
        <v>13460</v>
      </c>
      <c r="G573" t="s">
        <v>13481</v>
      </c>
      <c r="H573" t="s">
        <v>13522</v>
      </c>
      <c r="I573" t="s">
        <v>6479</v>
      </c>
      <c r="J573" t="s">
        <v>13463</v>
      </c>
      <c r="K573">
        <v>1</v>
      </c>
      <c r="L573" t="s">
        <v>13528</v>
      </c>
      <c r="M573" t="s">
        <v>13528</v>
      </c>
      <c r="N573" t="str">
        <f>_xlfn.XLOOKUP(C:C,'Resource Table'!A:A,'Resource Table'!B:B,"NOT FOUND",0,1)</f>
        <v>Ralph Mann</v>
      </c>
      <c r="O573" t="str">
        <f>_xlfn.XLOOKUP(N:N,'Resource Table'!B:B,'Resource Table'!C:C,"n/a",0,1)</f>
        <v>rmann@ameritfleet.com</v>
      </c>
      <c r="P573" t="str">
        <f>_xlfn.XLOOKUP(N:N,'Resource Table'!B:B,'Resource Table'!D:D,"n/a",0,1)</f>
        <v>Vended Repair</v>
      </c>
    </row>
    <row r="574" spans="1:16" x14ac:dyDescent="0.45">
      <c r="A574" t="s">
        <v>5399</v>
      </c>
      <c r="B574" t="s">
        <v>5412</v>
      </c>
      <c r="C574" t="s">
        <v>5500</v>
      </c>
      <c r="D574" t="s">
        <v>2984</v>
      </c>
      <c r="E574" t="s">
        <v>6451</v>
      </c>
      <c r="F574" t="s">
        <v>13473</v>
      </c>
      <c r="G574" t="s">
        <v>13474</v>
      </c>
      <c r="H574" t="s">
        <v>13475</v>
      </c>
      <c r="I574" t="s">
        <v>6479</v>
      </c>
      <c r="J574" t="s">
        <v>13463</v>
      </c>
      <c r="K574">
        <v>2</v>
      </c>
      <c r="L574" t="s">
        <v>13534</v>
      </c>
      <c r="M574" t="s">
        <v>13505</v>
      </c>
      <c r="N574" t="str">
        <f>_xlfn.XLOOKUP(C:C,'Resource Table'!A:A,'Resource Table'!B:B,"NOT FOUND",0,1)</f>
        <v>Ralph Mann</v>
      </c>
      <c r="O574" t="str">
        <f>_xlfn.XLOOKUP(N:N,'Resource Table'!B:B,'Resource Table'!C:C,"n/a",0,1)</f>
        <v>rmann@ameritfleet.com</v>
      </c>
      <c r="P574" t="str">
        <f>_xlfn.XLOOKUP(N:N,'Resource Table'!B:B,'Resource Table'!D:D,"n/a",0,1)</f>
        <v>Vended Repair</v>
      </c>
    </row>
    <row r="575" spans="1:16" x14ac:dyDescent="0.45">
      <c r="A575" t="s">
        <v>5399</v>
      </c>
      <c r="B575" t="s">
        <v>5412</v>
      </c>
      <c r="C575" t="s">
        <v>5500</v>
      </c>
      <c r="D575" t="s">
        <v>1226</v>
      </c>
      <c r="E575" t="s">
        <v>6461</v>
      </c>
      <c r="F575" t="s">
        <v>13460</v>
      </c>
      <c r="G575" t="s">
        <v>13481</v>
      </c>
      <c r="H575" t="s">
        <v>13518</v>
      </c>
      <c r="I575" t="s">
        <v>6479</v>
      </c>
      <c r="J575" t="s">
        <v>13463</v>
      </c>
      <c r="K575">
        <v>1</v>
      </c>
      <c r="L575" t="s">
        <v>13497</v>
      </c>
      <c r="M575" t="s">
        <v>13540</v>
      </c>
      <c r="N575" t="str">
        <f>_xlfn.XLOOKUP(C:C,'Resource Table'!A:A,'Resource Table'!B:B,"NOT FOUND",0,1)</f>
        <v>Ralph Mann</v>
      </c>
      <c r="O575" t="str">
        <f>_xlfn.XLOOKUP(N:N,'Resource Table'!B:B,'Resource Table'!C:C,"n/a",0,1)</f>
        <v>rmann@ameritfleet.com</v>
      </c>
      <c r="P575" t="str">
        <f>_xlfn.XLOOKUP(N:N,'Resource Table'!B:B,'Resource Table'!D:D,"n/a",0,1)</f>
        <v>Vended Repair</v>
      </c>
    </row>
    <row r="576" spans="1:16" x14ac:dyDescent="0.45">
      <c r="A576" t="s">
        <v>5399</v>
      </c>
      <c r="B576" t="s">
        <v>5412</v>
      </c>
      <c r="C576" t="s">
        <v>5500</v>
      </c>
      <c r="D576" t="s">
        <v>1718</v>
      </c>
      <c r="E576" t="s">
        <v>6451</v>
      </c>
      <c r="F576" t="s">
        <v>13473</v>
      </c>
      <c r="G576" t="s">
        <v>13474</v>
      </c>
      <c r="H576" t="s">
        <v>13475</v>
      </c>
      <c r="I576" t="s">
        <v>29</v>
      </c>
      <c r="J576" t="s">
        <v>13463</v>
      </c>
      <c r="K576">
        <v>1</v>
      </c>
      <c r="L576" t="s">
        <v>13466</v>
      </c>
      <c r="M576" t="s">
        <v>13513</v>
      </c>
      <c r="N576" t="str">
        <f>_xlfn.XLOOKUP(C:C,'Resource Table'!A:A,'Resource Table'!B:B,"NOT FOUND",0,1)</f>
        <v>Ralph Mann</v>
      </c>
      <c r="O576" t="str">
        <f>_xlfn.XLOOKUP(N:N,'Resource Table'!B:B,'Resource Table'!C:C,"n/a",0,1)</f>
        <v>rmann@ameritfleet.com</v>
      </c>
      <c r="P576" t="str">
        <f>_xlfn.XLOOKUP(N:N,'Resource Table'!B:B,'Resource Table'!D:D,"n/a",0,1)</f>
        <v>Vended Repair</v>
      </c>
    </row>
    <row r="577" spans="1:16" x14ac:dyDescent="0.45">
      <c r="A577" t="s">
        <v>5399</v>
      </c>
      <c r="B577" t="s">
        <v>5412</v>
      </c>
      <c r="C577" t="s">
        <v>5500</v>
      </c>
      <c r="D577" t="s">
        <v>2947</v>
      </c>
      <c r="E577" t="s">
        <v>6461</v>
      </c>
      <c r="F577" t="s">
        <v>13460</v>
      </c>
      <c r="G577" t="s">
        <v>13481</v>
      </c>
      <c r="H577" t="s">
        <v>13518</v>
      </c>
      <c r="I577" t="s">
        <v>6479</v>
      </c>
      <c r="J577" t="s">
        <v>13463</v>
      </c>
      <c r="K577">
        <v>1</v>
      </c>
      <c r="L577" t="s">
        <v>13493</v>
      </c>
      <c r="M577" t="s">
        <v>13505</v>
      </c>
      <c r="N577" t="str">
        <f>_xlfn.XLOOKUP(C:C,'Resource Table'!A:A,'Resource Table'!B:B,"NOT FOUND",0,1)</f>
        <v>Ralph Mann</v>
      </c>
      <c r="O577" t="str">
        <f>_xlfn.XLOOKUP(N:N,'Resource Table'!B:B,'Resource Table'!C:C,"n/a",0,1)</f>
        <v>rmann@ameritfleet.com</v>
      </c>
      <c r="P577" t="str">
        <f>_xlfn.XLOOKUP(N:N,'Resource Table'!B:B,'Resource Table'!D:D,"n/a",0,1)</f>
        <v>Vended Repair</v>
      </c>
    </row>
    <row r="578" spans="1:16" x14ac:dyDescent="0.45">
      <c r="A578" t="s">
        <v>5399</v>
      </c>
      <c r="B578" t="s">
        <v>5412</v>
      </c>
      <c r="C578" t="s">
        <v>5500</v>
      </c>
      <c r="D578" t="s">
        <v>312</v>
      </c>
      <c r="E578" t="s">
        <v>6451</v>
      </c>
      <c r="F578" t="s">
        <v>13473</v>
      </c>
      <c r="G578" t="s">
        <v>13474</v>
      </c>
      <c r="H578" t="s">
        <v>13521</v>
      </c>
      <c r="I578" t="s">
        <v>6479</v>
      </c>
      <c r="J578" t="s">
        <v>13463</v>
      </c>
      <c r="K578">
        <v>0</v>
      </c>
      <c r="L578" t="s">
        <v>20</v>
      </c>
      <c r="M578" t="s">
        <v>20</v>
      </c>
      <c r="N578" t="str">
        <f>_xlfn.XLOOKUP(C:C,'Resource Table'!A:A,'Resource Table'!B:B,"NOT FOUND",0,1)</f>
        <v>Ralph Mann</v>
      </c>
      <c r="O578" t="str">
        <f>_xlfn.XLOOKUP(N:N,'Resource Table'!B:B,'Resource Table'!C:C,"n/a",0,1)</f>
        <v>rmann@ameritfleet.com</v>
      </c>
      <c r="P578" t="str">
        <f>_xlfn.XLOOKUP(N:N,'Resource Table'!B:B,'Resource Table'!D:D,"n/a",0,1)</f>
        <v>Vended Repair</v>
      </c>
    </row>
    <row r="579" spans="1:16" x14ac:dyDescent="0.45">
      <c r="A579" t="s">
        <v>5399</v>
      </c>
      <c r="B579" t="s">
        <v>5412</v>
      </c>
      <c r="C579" t="s">
        <v>5500</v>
      </c>
      <c r="D579" t="s">
        <v>1921</v>
      </c>
      <c r="E579" t="s">
        <v>6461</v>
      </c>
      <c r="F579" t="s">
        <v>13460</v>
      </c>
      <c r="G579" t="s">
        <v>13481</v>
      </c>
      <c r="H579" t="s">
        <v>13482</v>
      </c>
      <c r="I579" t="s">
        <v>6479</v>
      </c>
      <c r="J579" t="s">
        <v>13486</v>
      </c>
      <c r="K579">
        <v>3</v>
      </c>
      <c r="L579" t="s">
        <v>13528</v>
      </c>
      <c r="M579" t="s">
        <v>13505</v>
      </c>
      <c r="N579" t="str">
        <f>_xlfn.XLOOKUP(C:C,'Resource Table'!A:A,'Resource Table'!B:B,"NOT FOUND",0,1)</f>
        <v>Ralph Mann</v>
      </c>
      <c r="O579" t="str">
        <f>_xlfn.XLOOKUP(N:N,'Resource Table'!B:B,'Resource Table'!C:C,"n/a",0,1)</f>
        <v>rmann@ameritfleet.com</v>
      </c>
      <c r="P579" t="str">
        <f>_xlfn.XLOOKUP(N:N,'Resource Table'!B:B,'Resource Table'!D:D,"n/a",0,1)</f>
        <v>Vended Repair</v>
      </c>
    </row>
    <row r="580" spans="1:16" x14ac:dyDescent="0.45">
      <c r="A580" t="s">
        <v>5399</v>
      </c>
      <c r="B580" t="s">
        <v>5412</v>
      </c>
      <c r="C580" t="s">
        <v>5500</v>
      </c>
      <c r="D580" t="s">
        <v>714</v>
      </c>
      <c r="E580" t="s">
        <v>6461</v>
      </c>
      <c r="F580" t="s">
        <v>13460</v>
      </c>
      <c r="G580" t="s">
        <v>13481</v>
      </c>
      <c r="H580" t="s">
        <v>13490</v>
      </c>
      <c r="I580" t="s">
        <v>6479</v>
      </c>
      <c r="J580" t="s">
        <v>13486</v>
      </c>
      <c r="K580">
        <v>1</v>
      </c>
      <c r="L580" t="s">
        <v>13487</v>
      </c>
      <c r="M580" t="s">
        <v>20</v>
      </c>
      <c r="N580" t="str">
        <f>_xlfn.XLOOKUP(C:C,'Resource Table'!A:A,'Resource Table'!B:B,"NOT FOUND",0,1)</f>
        <v>Ralph Mann</v>
      </c>
      <c r="O580" t="str">
        <f>_xlfn.XLOOKUP(N:N,'Resource Table'!B:B,'Resource Table'!C:C,"n/a",0,1)</f>
        <v>rmann@ameritfleet.com</v>
      </c>
      <c r="P580" t="str">
        <f>_xlfn.XLOOKUP(N:N,'Resource Table'!B:B,'Resource Table'!D:D,"n/a",0,1)</f>
        <v>Vended Repair</v>
      </c>
    </row>
    <row r="581" spans="1:16" x14ac:dyDescent="0.45">
      <c r="A581" t="s">
        <v>5399</v>
      </c>
      <c r="B581" t="s">
        <v>5412</v>
      </c>
      <c r="C581" t="s">
        <v>5500</v>
      </c>
      <c r="D581" t="s">
        <v>817</v>
      </c>
      <c r="E581" t="s">
        <v>6461</v>
      </c>
      <c r="F581" t="s">
        <v>13460</v>
      </c>
      <c r="G581" t="s">
        <v>13481</v>
      </c>
      <c r="H581" t="s">
        <v>13485</v>
      </c>
      <c r="I581" t="s">
        <v>6479</v>
      </c>
      <c r="J581" t="s">
        <v>13486</v>
      </c>
      <c r="K581">
        <v>2</v>
      </c>
      <c r="L581" t="s">
        <v>13520</v>
      </c>
      <c r="M581" t="s">
        <v>13466</v>
      </c>
      <c r="N581" t="str">
        <f>_xlfn.XLOOKUP(C:C,'Resource Table'!A:A,'Resource Table'!B:B,"NOT FOUND",0,1)</f>
        <v>Ralph Mann</v>
      </c>
      <c r="O581" t="str">
        <f>_xlfn.XLOOKUP(N:N,'Resource Table'!B:B,'Resource Table'!C:C,"n/a",0,1)</f>
        <v>rmann@ameritfleet.com</v>
      </c>
      <c r="P581" t="str">
        <f>_xlfn.XLOOKUP(N:N,'Resource Table'!B:B,'Resource Table'!D:D,"n/a",0,1)</f>
        <v>Vended Repair</v>
      </c>
    </row>
    <row r="582" spans="1:16" x14ac:dyDescent="0.45">
      <c r="A582" t="s">
        <v>5399</v>
      </c>
      <c r="B582" t="s">
        <v>5412</v>
      </c>
      <c r="C582" t="s">
        <v>5500</v>
      </c>
      <c r="D582" t="s">
        <v>977</v>
      </c>
      <c r="E582" t="s">
        <v>6451</v>
      </c>
      <c r="F582" t="s">
        <v>13473</v>
      </c>
      <c r="G582" t="s">
        <v>13474</v>
      </c>
      <c r="H582" t="s">
        <v>13475</v>
      </c>
      <c r="I582" t="s">
        <v>29</v>
      </c>
      <c r="J582" t="s">
        <v>13463</v>
      </c>
      <c r="K582">
        <v>1</v>
      </c>
      <c r="L582" t="s">
        <v>13536</v>
      </c>
      <c r="M582" t="s">
        <v>13513</v>
      </c>
      <c r="N582" t="str">
        <f>_xlfn.XLOOKUP(C:C,'Resource Table'!A:A,'Resource Table'!B:B,"NOT FOUND",0,1)</f>
        <v>Ralph Mann</v>
      </c>
      <c r="O582" t="str">
        <f>_xlfn.XLOOKUP(N:N,'Resource Table'!B:B,'Resource Table'!C:C,"n/a",0,1)</f>
        <v>rmann@ameritfleet.com</v>
      </c>
      <c r="P582" t="str">
        <f>_xlfn.XLOOKUP(N:N,'Resource Table'!B:B,'Resource Table'!D:D,"n/a",0,1)</f>
        <v>Vended Repair</v>
      </c>
    </row>
    <row r="583" spans="1:16" x14ac:dyDescent="0.45">
      <c r="A583" t="s">
        <v>5399</v>
      </c>
      <c r="B583" t="s">
        <v>5412</v>
      </c>
      <c r="C583" t="s">
        <v>5500</v>
      </c>
      <c r="D583" t="s">
        <v>911</v>
      </c>
      <c r="E583" t="s">
        <v>6451</v>
      </c>
      <c r="F583" t="s">
        <v>13460</v>
      </c>
      <c r="G583" t="s">
        <v>13476</v>
      </c>
      <c r="H583" t="s">
        <v>13478</v>
      </c>
      <c r="I583" t="s">
        <v>6479</v>
      </c>
      <c r="J583" t="s">
        <v>13463</v>
      </c>
      <c r="K583">
        <v>2</v>
      </c>
      <c r="L583" t="s">
        <v>13472</v>
      </c>
      <c r="M583" t="s">
        <v>13505</v>
      </c>
      <c r="N583" t="str">
        <f>_xlfn.XLOOKUP(C:C,'Resource Table'!A:A,'Resource Table'!B:B,"NOT FOUND",0,1)</f>
        <v>Ralph Mann</v>
      </c>
      <c r="O583" t="str">
        <f>_xlfn.XLOOKUP(N:N,'Resource Table'!B:B,'Resource Table'!C:C,"n/a",0,1)</f>
        <v>rmann@ameritfleet.com</v>
      </c>
      <c r="P583" t="str">
        <f>_xlfn.XLOOKUP(N:N,'Resource Table'!B:B,'Resource Table'!D:D,"n/a",0,1)</f>
        <v>Vended Repair</v>
      </c>
    </row>
    <row r="584" spans="1:16" x14ac:dyDescent="0.45">
      <c r="A584" t="s">
        <v>5399</v>
      </c>
      <c r="B584" t="s">
        <v>5412</v>
      </c>
      <c r="C584" t="s">
        <v>5500</v>
      </c>
      <c r="D584" t="s">
        <v>567</v>
      </c>
      <c r="E584" t="s">
        <v>6451</v>
      </c>
      <c r="F584" t="s">
        <v>13473</v>
      </c>
      <c r="G584" t="s">
        <v>13474</v>
      </c>
      <c r="H584" t="s">
        <v>13475</v>
      </c>
      <c r="I584" t="s">
        <v>6479</v>
      </c>
      <c r="J584" t="s">
        <v>13463</v>
      </c>
      <c r="K584">
        <v>3</v>
      </c>
      <c r="L584" t="s">
        <v>13528</v>
      </c>
      <c r="M584" t="s">
        <v>13505</v>
      </c>
      <c r="N584" t="str">
        <f>_xlfn.XLOOKUP(C:C,'Resource Table'!A:A,'Resource Table'!B:B,"NOT FOUND",0,1)</f>
        <v>Ralph Mann</v>
      </c>
      <c r="O584" t="str">
        <f>_xlfn.XLOOKUP(N:N,'Resource Table'!B:B,'Resource Table'!C:C,"n/a",0,1)</f>
        <v>rmann@ameritfleet.com</v>
      </c>
      <c r="P584" t="str">
        <f>_xlfn.XLOOKUP(N:N,'Resource Table'!B:B,'Resource Table'!D:D,"n/a",0,1)</f>
        <v>Vended Repair</v>
      </c>
    </row>
    <row r="585" spans="1:16" x14ac:dyDescent="0.45">
      <c r="A585" t="s">
        <v>5399</v>
      </c>
      <c r="B585" t="s">
        <v>5412</v>
      </c>
      <c r="C585" t="s">
        <v>5500</v>
      </c>
      <c r="D585" t="s">
        <v>5917</v>
      </c>
      <c r="E585" t="s">
        <v>6461</v>
      </c>
      <c r="F585" t="s">
        <v>13460</v>
      </c>
      <c r="G585" t="s">
        <v>13481</v>
      </c>
      <c r="H585" t="s">
        <v>13490</v>
      </c>
      <c r="I585" t="s">
        <v>6479</v>
      </c>
      <c r="J585" t="s">
        <v>13486</v>
      </c>
      <c r="K585">
        <v>1</v>
      </c>
      <c r="L585" t="s">
        <v>13487</v>
      </c>
      <c r="M585" t="s">
        <v>20</v>
      </c>
      <c r="N585" t="str">
        <f>_xlfn.XLOOKUP(C:C,'Resource Table'!A:A,'Resource Table'!B:B,"NOT FOUND",0,1)</f>
        <v>Ralph Mann</v>
      </c>
      <c r="O585" t="str">
        <f>_xlfn.XLOOKUP(N:N,'Resource Table'!B:B,'Resource Table'!C:C,"n/a",0,1)</f>
        <v>rmann@ameritfleet.com</v>
      </c>
      <c r="P585" t="str">
        <f>_xlfn.XLOOKUP(N:N,'Resource Table'!B:B,'Resource Table'!D:D,"n/a",0,1)</f>
        <v>Vended Repair</v>
      </c>
    </row>
    <row r="586" spans="1:16" x14ac:dyDescent="0.45">
      <c r="A586" t="s">
        <v>5399</v>
      </c>
      <c r="B586" t="s">
        <v>5412</v>
      </c>
      <c r="C586" t="s">
        <v>5500</v>
      </c>
      <c r="D586" t="s">
        <v>420</v>
      </c>
      <c r="E586" t="s">
        <v>6461</v>
      </c>
      <c r="F586" t="s">
        <v>13460</v>
      </c>
      <c r="G586" t="s">
        <v>13481</v>
      </c>
      <c r="H586" t="s">
        <v>13522</v>
      </c>
      <c r="I586" t="s">
        <v>6479</v>
      </c>
      <c r="J586" t="s">
        <v>13486</v>
      </c>
      <c r="K586">
        <v>1</v>
      </c>
      <c r="L586" t="s">
        <v>13487</v>
      </c>
      <c r="M586" t="s">
        <v>20</v>
      </c>
      <c r="N586" t="str">
        <f>_xlfn.XLOOKUP(C:C,'Resource Table'!A:A,'Resource Table'!B:B,"NOT FOUND",0,1)</f>
        <v>Ralph Mann</v>
      </c>
      <c r="O586" t="str">
        <f>_xlfn.XLOOKUP(N:N,'Resource Table'!B:B,'Resource Table'!C:C,"n/a",0,1)</f>
        <v>rmann@ameritfleet.com</v>
      </c>
      <c r="P586" t="str">
        <f>_xlfn.XLOOKUP(N:N,'Resource Table'!B:B,'Resource Table'!D:D,"n/a",0,1)</f>
        <v>Vended Repair</v>
      </c>
    </row>
    <row r="587" spans="1:16" x14ac:dyDescent="0.45">
      <c r="A587" t="s">
        <v>5399</v>
      </c>
      <c r="B587" t="s">
        <v>5412</v>
      </c>
      <c r="C587" t="s">
        <v>5428</v>
      </c>
      <c r="D587" t="s">
        <v>5714</v>
      </c>
      <c r="E587" t="s">
        <v>6451</v>
      </c>
      <c r="F587" t="s">
        <v>13473</v>
      </c>
      <c r="G587" t="s">
        <v>13474</v>
      </c>
      <c r="H587" t="s">
        <v>13492</v>
      </c>
      <c r="I587" t="s">
        <v>6479</v>
      </c>
      <c r="J587" t="s">
        <v>13463</v>
      </c>
      <c r="K587">
        <v>0</v>
      </c>
      <c r="L587" t="s">
        <v>20</v>
      </c>
      <c r="M587" t="s">
        <v>20</v>
      </c>
      <c r="N587" t="str">
        <f>_xlfn.XLOOKUP(C:C,'Resource Table'!A:A,'Resource Table'!B:B,"NOT FOUND",0,1)</f>
        <v>Dedicated</v>
      </c>
      <c r="O587" t="str">
        <f>_xlfn.XLOOKUP(N:N,'Resource Table'!B:B,'Resource Table'!C:C,"n/a",0,1)</f>
        <v>AFS Dedicated Tech</v>
      </c>
      <c r="P587" t="str">
        <f>_xlfn.XLOOKUP(N:N,'Resource Table'!B:B,'Resource Table'!D:D,"n/a",0,1)</f>
        <v>Dedicated</v>
      </c>
    </row>
    <row r="588" spans="1:16" x14ac:dyDescent="0.45">
      <c r="A588" t="s">
        <v>5399</v>
      </c>
      <c r="B588" t="s">
        <v>5412</v>
      </c>
      <c r="C588" t="s">
        <v>5428</v>
      </c>
      <c r="D588" t="s">
        <v>6157</v>
      </c>
      <c r="E588" t="s">
        <v>6461</v>
      </c>
      <c r="F588" t="s">
        <v>13460</v>
      </c>
      <c r="G588" t="s">
        <v>13509</v>
      </c>
      <c r="H588" t="s">
        <v>13510</v>
      </c>
      <c r="I588" t="s">
        <v>6479</v>
      </c>
      <c r="J588" t="s">
        <v>13463</v>
      </c>
      <c r="K588">
        <v>0</v>
      </c>
      <c r="L588" t="s">
        <v>20</v>
      </c>
      <c r="M588" t="s">
        <v>20</v>
      </c>
      <c r="N588" t="str">
        <f>_xlfn.XLOOKUP(C:C,'Resource Table'!A:A,'Resource Table'!B:B,"NOT FOUND",0,1)</f>
        <v>Dedicated</v>
      </c>
      <c r="O588" t="str">
        <f>_xlfn.XLOOKUP(N:N,'Resource Table'!B:B,'Resource Table'!C:C,"n/a",0,1)</f>
        <v>AFS Dedicated Tech</v>
      </c>
      <c r="P588" t="str">
        <f>_xlfn.XLOOKUP(N:N,'Resource Table'!B:B,'Resource Table'!D:D,"n/a",0,1)</f>
        <v>Dedicated</v>
      </c>
    </row>
    <row r="589" spans="1:16" x14ac:dyDescent="0.45">
      <c r="A589" t="s">
        <v>5399</v>
      </c>
      <c r="B589" t="s">
        <v>5412</v>
      </c>
      <c r="C589" t="s">
        <v>5428</v>
      </c>
      <c r="D589" t="s">
        <v>6004</v>
      </c>
      <c r="E589" t="s">
        <v>6461</v>
      </c>
      <c r="F589" t="s">
        <v>13460</v>
      </c>
      <c r="G589" t="s">
        <v>13481</v>
      </c>
      <c r="H589" t="s">
        <v>13522</v>
      </c>
      <c r="I589" t="s">
        <v>6479</v>
      </c>
      <c r="J589" t="s">
        <v>13463</v>
      </c>
      <c r="K589">
        <v>2</v>
      </c>
      <c r="L589" t="s">
        <v>13483</v>
      </c>
      <c r="M589" t="s">
        <v>20</v>
      </c>
      <c r="N589" t="str">
        <f>_xlfn.XLOOKUP(C:C,'Resource Table'!A:A,'Resource Table'!B:B,"NOT FOUND",0,1)</f>
        <v>Dedicated</v>
      </c>
      <c r="O589" t="str">
        <f>_xlfn.XLOOKUP(N:N,'Resource Table'!B:B,'Resource Table'!C:C,"n/a",0,1)</f>
        <v>AFS Dedicated Tech</v>
      </c>
      <c r="P589" t="str">
        <f>_xlfn.XLOOKUP(N:N,'Resource Table'!B:B,'Resource Table'!D:D,"n/a",0,1)</f>
        <v>Dedicated</v>
      </c>
    </row>
    <row r="590" spans="1:16" x14ac:dyDescent="0.45">
      <c r="A590" t="s">
        <v>5399</v>
      </c>
      <c r="B590" t="s">
        <v>5412</v>
      </c>
      <c r="C590" t="s">
        <v>5428</v>
      </c>
      <c r="D590" t="s">
        <v>13081</v>
      </c>
      <c r="E590" t="s">
        <v>6461</v>
      </c>
      <c r="F590" t="s">
        <v>13460</v>
      </c>
      <c r="G590" t="s">
        <v>13481</v>
      </c>
      <c r="H590" t="s">
        <v>13518</v>
      </c>
      <c r="I590" t="s">
        <v>6479</v>
      </c>
      <c r="J590" t="s">
        <v>13463</v>
      </c>
      <c r="K590">
        <v>0</v>
      </c>
      <c r="L590" t="s">
        <v>20</v>
      </c>
      <c r="M590" t="s">
        <v>20</v>
      </c>
      <c r="N590" t="str">
        <f>_xlfn.XLOOKUP(C:C,'Resource Table'!A:A,'Resource Table'!B:B,"NOT FOUND",0,1)</f>
        <v>Dedicated</v>
      </c>
      <c r="O590" t="str">
        <f>_xlfn.XLOOKUP(N:N,'Resource Table'!B:B,'Resource Table'!C:C,"n/a",0,1)</f>
        <v>AFS Dedicated Tech</v>
      </c>
      <c r="P590" t="str">
        <f>_xlfn.XLOOKUP(N:N,'Resource Table'!B:B,'Resource Table'!D:D,"n/a",0,1)</f>
        <v>Dedicated</v>
      </c>
    </row>
    <row r="591" spans="1:16" x14ac:dyDescent="0.45">
      <c r="A591" t="s">
        <v>5399</v>
      </c>
      <c r="B591" t="s">
        <v>5412</v>
      </c>
      <c r="C591" t="s">
        <v>5428</v>
      </c>
      <c r="D591" t="s">
        <v>5944</v>
      </c>
      <c r="E591" t="s">
        <v>6461</v>
      </c>
      <c r="F591" t="s">
        <v>13460</v>
      </c>
      <c r="G591" t="s">
        <v>13481</v>
      </c>
      <c r="H591" t="s">
        <v>13482</v>
      </c>
      <c r="I591" t="s">
        <v>6479</v>
      </c>
      <c r="J591" t="s">
        <v>13463</v>
      </c>
      <c r="K591">
        <v>1</v>
      </c>
      <c r="L591" t="s">
        <v>13503</v>
      </c>
      <c r="M591" t="s">
        <v>20</v>
      </c>
      <c r="N591" t="str">
        <f>_xlfn.XLOOKUP(C:C,'Resource Table'!A:A,'Resource Table'!B:B,"NOT FOUND",0,1)</f>
        <v>Dedicated</v>
      </c>
      <c r="O591" t="str">
        <f>_xlfn.XLOOKUP(N:N,'Resource Table'!B:B,'Resource Table'!C:C,"n/a",0,1)</f>
        <v>AFS Dedicated Tech</v>
      </c>
      <c r="P591" t="str">
        <f>_xlfn.XLOOKUP(N:N,'Resource Table'!B:B,'Resource Table'!D:D,"n/a",0,1)</f>
        <v>Dedicated</v>
      </c>
    </row>
    <row r="592" spans="1:16" x14ac:dyDescent="0.45">
      <c r="A592" t="s">
        <v>5399</v>
      </c>
      <c r="B592" t="s">
        <v>5412</v>
      </c>
      <c r="C592" t="s">
        <v>5428</v>
      </c>
      <c r="D592" t="s">
        <v>6284</v>
      </c>
      <c r="E592" t="s">
        <v>6451</v>
      </c>
      <c r="F592" t="s">
        <v>13460</v>
      </c>
      <c r="G592" t="s">
        <v>13461</v>
      </c>
      <c r="H592" t="s">
        <v>13465</v>
      </c>
      <c r="I592" t="s">
        <v>6479</v>
      </c>
      <c r="J592" t="s">
        <v>13463</v>
      </c>
      <c r="K592">
        <v>0</v>
      </c>
      <c r="L592" t="s">
        <v>20</v>
      </c>
      <c r="M592" t="s">
        <v>20</v>
      </c>
      <c r="N592" t="str">
        <f>_xlfn.XLOOKUP(C:C,'Resource Table'!A:A,'Resource Table'!B:B,"NOT FOUND",0,1)</f>
        <v>Dedicated</v>
      </c>
      <c r="O592" t="str">
        <f>_xlfn.XLOOKUP(N:N,'Resource Table'!B:B,'Resource Table'!C:C,"n/a",0,1)</f>
        <v>AFS Dedicated Tech</v>
      </c>
      <c r="P592" t="str">
        <f>_xlfn.XLOOKUP(N:N,'Resource Table'!B:B,'Resource Table'!D:D,"n/a",0,1)</f>
        <v>Dedicated</v>
      </c>
    </row>
    <row r="593" spans="1:16" x14ac:dyDescent="0.45">
      <c r="A593" t="s">
        <v>5399</v>
      </c>
      <c r="B593" t="s">
        <v>5412</v>
      </c>
      <c r="C593" t="s">
        <v>5428</v>
      </c>
      <c r="D593" t="s">
        <v>5937</v>
      </c>
      <c r="E593" t="s">
        <v>6461</v>
      </c>
      <c r="F593" t="s">
        <v>13460</v>
      </c>
      <c r="G593" t="s">
        <v>13481</v>
      </c>
      <c r="H593" t="s">
        <v>13482</v>
      </c>
      <c r="I593" t="s">
        <v>6479</v>
      </c>
      <c r="J593" t="s">
        <v>13486</v>
      </c>
      <c r="K593">
        <v>3</v>
      </c>
      <c r="L593" t="s">
        <v>13529</v>
      </c>
      <c r="M593" t="s">
        <v>20</v>
      </c>
      <c r="N593" t="str">
        <f>_xlfn.XLOOKUP(C:C,'Resource Table'!A:A,'Resource Table'!B:B,"NOT FOUND",0,1)</f>
        <v>Dedicated</v>
      </c>
      <c r="O593" t="str">
        <f>_xlfn.XLOOKUP(N:N,'Resource Table'!B:B,'Resource Table'!C:C,"n/a",0,1)</f>
        <v>AFS Dedicated Tech</v>
      </c>
      <c r="P593" t="str">
        <f>_xlfn.XLOOKUP(N:N,'Resource Table'!B:B,'Resource Table'!D:D,"n/a",0,1)</f>
        <v>Dedicated</v>
      </c>
    </row>
    <row r="594" spans="1:16" x14ac:dyDescent="0.45">
      <c r="A594" t="s">
        <v>5399</v>
      </c>
      <c r="B594" t="s">
        <v>5412</v>
      </c>
      <c r="C594" t="s">
        <v>5428</v>
      </c>
      <c r="D594" t="s">
        <v>6149</v>
      </c>
      <c r="E594" t="s">
        <v>6461</v>
      </c>
      <c r="F594" t="s">
        <v>13460</v>
      </c>
      <c r="G594" t="s">
        <v>13509</v>
      </c>
      <c r="H594" t="s">
        <v>13510</v>
      </c>
      <c r="I594" t="s">
        <v>6479</v>
      </c>
      <c r="J594" t="s">
        <v>13463</v>
      </c>
      <c r="K594">
        <v>2</v>
      </c>
      <c r="L594" t="s">
        <v>13487</v>
      </c>
      <c r="M594" t="s">
        <v>20</v>
      </c>
      <c r="N594" t="str">
        <f>_xlfn.XLOOKUP(C:C,'Resource Table'!A:A,'Resource Table'!B:B,"NOT FOUND",0,1)</f>
        <v>Dedicated</v>
      </c>
      <c r="O594" t="str">
        <f>_xlfn.XLOOKUP(N:N,'Resource Table'!B:B,'Resource Table'!C:C,"n/a",0,1)</f>
        <v>AFS Dedicated Tech</v>
      </c>
      <c r="P594" t="str">
        <f>_xlfn.XLOOKUP(N:N,'Resource Table'!B:B,'Resource Table'!D:D,"n/a",0,1)</f>
        <v>Dedicated</v>
      </c>
    </row>
    <row r="595" spans="1:16" x14ac:dyDescent="0.45">
      <c r="A595" t="s">
        <v>5399</v>
      </c>
      <c r="B595" t="s">
        <v>5412</v>
      </c>
      <c r="C595" t="s">
        <v>5428</v>
      </c>
      <c r="D595" t="s">
        <v>5195</v>
      </c>
      <c r="E595" t="s">
        <v>6461</v>
      </c>
      <c r="F595" t="s">
        <v>13460</v>
      </c>
      <c r="G595" t="s">
        <v>13509</v>
      </c>
      <c r="H595" t="s">
        <v>13510</v>
      </c>
      <c r="I595" t="s">
        <v>29</v>
      </c>
      <c r="J595" t="s">
        <v>13463</v>
      </c>
      <c r="K595">
        <v>1</v>
      </c>
      <c r="L595" t="s">
        <v>13505</v>
      </c>
      <c r="M595" t="s">
        <v>20</v>
      </c>
      <c r="N595" t="str">
        <f>_xlfn.XLOOKUP(C:C,'Resource Table'!A:A,'Resource Table'!B:B,"NOT FOUND",0,1)</f>
        <v>Dedicated</v>
      </c>
      <c r="O595" t="str">
        <f>_xlfn.XLOOKUP(N:N,'Resource Table'!B:B,'Resource Table'!C:C,"n/a",0,1)</f>
        <v>AFS Dedicated Tech</v>
      </c>
      <c r="P595" t="str">
        <f>_xlfn.XLOOKUP(N:N,'Resource Table'!B:B,'Resource Table'!D:D,"n/a",0,1)</f>
        <v>Dedicated</v>
      </c>
    </row>
    <row r="596" spans="1:16" x14ac:dyDescent="0.45">
      <c r="A596" t="s">
        <v>5399</v>
      </c>
      <c r="B596" t="s">
        <v>5412</v>
      </c>
      <c r="C596" t="s">
        <v>5428</v>
      </c>
      <c r="D596" t="s">
        <v>5875</v>
      </c>
      <c r="E596" t="s">
        <v>6451</v>
      </c>
      <c r="F596" t="s">
        <v>13473</v>
      </c>
      <c r="G596" t="s">
        <v>13474</v>
      </c>
      <c r="H596" t="s">
        <v>13475</v>
      </c>
      <c r="I596" t="s">
        <v>6479</v>
      </c>
      <c r="J596" t="s">
        <v>13463</v>
      </c>
      <c r="K596">
        <v>8</v>
      </c>
      <c r="L596" t="s">
        <v>13552</v>
      </c>
      <c r="M596" t="s">
        <v>20</v>
      </c>
      <c r="N596" t="str">
        <f>_xlfn.XLOOKUP(C:C,'Resource Table'!A:A,'Resource Table'!B:B,"NOT FOUND",0,1)</f>
        <v>Dedicated</v>
      </c>
      <c r="O596" t="str">
        <f>_xlfn.XLOOKUP(N:N,'Resource Table'!B:B,'Resource Table'!C:C,"n/a",0,1)</f>
        <v>AFS Dedicated Tech</v>
      </c>
      <c r="P596" t="str">
        <f>_xlfn.XLOOKUP(N:N,'Resource Table'!B:B,'Resource Table'!D:D,"n/a",0,1)</f>
        <v>Dedicated</v>
      </c>
    </row>
    <row r="597" spans="1:16" x14ac:dyDescent="0.45">
      <c r="A597" t="s">
        <v>5399</v>
      </c>
      <c r="B597" t="s">
        <v>5412</v>
      </c>
      <c r="C597" t="s">
        <v>5428</v>
      </c>
      <c r="D597" t="s">
        <v>6140</v>
      </c>
      <c r="E597" t="s">
        <v>6461</v>
      </c>
      <c r="F597" t="s">
        <v>13460</v>
      </c>
      <c r="G597" t="s">
        <v>13481</v>
      </c>
      <c r="H597" t="s">
        <v>13568</v>
      </c>
      <c r="I597" t="s">
        <v>6479</v>
      </c>
      <c r="J597" t="s">
        <v>13463</v>
      </c>
      <c r="K597">
        <v>1</v>
      </c>
      <c r="L597" t="s">
        <v>13487</v>
      </c>
      <c r="M597" t="s">
        <v>20</v>
      </c>
      <c r="N597" t="str">
        <f>_xlfn.XLOOKUP(C:C,'Resource Table'!A:A,'Resource Table'!B:B,"NOT FOUND",0,1)</f>
        <v>Dedicated</v>
      </c>
      <c r="O597" t="str">
        <f>_xlfn.XLOOKUP(N:N,'Resource Table'!B:B,'Resource Table'!C:C,"n/a",0,1)</f>
        <v>AFS Dedicated Tech</v>
      </c>
      <c r="P597" t="str">
        <f>_xlfn.XLOOKUP(N:N,'Resource Table'!B:B,'Resource Table'!D:D,"n/a",0,1)</f>
        <v>Dedicated</v>
      </c>
    </row>
    <row r="598" spans="1:16" x14ac:dyDescent="0.45">
      <c r="A598" t="s">
        <v>5399</v>
      </c>
      <c r="B598" t="s">
        <v>5412</v>
      </c>
      <c r="C598" t="s">
        <v>5428</v>
      </c>
      <c r="D598" t="s">
        <v>6088</v>
      </c>
      <c r="E598" t="s">
        <v>6461</v>
      </c>
      <c r="F598" t="s">
        <v>13460</v>
      </c>
      <c r="G598" t="s">
        <v>13481</v>
      </c>
      <c r="H598" t="s">
        <v>13518</v>
      </c>
      <c r="I598" t="s">
        <v>6479</v>
      </c>
      <c r="J598" t="s">
        <v>13486</v>
      </c>
      <c r="K598">
        <v>1</v>
      </c>
      <c r="L598" t="s">
        <v>13520</v>
      </c>
      <c r="M598" t="s">
        <v>20</v>
      </c>
      <c r="N598" t="str">
        <f>_xlfn.XLOOKUP(C:C,'Resource Table'!A:A,'Resource Table'!B:B,"NOT FOUND",0,1)</f>
        <v>Dedicated</v>
      </c>
      <c r="O598" t="str">
        <f>_xlfn.XLOOKUP(N:N,'Resource Table'!B:B,'Resource Table'!C:C,"n/a",0,1)</f>
        <v>AFS Dedicated Tech</v>
      </c>
      <c r="P598" t="str">
        <f>_xlfn.XLOOKUP(N:N,'Resource Table'!B:B,'Resource Table'!D:D,"n/a",0,1)</f>
        <v>Dedicated</v>
      </c>
    </row>
    <row r="599" spans="1:16" x14ac:dyDescent="0.45">
      <c r="A599" t="s">
        <v>5399</v>
      </c>
      <c r="B599" t="s">
        <v>5412</v>
      </c>
      <c r="C599" t="s">
        <v>5428</v>
      </c>
      <c r="D599" t="s">
        <v>4492</v>
      </c>
      <c r="E599" t="s">
        <v>6451</v>
      </c>
      <c r="F599" t="s">
        <v>13473</v>
      </c>
      <c r="G599" t="s">
        <v>13474</v>
      </c>
      <c r="H599" t="s">
        <v>13475</v>
      </c>
      <c r="I599" t="s">
        <v>29</v>
      </c>
      <c r="J599" t="s">
        <v>13463</v>
      </c>
      <c r="K599">
        <v>2</v>
      </c>
      <c r="L599" t="s">
        <v>13532</v>
      </c>
      <c r="M599" t="s">
        <v>13556</v>
      </c>
      <c r="N599" t="str">
        <f>_xlfn.XLOOKUP(C:C,'Resource Table'!A:A,'Resource Table'!B:B,"NOT FOUND",0,1)</f>
        <v>Dedicated</v>
      </c>
      <c r="O599" t="str">
        <f>_xlfn.XLOOKUP(N:N,'Resource Table'!B:B,'Resource Table'!C:C,"n/a",0,1)</f>
        <v>AFS Dedicated Tech</v>
      </c>
      <c r="P599" t="str">
        <f>_xlfn.XLOOKUP(N:N,'Resource Table'!B:B,'Resource Table'!D:D,"n/a",0,1)</f>
        <v>Dedicated</v>
      </c>
    </row>
    <row r="600" spans="1:16" x14ac:dyDescent="0.45">
      <c r="A600" t="s">
        <v>5399</v>
      </c>
      <c r="B600" t="s">
        <v>5412</v>
      </c>
      <c r="C600" t="s">
        <v>5428</v>
      </c>
      <c r="D600" t="s">
        <v>5943</v>
      </c>
      <c r="E600" t="s">
        <v>6461</v>
      </c>
      <c r="F600" t="s">
        <v>13460</v>
      </c>
      <c r="G600" t="s">
        <v>13481</v>
      </c>
      <c r="H600" t="s">
        <v>13482</v>
      </c>
      <c r="I600" t="s">
        <v>6479</v>
      </c>
      <c r="J600" t="s">
        <v>13486</v>
      </c>
      <c r="K600">
        <v>4</v>
      </c>
      <c r="L600" t="s">
        <v>13520</v>
      </c>
      <c r="M600" t="s">
        <v>20</v>
      </c>
      <c r="N600" t="str">
        <f>_xlfn.XLOOKUP(C:C,'Resource Table'!A:A,'Resource Table'!B:B,"NOT FOUND",0,1)</f>
        <v>Dedicated</v>
      </c>
      <c r="O600" t="str">
        <f>_xlfn.XLOOKUP(N:N,'Resource Table'!B:B,'Resource Table'!C:C,"n/a",0,1)</f>
        <v>AFS Dedicated Tech</v>
      </c>
      <c r="P600" t="str">
        <f>_xlfn.XLOOKUP(N:N,'Resource Table'!B:B,'Resource Table'!D:D,"n/a",0,1)</f>
        <v>Dedicated</v>
      </c>
    </row>
    <row r="601" spans="1:16" x14ac:dyDescent="0.45">
      <c r="A601" t="s">
        <v>5399</v>
      </c>
      <c r="B601" t="s">
        <v>5412</v>
      </c>
      <c r="C601" t="s">
        <v>5428</v>
      </c>
      <c r="D601" t="s">
        <v>6151</v>
      </c>
      <c r="E601" t="s">
        <v>6461</v>
      </c>
      <c r="F601" t="s">
        <v>13460</v>
      </c>
      <c r="G601" t="s">
        <v>13509</v>
      </c>
      <c r="H601" t="s">
        <v>13510</v>
      </c>
      <c r="I601" t="s">
        <v>6479</v>
      </c>
      <c r="J601" t="s">
        <v>13463</v>
      </c>
      <c r="K601">
        <v>1</v>
      </c>
      <c r="L601" t="s">
        <v>13466</v>
      </c>
      <c r="M601" t="s">
        <v>20</v>
      </c>
      <c r="N601" t="str">
        <f>_xlfn.XLOOKUP(C:C,'Resource Table'!A:A,'Resource Table'!B:B,"NOT FOUND",0,1)</f>
        <v>Dedicated</v>
      </c>
      <c r="O601" t="str">
        <f>_xlfn.XLOOKUP(N:N,'Resource Table'!B:B,'Resource Table'!C:C,"n/a",0,1)</f>
        <v>AFS Dedicated Tech</v>
      </c>
      <c r="P601" t="str">
        <f>_xlfn.XLOOKUP(N:N,'Resource Table'!B:B,'Resource Table'!D:D,"n/a",0,1)</f>
        <v>Dedicated</v>
      </c>
    </row>
    <row r="602" spans="1:16" x14ac:dyDescent="0.45">
      <c r="A602" t="s">
        <v>5399</v>
      </c>
      <c r="B602" t="s">
        <v>5412</v>
      </c>
      <c r="C602" t="s">
        <v>5428</v>
      </c>
      <c r="D602" t="s">
        <v>5929</v>
      </c>
      <c r="E602" t="s">
        <v>6461</v>
      </c>
      <c r="F602" t="s">
        <v>13460</v>
      </c>
      <c r="G602" t="s">
        <v>13481</v>
      </c>
      <c r="H602" t="s">
        <v>13482</v>
      </c>
      <c r="I602" t="s">
        <v>29</v>
      </c>
      <c r="J602" t="s">
        <v>13486</v>
      </c>
      <c r="K602">
        <v>2</v>
      </c>
      <c r="L602" t="s">
        <v>13520</v>
      </c>
      <c r="M602" t="s">
        <v>20</v>
      </c>
      <c r="N602" t="str">
        <f>_xlfn.XLOOKUP(C:C,'Resource Table'!A:A,'Resource Table'!B:B,"NOT FOUND",0,1)</f>
        <v>Dedicated</v>
      </c>
      <c r="O602" t="str">
        <f>_xlfn.XLOOKUP(N:N,'Resource Table'!B:B,'Resource Table'!C:C,"n/a",0,1)</f>
        <v>AFS Dedicated Tech</v>
      </c>
      <c r="P602" t="str">
        <f>_xlfn.XLOOKUP(N:N,'Resource Table'!B:B,'Resource Table'!D:D,"n/a",0,1)</f>
        <v>Dedicated</v>
      </c>
    </row>
    <row r="603" spans="1:16" x14ac:dyDescent="0.45">
      <c r="A603" t="s">
        <v>5399</v>
      </c>
      <c r="B603" t="s">
        <v>5412</v>
      </c>
      <c r="C603" t="s">
        <v>5428</v>
      </c>
      <c r="D603" t="s">
        <v>5874</v>
      </c>
      <c r="E603" t="s">
        <v>6451</v>
      </c>
      <c r="F603" t="s">
        <v>13473</v>
      </c>
      <c r="G603" t="s">
        <v>13474</v>
      </c>
      <c r="H603" t="s">
        <v>13475</v>
      </c>
      <c r="I603" t="s">
        <v>6479</v>
      </c>
      <c r="J603" t="s">
        <v>13463</v>
      </c>
      <c r="K603">
        <v>0</v>
      </c>
      <c r="L603" t="s">
        <v>20</v>
      </c>
      <c r="M603" t="s">
        <v>20</v>
      </c>
      <c r="N603" t="str">
        <f>_xlfn.XLOOKUP(C:C,'Resource Table'!A:A,'Resource Table'!B:B,"NOT FOUND",0,1)</f>
        <v>Dedicated</v>
      </c>
      <c r="O603" t="str">
        <f>_xlfn.XLOOKUP(N:N,'Resource Table'!B:B,'Resource Table'!C:C,"n/a",0,1)</f>
        <v>AFS Dedicated Tech</v>
      </c>
      <c r="P603" t="str">
        <f>_xlfn.XLOOKUP(N:N,'Resource Table'!B:B,'Resource Table'!D:D,"n/a",0,1)</f>
        <v>Dedicated</v>
      </c>
    </row>
    <row r="604" spans="1:16" x14ac:dyDescent="0.45">
      <c r="A604" t="s">
        <v>5399</v>
      </c>
      <c r="B604" t="s">
        <v>5412</v>
      </c>
      <c r="C604" t="s">
        <v>5428</v>
      </c>
      <c r="D604" t="s">
        <v>5939</v>
      </c>
      <c r="E604" t="s">
        <v>6461</v>
      </c>
      <c r="F604" t="s">
        <v>13460</v>
      </c>
      <c r="G604" t="s">
        <v>13481</v>
      </c>
      <c r="H604" t="s">
        <v>13482</v>
      </c>
      <c r="I604" t="s">
        <v>6479</v>
      </c>
      <c r="J604" t="s">
        <v>13486</v>
      </c>
      <c r="K604">
        <v>3</v>
      </c>
      <c r="L604" t="s">
        <v>13464</v>
      </c>
      <c r="M604" t="s">
        <v>20</v>
      </c>
      <c r="N604" t="str">
        <f>_xlfn.XLOOKUP(C:C,'Resource Table'!A:A,'Resource Table'!B:B,"NOT FOUND",0,1)</f>
        <v>Dedicated</v>
      </c>
      <c r="O604" t="str">
        <f>_xlfn.XLOOKUP(N:N,'Resource Table'!B:B,'Resource Table'!C:C,"n/a",0,1)</f>
        <v>AFS Dedicated Tech</v>
      </c>
      <c r="P604" t="str">
        <f>_xlfn.XLOOKUP(N:N,'Resource Table'!B:B,'Resource Table'!D:D,"n/a",0,1)</f>
        <v>Dedicated</v>
      </c>
    </row>
    <row r="605" spans="1:16" x14ac:dyDescent="0.45">
      <c r="A605" t="s">
        <v>5399</v>
      </c>
      <c r="B605" t="s">
        <v>5412</v>
      </c>
      <c r="C605" t="s">
        <v>5428</v>
      </c>
      <c r="D605" t="s">
        <v>13082</v>
      </c>
      <c r="E605" t="s">
        <v>6451</v>
      </c>
      <c r="F605" t="s">
        <v>13460</v>
      </c>
      <c r="G605" t="s">
        <v>13476</v>
      </c>
      <c r="H605" t="s">
        <v>13478</v>
      </c>
      <c r="I605" t="s">
        <v>6479</v>
      </c>
      <c r="J605" t="s">
        <v>13463</v>
      </c>
      <c r="K605">
        <v>0</v>
      </c>
      <c r="L605" t="s">
        <v>20</v>
      </c>
      <c r="M605" t="s">
        <v>20</v>
      </c>
      <c r="N605" t="str">
        <f>_xlfn.XLOOKUP(C:C,'Resource Table'!A:A,'Resource Table'!B:B,"NOT FOUND",0,1)</f>
        <v>Dedicated</v>
      </c>
      <c r="O605" t="str">
        <f>_xlfn.XLOOKUP(N:N,'Resource Table'!B:B,'Resource Table'!C:C,"n/a",0,1)</f>
        <v>AFS Dedicated Tech</v>
      </c>
      <c r="P605" t="str">
        <f>_xlfn.XLOOKUP(N:N,'Resource Table'!B:B,'Resource Table'!D:D,"n/a",0,1)</f>
        <v>Dedicated</v>
      </c>
    </row>
    <row r="606" spans="1:16" x14ac:dyDescent="0.45">
      <c r="A606" t="s">
        <v>5399</v>
      </c>
      <c r="B606" t="s">
        <v>5412</v>
      </c>
      <c r="C606" t="s">
        <v>5428</v>
      </c>
      <c r="D606" t="s">
        <v>5777</v>
      </c>
      <c r="E606" t="s">
        <v>6451</v>
      </c>
      <c r="F606" t="s">
        <v>13473</v>
      </c>
      <c r="G606" t="s">
        <v>13474</v>
      </c>
      <c r="H606" t="s">
        <v>13521</v>
      </c>
      <c r="I606" t="s">
        <v>6479</v>
      </c>
      <c r="J606" t="s">
        <v>13463</v>
      </c>
      <c r="K606">
        <v>1</v>
      </c>
      <c r="L606" t="s">
        <v>13483</v>
      </c>
      <c r="M606" t="s">
        <v>20</v>
      </c>
      <c r="N606" t="str">
        <f>_xlfn.XLOOKUP(C:C,'Resource Table'!A:A,'Resource Table'!B:B,"NOT FOUND",0,1)</f>
        <v>Dedicated</v>
      </c>
      <c r="O606" t="str">
        <f>_xlfn.XLOOKUP(N:N,'Resource Table'!B:B,'Resource Table'!C:C,"n/a",0,1)</f>
        <v>AFS Dedicated Tech</v>
      </c>
      <c r="P606" t="str">
        <f>_xlfn.XLOOKUP(N:N,'Resource Table'!B:B,'Resource Table'!D:D,"n/a",0,1)</f>
        <v>Dedicated</v>
      </c>
    </row>
    <row r="607" spans="1:16" x14ac:dyDescent="0.45">
      <c r="A607" t="s">
        <v>5399</v>
      </c>
      <c r="B607" t="s">
        <v>5412</v>
      </c>
      <c r="C607" t="s">
        <v>5428</v>
      </c>
      <c r="D607" t="s">
        <v>5529</v>
      </c>
      <c r="E607" t="s">
        <v>6451</v>
      </c>
      <c r="F607" t="s">
        <v>13473</v>
      </c>
      <c r="G607" t="s">
        <v>13474</v>
      </c>
      <c r="H607" t="s">
        <v>13475</v>
      </c>
      <c r="I607" t="s">
        <v>29</v>
      </c>
      <c r="J607" t="s">
        <v>13463</v>
      </c>
      <c r="K607">
        <v>3</v>
      </c>
      <c r="L607" t="s">
        <v>13534</v>
      </c>
      <c r="M607" t="s">
        <v>20</v>
      </c>
      <c r="N607" t="str">
        <f>_xlfn.XLOOKUP(C:C,'Resource Table'!A:A,'Resource Table'!B:B,"NOT FOUND",0,1)</f>
        <v>Dedicated</v>
      </c>
      <c r="O607" t="str">
        <f>_xlfn.XLOOKUP(N:N,'Resource Table'!B:B,'Resource Table'!C:C,"n/a",0,1)</f>
        <v>AFS Dedicated Tech</v>
      </c>
      <c r="P607" t="str">
        <f>_xlfn.XLOOKUP(N:N,'Resource Table'!B:B,'Resource Table'!D:D,"n/a",0,1)</f>
        <v>Dedicated</v>
      </c>
    </row>
    <row r="608" spans="1:16" x14ac:dyDescent="0.45">
      <c r="A608" t="s">
        <v>5399</v>
      </c>
      <c r="B608" t="s">
        <v>5412</v>
      </c>
      <c r="C608" t="s">
        <v>5428</v>
      </c>
      <c r="D608" t="s">
        <v>5698</v>
      </c>
      <c r="E608" t="s">
        <v>6451</v>
      </c>
      <c r="F608" t="s">
        <v>13473</v>
      </c>
      <c r="G608" t="s">
        <v>13474</v>
      </c>
      <c r="H608" t="s">
        <v>13492</v>
      </c>
      <c r="I608" t="s">
        <v>29</v>
      </c>
      <c r="J608" t="s">
        <v>13463</v>
      </c>
      <c r="K608">
        <v>4</v>
      </c>
      <c r="L608" t="s">
        <v>13520</v>
      </c>
      <c r="M608" t="s">
        <v>20</v>
      </c>
      <c r="N608" t="str">
        <f>_xlfn.XLOOKUP(C:C,'Resource Table'!A:A,'Resource Table'!B:B,"NOT FOUND",0,1)</f>
        <v>Dedicated</v>
      </c>
      <c r="O608" t="str">
        <f>_xlfn.XLOOKUP(N:N,'Resource Table'!B:B,'Resource Table'!C:C,"n/a",0,1)</f>
        <v>AFS Dedicated Tech</v>
      </c>
      <c r="P608" t="str">
        <f>_xlfn.XLOOKUP(N:N,'Resource Table'!B:B,'Resource Table'!D:D,"n/a",0,1)</f>
        <v>Dedicated</v>
      </c>
    </row>
    <row r="609" spans="1:16" x14ac:dyDescent="0.45">
      <c r="A609" t="s">
        <v>5399</v>
      </c>
      <c r="B609" t="s">
        <v>5412</v>
      </c>
      <c r="C609" t="s">
        <v>5428</v>
      </c>
      <c r="D609" t="s">
        <v>6118</v>
      </c>
      <c r="E609" t="s">
        <v>6461</v>
      </c>
      <c r="F609" t="s">
        <v>13460</v>
      </c>
      <c r="G609" t="s">
        <v>13481</v>
      </c>
      <c r="H609" t="s">
        <v>13518</v>
      </c>
      <c r="I609" t="s">
        <v>6479</v>
      </c>
      <c r="J609" t="s">
        <v>13463</v>
      </c>
      <c r="K609">
        <v>0</v>
      </c>
      <c r="L609" t="s">
        <v>20</v>
      </c>
      <c r="M609" t="s">
        <v>20</v>
      </c>
      <c r="N609" t="str">
        <f>_xlfn.XLOOKUP(C:C,'Resource Table'!A:A,'Resource Table'!B:B,"NOT FOUND",0,1)</f>
        <v>Dedicated</v>
      </c>
      <c r="O609" t="str">
        <f>_xlfn.XLOOKUP(N:N,'Resource Table'!B:B,'Resource Table'!C:C,"n/a",0,1)</f>
        <v>AFS Dedicated Tech</v>
      </c>
      <c r="P609" t="str">
        <f>_xlfn.XLOOKUP(N:N,'Resource Table'!B:B,'Resource Table'!D:D,"n/a",0,1)</f>
        <v>Dedicated</v>
      </c>
    </row>
    <row r="610" spans="1:16" x14ac:dyDescent="0.45">
      <c r="A610" t="s">
        <v>5399</v>
      </c>
      <c r="B610" t="s">
        <v>5412</v>
      </c>
      <c r="C610" t="s">
        <v>5428</v>
      </c>
      <c r="D610" t="s">
        <v>5666</v>
      </c>
      <c r="E610" t="s">
        <v>6451</v>
      </c>
      <c r="F610" t="s">
        <v>13460</v>
      </c>
      <c r="G610" t="s">
        <v>13476</v>
      </c>
      <c r="H610" t="s">
        <v>13478</v>
      </c>
      <c r="I610" t="s">
        <v>29</v>
      </c>
      <c r="J610" t="s">
        <v>13463</v>
      </c>
      <c r="K610">
        <v>3</v>
      </c>
      <c r="L610" t="s">
        <v>13497</v>
      </c>
      <c r="M610" t="s">
        <v>20</v>
      </c>
      <c r="N610" t="str">
        <f>_xlfn.XLOOKUP(C:C,'Resource Table'!A:A,'Resource Table'!B:B,"NOT FOUND",0,1)</f>
        <v>Dedicated</v>
      </c>
      <c r="O610" t="str">
        <f>_xlfn.XLOOKUP(N:N,'Resource Table'!B:B,'Resource Table'!C:C,"n/a",0,1)</f>
        <v>AFS Dedicated Tech</v>
      </c>
      <c r="P610" t="str">
        <f>_xlfn.XLOOKUP(N:N,'Resource Table'!B:B,'Resource Table'!D:D,"n/a",0,1)</f>
        <v>Dedicated</v>
      </c>
    </row>
    <row r="611" spans="1:16" x14ac:dyDescent="0.45">
      <c r="A611" t="s">
        <v>5399</v>
      </c>
      <c r="B611" t="s">
        <v>5412</v>
      </c>
      <c r="C611" t="s">
        <v>5428</v>
      </c>
      <c r="D611" t="s">
        <v>6117</v>
      </c>
      <c r="E611" t="s">
        <v>6461</v>
      </c>
      <c r="F611" t="s">
        <v>13460</v>
      </c>
      <c r="G611" t="s">
        <v>13481</v>
      </c>
      <c r="H611" t="s">
        <v>13568</v>
      </c>
      <c r="I611" t="s">
        <v>6479</v>
      </c>
      <c r="J611" t="s">
        <v>13486</v>
      </c>
      <c r="K611">
        <v>2</v>
      </c>
      <c r="L611" t="s">
        <v>13530</v>
      </c>
      <c r="M611" t="s">
        <v>20</v>
      </c>
      <c r="N611" t="str">
        <f>_xlfn.XLOOKUP(C:C,'Resource Table'!A:A,'Resource Table'!B:B,"NOT FOUND",0,1)</f>
        <v>Dedicated</v>
      </c>
      <c r="O611" t="str">
        <f>_xlfn.XLOOKUP(N:N,'Resource Table'!B:B,'Resource Table'!C:C,"n/a",0,1)</f>
        <v>AFS Dedicated Tech</v>
      </c>
      <c r="P611" t="str">
        <f>_xlfn.XLOOKUP(N:N,'Resource Table'!B:B,'Resource Table'!D:D,"n/a",0,1)</f>
        <v>Dedicated</v>
      </c>
    </row>
    <row r="612" spans="1:16" x14ac:dyDescent="0.45">
      <c r="A612" t="s">
        <v>5399</v>
      </c>
      <c r="B612" t="s">
        <v>5412</v>
      </c>
      <c r="C612" t="s">
        <v>5428</v>
      </c>
      <c r="D612" t="s">
        <v>6296</v>
      </c>
      <c r="E612" t="s">
        <v>6451</v>
      </c>
      <c r="F612" t="s">
        <v>13460</v>
      </c>
      <c r="G612" t="s">
        <v>13461</v>
      </c>
      <c r="H612" t="s">
        <v>13465</v>
      </c>
      <c r="I612" t="s">
        <v>6479</v>
      </c>
      <c r="J612" t="s">
        <v>13463</v>
      </c>
      <c r="K612">
        <v>1</v>
      </c>
      <c r="L612" t="s">
        <v>13524</v>
      </c>
      <c r="M612" t="s">
        <v>13505</v>
      </c>
      <c r="N612" t="str">
        <f>_xlfn.XLOOKUP(C:C,'Resource Table'!A:A,'Resource Table'!B:B,"NOT FOUND",0,1)</f>
        <v>Dedicated</v>
      </c>
      <c r="O612" t="str">
        <f>_xlfn.XLOOKUP(N:N,'Resource Table'!B:B,'Resource Table'!C:C,"n/a",0,1)</f>
        <v>AFS Dedicated Tech</v>
      </c>
      <c r="P612" t="str">
        <f>_xlfn.XLOOKUP(N:N,'Resource Table'!B:B,'Resource Table'!D:D,"n/a",0,1)</f>
        <v>Dedicated</v>
      </c>
    </row>
    <row r="613" spans="1:16" x14ac:dyDescent="0.45">
      <c r="A613" t="s">
        <v>5399</v>
      </c>
      <c r="B613" t="s">
        <v>5412</v>
      </c>
      <c r="C613" t="s">
        <v>5428</v>
      </c>
      <c r="D613" t="s">
        <v>5664</v>
      </c>
      <c r="E613" t="s">
        <v>6451</v>
      </c>
      <c r="F613" t="s">
        <v>13460</v>
      </c>
      <c r="G613" t="s">
        <v>13476</v>
      </c>
      <c r="H613" t="s">
        <v>13478</v>
      </c>
      <c r="I613" t="s">
        <v>6479</v>
      </c>
      <c r="J613" t="s">
        <v>13463</v>
      </c>
      <c r="K613">
        <v>1</v>
      </c>
      <c r="L613" t="s">
        <v>13468</v>
      </c>
      <c r="M613" t="s">
        <v>20</v>
      </c>
      <c r="N613" t="str">
        <f>_xlfn.XLOOKUP(C:C,'Resource Table'!A:A,'Resource Table'!B:B,"NOT FOUND",0,1)</f>
        <v>Dedicated</v>
      </c>
      <c r="O613" t="str">
        <f>_xlfn.XLOOKUP(N:N,'Resource Table'!B:B,'Resource Table'!C:C,"n/a",0,1)</f>
        <v>AFS Dedicated Tech</v>
      </c>
      <c r="P613" t="str">
        <f>_xlfn.XLOOKUP(N:N,'Resource Table'!B:B,'Resource Table'!D:D,"n/a",0,1)</f>
        <v>Dedicated</v>
      </c>
    </row>
    <row r="614" spans="1:16" x14ac:dyDescent="0.45">
      <c r="A614" t="s">
        <v>5399</v>
      </c>
      <c r="B614" t="s">
        <v>5412</v>
      </c>
      <c r="C614" t="s">
        <v>5428</v>
      </c>
      <c r="D614" t="s">
        <v>2702</v>
      </c>
      <c r="E614" t="s">
        <v>6451</v>
      </c>
      <c r="F614" t="s">
        <v>13460</v>
      </c>
      <c r="G614" t="s">
        <v>13476</v>
      </c>
      <c r="H614" t="s">
        <v>13478</v>
      </c>
      <c r="I614" t="s">
        <v>6479</v>
      </c>
      <c r="J614" t="s">
        <v>13463</v>
      </c>
      <c r="K614">
        <v>1</v>
      </c>
      <c r="L614" t="s">
        <v>13528</v>
      </c>
      <c r="M614" t="s">
        <v>13505</v>
      </c>
      <c r="N614" t="str">
        <f>_xlfn.XLOOKUP(C:C,'Resource Table'!A:A,'Resource Table'!B:B,"NOT FOUND",0,1)</f>
        <v>Dedicated</v>
      </c>
      <c r="O614" t="str">
        <f>_xlfn.XLOOKUP(N:N,'Resource Table'!B:B,'Resource Table'!C:C,"n/a",0,1)</f>
        <v>AFS Dedicated Tech</v>
      </c>
      <c r="P614" t="str">
        <f>_xlfn.XLOOKUP(N:N,'Resource Table'!B:B,'Resource Table'!D:D,"n/a",0,1)</f>
        <v>Dedicated</v>
      </c>
    </row>
    <row r="615" spans="1:16" x14ac:dyDescent="0.45">
      <c r="A615" t="s">
        <v>5399</v>
      </c>
      <c r="B615" t="s">
        <v>5412</v>
      </c>
      <c r="C615" t="s">
        <v>5488</v>
      </c>
      <c r="D615" t="s">
        <v>1500</v>
      </c>
      <c r="E615" t="s">
        <v>6461</v>
      </c>
      <c r="F615" t="s">
        <v>13460</v>
      </c>
      <c r="G615" t="s">
        <v>13481</v>
      </c>
      <c r="H615" t="s">
        <v>13568</v>
      </c>
      <c r="I615" t="s">
        <v>6479</v>
      </c>
      <c r="J615" t="s">
        <v>13463</v>
      </c>
      <c r="K615">
        <v>3</v>
      </c>
      <c r="L615" t="s">
        <v>13540</v>
      </c>
      <c r="M615" t="s">
        <v>13491</v>
      </c>
      <c r="N615" t="str">
        <f>_xlfn.XLOOKUP(C:C,'Resource Table'!A:A,'Resource Table'!B:B,"NOT FOUND",0,1)</f>
        <v>Ralph Mann</v>
      </c>
      <c r="O615" t="str">
        <f>_xlfn.XLOOKUP(N:N,'Resource Table'!B:B,'Resource Table'!C:C,"n/a",0,1)</f>
        <v>rmann@ameritfleet.com</v>
      </c>
      <c r="P615" t="str">
        <f>_xlfn.XLOOKUP(N:N,'Resource Table'!B:B,'Resource Table'!D:D,"n/a",0,1)</f>
        <v>Vended Repair</v>
      </c>
    </row>
    <row r="616" spans="1:16" x14ac:dyDescent="0.45">
      <c r="A616" t="s">
        <v>5399</v>
      </c>
      <c r="B616" t="s">
        <v>5412</v>
      </c>
      <c r="C616" t="s">
        <v>5488</v>
      </c>
      <c r="D616" t="s">
        <v>771</v>
      </c>
      <c r="E616" t="s">
        <v>6451</v>
      </c>
      <c r="F616" t="s">
        <v>13460</v>
      </c>
      <c r="G616" t="s">
        <v>13476</v>
      </c>
      <c r="H616" t="s">
        <v>13478</v>
      </c>
      <c r="I616" t="s">
        <v>6479</v>
      </c>
      <c r="J616" t="s">
        <v>13463</v>
      </c>
      <c r="K616">
        <v>2</v>
      </c>
      <c r="L616" t="s">
        <v>13540</v>
      </c>
      <c r="M616" t="s">
        <v>13493</v>
      </c>
      <c r="N616" t="str">
        <f>_xlfn.XLOOKUP(C:C,'Resource Table'!A:A,'Resource Table'!B:B,"NOT FOUND",0,1)</f>
        <v>Ralph Mann</v>
      </c>
      <c r="O616" t="str">
        <f>_xlfn.XLOOKUP(N:N,'Resource Table'!B:B,'Resource Table'!C:C,"n/a",0,1)</f>
        <v>rmann@ameritfleet.com</v>
      </c>
      <c r="P616" t="str">
        <f>_xlfn.XLOOKUP(N:N,'Resource Table'!B:B,'Resource Table'!D:D,"n/a",0,1)</f>
        <v>Vended Repair</v>
      </c>
    </row>
    <row r="617" spans="1:16" x14ac:dyDescent="0.45">
      <c r="A617" t="s">
        <v>5399</v>
      </c>
      <c r="B617" t="s">
        <v>5412</v>
      </c>
      <c r="C617" t="s">
        <v>5488</v>
      </c>
      <c r="D617" t="s">
        <v>1846</v>
      </c>
      <c r="E617" t="s">
        <v>6451</v>
      </c>
      <c r="F617" t="s">
        <v>13473</v>
      </c>
      <c r="G617" t="s">
        <v>13474</v>
      </c>
      <c r="H617" t="s">
        <v>13517</v>
      </c>
      <c r="I617" t="s">
        <v>29</v>
      </c>
      <c r="J617" t="s">
        <v>13463</v>
      </c>
      <c r="K617">
        <v>1</v>
      </c>
      <c r="L617" t="s">
        <v>13528</v>
      </c>
      <c r="M617" t="s">
        <v>13528</v>
      </c>
      <c r="N617" t="str">
        <f>_xlfn.XLOOKUP(C:C,'Resource Table'!A:A,'Resource Table'!B:B,"NOT FOUND",0,1)</f>
        <v>Ralph Mann</v>
      </c>
      <c r="O617" t="str">
        <f>_xlfn.XLOOKUP(N:N,'Resource Table'!B:B,'Resource Table'!C:C,"n/a",0,1)</f>
        <v>rmann@ameritfleet.com</v>
      </c>
      <c r="P617" t="str">
        <f>_xlfn.XLOOKUP(N:N,'Resource Table'!B:B,'Resource Table'!D:D,"n/a",0,1)</f>
        <v>Vended Repair</v>
      </c>
    </row>
    <row r="618" spans="1:16" x14ac:dyDescent="0.45">
      <c r="A618" t="s">
        <v>5399</v>
      </c>
      <c r="B618" t="s">
        <v>5412</v>
      </c>
      <c r="C618" t="s">
        <v>5488</v>
      </c>
      <c r="D618" t="s">
        <v>83</v>
      </c>
      <c r="E618" t="s">
        <v>6461</v>
      </c>
      <c r="F618" t="s">
        <v>13460</v>
      </c>
      <c r="G618" t="s">
        <v>13481</v>
      </c>
      <c r="H618" t="s">
        <v>13522</v>
      </c>
      <c r="I618" t="s">
        <v>6479</v>
      </c>
      <c r="J618" t="s">
        <v>13486</v>
      </c>
      <c r="K618">
        <v>5</v>
      </c>
      <c r="L618" t="s">
        <v>13540</v>
      </c>
      <c r="M618" t="s">
        <v>13468</v>
      </c>
      <c r="N618" t="str">
        <f>_xlfn.XLOOKUP(C:C,'Resource Table'!A:A,'Resource Table'!B:B,"NOT FOUND",0,1)</f>
        <v>Ralph Mann</v>
      </c>
      <c r="O618" t="str">
        <f>_xlfn.XLOOKUP(N:N,'Resource Table'!B:B,'Resource Table'!C:C,"n/a",0,1)</f>
        <v>rmann@ameritfleet.com</v>
      </c>
      <c r="P618" t="str">
        <f>_xlfn.XLOOKUP(N:N,'Resource Table'!B:B,'Resource Table'!D:D,"n/a",0,1)</f>
        <v>Vended Repair</v>
      </c>
    </row>
    <row r="619" spans="1:16" x14ac:dyDescent="0.45">
      <c r="A619" t="s">
        <v>5399</v>
      </c>
      <c r="B619" t="s">
        <v>5412</v>
      </c>
      <c r="C619" t="s">
        <v>5488</v>
      </c>
      <c r="D619" t="s">
        <v>1675</v>
      </c>
      <c r="E619" t="s">
        <v>6451</v>
      </c>
      <c r="F619" t="s">
        <v>13473</v>
      </c>
      <c r="G619" t="s">
        <v>13474</v>
      </c>
      <c r="H619" t="s">
        <v>13517</v>
      </c>
      <c r="I619" t="s">
        <v>6479</v>
      </c>
      <c r="J619" t="s">
        <v>13463</v>
      </c>
      <c r="K619">
        <v>1</v>
      </c>
      <c r="L619" t="s">
        <v>13540</v>
      </c>
      <c r="M619" t="s">
        <v>13505</v>
      </c>
      <c r="N619" t="str">
        <f>_xlfn.XLOOKUP(C:C,'Resource Table'!A:A,'Resource Table'!B:B,"NOT FOUND",0,1)</f>
        <v>Ralph Mann</v>
      </c>
      <c r="O619" t="str">
        <f>_xlfn.XLOOKUP(N:N,'Resource Table'!B:B,'Resource Table'!C:C,"n/a",0,1)</f>
        <v>rmann@ameritfleet.com</v>
      </c>
      <c r="P619" t="str">
        <f>_xlfn.XLOOKUP(N:N,'Resource Table'!B:B,'Resource Table'!D:D,"n/a",0,1)</f>
        <v>Vended Repair</v>
      </c>
    </row>
    <row r="620" spans="1:16" x14ac:dyDescent="0.45">
      <c r="A620" t="s">
        <v>5399</v>
      </c>
      <c r="B620" t="s">
        <v>5412</v>
      </c>
      <c r="C620" t="s">
        <v>5488</v>
      </c>
      <c r="D620" t="s">
        <v>2368</v>
      </c>
      <c r="E620" t="s">
        <v>6461</v>
      </c>
      <c r="F620" t="s">
        <v>13460</v>
      </c>
      <c r="G620" t="s">
        <v>13481</v>
      </c>
      <c r="H620" t="s">
        <v>13490</v>
      </c>
      <c r="I620" t="s">
        <v>6479</v>
      </c>
      <c r="J620" t="s">
        <v>13486</v>
      </c>
      <c r="K620">
        <v>4</v>
      </c>
      <c r="L620" t="s">
        <v>13534</v>
      </c>
      <c r="M620" t="s">
        <v>13468</v>
      </c>
      <c r="N620" t="str">
        <f>_xlfn.XLOOKUP(C:C,'Resource Table'!A:A,'Resource Table'!B:B,"NOT FOUND",0,1)</f>
        <v>Ralph Mann</v>
      </c>
      <c r="O620" t="str">
        <f>_xlfn.XLOOKUP(N:N,'Resource Table'!B:B,'Resource Table'!C:C,"n/a",0,1)</f>
        <v>rmann@ameritfleet.com</v>
      </c>
      <c r="P620" t="str">
        <f>_xlfn.XLOOKUP(N:N,'Resource Table'!B:B,'Resource Table'!D:D,"n/a",0,1)</f>
        <v>Vended Repair</v>
      </c>
    </row>
    <row r="621" spans="1:16" x14ac:dyDescent="0.45">
      <c r="A621" t="s">
        <v>5399</v>
      </c>
      <c r="B621" t="s">
        <v>5412</v>
      </c>
      <c r="C621" t="s">
        <v>5488</v>
      </c>
      <c r="D621" t="s">
        <v>920</v>
      </c>
      <c r="E621" t="s">
        <v>6451</v>
      </c>
      <c r="F621" t="s">
        <v>13473</v>
      </c>
      <c r="G621" t="s">
        <v>13474</v>
      </c>
      <c r="H621" t="s">
        <v>13475</v>
      </c>
      <c r="I621" t="s">
        <v>6479</v>
      </c>
      <c r="J621" t="s">
        <v>13463</v>
      </c>
      <c r="K621">
        <v>1</v>
      </c>
      <c r="L621" t="s">
        <v>13469</v>
      </c>
      <c r="M621" t="s">
        <v>13595</v>
      </c>
      <c r="N621" t="str">
        <f>_xlfn.XLOOKUP(C:C,'Resource Table'!A:A,'Resource Table'!B:B,"NOT FOUND",0,1)</f>
        <v>Ralph Mann</v>
      </c>
      <c r="O621" t="str">
        <f>_xlfn.XLOOKUP(N:N,'Resource Table'!B:B,'Resource Table'!C:C,"n/a",0,1)</f>
        <v>rmann@ameritfleet.com</v>
      </c>
      <c r="P621" t="str">
        <f>_xlfn.XLOOKUP(N:N,'Resource Table'!B:B,'Resource Table'!D:D,"n/a",0,1)</f>
        <v>Vended Repair</v>
      </c>
    </row>
    <row r="622" spans="1:16" x14ac:dyDescent="0.45">
      <c r="A622" t="s">
        <v>5399</v>
      </c>
      <c r="B622" t="s">
        <v>5412</v>
      </c>
      <c r="C622" t="s">
        <v>5488</v>
      </c>
      <c r="D622" t="s">
        <v>979</v>
      </c>
      <c r="E622" t="s">
        <v>6451</v>
      </c>
      <c r="F622" t="s">
        <v>13473</v>
      </c>
      <c r="G622" t="s">
        <v>13474</v>
      </c>
      <c r="H622" t="s">
        <v>13517</v>
      </c>
      <c r="I622" t="s">
        <v>6479</v>
      </c>
      <c r="J622" t="s">
        <v>13463</v>
      </c>
      <c r="K622">
        <v>0</v>
      </c>
      <c r="L622" t="s">
        <v>20</v>
      </c>
      <c r="M622" t="s">
        <v>20</v>
      </c>
      <c r="N622" t="str">
        <f>_xlfn.XLOOKUP(C:C,'Resource Table'!A:A,'Resource Table'!B:B,"NOT FOUND",0,1)</f>
        <v>Ralph Mann</v>
      </c>
      <c r="O622" t="str">
        <f>_xlfn.XLOOKUP(N:N,'Resource Table'!B:B,'Resource Table'!C:C,"n/a",0,1)</f>
        <v>rmann@ameritfleet.com</v>
      </c>
      <c r="P622" t="str">
        <f>_xlfn.XLOOKUP(N:N,'Resource Table'!B:B,'Resource Table'!D:D,"n/a",0,1)</f>
        <v>Vended Repair</v>
      </c>
    </row>
    <row r="623" spans="1:16" x14ac:dyDescent="0.45">
      <c r="A623" t="s">
        <v>5399</v>
      </c>
      <c r="B623" t="s">
        <v>5400</v>
      </c>
      <c r="C623" t="s">
        <v>5560</v>
      </c>
      <c r="D623" t="s">
        <v>6044</v>
      </c>
      <c r="E623" t="s">
        <v>6461</v>
      </c>
      <c r="F623" t="s">
        <v>13460</v>
      </c>
      <c r="G623" t="s">
        <v>13481</v>
      </c>
      <c r="H623" t="s">
        <v>13522</v>
      </c>
      <c r="I623" t="s">
        <v>6479</v>
      </c>
      <c r="J623" t="s">
        <v>13463</v>
      </c>
      <c r="K623">
        <v>2</v>
      </c>
      <c r="L623" t="s">
        <v>13580</v>
      </c>
      <c r="M623" t="s">
        <v>13544</v>
      </c>
      <c r="N623" t="str">
        <f>_xlfn.XLOOKUP(C:C,'Resource Table'!A:A,'Resource Table'!B:B,"NOT FOUND",0,1)</f>
        <v>Dedicated</v>
      </c>
      <c r="O623" t="str">
        <f>_xlfn.XLOOKUP(N:N,'Resource Table'!B:B,'Resource Table'!C:C,"n/a",0,1)</f>
        <v>AFS Dedicated Tech</v>
      </c>
      <c r="P623" t="str">
        <f>_xlfn.XLOOKUP(N:N,'Resource Table'!B:B,'Resource Table'!D:D,"n/a",0,1)</f>
        <v>Dedicated</v>
      </c>
    </row>
    <row r="624" spans="1:16" x14ac:dyDescent="0.45">
      <c r="A624" t="s">
        <v>5399</v>
      </c>
      <c r="B624" t="s">
        <v>5400</v>
      </c>
      <c r="C624" t="s">
        <v>5560</v>
      </c>
      <c r="D624" t="s">
        <v>6006</v>
      </c>
      <c r="E624" t="s">
        <v>6461</v>
      </c>
      <c r="F624" t="s">
        <v>13460</v>
      </c>
      <c r="G624" t="s">
        <v>13481</v>
      </c>
      <c r="H624" t="s">
        <v>13522</v>
      </c>
      <c r="I624" t="s">
        <v>6479</v>
      </c>
      <c r="J624" t="s">
        <v>13463</v>
      </c>
      <c r="K624">
        <v>1</v>
      </c>
      <c r="L624" t="s">
        <v>13468</v>
      </c>
      <c r="M624" t="s">
        <v>20</v>
      </c>
      <c r="N624" t="str">
        <f>_xlfn.XLOOKUP(C:C,'Resource Table'!A:A,'Resource Table'!B:B,"NOT FOUND",0,1)</f>
        <v>Dedicated</v>
      </c>
      <c r="O624" t="str">
        <f>_xlfn.XLOOKUP(N:N,'Resource Table'!B:B,'Resource Table'!C:C,"n/a",0,1)</f>
        <v>AFS Dedicated Tech</v>
      </c>
      <c r="P624" t="str">
        <f>_xlfn.XLOOKUP(N:N,'Resource Table'!B:B,'Resource Table'!D:D,"n/a",0,1)</f>
        <v>Dedicated</v>
      </c>
    </row>
    <row r="625" spans="1:16" x14ac:dyDescent="0.45">
      <c r="A625" t="s">
        <v>5399</v>
      </c>
      <c r="B625" t="s">
        <v>5400</v>
      </c>
      <c r="C625" t="s">
        <v>5560</v>
      </c>
      <c r="D625" t="s">
        <v>6299</v>
      </c>
      <c r="E625" t="s">
        <v>6451</v>
      </c>
      <c r="F625" t="s">
        <v>13460</v>
      </c>
      <c r="G625" t="s">
        <v>13461</v>
      </c>
      <c r="H625" t="s">
        <v>13465</v>
      </c>
      <c r="I625" t="s">
        <v>6479</v>
      </c>
      <c r="J625" t="s">
        <v>13463</v>
      </c>
      <c r="K625">
        <v>6</v>
      </c>
      <c r="L625" t="s">
        <v>13534</v>
      </c>
      <c r="M625" t="s">
        <v>13507</v>
      </c>
      <c r="N625" t="str">
        <f>_xlfn.XLOOKUP(C:C,'Resource Table'!A:A,'Resource Table'!B:B,"NOT FOUND",0,1)</f>
        <v>Dedicated</v>
      </c>
      <c r="O625" t="str">
        <f>_xlfn.XLOOKUP(N:N,'Resource Table'!B:B,'Resource Table'!C:C,"n/a",0,1)</f>
        <v>AFS Dedicated Tech</v>
      </c>
      <c r="P625" t="str">
        <f>_xlfn.XLOOKUP(N:N,'Resource Table'!B:B,'Resource Table'!D:D,"n/a",0,1)</f>
        <v>Dedicated</v>
      </c>
    </row>
    <row r="626" spans="1:16" x14ac:dyDescent="0.45">
      <c r="A626" t="s">
        <v>5399</v>
      </c>
      <c r="B626" t="s">
        <v>5400</v>
      </c>
      <c r="C626" t="s">
        <v>5560</v>
      </c>
      <c r="D626" t="s">
        <v>6298</v>
      </c>
      <c r="E626" t="s">
        <v>6451</v>
      </c>
      <c r="F626" t="s">
        <v>13460</v>
      </c>
      <c r="G626" t="s">
        <v>13461</v>
      </c>
      <c r="H626" t="s">
        <v>13465</v>
      </c>
      <c r="I626" t="s">
        <v>6479</v>
      </c>
      <c r="J626" t="s">
        <v>13463</v>
      </c>
      <c r="K626">
        <v>2</v>
      </c>
      <c r="L626" t="s">
        <v>13504</v>
      </c>
      <c r="M626" t="s">
        <v>13507</v>
      </c>
      <c r="N626" t="str">
        <f>_xlfn.XLOOKUP(C:C,'Resource Table'!A:A,'Resource Table'!B:B,"NOT FOUND",0,1)</f>
        <v>Dedicated</v>
      </c>
      <c r="O626" t="str">
        <f>_xlfn.XLOOKUP(N:N,'Resource Table'!B:B,'Resource Table'!C:C,"n/a",0,1)</f>
        <v>AFS Dedicated Tech</v>
      </c>
      <c r="P626" t="str">
        <f>_xlfn.XLOOKUP(N:N,'Resource Table'!B:B,'Resource Table'!D:D,"n/a",0,1)</f>
        <v>Dedicated</v>
      </c>
    </row>
    <row r="627" spans="1:16" x14ac:dyDescent="0.45">
      <c r="A627" t="s">
        <v>5399</v>
      </c>
      <c r="B627" t="s">
        <v>5400</v>
      </c>
      <c r="C627" t="s">
        <v>5560</v>
      </c>
      <c r="D627" t="s">
        <v>13054</v>
      </c>
      <c r="E627" t="s">
        <v>6451</v>
      </c>
      <c r="F627" t="s">
        <v>13525</v>
      </c>
      <c r="G627" t="s">
        <v>13526</v>
      </c>
      <c r="H627" t="s">
        <v>13527</v>
      </c>
      <c r="I627" t="s">
        <v>29</v>
      </c>
      <c r="J627" t="s">
        <v>13463</v>
      </c>
      <c r="K627">
        <v>1</v>
      </c>
      <c r="L627" t="s">
        <v>13480</v>
      </c>
      <c r="M627" t="s">
        <v>20</v>
      </c>
      <c r="N627" t="str">
        <f>_xlfn.XLOOKUP(C:C,'Resource Table'!A:A,'Resource Table'!B:B,"NOT FOUND",0,1)</f>
        <v>Dedicated</v>
      </c>
      <c r="O627" t="str">
        <f>_xlfn.XLOOKUP(N:N,'Resource Table'!B:B,'Resource Table'!C:C,"n/a",0,1)</f>
        <v>AFS Dedicated Tech</v>
      </c>
      <c r="P627" t="str">
        <f>_xlfn.XLOOKUP(N:N,'Resource Table'!B:B,'Resource Table'!D:D,"n/a",0,1)</f>
        <v>Dedicated</v>
      </c>
    </row>
    <row r="628" spans="1:16" x14ac:dyDescent="0.45">
      <c r="A628" t="s">
        <v>5399</v>
      </c>
      <c r="B628" t="s">
        <v>5400</v>
      </c>
      <c r="C628" t="s">
        <v>5560</v>
      </c>
      <c r="D628" t="s">
        <v>6043</v>
      </c>
      <c r="E628" t="s">
        <v>6461</v>
      </c>
      <c r="F628" t="s">
        <v>13460</v>
      </c>
      <c r="G628" t="s">
        <v>13481</v>
      </c>
      <c r="H628" t="s">
        <v>13522</v>
      </c>
      <c r="I628" t="s">
        <v>29</v>
      </c>
      <c r="J628" t="s">
        <v>13463</v>
      </c>
      <c r="K628">
        <v>3</v>
      </c>
      <c r="L628" t="s">
        <v>13512</v>
      </c>
      <c r="M628" t="s">
        <v>13493</v>
      </c>
      <c r="N628" t="str">
        <f>_xlfn.XLOOKUP(C:C,'Resource Table'!A:A,'Resource Table'!B:B,"NOT FOUND",0,1)</f>
        <v>Dedicated</v>
      </c>
      <c r="O628" t="str">
        <f>_xlfn.XLOOKUP(N:N,'Resource Table'!B:B,'Resource Table'!C:C,"n/a",0,1)</f>
        <v>AFS Dedicated Tech</v>
      </c>
      <c r="P628" t="str">
        <f>_xlfn.XLOOKUP(N:N,'Resource Table'!B:B,'Resource Table'!D:D,"n/a",0,1)</f>
        <v>Dedicated</v>
      </c>
    </row>
    <row r="629" spans="1:16" x14ac:dyDescent="0.45">
      <c r="A629" t="s">
        <v>5399</v>
      </c>
      <c r="B629" t="s">
        <v>5400</v>
      </c>
      <c r="C629" t="s">
        <v>5560</v>
      </c>
      <c r="D629" t="s">
        <v>4880</v>
      </c>
      <c r="E629" t="s">
        <v>6461</v>
      </c>
      <c r="F629" t="s">
        <v>13460</v>
      </c>
      <c r="G629" t="s">
        <v>13481</v>
      </c>
      <c r="H629" t="s">
        <v>13518</v>
      </c>
      <c r="I629" t="s">
        <v>6479</v>
      </c>
      <c r="J629" t="s">
        <v>13486</v>
      </c>
      <c r="K629">
        <v>3</v>
      </c>
      <c r="L629" t="s">
        <v>13578</v>
      </c>
      <c r="M629" t="s">
        <v>13468</v>
      </c>
      <c r="N629" t="str">
        <f>_xlfn.XLOOKUP(C:C,'Resource Table'!A:A,'Resource Table'!B:B,"NOT FOUND",0,1)</f>
        <v>Dedicated</v>
      </c>
      <c r="O629" t="str">
        <f>_xlfn.XLOOKUP(N:N,'Resource Table'!B:B,'Resource Table'!C:C,"n/a",0,1)</f>
        <v>AFS Dedicated Tech</v>
      </c>
      <c r="P629" t="str">
        <f>_xlfn.XLOOKUP(N:N,'Resource Table'!B:B,'Resource Table'!D:D,"n/a",0,1)</f>
        <v>Dedicated</v>
      </c>
    </row>
    <row r="630" spans="1:16" x14ac:dyDescent="0.45">
      <c r="A630" t="s">
        <v>5399</v>
      </c>
      <c r="B630" t="s">
        <v>5400</v>
      </c>
      <c r="C630" t="s">
        <v>5560</v>
      </c>
      <c r="D630" t="s">
        <v>6084</v>
      </c>
      <c r="E630" t="s">
        <v>6461</v>
      </c>
      <c r="F630" t="s">
        <v>13460</v>
      </c>
      <c r="G630" t="s">
        <v>13481</v>
      </c>
      <c r="H630" t="s">
        <v>13518</v>
      </c>
      <c r="I630" t="s">
        <v>6479</v>
      </c>
      <c r="J630" t="s">
        <v>13463</v>
      </c>
      <c r="K630">
        <v>2</v>
      </c>
      <c r="L630" t="s">
        <v>13543</v>
      </c>
      <c r="M630" t="s">
        <v>13544</v>
      </c>
      <c r="N630" t="str">
        <f>_xlfn.XLOOKUP(C:C,'Resource Table'!A:A,'Resource Table'!B:B,"NOT FOUND",0,1)</f>
        <v>Dedicated</v>
      </c>
      <c r="O630" t="str">
        <f>_xlfn.XLOOKUP(N:N,'Resource Table'!B:B,'Resource Table'!C:C,"n/a",0,1)</f>
        <v>AFS Dedicated Tech</v>
      </c>
      <c r="P630" t="str">
        <f>_xlfn.XLOOKUP(N:N,'Resource Table'!B:B,'Resource Table'!D:D,"n/a",0,1)</f>
        <v>Dedicated</v>
      </c>
    </row>
    <row r="631" spans="1:16" x14ac:dyDescent="0.45">
      <c r="A631" t="s">
        <v>5399</v>
      </c>
      <c r="B631" t="s">
        <v>5400</v>
      </c>
      <c r="C631" t="s">
        <v>5560</v>
      </c>
      <c r="D631" t="s">
        <v>5858</v>
      </c>
      <c r="E631" t="s">
        <v>6451</v>
      </c>
      <c r="F631" t="s">
        <v>13473</v>
      </c>
      <c r="G631" t="s">
        <v>13474</v>
      </c>
      <c r="H631" t="s">
        <v>13475</v>
      </c>
      <c r="I631" t="s">
        <v>6479</v>
      </c>
      <c r="J631" t="s">
        <v>13463</v>
      </c>
      <c r="K631">
        <v>3</v>
      </c>
      <c r="L631" t="s">
        <v>13479</v>
      </c>
      <c r="M631" t="s">
        <v>13507</v>
      </c>
      <c r="N631" t="str">
        <f>_xlfn.XLOOKUP(C:C,'Resource Table'!A:A,'Resource Table'!B:B,"NOT FOUND",0,1)</f>
        <v>Dedicated</v>
      </c>
      <c r="O631" t="str">
        <f>_xlfn.XLOOKUP(N:N,'Resource Table'!B:B,'Resource Table'!C:C,"n/a",0,1)</f>
        <v>AFS Dedicated Tech</v>
      </c>
      <c r="P631" t="str">
        <f>_xlfn.XLOOKUP(N:N,'Resource Table'!B:B,'Resource Table'!D:D,"n/a",0,1)</f>
        <v>Dedicated</v>
      </c>
    </row>
    <row r="632" spans="1:16" x14ac:dyDescent="0.45">
      <c r="A632" t="s">
        <v>5399</v>
      </c>
      <c r="B632" t="s">
        <v>5400</v>
      </c>
      <c r="C632" t="s">
        <v>5560</v>
      </c>
      <c r="D632" t="s">
        <v>6228</v>
      </c>
      <c r="E632" t="s">
        <v>6451</v>
      </c>
      <c r="F632" t="s">
        <v>13460</v>
      </c>
      <c r="G632" t="s">
        <v>13476</v>
      </c>
      <c r="H632" t="s">
        <v>13477</v>
      </c>
      <c r="I632" t="s">
        <v>6479</v>
      </c>
      <c r="J632" t="s">
        <v>13463</v>
      </c>
      <c r="K632">
        <v>21</v>
      </c>
      <c r="L632" t="s">
        <v>13552</v>
      </c>
      <c r="M632" t="s">
        <v>13544</v>
      </c>
      <c r="N632" t="str">
        <f>_xlfn.XLOOKUP(C:C,'Resource Table'!A:A,'Resource Table'!B:B,"NOT FOUND",0,1)</f>
        <v>Dedicated</v>
      </c>
      <c r="O632" t="str">
        <f>_xlfn.XLOOKUP(N:N,'Resource Table'!B:B,'Resource Table'!C:C,"n/a",0,1)</f>
        <v>AFS Dedicated Tech</v>
      </c>
      <c r="P632" t="str">
        <f>_xlfn.XLOOKUP(N:N,'Resource Table'!B:B,'Resource Table'!D:D,"n/a",0,1)</f>
        <v>Dedicated</v>
      </c>
    </row>
    <row r="633" spans="1:16" x14ac:dyDescent="0.45">
      <c r="A633" t="s">
        <v>5399</v>
      </c>
      <c r="B633" t="s">
        <v>5400</v>
      </c>
      <c r="C633" t="s">
        <v>5560</v>
      </c>
      <c r="D633" t="s">
        <v>5590</v>
      </c>
      <c r="E633" t="s">
        <v>6451</v>
      </c>
      <c r="F633" t="s">
        <v>13460</v>
      </c>
      <c r="G633" t="s">
        <v>13476</v>
      </c>
      <c r="H633" t="s">
        <v>13477</v>
      </c>
      <c r="I633" t="s">
        <v>6479</v>
      </c>
      <c r="J633" t="s">
        <v>13463</v>
      </c>
      <c r="K633">
        <v>2</v>
      </c>
      <c r="L633" t="s">
        <v>13487</v>
      </c>
      <c r="M633" t="s">
        <v>20</v>
      </c>
      <c r="N633" t="str">
        <f>_xlfn.XLOOKUP(C:C,'Resource Table'!A:A,'Resource Table'!B:B,"NOT FOUND",0,1)</f>
        <v>Dedicated</v>
      </c>
      <c r="O633" t="str">
        <f>_xlfn.XLOOKUP(N:N,'Resource Table'!B:B,'Resource Table'!C:C,"n/a",0,1)</f>
        <v>AFS Dedicated Tech</v>
      </c>
      <c r="P633" t="str">
        <f>_xlfn.XLOOKUP(N:N,'Resource Table'!B:B,'Resource Table'!D:D,"n/a",0,1)</f>
        <v>Dedicated</v>
      </c>
    </row>
    <row r="634" spans="1:16" x14ac:dyDescent="0.45">
      <c r="A634" t="s">
        <v>5399</v>
      </c>
      <c r="B634" t="s">
        <v>5400</v>
      </c>
      <c r="C634" t="s">
        <v>5560</v>
      </c>
      <c r="D634" t="s">
        <v>6087</v>
      </c>
      <c r="E634" t="s">
        <v>6461</v>
      </c>
      <c r="F634" t="s">
        <v>13460</v>
      </c>
      <c r="G634" t="s">
        <v>13481</v>
      </c>
      <c r="H634" t="s">
        <v>13518</v>
      </c>
      <c r="I634" t="s">
        <v>6479</v>
      </c>
      <c r="J634" t="s">
        <v>13463</v>
      </c>
      <c r="K634">
        <v>1</v>
      </c>
      <c r="L634" t="s">
        <v>13466</v>
      </c>
      <c r="M634" t="s">
        <v>20</v>
      </c>
      <c r="N634" t="str">
        <f>_xlfn.XLOOKUP(C:C,'Resource Table'!A:A,'Resource Table'!B:B,"NOT FOUND",0,1)</f>
        <v>Dedicated</v>
      </c>
      <c r="O634" t="str">
        <f>_xlfn.XLOOKUP(N:N,'Resource Table'!B:B,'Resource Table'!C:C,"n/a",0,1)</f>
        <v>AFS Dedicated Tech</v>
      </c>
      <c r="P634" t="str">
        <f>_xlfn.XLOOKUP(N:N,'Resource Table'!B:B,'Resource Table'!D:D,"n/a",0,1)</f>
        <v>Dedicated</v>
      </c>
    </row>
    <row r="635" spans="1:16" x14ac:dyDescent="0.45">
      <c r="A635" t="s">
        <v>5399</v>
      </c>
      <c r="B635" t="s">
        <v>5400</v>
      </c>
      <c r="C635" t="s">
        <v>5560</v>
      </c>
      <c r="D635" t="s">
        <v>6410</v>
      </c>
      <c r="E635" t="s">
        <v>6451</v>
      </c>
      <c r="F635" t="s">
        <v>13460</v>
      </c>
      <c r="G635" t="s">
        <v>13461</v>
      </c>
      <c r="H635" t="s">
        <v>13467</v>
      </c>
      <c r="I635" t="s">
        <v>6479</v>
      </c>
      <c r="J635" t="s">
        <v>13463</v>
      </c>
      <c r="K635">
        <v>2</v>
      </c>
      <c r="L635" t="s">
        <v>13529</v>
      </c>
      <c r="M635" t="s">
        <v>13507</v>
      </c>
      <c r="N635" t="str">
        <f>_xlfn.XLOOKUP(C:C,'Resource Table'!A:A,'Resource Table'!B:B,"NOT FOUND",0,1)</f>
        <v>Dedicated</v>
      </c>
      <c r="O635" t="str">
        <f>_xlfn.XLOOKUP(N:N,'Resource Table'!B:B,'Resource Table'!C:C,"n/a",0,1)</f>
        <v>AFS Dedicated Tech</v>
      </c>
      <c r="P635" t="str">
        <f>_xlfn.XLOOKUP(N:N,'Resource Table'!B:B,'Resource Table'!D:D,"n/a",0,1)</f>
        <v>Dedicated</v>
      </c>
    </row>
    <row r="636" spans="1:16" x14ac:dyDescent="0.45">
      <c r="A636" t="s">
        <v>5399</v>
      </c>
      <c r="B636" t="s">
        <v>5400</v>
      </c>
      <c r="C636" t="s">
        <v>5560</v>
      </c>
      <c r="D636" t="s">
        <v>6083</v>
      </c>
      <c r="E636" t="s">
        <v>6461</v>
      </c>
      <c r="F636" t="s">
        <v>13460</v>
      </c>
      <c r="G636" t="s">
        <v>13481</v>
      </c>
      <c r="H636" t="s">
        <v>13518</v>
      </c>
      <c r="I636" t="s">
        <v>6479</v>
      </c>
      <c r="J636" t="s">
        <v>13463</v>
      </c>
      <c r="K636">
        <v>2</v>
      </c>
      <c r="L636" t="s">
        <v>13512</v>
      </c>
      <c r="M636" t="s">
        <v>20</v>
      </c>
      <c r="N636" t="str">
        <f>_xlfn.XLOOKUP(C:C,'Resource Table'!A:A,'Resource Table'!B:B,"NOT FOUND",0,1)</f>
        <v>Dedicated</v>
      </c>
      <c r="O636" t="str">
        <f>_xlfn.XLOOKUP(N:N,'Resource Table'!B:B,'Resource Table'!C:C,"n/a",0,1)</f>
        <v>AFS Dedicated Tech</v>
      </c>
      <c r="P636" t="str">
        <f>_xlfn.XLOOKUP(N:N,'Resource Table'!B:B,'Resource Table'!D:D,"n/a",0,1)</f>
        <v>Dedicated</v>
      </c>
    </row>
    <row r="637" spans="1:16" x14ac:dyDescent="0.45">
      <c r="A637" t="s">
        <v>5399</v>
      </c>
      <c r="B637" t="s">
        <v>5400</v>
      </c>
      <c r="C637" t="s">
        <v>5560</v>
      </c>
      <c r="D637" t="s">
        <v>5824</v>
      </c>
      <c r="E637" t="s">
        <v>6451</v>
      </c>
      <c r="F637" t="s">
        <v>13473</v>
      </c>
      <c r="G637" t="s">
        <v>13474</v>
      </c>
      <c r="H637" t="s">
        <v>13475</v>
      </c>
      <c r="I637" t="s">
        <v>6479</v>
      </c>
      <c r="J637" t="s">
        <v>13463</v>
      </c>
      <c r="K637">
        <v>8</v>
      </c>
      <c r="L637" t="s">
        <v>13523</v>
      </c>
      <c r="M637" t="s">
        <v>13507</v>
      </c>
      <c r="N637" t="str">
        <f>_xlfn.XLOOKUP(C:C,'Resource Table'!A:A,'Resource Table'!B:B,"NOT FOUND",0,1)</f>
        <v>Dedicated</v>
      </c>
      <c r="O637" t="str">
        <f>_xlfn.XLOOKUP(N:N,'Resource Table'!B:B,'Resource Table'!C:C,"n/a",0,1)</f>
        <v>AFS Dedicated Tech</v>
      </c>
      <c r="P637" t="str">
        <f>_xlfn.XLOOKUP(N:N,'Resource Table'!B:B,'Resource Table'!D:D,"n/a",0,1)</f>
        <v>Dedicated</v>
      </c>
    </row>
    <row r="638" spans="1:16" x14ac:dyDescent="0.45">
      <c r="A638" t="s">
        <v>5399</v>
      </c>
      <c r="B638" t="s">
        <v>5400</v>
      </c>
      <c r="C638" t="s">
        <v>5560</v>
      </c>
      <c r="D638" t="s">
        <v>6337</v>
      </c>
      <c r="E638" t="s">
        <v>6461</v>
      </c>
      <c r="F638" t="s">
        <v>13460</v>
      </c>
      <c r="G638" t="s">
        <v>13461</v>
      </c>
      <c r="H638" t="s">
        <v>13471</v>
      </c>
      <c r="I638" t="s">
        <v>6479</v>
      </c>
      <c r="J638" t="s">
        <v>13463</v>
      </c>
      <c r="K638">
        <v>0</v>
      </c>
      <c r="L638" t="s">
        <v>20</v>
      </c>
      <c r="M638" t="s">
        <v>20</v>
      </c>
      <c r="N638" t="str">
        <f>_xlfn.XLOOKUP(C:C,'Resource Table'!A:A,'Resource Table'!B:B,"NOT FOUND",0,1)</f>
        <v>Dedicated</v>
      </c>
      <c r="O638" t="str">
        <f>_xlfn.XLOOKUP(N:N,'Resource Table'!B:B,'Resource Table'!C:C,"n/a",0,1)</f>
        <v>AFS Dedicated Tech</v>
      </c>
      <c r="P638" t="str">
        <f>_xlfn.XLOOKUP(N:N,'Resource Table'!B:B,'Resource Table'!D:D,"n/a",0,1)</f>
        <v>Dedicated</v>
      </c>
    </row>
    <row r="639" spans="1:16" x14ac:dyDescent="0.45">
      <c r="A639" t="s">
        <v>5399</v>
      </c>
      <c r="B639" t="s">
        <v>5400</v>
      </c>
      <c r="C639" t="s">
        <v>5560</v>
      </c>
      <c r="D639" t="s">
        <v>6336</v>
      </c>
      <c r="E639" t="s">
        <v>6461</v>
      </c>
      <c r="F639" t="s">
        <v>13460</v>
      </c>
      <c r="G639" t="s">
        <v>13461</v>
      </c>
      <c r="H639" t="s">
        <v>13471</v>
      </c>
      <c r="I639" t="s">
        <v>6479</v>
      </c>
      <c r="J639" t="s">
        <v>13463</v>
      </c>
      <c r="K639">
        <v>4</v>
      </c>
      <c r="L639" t="s">
        <v>13507</v>
      </c>
      <c r="M639" t="s">
        <v>20</v>
      </c>
      <c r="N639" t="str">
        <f>_xlfn.XLOOKUP(C:C,'Resource Table'!A:A,'Resource Table'!B:B,"NOT FOUND",0,1)</f>
        <v>Dedicated</v>
      </c>
      <c r="O639" t="str">
        <f>_xlfn.XLOOKUP(N:N,'Resource Table'!B:B,'Resource Table'!C:C,"n/a",0,1)</f>
        <v>AFS Dedicated Tech</v>
      </c>
      <c r="P639" t="str">
        <f>_xlfn.XLOOKUP(N:N,'Resource Table'!B:B,'Resource Table'!D:D,"n/a",0,1)</f>
        <v>Dedicated</v>
      </c>
    </row>
    <row r="640" spans="1:16" x14ac:dyDescent="0.45">
      <c r="A640" t="s">
        <v>5399</v>
      </c>
      <c r="B640" t="s">
        <v>5400</v>
      </c>
      <c r="C640" t="s">
        <v>5560</v>
      </c>
      <c r="D640" t="s">
        <v>13083</v>
      </c>
      <c r="E640" t="s">
        <v>6451</v>
      </c>
      <c r="F640" t="s">
        <v>13473</v>
      </c>
      <c r="G640" t="s">
        <v>13474</v>
      </c>
      <c r="H640" t="s">
        <v>13517</v>
      </c>
      <c r="I640" t="s">
        <v>29</v>
      </c>
      <c r="J640" t="s">
        <v>13463</v>
      </c>
      <c r="K640">
        <v>1</v>
      </c>
      <c r="L640" t="s">
        <v>13480</v>
      </c>
      <c r="M640" t="s">
        <v>20</v>
      </c>
      <c r="N640" t="str">
        <f>_xlfn.XLOOKUP(C:C,'Resource Table'!A:A,'Resource Table'!B:B,"NOT FOUND",0,1)</f>
        <v>Dedicated</v>
      </c>
      <c r="O640" t="str">
        <f>_xlfn.XLOOKUP(N:N,'Resource Table'!B:B,'Resource Table'!C:C,"n/a",0,1)</f>
        <v>AFS Dedicated Tech</v>
      </c>
      <c r="P640" t="str">
        <f>_xlfn.XLOOKUP(N:N,'Resource Table'!B:B,'Resource Table'!D:D,"n/a",0,1)</f>
        <v>Dedicated</v>
      </c>
    </row>
    <row r="641" spans="1:16" x14ac:dyDescent="0.45">
      <c r="A641" t="s">
        <v>5399</v>
      </c>
      <c r="B641" t="s">
        <v>5400</v>
      </c>
      <c r="C641" t="s">
        <v>5560</v>
      </c>
      <c r="D641" t="s">
        <v>5992</v>
      </c>
      <c r="E641" t="s">
        <v>6461</v>
      </c>
      <c r="F641" t="s">
        <v>13460</v>
      </c>
      <c r="G641" t="s">
        <v>13481</v>
      </c>
      <c r="H641" t="s">
        <v>13482</v>
      </c>
      <c r="I641" t="s">
        <v>6479</v>
      </c>
      <c r="J641" t="s">
        <v>13486</v>
      </c>
      <c r="K641">
        <v>1</v>
      </c>
      <c r="L641" t="s">
        <v>13470</v>
      </c>
      <c r="M641" t="s">
        <v>13507</v>
      </c>
      <c r="N641" t="str">
        <f>_xlfn.XLOOKUP(C:C,'Resource Table'!A:A,'Resource Table'!B:B,"NOT FOUND",0,1)</f>
        <v>Dedicated</v>
      </c>
      <c r="O641" t="str">
        <f>_xlfn.XLOOKUP(N:N,'Resource Table'!B:B,'Resource Table'!C:C,"n/a",0,1)</f>
        <v>AFS Dedicated Tech</v>
      </c>
      <c r="P641" t="str">
        <f>_xlfn.XLOOKUP(N:N,'Resource Table'!B:B,'Resource Table'!D:D,"n/a",0,1)</f>
        <v>Dedicated</v>
      </c>
    </row>
    <row r="642" spans="1:16" x14ac:dyDescent="0.45">
      <c r="A642" t="s">
        <v>5399</v>
      </c>
      <c r="B642" t="s">
        <v>5400</v>
      </c>
      <c r="C642" t="s">
        <v>5560</v>
      </c>
      <c r="D642" t="s">
        <v>6409</v>
      </c>
      <c r="E642" t="s">
        <v>6451</v>
      </c>
      <c r="F642" t="s">
        <v>13460</v>
      </c>
      <c r="G642" t="s">
        <v>13461</v>
      </c>
      <c r="H642" t="s">
        <v>13467</v>
      </c>
      <c r="I642" t="s">
        <v>6479</v>
      </c>
      <c r="J642" t="s">
        <v>13463</v>
      </c>
      <c r="K642">
        <v>2</v>
      </c>
      <c r="L642" t="s">
        <v>13472</v>
      </c>
      <c r="M642" t="s">
        <v>20</v>
      </c>
      <c r="N642" t="str">
        <f>_xlfn.XLOOKUP(C:C,'Resource Table'!A:A,'Resource Table'!B:B,"NOT FOUND",0,1)</f>
        <v>Dedicated</v>
      </c>
      <c r="O642" t="str">
        <f>_xlfn.XLOOKUP(N:N,'Resource Table'!B:B,'Resource Table'!C:C,"n/a",0,1)</f>
        <v>AFS Dedicated Tech</v>
      </c>
      <c r="P642" t="str">
        <f>_xlfn.XLOOKUP(N:N,'Resource Table'!B:B,'Resource Table'!D:D,"n/a",0,1)</f>
        <v>Dedicated</v>
      </c>
    </row>
    <row r="643" spans="1:16" x14ac:dyDescent="0.45">
      <c r="A643" t="s">
        <v>5399</v>
      </c>
      <c r="B643" t="s">
        <v>5400</v>
      </c>
      <c r="C643" t="s">
        <v>5560</v>
      </c>
      <c r="D643" t="s">
        <v>6173</v>
      </c>
      <c r="E643" t="s">
        <v>6461</v>
      </c>
      <c r="F643" t="s">
        <v>13460</v>
      </c>
      <c r="G643" t="s">
        <v>13509</v>
      </c>
      <c r="H643" t="s">
        <v>13510</v>
      </c>
      <c r="I643" t="s">
        <v>6479</v>
      </c>
      <c r="J643" t="s">
        <v>13463</v>
      </c>
      <c r="K643">
        <v>0</v>
      </c>
      <c r="L643" t="s">
        <v>20</v>
      </c>
      <c r="M643" t="s">
        <v>20</v>
      </c>
      <c r="N643" t="str">
        <f>_xlfn.XLOOKUP(C:C,'Resource Table'!A:A,'Resource Table'!B:B,"NOT FOUND",0,1)</f>
        <v>Dedicated</v>
      </c>
      <c r="O643" t="str">
        <f>_xlfn.XLOOKUP(N:N,'Resource Table'!B:B,'Resource Table'!C:C,"n/a",0,1)</f>
        <v>AFS Dedicated Tech</v>
      </c>
      <c r="P643" t="str">
        <f>_xlfn.XLOOKUP(N:N,'Resource Table'!B:B,'Resource Table'!D:D,"n/a",0,1)</f>
        <v>Dedicated</v>
      </c>
    </row>
    <row r="644" spans="1:16" x14ac:dyDescent="0.45">
      <c r="A644" t="s">
        <v>5399</v>
      </c>
      <c r="B644" t="s">
        <v>5400</v>
      </c>
      <c r="C644" t="s">
        <v>5560</v>
      </c>
      <c r="D644" t="s">
        <v>5566</v>
      </c>
      <c r="E644" t="s">
        <v>6461</v>
      </c>
      <c r="F644" t="s">
        <v>13460</v>
      </c>
      <c r="G644" t="s">
        <v>13509</v>
      </c>
      <c r="H644" t="s">
        <v>13510</v>
      </c>
      <c r="I644" t="s">
        <v>29</v>
      </c>
      <c r="J644" t="s">
        <v>13486</v>
      </c>
      <c r="K644">
        <v>2</v>
      </c>
      <c r="L644" t="s">
        <v>13497</v>
      </c>
      <c r="M644" t="s">
        <v>13493</v>
      </c>
      <c r="N644" t="str">
        <f>_xlfn.XLOOKUP(C:C,'Resource Table'!A:A,'Resource Table'!B:B,"NOT FOUND",0,1)</f>
        <v>Dedicated</v>
      </c>
      <c r="O644" t="str">
        <f>_xlfn.XLOOKUP(N:N,'Resource Table'!B:B,'Resource Table'!C:C,"n/a",0,1)</f>
        <v>AFS Dedicated Tech</v>
      </c>
      <c r="P644" t="str">
        <f>_xlfn.XLOOKUP(N:N,'Resource Table'!B:B,'Resource Table'!D:D,"n/a",0,1)</f>
        <v>Dedicated</v>
      </c>
    </row>
    <row r="645" spans="1:16" x14ac:dyDescent="0.45">
      <c r="A645" t="s">
        <v>5399</v>
      </c>
      <c r="B645" t="s">
        <v>5400</v>
      </c>
      <c r="C645" t="s">
        <v>5560</v>
      </c>
      <c r="D645" t="s">
        <v>6172</v>
      </c>
      <c r="E645" t="s">
        <v>6461</v>
      </c>
      <c r="F645" t="s">
        <v>13460</v>
      </c>
      <c r="G645" t="s">
        <v>13509</v>
      </c>
      <c r="H645" t="s">
        <v>13510</v>
      </c>
      <c r="I645" t="s">
        <v>6479</v>
      </c>
      <c r="J645" t="s">
        <v>13463</v>
      </c>
      <c r="K645">
        <v>1</v>
      </c>
      <c r="L645" t="s">
        <v>13503</v>
      </c>
      <c r="M645" t="s">
        <v>20</v>
      </c>
      <c r="N645" t="str">
        <f>_xlfn.XLOOKUP(C:C,'Resource Table'!A:A,'Resource Table'!B:B,"NOT FOUND",0,1)</f>
        <v>Dedicated</v>
      </c>
      <c r="O645" t="str">
        <f>_xlfn.XLOOKUP(N:N,'Resource Table'!B:B,'Resource Table'!C:C,"n/a",0,1)</f>
        <v>AFS Dedicated Tech</v>
      </c>
      <c r="P645" t="str">
        <f>_xlfn.XLOOKUP(N:N,'Resource Table'!B:B,'Resource Table'!D:D,"n/a",0,1)</f>
        <v>Dedicated</v>
      </c>
    </row>
    <row r="646" spans="1:16" x14ac:dyDescent="0.45">
      <c r="A646" t="s">
        <v>5399</v>
      </c>
      <c r="B646" t="s">
        <v>5400</v>
      </c>
      <c r="C646" t="s">
        <v>5560</v>
      </c>
      <c r="D646" t="s">
        <v>6174</v>
      </c>
      <c r="E646" t="s">
        <v>6461</v>
      </c>
      <c r="F646" t="s">
        <v>13460</v>
      </c>
      <c r="G646" t="s">
        <v>13509</v>
      </c>
      <c r="H646" t="s">
        <v>13510</v>
      </c>
      <c r="I646" t="s">
        <v>6479</v>
      </c>
      <c r="J646" t="s">
        <v>13486</v>
      </c>
      <c r="K646">
        <v>3</v>
      </c>
      <c r="L646" t="s">
        <v>13523</v>
      </c>
      <c r="M646" t="s">
        <v>13507</v>
      </c>
      <c r="N646" t="str">
        <f>_xlfn.XLOOKUP(C:C,'Resource Table'!A:A,'Resource Table'!B:B,"NOT FOUND",0,1)</f>
        <v>Dedicated</v>
      </c>
      <c r="O646" t="str">
        <f>_xlfn.XLOOKUP(N:N,'Resource Table'!B:B,'Resource Table'!C:C,"n/a",0,1)</f>
        <v>AFS Dedicated Tech</v>
      </c>
      <c r="P646" t="str">
        <f>_xlfn.XLOOKUP(N:N,'Resource Table'!B:B,'Resource Table'!D:D,"n/a",0,1)</f>
        <v>Dedicated</v>
      </c>
    </row>
    <row r="647" spans="1:16" x14ac:dyDescent="0.45">
      <c r="A647" t="s">
        <v>5399</v>
      </c>
      <c r="B647" t="s">
        <v>5400</v>
      </c>
      <c r="C647" t="s">
        <v>5843</v>
      </c>
      <c r="D647" t="s">
        <v>6110</v>
      </c>
      <c r="E647" t="s">
        <v>6461</v>
      </c>
      <c r="F647" t="s">
        <v>13460</v>
      </c>
      <c r="G647" t="s">
        <v>13538</v>
      </c>
      <c r="H647" t="s">
        <v>13547</v>
      </c>
      <c r="I647" t="s">
        <v>6479</v>
      </c>
      <c r="J647" t="s">
        <v>13486</v>
      </c>
      <c r="K647">
        <v>3</v>
      </c>
      <c r="L647" t="s">
        <v>13464</v>
      </c>
      <c r="M647" t="s">
        <v>13505</v>
      </c>
      <c r="N647" t="str">
        <f>_xlfn.XLOOKUP(C:C,'Resource Table'!A:A,'Resource Table'!B:B,"NOT FOUND",0,1)</f>
        <v>Ralph Mann</v>
      </c>
      <c r="O647" t="str">
        <f>_xlfn.XLOOKUP(N:N,'Resource Table'!B:B,'Resource Table'!C:C,"n/a",0,1)</f>
        <v>rmann@ameritfleet.com</v>
      </c>
      <c r="P647" t="str">
        <f>_xlfn.XLOOKUP(N:N,'Resource Table'!B:B,'Resource Table'!D:D,"n/a",0,1)</f>
        <v>Vended Repair</v>
      </c>
    </row>
    <row r="648" spans="1:16" x14ac:dyDescent="0.45">
      <c r="A648" t="s">
        <v>5399</v>
      </c>
      <c r="B648" t="s">
        <v>5400</v>
      </c>
      <c r="C648" t="s">
        <v>5843</v>
      </c>
      <c r="D648" t="s">
        <v>1943</v>
      </c>
      <c r="E648" t="s">
        <v>6451</v>
      </c>
      <c r="F648" t="s">
        <v>13460</v>
      </c>
      <c r="G648" t="s">
        <v>13461</v>
      </c>
      <c r="H648" t="s">
        <v>13465</v>
      </c>
      <c r="I648" t="s">
        <v>6479</v>
      </c>
      <c r="J648" t="s">
        <v>13463</v>
      </c>
      <c r="K648">
        <v>2</v>
      </c>
      <c r="L648" t="s">
        <v>13540</v>
      </c>
      <c r="M648" t="s">
        <v>13505</v>
      </c>
      <c r="N648" t="str">
        <f>_xlfn.XLOOKUP(C:C,'Resource Table'!A:A,'Resource Table'!B:B,"NOT FOUND",0,1)</f>
        <v>Ralph Mann</v>
      </c>
      <c r="O648" t="str">
        <f>_xlfn.XLOOKUP(N:N,'Resource Table'!B:B,'Resource Table'!C:C,"n/a",0,1)</f>
        <v>rmann@ameritfleet.com</v>
      </c>
      <c r="P648" t="str">
        <f>_xlfn.XLOOKUP(N:N,'Resource Table'!B:B,'Resource Table'!D:D,"n/a",0,1)</f>
        <v>Vended Repair</v>
      </c>
    </row>
    <row r="649" spans="1:16" x14ac:dyDescent="0.45">
      <c r="A649" t="s">
        <v>5399</v>
      </c>
      <c r="B649" t="s">
        <v>5400</v>
      </c>
      <c r="C649" t="s">
        <v>5843</v>
      </c>
      <c r="D649" t="s">
        <v>997</v>
      </c>
      <c r="E649" t="s">
        <v>6451</v>
      </c>
      <c r="F649" t="s">
        <v>13473</v>
      </c>
      <c r="G649" t="s">
        <v>13474</v>
      </c>
      <c r="H649" t="s">
        <v>13475</v>
      </c>
      <c r="I649" t="s">
        <v>6479</v>
      </c>
      <c r="J649" t="s">
        <v>13463</v>
      </c>
      <c r="K649">
        <v>2</v>
      </c>
      <c r="L649" t="s">
        <v>13540</v>
      </c>
      <c r="M649" t="s">
        <v>13505</v>
      </c>
      <c r="N649" t="str">
        <f>_xlfn.XLOOKUP(C:C,'Resource Table'!A:A,'Resource Table'!B:B,"NOT FOUND",0,1)</f>
        <v>Ralph Mann</v>
      </c>
      <c r="O649" t="str">
        <f>_xlfn.XLOOKUP(N:N,'Resource Table'!B:B,'Resource Table'!C:C,"n/a",0,1)</f>
        <v>rmann@ameritfleet.com</v>
      </c>
      <c r="P649" t="str">
        <f>_xlfn.XLOOKUP(N:N,'Resource Table'!B:B,'Resource Table'!D:D,"n/a",0,1)</f>
        <v>Vended Repair</v>
      </c>
    </row>
    <row r="650" spans="1:16" x14ac:dyDescent="0.45">
      <c r="A650" t="s">
        <v>5399</v>
      </c>
      <c r="B650" t="s">
        <v>5400</v>
      </c>
      <c r="C650" t="s">
        <v>5843</v>
      </c>
      <c r="D650" t="s">
        <v>930</v>
      </c>
      <c r="E650" t="s">
        <v>6461</v>
      </c>
      <c r="F650" t="s">
        <v>13460</v>
      </c>
      <c r="G650" t="s">
        <v>13481</v>
      </c>
      <c r="H650" t="s">
        <v>13518</v>
      </c>
      <c r="I650" t="s">
        <v>29</v>
      </c>
      <c r="J650" t="s">
        <v>13463</v>
      </c>
      <c r="K650">
        <v>3</v>
      </c>
      <c r="L650" t="s">
        <v>13540</v>
      </c>
      <c r="M650" t="s">
        <v>13505</v>
      </c>
      <c r="N650" t="str">
        <f>_xlfn.XLOOKUP(C:C,'Resource Table'!A:A,'Resource Table'!B:B,"NOT FOUND",0,1)</f>
        <v>Ralph Mann</v>
      </c>
      <c r="O650" t="str">
        <f>_xlfn.XLOOKUP(N:N,'Resource Table'!B:B,'Resource Table'!C:C,"n/a",0,1)</f>
        <v>rmann@ameritfleet.com</v>
      </c>
      <c r="P650" t="str">
        <f>_xlfn.XLOOKUP(N:N,'Resource Table'!B:B,'Resource Table'!D:D,"n/a",0,1)</f>
        <v>Vended Repair</v>
      </c>
    </row>
    <row r="651" spans="1:16" x14ac:dyDescent="0.45">
      <c r="A651" t="s">
        <v>5399</v>
      </c>
      <c r="B651" t="s">
        <v>5400</v>
      </c>
      <c r="C651" t="s">
        <v>5671</v>
      </c>
      <c r="D651" t="s">
        <v>5916</v>
      </c>
      <c r="E651" t="s">
        <v>6461</v>
      </c>
      <c r="F651" t="s">
        <v>13460</v>
      </c>
      <c r="G651" t="s">
        <v>13481</v>
      </c>
      <c r="H651" t="s">
        <v>13490</v>
      </c>
      <c r="I651" t="s">
        <v>6479</v>
      </c>
      <c r="J651" t="s">
        <v>13463</v>
      </c>
      <c r="K651">
        <v>1</v>
      </c>
      <c r="L651" t="s">
        <v>13466</v>
      </c>
      <c r="M651" t="s">
        <v>20</v>
      </c>
      <c r="N651" t="str">
        <f>_xlfn.XLOOKUP(C:C,'Resource Table'!A:A,'Resource Table'!B:B,"NOT FOUND",0,1)</f>
        <v>Dedicated</v>
      </c>
      <c r="O651" t="str">
        <f>_xlfn.XLOOKUP(N:N,'Resource Table'!B:B,'Resource Table'!C:C,"n/a",0,1)</f>
        <v>AFS Dedicated Tech</v>
      </c>
      <c r="P651" t="str">
        <f>_xlfn.XLOOKUP(N:N,'Resource Table'!B:B,'Resource Table'!D:D,"n/a",0,1)</f>
        <v>Dedicated</v>
      </c>
    </row>
    <row r="652" spans="1:16" x14ac:dyDescent="0.45">
      <c r="A652" t="s">
        <v>5399</v>
      </c>
      <c r="B652" t="s">
        <v>5400</v>
      </c>
      <c r="C652" t="s">
        <v>5671</v>
      </c>
      <c r="D652" t="s">
        <v>6194</v>
      </c>
      <c r="E652" t="s">
        <v>6451</v>
      </c>
      <c r="F652" t="s">
        <v>13460</v>
      </c>
      <c r="G652" t="s">
        <v>13476</v>
      </c>
      <c r="H652" t="s">
        <v>13477</v>
      </c>
      <c r="I652" t="s">
        <v>6479</v>
      </c>
      <c r="J652" t="s">
        <v>13463</v>
      </c>
      <c r="K652">
        <v>3</v>
      </c>
      <c r="L652" t="s">
        <v>13548</v>
      </c>
      <c r="M652" t="s">
        <v>13493</v>
      </c>
      <c r="N652" t="str">
        <f>_xlfn.XLOOKUP(C:C,'Resource Table'!A:A,'Resource Table'!B:B,"NOT FOUND",0,1)</f>
        <v>Dedicated</v>
      </c>
      <c r="O652" t="str">
        <f>_xlfn.XLOOKUP(N:N,'Resource Table'!B:B,'Resource Table'!C:C,"n/a",0,1)</f>
        <v>AFS Dedicated Tech</v>
      </c>
      <c r="P652" t="str">
        <f>_xlfn.XLOOKUP(N:N,'Resource Table'!B:B,'Resource Table'!D:D,"n/a",0,1)</f>
        <v>Dedicated</v>
      </c>
    </row>
    <row r="653" spans="1:16" x14ac:dyDescent="0.45">
      <c r="A653" t="s">
        <v>5399</v>
      </c>
      <c r="B653" t="s">
        <v>5400</v>
      </c>
      <c r="C653" t="s">
        <v>5671</v>
      </c>
      <c r="D653" t="s">
        <v>6139</v>
      </c>
      <c r="E653" t="s">
        <v>6461</v>
      </c>
      <c r="F653" t="s">
        <v>13460</v>
      </c>
      <c r="G653" t="s">
        <v>13481</v>
      </c>
      <c r="H653" t="s">
        <v>13568</v>
      </c>
      <c r="I653" t="s">
        <v>6479</v>
      </c>
      <c r="J653" t="s">
        <v>13463</v>
      </c>
      <c r="K653">
        <v>0</v>
      </c>
      <c r="L653" t="s">
        <v>20</v>
      </c>
      <c r="M653" t="s">
        <v>20</v>
      </c>
      <c r="N653" t="str">
        <f>_xlfn.XLOOKUP(C:C,'Resource Table'!A:A,'Resource Table'!B:B,"NOT FOUND",0,1)</f>
        <v>Dedicated</v>
      </c>
      <c r="O653" t="str">
        <f>_xlfn.XLOOKUP(N:N,'Resource Table'!B:B,'Resource Table'!C:C,"n/a",0,1)</f>
        <v>AFS Dedicated Tech</v>
      </c>
      <c r="P653" t="str">
        <f>_xlfn.XLOOKUP(N:N,'Resource Table'!B:B,'Resource Table'!D:D,"n/a",0,1)</f>
        <v>Dedicated</v>
      </c>
    </row>
    <row r="654" spans="1:16" x14ac:dyDescent="0.45">
      <c r="A654" t="s">
        <v>5399</v>
      </c>
      <c r="B654" t="s">
        <v>5400</v>
      </c>
      <c r="C654" t="s">
        <v>5671</v>
      </c>
      <c r="D654" t="s">
        <v>6114</v>
      </c>
      <c r="E654" t="s">
        <v>6461</v>
      </c>
      <c r="F654" t="s">
        <v>13460</v>
      </c>
      <c r="G654" t="s">
        <v>13481</v>
      </c>
      <c r="H654" t="s">
        <v>13568</v>
      </c>
      <c r="I654" t="s">
        <v>6479</v>
      </c>
      <c r="J654" t="s">
        <v>13463</v>
      </c>
      <c r="K654">
        <v>0</v>
      </c>
      <c r="L654" t="s">
        <v>20</v>
      </c>
      <c r="M654" t="s">
        <v>20</v>
      </c>
      <c r="N654" t="str">
        <f>_xlfn.XLOOKUP(C:C,'Resource Table'!A:A,'Resource Table'!B:B,"NOT FOUND",0,1)</f>
        <v>Dedicated</v>
      </c>
      <c r="O654" t="str">
        <f>_xlfn.XLOOKUP(N:N,'Resource Table'!B:B,'Resource Table'!C:C,"n/a",0,1)</f>
        <v>AFS Dedicated Tech</v>
      </c>
      <c r="P654" t="str">
        <f>_xlfn.XLOOKUP(N:N,'Resource Table'!B:B,'Resource Table'!D:D,"n/a",0,1)</f>
        <v>Dedicated</v>
      </c>
    </row>
    <row r="655" spans="1:16" x14ac:dyDescent="0.45">
      <c r="A655" t="s">
        <v>5399</v>
      </c>
      <c r="B655" t="s">
        <v>5400</v>
      </c>
      <c r="C655" t="s">
        <v>5671</v>
      </c>
      <c r="D655" t="s">
        <v>5672</v>
      </c>
      <c r="E655" t="s">
        <v>6451</v>
      </c>
      <c r="F655" t="s">
        <v>13460</v>
      </c>
      <c r="G655" t="s">
        <v>13461</v>
      </c>
      <c r="H655" t="s">
        <v>13596</v>
      </c>
      <c r="I655" t="s">
        <v>6479</v>
      </c>
      <c r="J655" t="s">
        <v>13463</v>
      </c>
      <c r="K655">
        <v>1</v>
      </c>
      <c r="L655" t="s">
        <v>13469</v>
      </c>
      <c r="M655" t="s">
        <v>20</v>
      </c>
      <c r="N655" t="str">
        <f>_xlfn.XLOOKUP(C:C,'Resource Table'!A:A,'Resource Table'!B:B,"NOT FOUND",0,1)</f>
        <v>Dedicated</v>
      </c>
      <c r="O655" t="str">
        <f>_xlfn.XLOOKUP(N:N,'Resource Table'!B:B,'Resource Table'!C:C,"n/a",0,1)</f>
        <v>AFS Dedicated Tech</v>
      </c>
      <c r="P655" t="str">
        <f>_xlfn.XLOOKUP(N:N,'Resource Table'!B:B,'Resource Table'!D:D,"n/a",0,1)</f>
        <v>Dedicated</v>
      </c>
    </row>
    <row r="656" spans="1:16" x14ac:dyDescent="0.45">
      <c r="A656" t="s">
        <v>5399</v>
      </c>
      <c r="B656" t="s">
        <v>5400</v>
      </c>
      <c r="C656" t="s">
        <v>5671</v>
      </c>
      <c r="D656" t="s">
        <v>5915</v>
      </c>
      <c r="E656" t="s">
        <v>6461</v>
      </c>
      <c r="F656" t="s">
        <v>13460</v>
      </c>
      <c r="G656" t="s">
        <v>13481</v>
      </c>
      <c r="H656" t="s">
        <v>13490</v>
      </c>
      <c r="I656" t="s">
        <v>6479</v>
      </c>
      <c r="J656" t="s">
        <v>13463</v>
      </c>
      <c r="K656">
        <v>1</v>
      </c>
      <c r="L656" t="s">
        <v>13480</v>
      </c>
      <c r="M656" t="s">
        <v>20</v>
      </c>
      <c r="N656" t="str">
        <f>_xlfn.XLOOKUP(C:C,'Resource Table'!A:A,'Resource Table'!B:B,"NOT FOUND",0,1)</f>
        <v>Dedicated</v>
      </c>
      <c r="O656" t="str">
        <f>_xlfn.XLOOKUP(N:N,'Resource Table'!B:B,'Resource Table'!C:C,"n/a",0,1)</f>
        <v>AFS Dedicated Tech</v>
      </c>
      <c r="P656" t="str">
        <f>_xlfn.XLOOKUP(N:N,'Resource Table'!B:B,'Resource Table'!D:D,"n/a",0,1)</f>
        <v>Dedicated</v>
      </c>
    </row>
    <row r="657" spans="1:16" x14ac:dyDescent="0.45">
      <c r="A657" t="s">
        <v>5399</v>
      </c>
      <c r="B657" t="s">
        <v>5400</v>
      </c>
      <c r="C657" t="s">
        <v>5671</v>
      </c>
      <c r="D657" t="s">
        <v>6113</v>
      </c>
      <c r="E657" t="s">
        <v>6461</v>
      </c>
      <c r="F657" t="s">
        <v>13460</v>
      </c>
      <c r="G657" t="s">
        <v>13481</v>
      </c>
      <c r="H657" t="s">
        <v>13568</v>
      </c>
      <c r="I657" t="s">
        <v>6479</v>
      </c>
      <c r="J657" t="s">
        <v>13463</v>
      </c>
      <c r="K657">
        <v>2</v>
      </c>
      <c r="L657" t="s">
        <v>13548</v>
      </c>
      <c r="M657" t="s">
        <v>13493</v>
      </c>
      <c r="N657" t="str">
        <f>_xlfn.XLOOKUP(C:C,'Resource Table'!A:A,'Resource Table'!B:B,"NOT FOUND",0,1)</f>
        <v>Dedicated</v>
      </c>
      <c r="O657" t="str">
        <f>_xlfn.XLOOKUP(N:N,'Resource Table'!B:B,'Resource Table'!C:C,"n/a",0,1)</f>
        <v>AFS Dedicated Tech</v>
      </c>
      <c r="P657" t="str">
        <f>_xlfn.XLOOKUP(N:N,'Resource Table'!B:B,'Resource Table'!D:D,"n/a",0,1)</f>
        <v>Dedicated</v>
      </c>
    </row>
    <row r="658" spans="1:16" x14ac:dyDescent="0.45">
      <c r="A658" t="s">
        <v>5399</v>
      </c>
      <c r="B658" t="s">
        <v>5400</v>
      </c>
      <c r="C658" t="s">
        <v>5671</v>
      </c>
      <c r="D658" t="s">
        <v>5991</v>
      </c>
      <c r="E658" t="s">
        <v>6461</v>
      </c>
      <c r="F658" t="s">
        <v>13460</v>
      </c>
      <c r="G658" t="s">
        <v>13481</v>
      </c>
      <c r="H658" t="s">
        <v>13482</v>
      </c>
      <c r="I658" t="s">
        <v>6479</v>
      </c>
      <c r="J658" t="s">
        <v>13463</v>
      </c>
      <c r="K658">
        <v>0</v>
      </c>
      <c r="L658" t="s">
        <v>20</v>
      </c>
      <c r="M658" t="s">
        <v>20</v>
      </c>
      <c r="N658" t="str">
        <f>_xlfn.XLOOKUP(C:C,'Resource Table'!A:A,'Resource Table'!B:B,"NOT FOUND",0,1)</f>
        <v>Dedicated</v>
      </c>
      <c r="O658" t="str">
        <f>_xlfn.XLOOKUP(N:N,'Resource Table'!B:B,'Resource Table'!C:C,"n/a",0,1)</f>
        <v>AFS Dedicated Tech</v>
      </c>
      <c r="P658" t="str">
        <f>_xlfn.XLOOKUP(N:N,'Resource Table'!B:B,'Resource Table'!D:D,"n/a",0,1)</f>
        <v>Dedicated</v>
      </c>
    </row>
    <row r="659" spans="1:16" x14ac:dyDescent="0.45">
      <c r="A659" t="s">
        <v>5399</v>
      </c>
      <c r="B659" t="s">
        <v>5400</v>
      </c>
      <c r="C659" t="s">
        <v>5671</v>
      </c>
      <c r="D659" t="s">
        <v>6026</v>
      </c>
      <c r="E659" t="s">
        <v>6461</v>
      </c>
      <c r="F659" t="s">
        <v>13460</v>
      </c>
      <c r="G659" t="s">
        <v>13481</v>
      </c>
      <c r="H659" t="s">
        <v>13522</v>
      </c>
      <c r="I659" t="s">
        <v>6479</v>
      </c>
      <c r="J659" t="s">
        <v>13463</v>
      </c>
      <c r="K659">
        <v>0</v>
      </c>
      <c r="L659" t="s">
        <v>20</v>
      </c>
      <c r="M659" t="s">
        <v>20</v>
      </c>
      <c r="N659" t="str">
        <f>_xlfn.XLOOKUP(C:C,'Resource Table'!A:A,'Resource Table'!B:B,"NOT FOUND",0,1)</f>
        <v>Dedicated</v>
      </c>
      <c r="O659" t="str">
        <f>_xlfn.XLOOKUP(N:N,'Resource Table'!B:B,'Resource Table'!C:C,"n/a",0,1)</f>
        <v>AFS Dedicated Tech</v>
      </c>
      <c r="P659" t="str">
        <f>_xlfn.XLOOKUP(N:N,'Resource Table'!B:B,'Resource Table'!D:D,"n/a",0,1)</f>
        <v>Dedicated</v>
      </c>
    </row>
    <row r="660" spans="1:16" x14ac:dyDescent="0.45">
      <c r="A660" t="s">
        <v>5399</v>
      </c>
      <c r="B660" t="s">
        <v>5400</v>
      </c>
      <c r="C660" t="s">
        <v>5671</v>
      </c>
      <c r="D660" t="s">
        <v>6335</v>
      </c>
      <c r="E660" t="s">
        <v>6461</v>
      </c>
      <c r="F660" t="s">
        <v>13460</v>
      </c>
      <c r="G660" t="s">
        <v>13461</v>
      </c>
      <c r="H660" t="s">
        <v>13471</v>
      </c>
      <c r="I660" t="s">
        <v>6479</v>
      </c>
      <c r="J660" t="s">
        <v>13463</v>
      </c>
      <c r="K660">
        <v>2</v>
      </c>
      <c r="L660" t="s">
        <v>13497</v>
      </c>
      <c r="M660" t="s">
        <v>13493</v>
      </c>
      <c r="N660" t="str">
        <f>_xlfn.XLOOKUP(C:C,'Resource Table'!A:A,'Resource Table'!B:B,"NOT FOUND",0,1)</f>
        <v>Dedicated</v>
      </c>
      <c r="O660" t="str">
        <f>_xlfn.XLOOKUP(N:N,'Resource Table'!B:B,'Resource Table'!C:C,"n/a",0,1)</f>
        <v>AFS Dedicated Tech</v>
      </c>
      <c r="P660" t="str">
        <f>_xlfn.XLOOKUP(N:N,'Resource Table'!B:B,'Resource Table'!D:D,"n/a",0,1)</f>
        <v>Dedicated</v>
      </c>
    </row>
    <row r="661" spans="1:16" x14ac:dyDescent="0.45">
      <c r="A661" t="s">
        <v>5399</v>
      </c>
      <c r="B661" t="s">
        <v>5400</v>
      </c>
      <c r="C661" t="s">
        <v>5671</v>
      </c>
      <c r="D661" t="s">
        <v>6364</v>
      </c>
      <c r="E661" t="s">
        <v>6451</v>
      </c>
      <c r="F661" t="s">
        <v>13460</v>
      </c>
      <c r="G661" t="s">
        <v>13461</v>
      </c>
      <c r="H661" t="s">
        <v>13471</v>
      </c>
      <c r="I661" t="s">
        <v>6479</v>
      </c>
      <c r="J661" t="s">
        <v>13463</v>
      </c>
      <c r="K661">
        <v>0</v>
      </c>
      <c r="L661" t="s">
        <v>20</v>
      </c>
      <c r="M661" t="s">
        <v>20</v>
      </c>
      <c r="N661" t="str">
        <f>_xlfn.XLOOKUP(C:C,'Resource Table'!A:A,'Resource Table'!B:B,"NOT FOUND",0,1)</f>
        <v>Dedicated</v>
      </c>
      <c r="O661" t="str">
        <f>_xlfn.XLOOKUP(N:N,'Resource Table'!B:B,'Resource Table'!C:C,"n/a",0,1)</f>
        <v>AFS Dedicated Tech</v>
      </c>
      <c r="P661" t="str">
        <f>_xlfn.XLOOKUP(N:N,'Resource Table'!B:B,'Resource Table'!D:D,"n/a",0,1)</f>
        <v>Dedicated</v>
      </c>
    </row>
    <row r="662" spans="1:16" x14ac:dyDescent="0.45">
      <c r="A662" t="s">
        <v>5399</v>
      </c>
      <c r="B662" t="s">
        <v>5400</v>
      </c>
      <c r="C662" t="s">
        <v>5630</v>
      </c>
      <c r="D662" t="s">
        <v>5439</v>
      </c>
      <c r="E662" t="s">
        <v>6451</v>
      </c>
      <c r="F662" t="s">
        <v>13473</v>
      </c>
      <c r="G662" t="s">
        <v>13474</v>
      </c>
      <c r="H662" t="s">
        <v>13492</v>
      </c>
      <c r="I662" t="s">
        <v>6479</v>
      </c>
      <c r="J662" t="s">
        <v>13463</v>
      </c>
      <c r="K662">
        <v>0</v>
      </c>
      <c r="L662" t="s">
        <v>20</v>
      </c>
      <c r="M662" t="s">
        <v>20</v>
      </c>
      <c r="N662" t="str">
        <f>_xlfn.XLOOKUP(C:C,'Resource Table'!A:A,'Resource Table'!B:B,"NOT FOUND",0,1)</f>
        <v>Ralph Mann</v>
      </c>
      <c r="O662" t="str">
        <f>_xlfn.XLOOKUP(N:N,'Resource Table'!B:B,'Resource Table'!C:C,"n/a",0,1)</f>
        <v>rmann@ameritfleet.com</v>
      </c>
      <c r="P662" t="str">
        <f>_xlfn.XLOOKUP(N:N,'Resource Table'!B:B,'Resource Table'!D:D,"n/a",0,1)</f>
        <v>Vended Repair</v>
      </c>
    </row>
    <row r="663" spans="1:16" x14ac:dyDescent="0.45">
      <c r="A663" t="s">
        <v>5399</v>
      </c>
      <c r="B663" t="s">
        <v>5400</v>
      </c>
      <c r="C663" t="s">
        <v>5630</v>
      </c>
      <c r="D663" t="s">
        <v>2617</v>
      </c>
      <c r="E663" t="s">
        <v>6461</v>
      </c>
      <c r="F663" t="s">
        <v>13460</v>
      </c>
      <c r="G663" t="s">
        <v>13481</v>
      </c>
      <c r="H663" t="s">
        <v>13568</v>
      </c>
      <c r="I663" t="s">
        <v>6479</v>
      </c>
      <c r="J663" t="s">
        <v>13463</v>
      </c>
      <c r="K663">
        <v>2</v>
      </c>
      <c r="L663" t="s">
        <v>13561</v>
      </c>
      <c r="M663" t="s">
        <v>13556</v>
      </c>
      <c r="N663" t="str">
        <f>_xlfn.XLOOKUP(C:C,'Resource Table'!A:A,'Resource Table'!B:B,"NOT FOUND",0,1)</f>
        <v>Ralph Mann</v>
      </c>
      <c r="O663" t="str">
        <f>_xlfn.XLOOKUP(N:N,'Resource Table'!B:B,'Resource Table'!C:C,"n/a",0,1)</f>
        <v>rmann@ameritfleet.com</v>
      </c>
      <c r="P663" t="str">
        <f>_xlfn.XLOOKUP(N:N,'Resource Table'!B:B,'Resource Table'!D:D,"n/a",0,1)</f>
        <v>Vended Repair</v>
      </c>
    </row>
    <row r="664" spans="1:16" x14ac:dyDescent="0.45">
      <c r="A664" t="s">
        <v>5399</v>
      </c>
      <c r="B664" t="s">
        <v>5400</v>
      </c>
      <c r="C664" t="s">
        <v>5630</v>
      </c>
      <c r="D664" t="s">
        <v>87</v>
      </c>
      <c r="E664" t="s">
        <v>6461</v>
      </c>
      <c r="F664" t="s">
        <v>13460</v>
      </c>
      <c r="G664" t="s">
        <v>13481</v>
      </c>
      <c r="H664" t="s">
        <v>13522</v>
      </c>
      <c r="I664" t="s">
        <v>6479</v>
      </c>
      <c r="J664" t="s">
        <v>13463</v>
      </c>
      <c r="K664">
        <v>6</v>
      </c>
      <c r="L664" t="s">
        <v>13479</v>
      </c>
      <c r="M664" t="s">
        <v>13505</v>
      </c>
      <c r="N664" t="str">
        <f>_xlfn.XLOOKUP(C:C,'Resource Table'!A:A,'Resource Table'!B:B,"NOT FOUND",0,1)</f>
        <v>Ralph Mann</v>
      </c>
      <c r="O664" t="str">
        <f>_xlfn.XLOOKUP(N:N,'Resource Table'!B:B,'Resource Table'!C:C,"n/a",0,1)</f>
        <v>rmann@ameritfleet.com</v>
      </c>
      <c r="P664" t="str">
        <f>_xlfn.XLOOKUP(N:N,'Resource Table'!B:B,'Resource Table'!D:D,"n/a",0,1)</f>
        <v>Vended Repair</v>
      </c>
    </row>
    <row r="665" spans="1:16" x14ac:dyDescent="0.45">
      <c r="A665" t="s">
        <v>5399</v>
      </c>
      <c r="B665" t="s">
        <v>5400</v>
      </c>
      <c r="C665" t="s">
        <v>5630</v>
      </c>
      <c r="D665" t="s">
        <v>489</v>
      </c>
      <c r="E665" t="s">
        <v>6451</v>
      </c>
      <c r="F665" t="s">
        <v>13460</v>
      </c>
      <c r="G665" t="s">
        <v>13461</v>
      </c>
      <c r="H665" t="s">
        <v>13467</v>
      </c>
      <c r="I665" t="s">
        <v>29</v>
      </c>
      <c r="J665" t="s">
        <v>13463</v>
      </c>
      <c r="K665">
        <v>3</v>
      </c>
      <c r="L665" t="s">
        <v>13470</v>
      </c>
      <c r="M665" t="s">
        <v>13513</v>
      </c>
      <c r="N665" t="str">
        <f>_xlfn.XLOOKUP(C:C,'Resource Table'!A:A,'Resource Table'!B:B,"NOT FOUND",0,1)</f>
        <v>Ralph Mann</v>
      </c>
      <c r="O665" t="str">
        <f>_xlfn.XLOOKUP(N:N,'Resource Table'!B:B,'Resource Table'!C:C,"n/a",0,1)</f>
        <v>rmann@ameritfleet.com</v>
      </c>
      <c r="P665" t="str">
        <f>_xlfn.XLOOKUP(N:N,'Resource Table'!B:B,'Resource Table'!D:D,"n/a",0,1)</f>
        <v>Vended Repair</v>
      </c>
    </row>
    <row r="666" spans="1:16" x14ac:dyDescent="0.45">
      <c r="A666" t="s">
        <v>5399</v>
      </c>
      <c r="B666" t="s">
        <v>5400</v>
      </c>
      <c r="C666" t="s">
        <v>5630</v>
      </c>
      <c r="D666" t="s">
        <v>2505</v>
      </c>
      <c r="E666" t="s">
        <v>6451</v>
      </c>
      <c r="F666" t="s">
        <v>13473</v>
      </c>
      <c r="G666" t="s">
        <v>13474</v>
      </c>
      <c r="H666" t="s">
        <v>13492</v>
      </c>
      <c r="I666" t="s">
        <v>6479</v>
      </c>
      <c r="J666" t="s">
        <v>13463</v>
      </c>
      <c r="K666">
        <v>1</v>
      </c>
      <c r="L666" t="s">
        <v>13542</v>
      </c>
      <c r="M666" t="s">
        <v>13505</v>
      </c>
      <c r="N666" t="str">
        <f>_xlfn.XLOOKUP(C:C,'Resource Table'!A:A,'Resource Table'!B:B,"NOT FOUND",0,1)</f>
        <v>Ralph Mann</v>
      </c>
      <c r="O666" t="str">
        <f>_xlfn.XLOOKUP(N:N,'Resource Table'!B:B,'Resource Table'!C:C,"n/a",0,1)</f>
        <v>rmann@ameritfleet.com</v>
      </c>
      <c r="P666" t="str">
        <f>_xlfn.XLOOKUP(N:N,'Resource Table'!B:B,'Resource Table'!D:D,"n/a",0,1)</f>
        <v>Vended Repair</v>
      </c>
    </row>
    <row r="667" spans="1:16" x14ac:dyDescent="0.45">
      <c r="A667" t="s">
        <v>5399</v>
      </c>
      <c r="B667" t="s">
        <v>5400</v>
      </c>
      <c r="C667" t="s">
        <v>5630</v>
      </c>
      <c r="D667" t="s">
        <v>1808</v>
      </c>
      <c r="E667" t="s">
        <v>6461</v>
      </c>
      <c r="F667" t="s">
        <v>13460</v>
      </c>
      <c r="G667" t="s">
        <v>13481</v>
      </c>
      <c r="H667" t="s">
        <v>13522</v>
      </c>
      <c r="I667" t="s">
        <v>29</v>
      </c>
      <c r="J667" t="s">
        <v>13486</v>
      </c>
      <c r="K667">
        <v>4</v>
      </c>
      <c r="L667" t="s">
        <v>13561</v>
      </c>
      <c r="M667" t="s">
        <v>13513</v>
      </c>
      <c r="N667" t="str">
        <f>_xlfn.XLOOKUP(C:C,'Resource Table'!A:A,'Resource Table'!B:B,"NOT FOUND",0,1)</f>
        <v>Ralph Mann</v>
      </c>
      <c r="O667" t="str">
        <f>_xlfn.XLOOKUP(N:N,'Resource Table'!B:B,'Resource Table'!C:C,"n/a",0,1)</f>
        <v>rmann@ameritfleet.com</v>
      </c>
      <c r="P667" t="str">
        <f>_xlfn.XLOOKUP(N:N,'Resource Table'!B:B,'Resource Table'!D:D,"n/a",0,1)</f>
        <v>Vended Repair</v>
      </c>
    </row>
    <row r="668" spans="1:16" x14ac:dyDescent="0.45">
      <c r="A668" t="s">
        <v>5399</v>
      </c>
      <c r="B668" t="s">
        <v>5400</v>
      </c>
      <c r="C668" t="s">
        <v>5630</v>
      </c>
      <c r="D668" t="s">
        <v>1512</v>
      </c>
      <c r="E668" t="s">
        <v>6451</v>
      </c>
      <c r="F668" t="s">
        <v>13473</v>
      </c>
      <c r="G668" t="s">
        <v>13474</v>
      </c>
      <c r="H668" t="s">
        <v>13521</v>
      </c>
      <c r="I668" t="s">
        <v>6479</v>
      </c>
      <c r="J668" t="s">
        <v>13463</v>
      </c>
      <c r="K668">
        <v>2</v>
      </c>
      <c r="L668" t="s">
        <v>13561</v>
      </c>
      <c r="M668" t="s">
        <v>13505</v>
      </c>
      <c r="N668" t="str">
        <f>_xlfn.XLOOKUP(C:C,'Resource Table'!A:A,'Resource Table'!B:B,"NOT FOUND",0,1)</f>
        <v>Ralph Mann</v>
      </c>
      <c r="O668" t="str">
        <f>_xlfn.XLOOKUP(N:N,'Resource Table'!B:B,'Resource Table'!C:C,"n/a",0,1)</f>
        <v>rmann@ameritfleet.com</v>
      </c>
      <c r="P668" t="str">
        <f>_xlfn.XLOOKUP(N:N,'Resource Table'!B:B,'Resource Table'!D:D,"n/a",0,1)</f>
        <v>Vended Repair</v>
      </c>
    </row>
    <row r="669" spans="1:16" x14ac:dyDescent="0.45">
      <c r="A669" t="s">
        <v>5399</v>
      </c>
      <c r="B669" t="s">
        <v>5400</v>
      </c>
      <c r="C669" t="s">
        <v>5630</v>
      </c>
      <c r="D669" t="s">
        <v>6825</v>
      </c>
      <c r="E669" t="s">
        <v>6451</v>
      </c>
      <c r="F669" t="s">
        <v>13460</v>
      </c>
      <c r="G669" t="s">
        <v>13461</v>
      </c>
      <c r="H669" t="s">
        <v>13471</v>
      </c>
      <c r="I669" t="s">
        <v>6479</v>
      </c>
      <c r="J669" t="s">
        <v>13463</v>
      </c>
      <c r="K669">
        <v>2</v>
      </c>
      <c r="L669" t="s">
        <v>13520</v>
      </c>
      <c r="M669" t="s">
        <v>13505</v>
      </c>
      <c r="N669" t="str">
        <f>_xlfn.XLOOKUP(C:C,'Resource Table'!A:A,'Resource Table'!B:B,"NOT FOUND",0,1)</f>
        <v>Ralph Mann</v>
      </c>
      <c r="O669" t="str">
        <f>_xlfn.XLOOKUP(N:N,'Resource Table'!B:B,'Resource Table'!C:C,"n/a",0,1)</f>
        <v>rmann@ameritfleet.com</v>
      </c>
      <c r="P669" t="str">
        <f>_xlfn.XLOOKUP(N:N,'Resource Table'!B:B,'Resource Table'!D:D,"n/a",0,1)</f>
        <v>Vended Repair</v>
      </c>
    </row>
    <row r="670" spans="1:16" x14ac:dyDescent="0.45">
      <c r="A670" t="s">
        <v>5399</v>
      </c>
      <c r="B670" t="s">
        <v>5400</v>
      </c>
      <c r="C670" t="s">
        <v>5605</v>
      </c>
      <c r="D670" t="s">
        <v>149</v>
      </c>
      <c r="E670" t="s">
        <v>6451</v>
      </c>
      <c r="F670" t="s">
        <v>13473</v>
      </c>
      <c r="G670" t="s">
        <v>13474</v>
      </c>
      <c r="H670" t="s">
        <v>13475</v>
      </c>
      <c r="I670" t="s">
        <v>6479</v>
      </c>
      <c r="J670" t="s">
        <v>13463</v>
      </c>
      <c r="K670">
        <v>4</v>
      </c>
      <c r="L670" t="s">
        <v>13543</v>
      </c>
      <c r="M670" t="s">
        <v>13537</v>
      </c>
      <c r="N670" t="str">
        <f>_xlfn.XLOOKUP(C:C,'Resource Table'!A:A,'Resource Table'!B:B,"NOT FOUND",0,1)</f>
        <v>Ralph Mann</v>
      </c>
      <c r="O670" t="str">
        <f>_xlfn.XLOOKUP(N:N,'Resource Table'!B:B,'Resource Table'!C:C,"n/a",0,1)</f>
        <v>rmann@ameritfleet.com</v>
      </c>
      <c r="P670" t="str">
        <f>_xlfn.XLOOKUP(N:N,'Resource Table'!B:B,'Resource Table'!D:D,"n/a",0,1)</f>
        <v>Vended Repair</v>
      </c>
    </row>
    <row r="671" spans="1:16" x14ac:dyDescent="0.45">
      <c r="A671" t="s">
        <v>5399</v>
      </c>
      <c r="B671" t="s">
        <v>5400</v>
      </c>
      <c r="C671" t="s">
        <v>5605</v>
      </c>
      <c r="D671" t="s">
        <v>4246</v>
      </c>
      <c r="E671" t="s">
        <v>6461</v>
      </c>
      <c r="F671" t="s">
        <v>13460</v>
      </c>
      <c r="G671" t="s">
        <v>13538</v>
      </c>
      <c r="H671" t="s">
        <v>13547</v>
      </c>
      <c r="I671" t="s">
        <v>6479</v>
      </c>
      <c r="J671" t="s">
        <v>13486</v>
      </c>
      <c r="K671">
        <v>1</v>
      </c>
      <c r="L671" t="s">
        <v>13489</v>
      </c>
      <c r="M671" t="s">
        <v>13493</v>
      </c>
      <c r="N671" t="str">
        <f>_xlfn.XLOOKUP(C:C,'Resource Table'!A:A,'Resource Table'!B:B,"NOT FOUND",0,1)</f>
        <v>Ralph Mann</v>
      </c>
      <c r="O671" t="str">
        <f>_xlfn.XLOOKUP(N:N,'Resource Table'!B:B,'Resource Table'!C:C,"n/a",0,1)</f>
        <v>rmann@ameritfleet.com</v>
      </c>
      <c r="P671" t="str">
        <f>_xlfn.XLOOKUP(N:N,'Resource Table'!B:B,'Resource Table'!D:D,"n/a",0,1)</f>
        <v>Vended Repair</v>
      </c>
    </row>
    <row r="672" spans="1:16" x14ac:dyDescent="0.45">
      <c r="A672" t="s">
        <v>5399</v>
      </c>
      <c r="B672" t="s">
        <v>5400</v>
      </c>
      <c r="C672" t="s">
        <v>5605</v>
      </c>
      <c r="D672" t="s">
        <v>1768</v>
      </c>
      <c r="E672" t="s">
        <v>6461</v>
      </c>
      <c r="F672" t="s">
        <v>13460</v>
      </c>
      <c r="G672" t="s">
        <v>13538</v>
      </c>
      <c r="H672" t="s">
        <v>13554</v>
      </c>
      <c r="I672" t="s">
        <v>6479</v>
      </c>
      <c r="J672" t="s">
        <v>13486</v>
      </c>
      <c r="K672">
        <v>3</v>
      </c>
      <c r="L672" t="s">
        <v>13543</v>
      </c>
      <c r="M672" t="s">
        <v>13493</v>
      </c>
      <c r="N672" t="str">
        <f>_xlfn.XLOOKUP(C:C,'Resource Table'!A:A,'Resource Table'!B:B,"NOT FOUND",0,1)</f>
        <v>Ralph Mann</v>
      </c>
      <c r="O672" t="str">
        <f>_xlfn.XLOOKUP(N:N,'Resource Table'!B:B,'Resource Table'!C:C,"n/a",0,1)</f>
        <v>rmann@ameritfleet.com</v>
      </c>
      <c r="P672" t="str">
        <f>_xlfn.XLOOKUP(N:N,'Resource Table'!B:B,'Resource Table'!D:D,"n/a",0,1)</f>
        <v>Vended Repair</v>
      </c>
    </row>
    <row r="673" spans="1:16" x14ac:dyDescent="0.45">
      <c r="A673" t="s">
        <v>5399</v>
      </c>
      <c r="B673" t="s">
        <v>5400</v>
      </c>
      <c r="C673" t="s">
        <v>5605</v>
      </c>
      <c r="D673" t="s">
        <v>1834</v>
      </c>
      <c r="E673" t="s">
        <v>6451</v>
      </c>
      <c r="F673" t="s">
        <v>13460</v>
      </c>
      <c r="G673" t="s">
        <v>13461</v>
      </c>
      <c r="H673" t="s">
        <v>13471</v>
      </c>
      <c r="I673" t="s">
        <v>6479</v>
      </c>
      <c r="J673" t="s">
        <v>13463</v>
      </c>
      <c r="K673">
        <v>3</v>
      </c>
      <c r="L673" t="s">
        <v>13543</v>
      </c>
      <c r="M673" t="s">
        <v>13505</v>
      </c>
      <c r="N673" t="str">
        <f>_xlfn.XLOOKUP(C:C,'Resource Table'!A:A,'Resource Table'!B:B,"NOT FOUND",0,1)</f>
        <v>Ralph Mann</v>
      </c>
      <c r="O673" t="str">
        <f>_xlfn.XLOOKUP(N:N,'Resource Table'!B:B,'Resource Table'!C:C,"n/a",0,1)</f>
        <v>rmann@ameritfleet.com</v>
      </c>
      <c r="P673" t="str">
        <f>_xlfn.XLOOKUP(N:N,'Resource Table'!B:B,'Resource Table'!D:D,"n/a",0,1)</f>
        <v>Vended Repair</v>
      </c>
    </row>
    <row r="674" spans="1:16" x14ac:dyDescent="0.45">
      <c r="A674" t="s">
        <v>5399</v>
      </c>
      <c r="B674" t="s">
        <v>5400</v>
      </c>
      <c r="C674" t="s">
        <v>5605</v>
      </c>
      <c r="D674" t="s">
        <v>1397</v>
      </c>
      <c r="E674" t="s">
        <v>6462</v>
      </c>
      <c r="F674" t="s">
        <v>13460</v>
      </c>
      <c r="G674" t="s">
        <v>13481</v>
      </c>
      <c r="H674" t="s">
        <v>13490</v>
      </c>
      <c r="I674" t="s">
        <v>6479</v>
      </c>
      <c r="J674" t="s">
        <v>13463</v>
      </c>
      <c r="K674">
        <v>5</v>
      </c>
      <c r="L674" t="s">
        <v>13469</v>
      </c>
      <c r="M674" t="s">
        <v>13537</v>
      </c>
      <c r="N674" t="str">
        <f>_xlfn.XLOOKUP(C:C,'Resource Table'!A:A,'Resource Table'!B:B,"NOT FOUND",0,1)</f>
        <v>Ralph Mann</v>
      </c>
      <c r="O674" t="str">
        <f>_xlfn.XLOOKUP(N:N,'Resource Table'!B:B,'Resource Table'!C:C,"n/a",0,1)</f>
        <v>rmann@ameritfleet.com</v>
      </c>
      <c r="P674" t="str">
        <f>_xlfn.XLOOKUP(N:N,'Resource Table'!B:B,'Resource Table'!D:D,"n/a",0,1)</f>
        <v>Vended Repair</v>
      </c>
    </row>
    <row r="675" spans="1:16" x14ac:dyDescent="0.45">
      <c r="A675" t="s">
        <v>5399</v>
      </c>
      <c r="B675" t="s">
        <v>5400</v>
      </c>
      <c r="C675" t="s">
        <v>5605</v>
      </c>
      <c r="D675" t="s">
        <v>2511</v>
      </c>
      <c r="E675" t="s">
        <v>6461</v>
      </c>
      <c r="F675" t="s">
        <v>13460</v>
      </c>
      <c r="G675" t="s">
        <v>13481</v>
      </c>
      <c r="H675" t="s">
        <v>13518</v>
      </c>
      <c r="I675" t="s">
        <v>6479</v>
      </c>
      <c r="J675" t="s">
        <v>13463</v>
      </c>
      <c r="K675">
        <v>2</v>
      </c>
      <c r="L675" t="s">
        <v>13543</v>
      </c>
      <c r="M675" t="s">
        <v>13505</v>
      </c>
      <c r="N675" t="str">
        <f>_xlfn.XLOOKUP(C:C,'Resource Table'!A:A,'Resource Table'!B:B,"NOT FOUND",0,1)</f>
        <v>Ralph Mann</v>
      </c>
      <c r="O675" t="str">
        <f>_xlfn.XLOOKUP(N:N,'Resource Table'!B:B,'Resource Table'!C:C,"n/a",0,1)</f>
        <v>rmann@ameritfleet.com</v>
      </c>
      <c r="P675" t="str">
        <f>_xlfn.XLOOKUP(N:N,'Resource Table'!B:B,'Resource Table'!D:D,"n/a",0,1)</f>
        <v>Vended Repair</v>
      </c>
    </row>
    <row r="676" spans="1:16" x14ac:dyDescent="0.45">
      <c r="A676" t="s">
        <v>5399</v>
      </c>
      <c r="B676" t="s">
        <v>5400</v>
      </c>
      <c r="C676" t="s">
        <v>5605</v>
      </c>
      <c r="D676" t="s">
        <v>1649</v>
      </c>
      <c r="E676" t="s">
        <v>6461</v>
      </c>
      <c r="F676" t="s">
        <v>13460</v>
      </c>
      <c r="G676" t="s">
        <v>13481</v>
      </c>
      <c r="H676" t="s">
        <v>13568</v>
      </c>
      <c r="I676" t="s">
        <v>6479</v>
      </c>
      <c r="J676" t="s">
        <v>13463</v>
      </c>
      <c r="K676">
        <v>1</v>
      </c>
      <c r="L676" t="s">
        <v>13497</v>
      </c>
      <c r="M676" t="s">
        <v>13578</v>
      </c>
      <c r="N676" t="str">
        <f>_xlfn.XLOOKUP(C:C,'Resource Table'!A:A,'Resource Table'!B:B,"NOT FOUND",0,1)</f>
        <v>Ralph Mann</v>
      </c>
      <c r="O676" t="str">
        <f>_xlfn.XLOOKUP(N:N,'Resource Table'!B:B,'Resource Table'!C:C,"n/a",0,1)</f>
        <v>rmann@ameritfleet.com</v>
      </c>
      <c r="P676" t="str">
        <f>_xlfn.XLOOKUP(N:N,'Resource Table'!B:B,'Resource Table'!D:D,"n/a",0,1)</f>
        <v>Vended Repair</v>
      </c>
    </row>
    <row r="677" spans="1:16" x14ac:dyDescent="0.45">
      <c r="A677" t="s">
        <v>5399</v>
      </c>
      <c r="B677" t="s">
        <v>5400</v>
      </c>
      <c r="C677" t="s">
        <v>5605</v>
      </c>
      <c r="D677" t="s">
        <v>403</v>
      </c>
      <c r="E677" t="s">
        <v>6461</v>
      </c>
      <c r="F677" t="s">
        <v>13460</v>
      </c>
      <c r="G677" t="s">
        <v>13481</v>
      </c>
      <c r="H677" t="s">
        <v>13482</v>
      </c>
      <c r="I677" t="s">
        <v>6479</v>
      </c>
      <c r="J677" t="s">
        <v>13463</v>
      </c>
      <c r="K677">
        <v>2</v>
      </c>
      <c r="L677" t="s">
        <v>13543</v>
      </c>
      <c r="M677" t="s">
        <v>13537</v>
      </c>
      <c r="N677" t="str">
        <f>_xlfn.XLOOKUP(C:C,'Resource Table'!A:A,'Resource Table'!B:B,"NOT FOUND",0,1)</f>
        <v>Ralph Mann</v>
      </c>
      <c r="O677" t="str">
        <f>_xlfn.XLOOKUP(N:N,'Resource Table'!B:B,'Resource Table'!C:C,"n/a",0,1)</f>
        <v>rmann@ameritfleet.com</v>
      </c>
      <c r="P677" t="str">
        <f>_xlfn.XLOOKUP(N:N,'Resource Table'!B:B,'Resource Table'!D:D,"n/a",0,1)</f>
        <v>Vended Repair</v>
      </c>
    </row>
    <row r="678" spans="1:16" x14ac:dyDescent="0.45">
      <c r="A678" t="s">
        <v>5399</v>
      </c>
      <c r="B678" t="s">
        <v>5400</v>
      </c>
      <c r="C678" t="s">
        <v>5605</v>
      </c>
      <c r="D678" t="s">
        <v>2304</v>
      </c>
      <c r="E678" t="s">
        <v>6462</v>
      </c>
      <c r="F678" t="s">
        <v>13460</v>
      </c>
      <c r="G678" t="s">
        <v>13481</v>
      </c>
      <c r="H678" t="s">
        <v>13490</v>
      </c>
      <c r="I678" t="s">
        <v>6479</v>
      </c>
      <c r="J678" t="s">
        <v>13463</v>
      </c>
      <c r="K678">
        <v>2</v>
      </c>
      <c r="L678" t="s">
        <v>13543</v>
      </c>
      <c r="M678" t="s">
        <v>13493</v>
      </c>
      <c r="N678" t="str">
        <f>_xlfn.XLOOKUP(C:C,'Resource Table'!A:A,'Resource Table'!B:B,"NOT FOUND",0,1)</f>
        <v>Ralph Mann</v>
      </c>
      <c r="O678" t="str">
        <f>_xlfn.XLOOKUP(N:N,'Resource Table'!B:B,'Resource Table'!C:C,"n/a",0,1)</f>
        <v>rmann@ameritfleet.com</v>
      </c>
      <c r="P678" t="str">
        <f>_xlfn.XLOOKUP(N:N,'Resource Table'!B:B,'Resource Table'!D:D,"n/a",0,1)</f>
        <v>Vended Repair</v>
      </c>
    </row>
    <row r="679" spans="1:16" x14ac:dyDescent="0.45">
      <c r="A679" t="s">
        <v>5399</v>
      </c>
      <c r="B679" t="s">
        <v>5400</v>
      </c>
      <c r="C679" t="s">
        <v>5605</v>
      </c>
      <c r="D679" t="s">
        <v>350</v>
      </c>
      <c r="E679" t="s">
        <v>6461</v>
      </c>
      <c r="F679" t="s">
        <v>13460</v>
      </c>
      <c r="G679" t="s">
        <v>13461</v>
      </c>
      <c r="H679" t="s">
        <v>13471</v>
      </c>
      <c r="I679" t="s">
        <v>6479</v>
      </c>
      <c r="J679" t="s">
        <v>13463</v>
      </c>
      <c r="K679">
        <v>3</v>
      </c>
      <c r="L679" t="s">
        <v>13543</v>
      </c>
      <c r="M679" t="s">
        <v>13505</v>
      </c>
      <c r="N679" t="str">
        <f>_xlfn.XLOOKUP(C:C,'Resource Table'!A:A,'Resource Table'!B:B,"NOT FOUND",0,1)</f>
        <v>Ralph Mann</v>
      </c>
      <c r="O679" t="str">
        <f>_xlfn.XLOOKUP(N:N,'Resource Table'!B:B,'Resource Table'!C:C,"n/a",0,1)</f>
        <v>rmann@ameritfleet.com</v>
      </c>
      <c r="P679" t="str">
        <f>_xlfn.XLOOKUP(N:N,'Resource Table'!B:B,'Resource Table'!D:D,"n/a",0,1)</f>
        <v>Vended Repair</v>
      </c>
    </row>
    <row r="680" spans="1:16" x14ac:dyDescent="0.45">
      <c r="A680" t="s">
        <v>5399</v>
      </c>
      <c r="B680" t="s">
        <v>5400</v>
      </c>
      <c r="C680" t="s">
        <v>5605</v>
      </c>
      <c r="D680" t="s">
        <v>2116</v>
      </c>
      <c r="E680" t="s">
        <v>6451</v>
      </c>
      <c r="F680" t="s">
        <v>13473</v>
      </c>
      <c r="G680" t="s">
        <v>13474</v>
      </c>
      <c r="H680" t="s">
        <v>13521</v>
      </c>
      <c r="I680" t="s">
        <v>6479</v>
      </c>
      <c r="J680" t="s">
        <v>13463</v>
      </c>
      <c r="K680">
        <v>10</v>
      </c>
      <c r="L680" t="s">
        <v>13543</v>
      </c>
      <c r="M680" t="s">
        <v>13537</v>
      </c>
      <c r="N680" t="str">
        <f>_xlfn.XLOOKUP(C:C,'Resource Table'!A:A,'Resource Table'!B:B,"NOT FOUND",0,1)</f>
        <v>Ralph Mann</v>
      </c>
      <c r="O680" t="str">
        <f>_xlfn.XLOOKUP(N:N,'Resource Table'!B:B,'Resource Table'!C:C,"n/a",0,1)</f>
        <v>rmann@ameritfleet.com</v>
      </c>
      <c r="P680" t="str">
        <f>_xlfn.XLOOKUP(N:N,'Resource Table'!B:B,'Resource Table'!D:D,"n/a",0,1)</f>
        <v>Vended Repair</v>
      </c>
    </row>
    <row r="681" spans="1:16" x14ac:dyDescent="0.45">
      <c r="A681" t="s">
        <v>5399</v>
      </c>
      <c r="B681" t="s">
        <v>5400</v>
      </c>
      <c r="C681" t="s">
        <v>5605</v>
      </c>
      <c r="D681" t="s">
        <v>623</v>
      </c>
      <c r="E681" t="s">
        <v>6461</v>
      </c>
      <c r="F681" t="s">
        <v>13460</v>
      </c>
      <c r="G681" t="s">
        <v>13481</v>
      </c>
      <c r="H681" t="s">
        <v>13518</v>
      </c>
      <c r="I681" t="s">
        <v>6479</v>
      </c>
      <c r="J681" t="s">
        <v>13486</v>
      </c>
      <c r="K681">
        <v>5</v>
      </c>
      <c r="L681" t="s">
        <v>13543</v>
      </c>
      <c r="M681" t="s">
        <v>13493</v>
      </c>
      <c r="N681" t="str">
        <f>_xlfn.XLOOKUP(C:C,'Resource Table'!A:A,'Resource Table'!B:B,"NOT FOUND",0,1)</f>
        <v>Ralph Mann</v>
      </c>
      <c r="O681" t="str">
        <f>_xlfn.XLOOKUP(N:N,'Resource Table'!B:B,'Resource Table'!C:C,"n/a",0,1)</f>
        <v>rmann@ameritfleet.com</v>
      </c>
      <c r="P681" t="str">
        <f>_xlfn.XLOOKUP(N:N,'Resource Table'!B:B,'Resource Table'!D:D,"n/a",0,1)</f>
        <v>Vended Repair</v>
      </c>
    </row>
    <row r="682" spans="1:16" x14ac:dyDescent="0.45">
      <c r="A682" t="s">
        <v>5399</v>
      </c>
      <c r="B682" t="s">
        <v>5400</v>
      </c>
      <c r="C682" t="s">
        <v>5605</v>
      </c>
      <c r="D682" t="s">
        <v>602</v>
      </c>
      <c r="E682" t="s">
        <v>6461</v>
      </c>
      <c r="F682" t="s">
        <v>13460</v>
      </c>
      <c r="G682" t="s">
        <v>13461</v>
      </c>
      <c r="H682" t="s">
        <v>13471</v>
      </c>
      <c r="I682" t="s">
        <v>6479</v>
      </c>
      <c r="J682" t="s">
        <v>13463</v>
      </c>
      <c r="K682">
        <v>7</v>
      </c>
      <c r="L682" t="s">
        <v>13543</v>
      </c>
      <c r="M682" t="s">
        <v>13505</v>
      </c>
      <c r="N682" t="str">
        <f>_xlfn.XLOOKUP(C:C,'Resource Table'!A:A,'Resource Table'!B:B,"NOT FOUND",0,1)</f>
        <v>Ralph Mann</v>
      </c>
      <c r="O682" t="str">
        <f>_xlfn.XLOOKUP(N:N,'Resource Table'!B:B,'Resource Table'!C:C,"n/a",0,1)</f>
        <v>rmann@ameritfleet.com</v>
      </c>
      <c r="P682" t="str">
        <f>_xlfn.XLOOKUP(N:N,'Resource Table'!B:B,'Resource Table'!D:D,"n/a",0,1)</f>
        <v>Vended Repair</v>
      </c>
    </row>
    <row r="683" spans="1:16" x14ac:dyDescent="0.45">
      <c r="A683" t="s">
        <v>5399</v>
      </c>
      <c r="B683" t="s">
        <v>5400</v>
      </c>
      <c r="C683" t="s">
        <v>5605</v>
      </c>
      <c r="D683" t="s">
        <v>66</v>
      </c>
      <c r="E683" t="s">
        <v>6451</v>
      </c>
      <c r="F683" t="s">
        <v>13460</v>
      </c>
      <c r="G683" t="s">
        <v>13461</v>
      </c>
      <c r="H683" t="s">
        <v>13465</v>
      </c>
      <c r="I683" t="s">
        <v>29</v>
      </c>
      <c r="J683" t="s">
        <v>13463</v>
      </c>
      <c r="K683">
        <v>3</v>
      </c>
      <c r="L683" t="s">
        <v>13479</v>
      </c>
      <c r="M683" t="s">
        <v>13505</v>
      </c>
      <c r="N683" t="str">
        <f>_xlfn.XLOOKUP(C:C,'Resource Table'!A:A,'Resource Table'!B:B,"NOT FOUND",0,1)</f>
        <v>Ralph Mann</v>
      </c>
      <c r="O683" t="str">
        <f>_xlfn.XLOOKUP(N:N,'Resource Table'!B:B,'Resource Table'!C:C,"n/a",0,1)</f>
        <v>rmann@ameritfleet.com</v>
      </c>
      <c r="P683" t="str">
        <f>_xlfn.XLOOKUP(N:N,'Resource Table'!B:B,'Resource Table'!D:D,"n/a",0,1)</f>
        <v>Vended Repair</v>
      </c>
    </row>
    <row r="684" spans="1:16" x14ac:dyDescent="0.45">
      <c r="A684" t="s">
        <v>5399</v>
      </c>
      <c r="B684" t="s">
        <v>5400</v>
      </c>
      <c r="C684" t="s">
        <v>5645</v>
      </c>
      <c r="D684" t="s">
        <v>1260</v>
      </c>
      <c r="E684" t="s">
        <v>6461</v>
      </c>
      <c r="F684" t="s">
        <v>13460</v>
      </c>
      <c r="G684" t="s">
        <v>13481</v>
      </c>
      <c r="H684" t="s">
        <v>13482</v>
      </c>
      <c r="I684" t="s">
        <v>6479</v>
      </c>
      <c r="J684" t="s">
        <v>13463</v>
      </c>
      <c r="K684">
        <v>1</v>
      </c>
      <c r="L684" t="s">
        <v>13542</v>
      </c>
      <c r="M684" t="s">
        <v>13505</v>
      </c>
      <c r="N684" t="str">
        <f>_xlfn.XLOOKUP(C:C,'Resource Table'!A:A,'Resource Table'!B:B,"NOT FOUND",0,1)</f>
        <v>Ralph Mann</v>
      </c>
      <c r="O684" t="str">
        <f>_xlfn.XLOOKUP(N:N,'Resource Table'!B:B,'Resource Table'!C:C,"n/a",0,1)</f>
        <v>rmann@ameritfleet.com</v>
      </c>
      <c r="P684" t="str">
        <f>_xlfn.XLOOKUP(N:N,'Resource Table'!B:B,'Resource Table'!D:D,"n/a",0,1)</f>
        <v>Vended Repair</v>
      </c>
    </row>
    <row r="685" spans="1:16" x14ac:dyDescent="0.45">
      <c r="A685" t="s">
        <v>5399</v>
      </c>
      <c r="B685" t="s">
        <v>5400</v>
      </c>
      <c r="C685" t="s">
        <v>5645</v>
      </c>
      <c r="D685" t="s">
        <v>2403</v>
      </c>
      <c r="E685" t="s">
        <v>6451</v>
      </c>
      <c r="F685" t="s">
        <v>13460</v>
      </c>
      <c r="G685" t="s">
        <v>13550</v>
      </c>
      <c r="H685" t="s">
        <v>13551</v>
      </c>
      <c r="I685" t="s">
        <v>6479</v>
      </c>
      <c r="J685" t="s">
        <v>13463</v>
      </c>
      <c r="K685">
        <v>1</v>
      </c>
      <c r="L685" t="s">
        <v>13520</v>
      </c>
      <c r="M685" t="s">
        <v>13520</v>
      </c>
      <c r="N685" t="str">
        <f>_xlfn.XLOOKUP(C:C,'Resource Table'!A:A,'Resource Table'!B:B,"NOT FOUND",0,1)</f>
        <v>Ralph Mann</v>
      </c>
      <c r="O685" t="str">
        <f>_xlfn.XLOOKUP(N:N,'Resource Table'!B:B,'Resource Table'!C:C,"n/a",0,1)</f>
        <v>rmann@ameritfleet.com</v>
      </c>
      <c r="P685" t="str">
        <f>_xlfn.XLOOKUP(N:N,'Resource Table'!B:B,'Resource Table'!D:D,"n/a",0,1)</f>
        <v>Vended Repair</v>
      </c>
    </row>
    <row r="686" spans="1:16" x14ac:dyDescent="0.45">
      <c r="A686" t="s">
        <v>5399</v>
      </c>
      <c r="B686" t="s">
        <v>5400</v>
      </c>
      <c r="C686" t="s">
        <v>5645</v>
      </c>
      <c r="D686" t="s">
        <v>3835</v>
      </c>
      <c r="E686" t="s">
        <v>6451</v>
      </c>
      <c r="F686" t="s">
        <v>13460</v>
      </c>
      <c r="G686" t="s">
        <v>13476</v>
      </c>
      <c r="H686" t="s">
        <v>13478</v>
      </c>
      <c r="I686" t="s">
        <v>6479</v>
      </c>
      <c r="J686" t="s">
        <v>13463</v>
      </c>
      <c r="K686">
        <v>0</v>
      </c>
      <c r="L686" t="s">
        <v>20</v>
      </c>
      <c r="M686" t="s">
        <v>20</v>
      </c>
      <c r="N686" t="str">
        <f>_xlfn.XLOOKUP(C:C,'Resource Table'!A:A,'Resource Table'!B:B,"NOT FOUND",0,1)</f>
        <v>Ralph Mann</v>
      </c>
      <c r="O686" t="str">
        <f>_xlfn.XLOOKUP(N:N,'Resource Table'!B:B,'Resource Table'!C:C,"n/a",0,1)</f>
        <v>rmann@ameritfleet.com</v>
      </c>
      <c r="P686" t="str">
        <f>_xlfn.XLOOKUP(N:N,'Resource Table'!B:B,'Resource Table'!D:D,"n/a",0,1)</f>
        <v>Vended Repair</v>
      </c>
    </row>
    <row r="687" spans="1:16" x14ac:dyDescent="0.45">
      <c r="A687" t="s">
        <v>5399</v>
      </c>
      <c r="B687" t="s">
        <v>5400</v>
      </c>
      <c r="C687" t="s">
        <v>5645</v>
      </c>
      <c r="D687" t="s">
        <v>1178</v>
      </c>
      <c r="E687" t="s">
        <v>6461</v>
      </c>
      <c r="F687" t="s">
        <v>13460</v>
      </c>
      <c r="G687" t="s">
        <v>13481</v>
      </c>
      <c r="H687" t="s">
        <v>13568</v>
      </c>
      <c r="I687" t="s">
        <v>6479</v>
      </c>
      <c r="J687" t="s">
        <v>13463</v>
      </c>
      <c r="K687">
        <v>2</v>
      </c>
      <c r="L687" t="s">
        <v>13499</v>
      </c>
      <c r="M687" t="s">
        <v>13540</v>
      </c>
      <c r="N687" t="str">
        <f>_xlfn.XLOOKUP(C:C,'Resource Table'!A:A,'Resource Table'!B:B,"NOT FOUND",0,1)</f>
        <v>Ralph Mann</v>
      </c>
      <c r="O687" t="str">
        <f>_xlfn.XLOOKUP(N:N,'Resource Table'!B:B,'Resource Table'!C:C,"n/a",0,1)</f>
        <v>rmann@ameritfleet.com</v>
      </c>
      <c r="P687" t="str">
        <f>_xlfn.XLOOKUP(N:N,'Resource Table'!B:B,'Resource Table'!D:D,"n/a",0,1)</f>
        <v>Vended Repair</v>
      </c>
    </row>
    <row r="688" spans="1:16" x14ac:dyDescent="0.45">
      <c r="A688" t="s">
        <v>5399</v>
      </c>
      <c r="B688" t="s">
        <v>5400</v>
      </c>
      <c r="C688" t="s">
        <v>5645</v>
      </c>
      <c r="D688" t="s">
        <v>811</v>
      </c>
      <c r="E688" t="s">
        <v>6462</v>
      </c>
      <c r="F688" t="s">
        <v>13460</v>
      </c>
      <c r="G688" t="s">
        <v>13481</v>
      </c>
      <c r="H688" t="s">
        <v>13490</v>
      </c>
      <c r="I688" t="s">
        <v>6479</v>
      </c>
      <c r="J688" t="s">
        <v>13463</v>
      </c>
      <c r="K688">
        <v>2</v>
      </c>
      <c r="L688" t="s">
        <v>13552</v>
      </c>
      <c r="M688" t="s">
        <v>13505</v>
      </c>
      <c r="N688" t="str">
        <f>_xlfn.XLOOKUP(C:C,'Resource Table'!A:A,'Resource Table'!B:B,"NOT FOUND",0,1)</f>
        <v>Ralph Mann</v>
      </c>
      <c r="O688" t="str">
        <f>_xlfn.XLOOKUP(N:N,'Resource Table'!B:B,'Resource Table'!C:C,"n/a",0,1)</f>
        <v>rmann@ameritfleet.com</v>
      </c>
      <c r="P688" t="str">
        <f>_xlfn.XLOOKUP(N:N,'Resource Table'!B:B,'Resource Table'!D:D,"n/a",0,1)</f>
        <v>Vended Repair</v>
      </c>
    </row>
    <row r="689" spans="1:16" x14ac:dyDescent="0.45">
      <c r="A689" t="s">
        <v>5399</v>
      </c>
      <c r="B689" t="s">
        <v>5400</v>
      </c>
      <c r="C689" t="s">
        <v>5645</v>
      </c>
      <c r="D689" t="s">
        <v>2075</v>
      </c>
      <c r="E689" t="s">
        <v>6451</v>
      </c>
      <c r="F689" t="s">
        <v>13473</v>
      </c>
      <c r="G689" t="s">
        <v>13474</v>
      </c>
      <c r="H689" t="s">
        <v>13475</v>
      </c>
      <c r="I689" t="s">
        <v>6479</v>
      </c>
      <c r="J689" t="s">
        <v>13463</v>
      </c>
      <c r="K689">
        <v>2</v>
      </c>
      <c r="L689" t="s">
        <v>13466</v>
      </c>
      <c r="M689" t="s">
        <v>13570</v>
      </c>
      <c r="N689" t="str">
        <f>_xlfn.XLOOKUP(C:C,'Resource Table'!A:A,'Resource Table'!B:B,"NOT FOUND",0,1)</f>
        <v>Ralph Mann</v>
      </c>
      <c r="O689" t="str">
        <f>_xlfn.XLOOKUP(N:N,'Resource Table'!B:B,'Resource Table'!C:C,"n/a",0,1)</f>
        <v>rmann@ameritfleet.com</v>
      </c>
      <c r="P689" t="str">
        <f>_xlfn.XLOOKUP(N:N,'Resource Table'!B:B,'Resource Table'!D:D,"n/a",0,1)</f>
        <v>Vended Repair</v>
      </c>
    </row>
    <row r="690" spans="1:16" x14ac:dyDescent="0.45">
      <c r="A690" t="s">
        <v>5399</v>
      </c>
      <c r="B690" t="s">
        <v>5410</v>
      </c>
      <c r="C690" t="s">
        <v>5503</v>
      </c>
      <c r="D690" t="s">
        <v>2065</v>
      </c>
      <c r="E690" t="s">
        <v>6451</v>
      </c>
      <c r="F690" t="s">
        <v>13473</v>
      </c>
      <c r="G690" t="s">
        <v>13474</v>
      </c>
      <c r="H690" t="s">
        <v>13492</v>
      </c>
      <c r="I690" t="s">
        <v>6479</v>
      </c>
      <c r="J690" t="s">
        <v>13463</v>
      </c>
      <c r="K690">
        <v>3</v>
      </c>
      <c r="L690" t="s">
        <v>13530</v>
      </c>
      <c r="M690" t="s">
        <v>13535</v>
      </c>
      <c r="N690" t="str">
        <f>_xlfn.XLOOKUP(C:C,'Resource Table'!A:A,'Resource Table'!B:B,"NOT FOUND",0,1)</f>
        <v>Dedicated</v>
      </c>
      <c r="O690" t="str">
        <f>_xlfn.XLOOKUP(N:N,'Resource Table'!B:B,'Resource Table'!C:C,"n/a",0,1)</f>
        <v>AFS Dedicated Tech</v>
      </c>
      <c r="P690" t="str">
        <f>_xlfn.XLOOKUP(N:N,'Resource Table'!B:B,'Resource Table'!D:D,"n/a",0,1)</f>
        <v>Dedicated</v>
      </c>
    </row>
    <row r="691" spans="1:16" x14ac:dyDescent="0.45">
      <c r="A691" t="s">
        <v>5399</v>
      </c>
      <c r="B691" t="s">
        <v>5410</v>
      </c>
      <c r="C691" t="s">
        <v>5503</v>
      </c>
      <c r="D691" t="s">
        <v>3247</v>
      </c>
      <c r="E691" t="s">
        <v>6451</v>
      </c>
      <c r="F691" t="s">
        <v>13473</v>
      </c>
      <c r="G691" t="s">
        <v>13474</v>
      </c>
      <c r="H691" t="s">
        <v>13517</v>
      </c>
      <c r="I691" t="s">
        <v>6479</v>
      </c>
      <c r="J691" t="s">
        <v>13463</v>
      </c>
      <c r="K691">
        <v>0</v>
      </c>
      <c r="L691" t="s">
        <v>20</v>
      </c>
      <c r="M691" t="s">
        <v>20</v>
      </c>
      <c r="N691" t="str">
        <f>_xlfn.XLOOKUP(C:C,'Resource Table'!A:A,'Resource Table'!B:B,"NOT FOUND",0,1)</f>
        <v>Dedicated</v>
      </c>
      <c r="O691" t="str">
        <f>_xlfn.XLOOKUP(N:N,'Resource Table'!B:B,'Resource Table'!C:C,"n/a",0,1)</f>
        <v>AFS Dedicated Tech</v>
      </c>
      <c r="P691" t="str">
        <f>_xlfn.XLOOKUP(N:N,'Resource Table'!B:B,'Resource Table'!D:D,"n/a",0,1)</f>
        <v>Dedicated</v>
      </c>
    </row>
    <row r="692" spans="1:16" x14ac:dyDescent="0.45">
      <c r="A692" t="s">
        <v>5399</v>
      </c>
      <c r="B692" t="s">
        <v>5410</v>
      </c>
      <c r="C692" t="s">
        <v>5503</v>
      </c>
      <c r="D692" t="s">
        <v>2641</v>
      </c>
      <c r="E692" t="s">
        <v>6451</v>
      </c>
      <c r="F692" t="s">
        <v>13473</v>
      </c>
      <c r="G692" t="s">
        <v>13474</v>
      </c>
      <c r="H692" t="s">
        <v>13521</v>
      </c>
      <c r="I692" t="s">
        <v>6479</v>
      </c>
      <c r="J692" t="s">
        <v>13463</v>
      </c>
      <c r="K692">
        <v>2</v>
      </c>
      <c r="L692" t="s">
        <v>13543</v>
      </c>
      <c r="M692" t="s">
        <v>13507</v>
      </c>
      <c r="N692" t="str">
        <f>_xlfn.XLOOKUP(C:C,'Resource Table'!A:A,'Resource Table'!B:B,"NOT FOUND",0,1)</f>
        <v>Dedicated</v>
      </c>
      <c r="O692" t="str">
        <f>_xlfn.XLOOKUP(N:N,'Resource Table'!B:B,'Resource Table'!C:C,"n/a",0,1)</f>
        <v>AFS Dedicated Tech</v>
      </c>
      <c r="P692" t="str">
        <f>_xlfn.XLOOKUP(N:N,'Resource Table'!B:B,'Resource Table'!D:D,"n/a",0,1)</f>
        <v>Dedicated</v>
      </c>
    </row>
    <row r="693" spans="1:16" x14ac:dyDescent="0.45">
      <c r="A693" t="s">
        <v>5399</v>
      </c>
      <c r="B693" t="s">
        <v>5410</v>
      </c>
      <c r="C693" t="s">
        <v>5503</v>
      </c>
      <c r="D693" t="s">
        <v>2415</v>
      </c>
      <c r="E693" t="s">
        <v>6461</v>
      </c>
      <c r="F693" t="s">
        <v>13460</v>
      </c>
      <c r="G693" t="s">
        <v>13538</v>
      </c>
      <c r="H693" t="s">
        <v>13539</v>
      </c>
      <c r="I693" t="s">
        <v>6479</v>
      </c>
      <c r="J693" t="s">
        <v>13486</v>
      </c>
      <c r="K693">
        <v>3</v>
      </c>
      <c r="L693" t="s">
        <v>13483</v>
      </c>
      <c r="M693" t="s">
        <v>13464</v>
      </c>
      <c r="N693" t="str">
        <f>_xlfn.XLOOKUP(C:C,'Resource Table'!A:A,'Resource Table'!B:B,"NOT FOUND",0,1)</f>
        <v>Dedicated</v>
      </c>
      <c r="O693" t="str">
        <f>_xlfn.XLOOKUP(N:N,'Resource Table'!B:B,'Resource Table'!C:C,"n/a",0,1)</f>
        <v>AFS Dedicated Tech</v>
      </c>
      <c r="P693" t="str">
        <f>_xlfn.XLOOKUP(N:N,'Resource Table'!B:B,'Resource Table'!D:D,"n/a",0,1)</f>
        <v>Dedicated</v>
      </c>
    </row>
    <row r="694" spans="1:16" x14ac:dyDescent="0.45">
      <c r="A694" t="s">
        <v>5399</v>
      </c>
      <c r="B694" t="s">
        <v>5410</v>
      </c>
      <c r="C694" t="s">
        <v>5503</v>
      </c>
      <c r="D694" t="s">
        <v>1761</v>
      </c>
      <c r="E694" t="s">
        <v>6451</v>
      </c>
      <c r="F694" t="s">
        <v>13460</v>
      </c>
      <c r="G694" t="s">
        <v>13461</v>
      </c>
      <c r="H694" t="s">
        <v>13465</v>
      </c>
      <c r="I694" t="s">
        <v>6479</v>
      </c>
      <c r="J694" t="s">
        <v>13463</v>
      </c>
      <c r="K694">
        <v>1</v>
      </c>
      <c r="L694" t="s">
        <v>13561</v>
      </c>
      <c r="M694" t="s">
        <v>13464</v>
      </c>
      <c r="N694" t="str">
        <f>_xlfn.XLOOKUP(C:C,'Resource Table'!A:A,'Resource Table'!B:B,"NOT FOUND",0,1)</f>
        <v>Dedicated</v>
      </c>
      <c r="O694" t="str">
        <f>_xlfn.XLOOKUP(N:N,'Resource Table'!B:B,'Resource Table'!C:C,"n/a",0,1)</f>
        <v>AFS Dedicated Tech</v>
      </c>
      <c r="P694" t="str">
        <f>_xlfn.XLOOKUP(N:N,'Resource Table'!B:B,'Resource Table'!D:D,"n/a",0,1)</f>
        <v>Dedicated</v>
      </c>
    </row>
    <row r="695" spans="1:16" x14ac:dyDescent="0.45">
      <c r="A695" t="s">
        <v>5399</v>
      </c>
      <c r="B695" t="s">
        <v>5410</v>
      </c>
      <c r="C695" t="s">
        <v>5503</v>
      </c>
      <c r="D695" t="s">
        <v>851</v>
      </c>
      <c r="E695" t="s">
        <v>6451</v>
      </c>
      <c r="F695" t="s">
        <v>13473</v>
      </c>
      <c r="G695" t="s">
        <v>13474</v>
      </c>
      <c r="H695" t="s">
        <v>13517</v>
      </c>
      <c r="I695" t="s">
        <v>6479</v>
      </c>
      <c r="J695" t="s">
        <v>13463</v>
      </c>
      <c r="K695">
        <v>5</v>
      </c>
      <c r="L695" t="s">
        <v>13529</v>
      </c>
      <c r="M695" t="s">
        <v>13507</v>
      </c>
      <c r="N695" t="str">
        <f>_xlfn.XLOOKUP(C:C,'Resource Table'!A:A,'Resource Table'!B:B,"NOT FOUND",0,1)</f>
        <v>Dedicated</v>
      </c>
      <c r="O695" t="str">
        <f>_xlfn.XLOOKUP(N:N,'Resource Table'!B:B,'Resource Table'!C:C,"n/a",0,1)</f>
        <v>AFS Dedicated Tech</v>
      </c>
      <c r="P695" t="str">
        <f>_xlfn.XLOOKUP(N:N,'Resource Table'!B:B,'Resource Table'!D:D,"n/a",0,1)</f>
        <v>Dedicated</v>
      </c>
    </row>
    <row r="696" spans="1:16" x14ac:dyDescent="0.45">
      <c r="A696" t="s">
        <v>5399</v>
      </c>
      <c r="B696" t="s">
        <v>5410</v>
      </c>
      <c r="C696" t="s">
        <v>5503</v>
      </c>
      <c r="D696" t="s">
        <v>2135</v>
      </c>
      <c r="E696" t="s">
        <v>6451</v>
      </c>
      <c r="F696" t="s">
        <v>13460</v>
      </c>
      <c r="G696" t="s">
        <v>13476</v>
      </c>
      <c r="H696" t="s">
        <v>13477</v>
      </c>
      <c r="I696" t="s">
        <v>6479</v>
      </c>
      <c r="J696" t="s">
        <v>13463</v>
      </c>
      <c r="K696">
        <v>1</v>
      </c>
      <c r="L696" t="s">
        <v>13529</v>
      </c>
      <c r="M696" t="s">
        <v>13464</v>
      </c>
      <c r="N696" t="str">
        <f>_xlfn.XLOOKUP(C:C,'Resource Table'!A:A,'Resource Table'!B:B,"NOT FOUND",0,1)</f>
        <v>Dedicated</v>
      </c>
      <c r="O696" t="str">
        <f>_xlfn.XLOOKUP(N:N,'Resource Table'!B:B,'Resource Table'!C:C,"n/a",0,1)</f>
        <v>AFS Dedicated Tech</v>
      </c>
      <c r="P696" t="str">
        <f>_xlfn.XLOOKUP(N:N,'Resource Table'!B:B,'Resource Table'!D:D,"n/a",0,1)</f>
        <v>Dedicated</v>
      </c>
    </row>
    <row r="697" spans="1:16" x14ac:dyDescent="0.45">
      <c r="A697" t="s">
        <v>5399</v>
      </c>
      <c r="B697" t="s">
        <v>5410</v>
      </c>
      <c r="C697" t="s">
        <v>5503</v>
      </c>
      <c r="D697" t="s">
        <v>1367</v>
      </c>
      <c r="E697" t="s">
        <v>6461</v>
      </c>
      <c r="F697" t="s">
        <v>13460</v>
      </c>
      <c r="G697" t="s">
        <v>13481</v>
      </c>
      <c r="H697" t="s">
        <v>13482</v>
      </c>
      <c r="I697" t="s">
        <v>6479</v>
      </c>
      <c r="J697" t="s">
        <v>13486</v>
      </c>
      <c r="K697">
        <v>6</v>
      </c>
      <c r="L697" t="s">
        <v>13532</v>
      </c>
      <c r="M697" t="s">
        <v>13464</v>
      </c>
      <c r="N697" t="str">
        <f>_xlfn.XLOOKUP(C:C,'Resource Table'!A:A,'Resource Table'!B:B,"NOT FOUND",0,1)</f>
        <v>Dedicated</v>
      </c>
      <c r="O697" t="str">
        <f>_xlfn.XLOOKUP(N:N,'Resource Table'!B:B,'Resource Table'!C:C,"n/a",0,1)</f>
        <v>AFS Dedicated Tech</v>
      </c>
      <c r="P697" t="str">
        <f>_xlfn.XLOOKUP(N:N,'Resource Table'!B:B,'Resource Table'!D:D,"n/a",0,1)</f>
        <v>Dedicated</v>
      </c>
    </row>
    <row r="698" spans="1:16" x14ac:dyDescent="0.45">
      <c r="A698" t="s">
        <v>5399</v>
      </c>
      <c r="B698" t="s">
        <v>5410</v>
      </c>
      <c r="C698" t="s">
        <v>5503</v>
      </c>
      <c r="D698" t="s">
        <v>224</v>
      </c>
      <c r="E698" t="s">
        <v>6461</v>
      </c>
      <c r="F698" t="s">
        <v>13460</v>
      </c>
      <c r="G698" t="s">
        <v>13481</v>
      </c>
      <c r="H698" t="s">
        <v>13490</v>
      </c>
      <c r="I698" t="s">
        <v>29</v>
      </c>
      <c r="J698" t="s">
        <v>13486</v>
      </c>
      <c r="K698">
        <v>30</v>
      </c>
      <c r="L698" t="s">
        <v>13530</v>
      </c>
      <c r="M698" t="s">
        <v>13544</v>
      </c>
      <c r="N698" t="str">
        <f>_xlfn.XLOOKUP(C:C,'Resource Table'!A:A,'Resource Table'!B:B,"NOT FOUND",0,1)</f>
        <v>Dedicated</v>
      </c>
      <c r="O698" t="str">
        <f>_xlfn.XLOOKUP(N:N,'Resource Table'!B:B,'Resource Table'!C:C,"n/a",0,1)</f>
        <v>AFS Dedicated Tech</v>
      </c>
      <c r="P698" t="str">
        <f>_xlfn.XLOOKUP(N:N,'Resource Table'!B:B,'Resource Table'!D:D,"n/a",0,1)</f>
        <v>Dedicated</v>
      </c>
    </row>
    <row r="699" spans="1:16" x14ac:dyDescent="0.45">
      <c r="A699" t="s">
        <v>5399</v>
      </c>
      <c r="B699" t="s">
        <v>5410</v>
      </c>
      <c r="C699" t="s">
        <v>5503</v>
      </c>
      <c r="D699" t="s">
        <v>1903</v>
      </c>
      <c r="E699" t="s">
        <v>6451</v>
      </c>
      <c r="F699" t="s">
        <v>13460</v>
      </c>
      <c r="G699" t="s">
        <v>13461</v>
      </c>
      <c r="H699" t="s">
        <v>13471</v>
      </c>
      <c r="I699" t="s">
        <v>6479</v>
      </c>
      <c r="J699" t="s">
        <v>13463</v>
      </c>
      <c r="K699">
        <v>1</v>
      </c>
      <c r="L699" t="s">
        <v>13561</v>
      </c>
      <c r="M699" t="s">
        <v>13464</v>
      </c>
      <c r="N699" t="str">
        <f>_xlfn.XLOOKUP(C:C,'Resource Table'!A:A,'Resource Table'!B:B,"NOT FOUND",0,1)</f>
        <v>Dedicated</v>
      </c>
      <c r="O699" t="str">
        <f>_xlfn.XLOOKUP(N:N,'Resource Table'!B:B,'Resource Table'!C:C,"n/a",0,1)</f>
        <v>AFS Dedicated Tech</v>
      </c>
      <c r="P699" t="str">
        <f>_xlfn.XLOOKUP(N:N,'Resource Table'!B:B,'Resource Table'!D:D,"n/a",0,1)</f>
        <v>Dedicated</v>
      </c>
    </row>
    <row r="700" spans="1:16" x14ac:dyDescent="0.45">
      <c r="A700" t="s">
        <v>5399</v>
      </c>
      <c r="B700" t="s">
        <v>5412</v>
      </c>
      <c r="C700" t="s">
        <v>5531</v>
      </c>
      <c r="D700" t="s">
        <v>5482</v>
      </c>
      <c r="E700" t="s">
        <v>6451</v>
      </c>
      <c r="F700" t="s">
        <v>13473</v>
      </c>
      <c r="G700" t="s">
        <v>13474</v>
      </c>
      <c r="H700" t="s">
        <v>13517</v>
      </c>
      <c r="I700" t="s">
        <v>6479</v>
      </c>
      <c r="J700" t="s">
        <v>13463</v>
      </c>
      <c r="K700">
        <v>1</v>
      </c>
      <c r="L700" t="s">
        <v>13524</v>
      </c>
      <c r="M700" t="s">
        <v>20</v>
      </c>
      <c r="N700" t="str">
        <f>_xlfn.XLOOKUP(C:C,'Resource Table'!A:A,'Resource Table'!B:B,"NOT FOUND",0,1)</f>
        <v>Ralph Mann</v>
      </c>
      <c r="O700" t="str">
        <f>_xlfn.XLOOKUP(N:N,'Resource Table'!B:B,'Resource Table'!C:C,"n/a",0,1)</f>
        <v>rmann@ameritfleet.com</v>
      </c>
      <c r="P700" t="str">
        <f>_xlfn.XLOOKUP(N:N,'Resource Table'!B:B,'Resource Table'!D:D,"n/a",0,1)</f>
        <v>Vended Repair</v>
      </c>
    </row>
    <row r="701" spans="1:16" x14ac:dyDescent="0.45">
      <c r="A701" t="s">
        <v>5399</v>
      </c>
      <c r="B701" t="s">
        <v>5412</v>
      </c>
      <c r="C701" t="s">
        <v>5531</v>
      </c>
      <c r="D701" t="s">
        <v>1074</v>
      </c>
      <c r="E701" t="s">
        <v>6451</v>
      </c>
      <c r="F701" t="s">
        <v>13460</v>
      </c>
      <c r="G701" t="s">
        <v>13476</v>
      </c>
      <c r="H701" t="s">
        <v>13477</v>
      </c>
      <c r="I701" t="s">
        <v>6479</v>
      </c>
      <c r="J701" t="s">
        <v>13463</v>
      </c>
      <c r="K701">
        <v>2</v>
      </c>
      <c r="L701" t="s">
        <v>13540</v>
      </c>
      <c r="M701" t="s">
        <v>13505</v>
      </c>
      <c r="N701" t="str">
        <f>_xlfn.XLOOKUP(C:C,'Resource Table'!A:A,'Resource Table'!B:B,"NOT FOUND",0,1)</f>
        <v>Ralph Mann</v>
      </c>
      <c r="O701" t="str">
        <f>_xlfn.XLOOKUP(N:N,'Resource Table'!B:B,'Resource Table'!C:C,"n/a",0,1)</f>
        <v>rmann@ameritfleet.com</v>
      </c>
      <c r="P701" t="str">
        <f>_xlfn.XLOOKUP(N:N,'Resource Table'!B:B,'Resource Table'!D:D,"n/a",0,1)</f>
        <v>Vended Repair</v>
      </c>
    </row>
    <row r="702" spans="1:16" x14ac:dyDescent="0.45">
      <c r="A702" t="s">
        <v>5399</v>
      </c>
      <c r="B702" t="s">
        <v>5412</v>
      </c>
      <c r="C702" t="s">
        <v>5531</v>
      </c>
      <c r="D702" t="s">
        <v>2250</v>
      </c>
      <c r="E702" t="s">
        <v>6461</v>
      </c>
      <c r="F702" t="s">
        <v>13460</v>
      </c>
      <c r="G702" t="s">
        <v>13481</v>
      </c>
      <c r="H702" t="s">
        <v>13522</v>
      </c>
      <c r="I702" t="s">
        <v>6479</v>
      </c>
      <c r="J702" t="s">
        <v>13463</v>
      </c>
      <c r="K702">
        <v>3</v>
      </c>
      <c r="L702" t="s">
        <v>13540</v>
      </c>
      <c r="M702" t="s">
        <v>13505</v>
      </c>
      <c r="N702" t="str">
        <f>_xlfn.XLOOKUP(C:C,'Resource Table'!A:A,'Resource Table'!B:B,"NOT FOUND",0,1)</f>
        <v>Ralph Mann</v>
      </c>
      <c r="O702" t="str">
        <f>_xlfn.XLOOKUP(N:N,'Resource Table'!B:B,'Resource Table'!C:C,"n/a",0,1)</f>
        <v>rmann@ameritfleet.com</v>
      </c>
      <c r="P702" t="str">
        <f>_xlfn.XLOOKUP(N:N,'Resource Table'!B:B,'Resource Table'!D:D,"n/a",0,1)</f>
        <v>Vended Repair</v>
      </c>
    </row>
    <row r="703" spans="1:16" x14ac:dyDescent="0.45">
      <c r="A703" t="s">
        <v>5399</v>
      </c>
      <c r="B703" t="s">
        <v>5412</v>
      </c>
      <c r="C703" t="s">
        <v>5531</v>
      </c>
      <c r="D703" t="s">
        <v>1130</v>
      </c>
      <c r="E703" t="s">
        <v>6461</v>
      </c>
      <c r="F703" t="s">
        <v>13460</v>
      </c>
      <c r="G703" t="s">
        <v>13481</v>
      </c>
      <c r="H703" t="s">
        <v>13568</v>
      </c>
      <c r="I703" t="s">
        <v>6479</v>
      </c>
      <c r="J703" t="s">
        <v>13463</v>
      </c>
      <c r="K703">
        <v>3</v>
      </c>
      <c r="L703" t="s">
        <v>13561</v>
      </c>
      <c r="M703" t="s">
        <v>13491</v>
      </c>
      <c r="N703" t="str">
        <f>_xlfn.XLOOKUP(C:C,'Resource Table'!A:A,'Resource Table'!B:B,"NOT FOUND",0,1)</f>
        <v>Ralph Mann</v>
      </c>
      <c r="O703" t="str">
        <f>_xlfn.XLOOKUP(N:N,'Resource Table'!B:B,'Resource Table'!C:C,"n/a",0,1)</f>
        <v>rmann@ameritfleet.com</v>
      </c>
      <c r="P703" t="str">
        <f>_xlfn.XLOOKUP(N:N,'Resource Table'!B:B,'Resource Table'!D:D,"n/a",0,1)</f>
        <v>Vended Repair</v>
      </c>
    </row>
    <row r="704" spans="1:16" x14ac:dyDescent="0.45">
      <c r="A704" t="s">
        <v>5399</v>
      </c>
      <c r="B704" t="s">
        <v>5412</v>
      </c>
      <c r="C704" t="s">
        <v>5531</v>
      </c>
      <c r="D704" t="s">
        <v>1165</v>
      </c>
      <c r="E704" t="s">
        <v>6451</v>
      </c>
      <c r="F704" t="s">
        <v>13473</v>
      </c>
      <c r="G704" t="s">
        <v>13474</v>
      </c>
      <c r="H704" t="s">
        <v>13492</v>
      </c>
      <c r="I704" t="s">
        <v>6479</v>
      </c>
      <c r="J704" t="s">
        <v>13463</v>
      </c>
      <c r="K704">
        <v>3</v>
      </c>
      <c r="L704" t="s">
        <v>13540</v>
      </c>
      <c r="M704" t="s">
        <v>13505</v>
      </c>
      <c r="N704" t="str">
        <f>_xlfn.XLOOKUP(C:C,'Resource Table'!A:A,'Resource Table'!B:B,"NOT FOUND",0,1)</f>
        <v>Ralph Mann</v>
      </c>
      <c r="O704" t="str">
        <f>_xlfn.XLOOKUP(N:N,'Resource Table'!B:B,'Resource Table'!C:C,"n/a",0,1)</f>
        <v>rmann@ameritfleet.com</v>
      </c>
      <c r="P704" t="str">
        <f>_xlfn.XLOOKUP(N:N,'Resource Table'!B:B,'Resource Table'!D:D,"n/a",0,1)</f>
        <v>Vended Repair</v>
      </c>
    </row>
    <row r="705" spans="1:16" x14ac:dyDescent="0.45">
      <c r="A705" t="s">
        <v>5399</v>
      </c>
      <c r="B705" t="s">
        <v>5412</v>
      </c>
      <c r="C705" t="s">
        <v>5531</v>
      </c>
      <c r="D705" t="s">
        <v>2584</v>
      </c>
      <c r="E705" t="s">
        <v>6451</v>
      </c>
      <c r="F705" t="s">
        <v>13473</v>
      </c>
      <c r="G705" t="s">
        <v>13474</v>
      </c>
      <c r="H705" t="s">
        <v>13475</v>
      </c>
      <c r="I705" t="s">
        <v>6479</v>
      </c>
      <c r="J705" t="s">
        <v>13463</v>
      </c>
      <c r="K705">
        <v>3</v>
      </c>
      <c r="L705" t="s">
        <v>13540</v>
      </c>
      <c r="M705" t="s">
        <v>13505</v>
      </c>
      <c r="N705" t="str">
        <f>_xlfn.XLOOKUP(C:C,'Resource Table'!A:A,'Resource Table'!B:B,"NOT FOUND",0,1)</f>
        <v>Ralph Mann</v>
      </c>
      <c r="O705" t="str">
        <f>_xlfn.XLOOKUP(N:N,'Resource Table'!B:B,'Resource Table'!C:C,"n/a",0,1)</f>
        <v>rmann@ameritfleet.com</v>
      </c>
      <c r="P705" t="str">
        <f>_xlfn.XLOOKUP(N:N,'Resource Table'!B:B,'Resource Table'!D:D,"n/a",0,1)</f>
        <v>Vended Repair</v>
      </c>
    </row>
    <row r="706" spans="1:16" x14ac:dyDescent="0.45">
      <c r="A706" t="s">
        <v>5399</v>
      </c>
      <c r="B706" t="s">
        <v>5412</v>
      </c>
      <c r="C706" t="s">
        <v>5531</v>
      </c>
      <c r="D706" t="s">
        <v>1127</v>
      </c>
      <c r="E706" t="s">
        <v>6461</v>
      </c>
      <c r="F706" t="s">
        <v>13460</v>
      </c>
      <c r="G706" t="s">
        <v>13481</v>
      </c>
      <c r="H706" t="s">
        <v>13518</v>
      </c>
      <c r="I706" t="s">
        <v>6479</v>
      </c>
      <c r="J706" t="s">
        <v>13463</v>
      </c>
      <c r="K706">
        <v>4</v>
      </c>
      <c r="L706" t="s">
        <v>13542</v>
      </c>
      <c r="M706" t="s">
        <v>13505</v>
      </c>
      <c r="N706" t="str">
        <f>_xlfn.XLOOKUP(C:C,'Resource Table'!A:A,'Resource Table'!B:B,"NOT FOUND",0,1)</f>
        <v>Ralph Mann</v>
      </c>
      <c r="O706" t="str">
        <f>_xlfn.XLOOKUP(N:N,'Resource Table'!B:B,'Resource Table'!C:C,"n/a",0,1)</f>
        <v>rmann@ameritfleet.com</v>
      </c>
      <c r="P706" t="str">
        <f>_xlfn.XLOOKUP(N:N,'Resource Table'!B:B,'Resource Table'!D:D,"n/a",0,1)</f>
        <v>Vended Repair</v>
      </c>
    </row>
    <row r="707" spans="1:16" x14ac:dyDescent="0.45">
      <c r="A707" t="s">
        <v>5399</v>
      </c>
      <c r="B707" t="s">
        <v>5412</v>
      </c>
      <c r="C707" t="s">
        <v>5531</v>
      </c>
      <c r="D707" t="s">
        <v>1038</v>
      </c>
      <c r="E707" t="s">
        <v>6451</v>
      </c>
      <c r="F707" t="s">
        <v>13473</v>
      </c>
      <c r="G707" t="s">
        <v>13474</v>
      </c>
      <c r="H707" t="s">
        <v>13475</v>
      </c>
      <c r="I707" t="s">
        <v>6479</v>
      </c>
      <c r="J707" t="s">
        <v>13463</v>
      </c>
      <c r="K707">
        <v>2</v>
      </c>
      <c r="L707" t="s">
        <v>13540</v>
      </c>
      <c r="M707" t="s">
        <v>13505</v>
      </c>
      <c r="N707" t="str">
        <f>_xlfn.XLOOKUP(C:C,'Resource Table'!A:A,'Resource Table'!B:B,"NOT FOUND",0,1)</f>
        <v>Ralph Mann</v>
      </c>
      <c r="O707" t="str">
        <f>_xlfn.XLOOKUP(N:N,'Resource Table'!B:B,'Resource Table'!C:C,"n/a",0,1)</f>
        <v>rmann@ameritfleet.com</v>
      </c>
      <c r="P707" t="str">
        <f>_xlfn.XLOOKUP(N:N,'Resource Table'!B:B,'Resource Table'!D:D,"n/a",0,1)</f>
        <v>Vended Repair</v>
      </c>
    </row>
    <row r="708" spans="1:16" x14ac:dyDescent="0.45">
      <c r="A708" t="s">
        <v>5399</v>
      </c>
      <c r="B708" t="s">
        <v>5412</v>
      </c>
      <c r="C708" t="s">
        <v>5489</v>
      </c>
      <c r="D708" t="s">
        <v>578</v>
      </c>
      <c r="E708" t="s">
        <v>6451</v>
      </c>
      <c r="F708" t="s">
        <v>13473</v>
      </c>
      <c r="G708" t="s">
        <v>13474</v>
      </c>
      <c r="H708" t="s">
        <v>13517</v>
      </c>
      <c r="I708" t="s">
        <v>6479</v>
      </c>
      <c r="J708" t="s">
        <v>13463</v>
      </c>
      <c r="K708">
        <v>2</v>
      </c>
      <c r="L708" t="s">
        <v>13540</v>
      </c>
      <c r="M708" t="s">
        <v>13505</v>
      </c>
      <c r="N708" t="str">
        <f>_xlfn.XLOOKUP(C:C,'Resource Table'!A:A,'Resource Table'!B:B,"NOT FOUND",0,1)</f>
        <v>Ralph Mann</v>
      </c>
      <c r="O708" t="str">
        <f>_xlfn.XLOOKUP(N:N,'Resource Table'!B:B,'Resource Table'!C:C,"n/a",0,1)</f>
        <v>rmann@ameritfleet.com</v>
      </c>
      <c r="P708" t="str">
        <f>_xlfn.XLOOKUP(N:N,'Resource Table'!B:B,'Resource Table'!D:D,"n/a",0,1)</f>
        <v>Vended Repair</v>
      </c>
    </row>
    <row r="709" spans="1:16" x14ac:dyDescent="0.45">
      <c r="A709" t="s">
        <v>5399</v>
      </c>
      <c r="B709" t="s">
        <v>5412</v>
      </c>
      <c r="C709" t="s">
        <v>5489</v>
      </c>
      <c r="D709" t="s">
        <v>871</v>
      </c>
      <c r="E709" t="s">
        <v>6461</v>
      </c>
      <c r="F709" t="s">
        <v>13460</v>
      </c>
      <c r="G709" t="s">
        <v>13481</v>
      </c>
      <c r="H709" t="s">
        <v>13482</v>
      </c>
      <c r="I709" t="s">
        <v>29</v>
      </c>
      <c r="J709" t="s">
        <v>13463</v>
      </c>
      <c r="K709">
        <v>1</v>
      </c>
      <c r="L709" t="s">
        <v>13542</v>
      </c>
      <c r="M709" t="s">
        <v>13505</v>
      </c>
      <c r="N709" t="str">
        <f>_xlfn.XLOOKUP(C:C,'Resource Table'!A:A,'Resource Table'!B:B,"NOT FOUND",0,1)</f>
        <v>Ralph Mann</v>
      </c>
      <c r="O709" t="str">
        <f>_xlfn.XLOOKUP(N:N,'Resource Table'!B:B,'Resource Table'!C:C,"n/a",0,1)</f>
        <v>rmann@ameritfleet.com</v>
      </c>
      <c r="P709" t="str">
        <f>_xlfn.XLOOKUP(N:N,'Resource Table'!B:B,'Resource Table'!D:D,"n/a",0,1)</f>
        <v>Vended Repair</v>
      </c>
    </row>
    <row r="710" spans="1:16" x14ac:dyDescent="0.45">
      <c r="A710" t="s">
        <v>5399</v>
      </c>
      <c r="B710" t="s">
        <v>5412</v>
      </c>
      <c r="C710" t="s">
        <v>5489</v>
      </c>
      <c r="D710" t="s">
        <v>2209</v>
      </c>
      <c r="E710" t="s">
        <v>6451</v>
      </c>
      <c r="F710" t="s">
        <v>13473</v>
      </c>
      <c r="G710" t="s">
        <v>13474</v>
      </c>
      <c r="H710" t="s">
        <v>13517</v>
      </c>
      <c r="I710" t="s">
        <v>6479</v>
      </c>
      <c r="J710" t="s">
        <v>13463</v>
      </c>
      <c r="K710">
        <v>2</v>
      </c>
      <c r="L710" t="s">
        <v>13540</v>
      </c>
      <c r="M710" t="s">
        <v>13505</v>
      </c>
      <c r="N710" t="str">
        <f>_xlfn.XLOOKUP(C:C,'Resource Table'!A:A,'Resource Table'!B:B,"NOT FOUND",0,1)</f>
        <v>Ralph Mann</v>
      </c>
      <c r="O710" t="str">
        <f>_xlfn.XLOOKUP(N:N,'Resource Table'!B:B,'Resource Table'!C:C,"n/a",0,1)</f>
        <v>rmann@ameritfleet.com</v>
      </c>
      <c r="P710" t="str">
        <f>_xlfn.XLOOKUP(N:N,'Resource Table'!B:B,'Resource Table'!D:D,"n/a",0,1)</f>
        <v>Vended Repair</v>
      </c>
    </row>
    <row r="711" spans="1:16" x14ac:dyDescent="0.45">
      <c r="A711" t="s">
        <v>5399</v>
      </c>
      <c r="B711" t="s">
        <v>5412</v>
      </c>
      <c r="C711" t="s">
        <v>5489</v>
      </c>
      <c r="D711" t="s">
        <v>141</v>
      </c>
      <c r="E711" t="s">
        <v>6461</v>
      </c>
      <c r="F711" t="s">
        <v>13460</v>
      </c>
      <c r="G711" t="s">
        <v>13481</v>
      </c>
      <c r="H711" t="s">
        <v>13490</v>
      </c>
      <c r="I711" t="s">
        <v>6479</v>
      </c>
      <c r="J711" t="s">
        <v>13463</v>
      </c>
      <c r="K711">
        <v>4</v>
      </c>
      <c r="L711" t="s">
        <v>13540</v>
      </c>
      <c r="M711" t="s">
        <v>13505</v>
      </c>
      <c r="N711" t="str">
        <f>_xlfn.XLOOKUP(C:C,'Resource Table'!A:A,'Resource Table'!B:B,"NOT FOUND",0,1)</f>
        <v>Ralph Mann</v>
      </c>
      <c r="O711" t="str">
        <f>_xlfn.XLOOKUP(N:N,'Resource Table'!B:B,'Resource Table'!C:C,"n/a",0,1)</f>
        <v>rmann@ameritfleet.com</v>
      </c>
      <c r="P711" t="str">
        <f>_xlfn.XLOOKUP(N:N,'Resource Table'!B:B,'Resource Table'!D:D,"n/a",0,1)</f>
        <v>Vended Repair</v>
      </c>
    </row>
    <row r="712" spans="1:16" x14ac:dyDescent="0.45">
      <c r="A712" t="s">
        <v>5399</v>
      </c>
      <c r="B712" t="s">
        <v>5412</v>
      </c>
      <c r="C712" t="s">
        <v>5489</v>
      </c>
      <c r="D712" t="s">
        <v>1669</v>
      </c>
      <c r="E712" t="s">
        <v>6461</v>
      </c>
      <c r="F712" t="s">
        <v>13460</v>
      </c>
      <c r="G712" t="s">
        <v>13481</v>
      </c>
      <c r="H712" t="s">
        <v>13568</v>
      </c>
      <c r="I712" t="s">
        <v>6479</v>
      </c>
      <c r="J712" t="s">
        <v>13463</v>
      </c>
      <c r="K712">
        <v>4</v>
      </c>
      <c r="L712" t="s">
        <v>13540</v>
      </c>
      <c r="M712" t="s">
        <v>13505</v>
      </c>
      <c r="N712" t="str">
        <f>_xlfn.XLOOKUP(C:C,'Resource Table'!A:A,'Resource Table'!B:B,"NOT FOUND",0,1)</f>
        <v>Ralph Mann</v>
      </c>
      <c r="O712" t="str">
        <f>_xlfn.XLOOKUP(N:N,'Resource Table'!B:B,'Resource Table'!C:C,"n/a",0,1)</f>
        <v>rmann@ameritfleet.com</v>
      </c>
      <c r="P712" t="str">
        <f>_xlfn.XLOOKUP(N:N,'Resource Table'!B:B,'Resource Table'!D:D,"n/a",0,1)</f>
        <v>Vended Repair</v>
      </c>
    </row>
    <row r="713" spans="1:16" x14ac:dyDescent="0.45">
      <c r="A713" t="s">
        <v>5399</v>
      </c>
      <c r="B713" t="s">
        <v>5412</v>
      </c>
      <c r="C713" t="s">
        <v>5489</v>
      </c>
      <c r="D713" t="s">
        <v>2361</v>
      </c>
      <c r="E713" t="s">
        <v>6451</v>
      </c>
      <c r="F713" t="s">
        <v>13460</v>
      </c>
      <c r="G713" t="s">
        <v>13461</v>
      </c>
      <c r="H713" t="s">
        <v>13465</v>
      </c>
      <c r="I713" t="s">
        <v>6479</v>
      </c>
      <c r="J713" t="s">
        <v>13463</v>
      </c>
      <c r="K713">
        <v>2</v>
      </c>
      <c r="L713" t="s">
        <v>13540</v>
      </c>
      <c r="M713" t="s">
        <v>13505</v>
      </c>
      <c r="N713" t="str">
        <f>_xlfn.XLOOKUP(C:C,'Resource Table'!A:A,'Resource Table'!B:B,"NOT FOUND",0,1)</f>
        <v>Ralph Mann</v>
      </c>
      <c r="O713" t="str">
        <f>_xlfn.XLOOKUP(N:N,'Resource Table'!B:B,'Resource Table'!C:C,"n/a",0,1)</f>
        <v>rmann@ameritfleet.com</v>
      </c>
      <c r="P713" t="str">
        <f>_xlfn.XLOOKUP(N:N,'Resource Table'!B:B,'Resource Table'!D:D,"n/a",0,1)</f>
        <v>Vended Repair</v>
      </c>
    </row>
    <row r="714" spans="1:16" x14ac:dyDescent="0.45">
      <c r="A714" t="s">
        <v>5399</v>
      </c>
      <c r="B714" t="s">
        <v>5400</v>
      </c>
      <c r="C714" t="s">
        <v>5610</v>
      </c>
      <c r="D714" t="s">
        <v>5738</v>
      </c>
      <c r="E714" t="s">
        <v>6451</v>
      </c>
      <c r="F714" t="s">
        <v>13473</v>
      </c>
      <c r="G714" t="s">
        <v>13474</v>
      </c>
      <c r="H714" t="s">
        <v>13517</v>
      </c>
      <c r="I714" t="s">
        <v>6479</v>
      </c>
      <c r="J714" t="s">
        <v>13463</v>
      </c>
      <c r="K714">
        <v>0</v>
      </c>
      <c r="L714" t="s">
        <v>20</v>
      </c>
      <c r="M714" t="s">
        <v>20</v>
      </c>
      <c r="N714" t="str">
        <f>_xlfn.XLOOKUP(C:C,'Resource Table'!A:A,'Resource Table'!B:B,"NOT FOUND",0,1)</f>
        <v>Ralph Mann</v>
      </c>
      <c r="O714" t="str">
        <f>_xlfn.XLOOKUP(N:N,'Resource Table'!B:B,'Resource Table'!C:C,"n/a",0,1)</f>
        <v>rmann@ameritfleet.com</v>
      </c>
      <c r="P714" t="str">
        <f>_xlfn.XLOOKUP(N:N,'Resource Table'!B:B,'Resource Table'!D:D,"n/a",0,1)</f>
        <v>Vended Repair</v>
      </c>
    </row>
    <row r="715" spans="1:16" x14ac:dyDescent="0.45">
      <c r="A715" t="s">
        <v>5399</v>
      </c>
      <c r="B715" t="s">
        <v>5400</v>
      </c>
      <c r="C715" t="s">
        <v>5610</v>
      </c>
      <c r="D715" t="s">
        <v>804</v>
      </c>
      <c r="E715" t="s">
        <v>6461</v>
      </c>
      <c r="F715" t="s">
        <v>13460</v>
      </c>
      <c r="G715" t="s">
        <v>13481</v>
      </c>
      <c r="H715" t="s">
        <v>13485</v>
      </c>
      <c r="I715" t="s">
        <v>6479</v>
      </c>
      <c r="J715" t="s">
        <v>13463</v>
      </c>
      <c r="K715">
        <v>1</v>
      </c>
      <c r="L715" t="s">
        <v>13543</v>
      </c>
      <c r="M715" t="s">
        <v>13464</v>
      </c>
      <c r="N715" t="str">
        <f>_xlfn.XLOOKUP(C:C,'Resource Table'!A:A,'Resource Table'!B:B,"NOT FOUND",0,1)</f>
        <v>Ralph Mann</v>
      </c>
      <c r="O715" t="str">
        <f>_xlfn.XLOOKUP(N:N,'Resource Table'!B:B,'Resource Table'!C:C,"n/a",0,1)</f>
        <v>rmann@ameritfleet.com</v>
      </c>
      <c r="P715" t="str">
        <f>_xlfn.XLOOKUP(N:N,'Resource Table'!B:B,'Resource Table'!D:D,"n/a",0,1)</f>
        <v>Vended Repair</v>
      </c>
    </row>
    <row r="716" spans="1:16" x14ac:dyDescent="0.45">
      <c r="A716" t="s">
        <v>5399</v>
      </c>
      <c r="B716" t="s">
        <v>5400</v>
      </c>
      <c r="C716" t="s">
        <v>5610</v>
      </c>
      <c r="D716" t="s">
        <v>2639</v>
      </c>
      <c r="E716" t="s">
        <v>6451</v>
      </c>
      <c r="F716" t="s">
        <v>13460</v>
      </c>
      <c r="G716" t="s">
        <v>13476</v>
      </c>
      <c r="H716" t="s">
        <v>13478</v>
      </c>
      <c r="I716" t="s">
        <v>6479</v>
      </c>
      <c r="J716" t="s">
        <v>13463</v>
      </c>
      <c r="K716">
        <v>0</v>
      </c>
      <c r="L716" t="s">
        <v>20</v>
      </c>
      <c r="M716" t="s">
        <v>20</v>
      </c>
      <c r="N716" t="str">
        <f>_xlfn.XLOOKUP(C:C,'Resource Table'!A:A,'Resource Table'!B:B,"NOT FOUND",0,1)</f>
        <v>Ralph Mann</v>
      </c>
      <c r="O716" t="str">
        <f>_xlfn.XLOOKUP(N:N,'Resource Table'!B:B,'Resource Table'!C:C,"n/a",0,1)</f>
        <v>rmann@ameritfleet.com</v>
      </c>
      <c r="P716" t="str">
        <f>_xlfn.XLOOKUP(N:N,'Resource Table'!B:B,'Resource Table'!D:D,"n/a",0,1)</f>
        <v>Vended Repair</v>
      </c>
    </row>
    <row r="717" spans="1:16" x14ac:dyDescent="0.45">
      <c r="A717" t="s">
        <v>5399</v>
      </c>
      <c r="B717" t="s">
        <v>5400</v>
      </c>
      <c r="C717" t="s">
        <v>5610</v>
      </c>
      <c r="D717" t="s">
        <v>1828</v>
      </c>
      <c r="E717" t="s">
        <v>6461</v>
      </c>
      <c r="F717" t="s">
        <v>13460</v>
      </c>
      <c r="G717" t="s">
        <v>13481</v>
      </c>
      <c r="H717" t="s">
        <v>13522</v>
      </c>
      <c r="I717" t="s">
        <v>6479</v>
      </c>
      <c r="J717" t="s">
        <v>13463</v>
      </c>
      <c r="K717">
        <v>1</v>
      </c>
      <c r="L717" t="s">
        <v>13543</v>
      </c>
      <c r="M717" t="s">
        <v>13464</v>
      </c>
      <c r="N717" t="str">
        <f>_xlfn.XLOOKUP(C:C,'Resource Table'!A:A,'Resource Table'!B:B,"NOT FOUND",0,1)</f>
        <v>Ralph Mann</v>
      </c>
      <c r="O717" t="str">
        <f>_xlfn.XLOOKUP(N:N,'Resource Table'!B:B,'Resource Table'!C:C,"n/a",0,1)</f>
        <v>rmann@ameritfleet.com</v>
      </c>
      <c r="P717" t="str">
        <f>_xlfn.XLOOKUP(N:N,'Resource Table'!B:B,'Resource Table'!D:D,"n/a",0,1)</f>
        <v>Vended Repair</v>
      </c>
    </row>
    <row r="718" spans="1:16" x14ac:dyDescent="0.45">
      <c r="A718" t="s">
        <v>5399</v>
      </c>
      <c r="B718" t="s">
        <v>5400</v>
      </c>
      <c r="C718" t="s">
        <v>5610</v>
      </c>
      <c r="D718" t="s">
        <v>1742</v>
      </c>
      <c r="E718" t="s">
        <v>6461</v>
      </c>
      <c r="F718" t="s">
        <v>13460</v>
      </c>
      <c r="G718" t="s">
        <v>13461</v>
      </c>
      <c r="H718" t="s">
        <v>13471</v>
      </c>
      <c r="I718" t="s">
        <v>29</v>
      </c>
      <c r="J718" t="s">
        <v>13463</v>
      </c>
      <c r="K718">
        <v>1</v>
      </c>
      <c r="L718" t="s">
        <v>13543</v>
      </c>
      <c r="M718" t="s">
        <v>13464</v>
      </c>
      <c r="N718" t="str">
        <f>_xlfn.XLOOKUP(C:C,'Resource Table'!A:A,'Resource Table'!B:B,"NOT FOUND",0,1)</f>
        <v>Ralph Mann</v>
      </c>
      <c r="O718" t="str">
        <f>_xlfn.XLOOKUP(N:N,'Resource Table'!B:B,'Resource Table'!C:C,"n/a",0,1)</f>
        <v>rmann@ameritfleet.com</v>
      </c>
      <c r="P718" t="str">
        <f>_xlfn.XLOOKUP(N:N,'Resource Table'!B:B,'Resource Table'!D:D,"n/a",0,1)</f>
        <v>Vended Repair</v>
      </c>
    </row>
    <row r="719" spans="1:16" x14ac:dyDescent="0.45">
      <c r="A719" t="s">
        <v>5399</v>
      </c>
      <c r="B719" t="s">
        <v>5400</v>
      </c>
      <c r="C719" t="s">
        <v>5610</v>
      </c>
      <c r="D719" t="s">
        <v>1636</v>
      </c>
      <c r="E719" t="s">
        <v>6451</v>
      </c>
      <c r="F719" t="s">
        <v>13460</v>
      </c>
      <c r="G719" t="s">
        <v>13461</v>
      </c>
      <c r="H719" t="s">
        <v>13465</v>
      </c>
      <c r="I719" t="s">
        <v>29</v>
      </c>
      <c r="J719" t="s">
        <v>13463</v>
      </c>
      <c r="K719">
        <v>1</v>
      </c>
      <c r="L719" t="s">
        <v>13543</v>
      </c>
      <c r="M719" t="s">
        <v>13464</v>
      </c>
      <c r="N719" t="str">
        <f>_xlfn.XLOOKUP(C:C,'Resource Table'!A:A,'Resource Table'!B:B,"NOT FOUND",0,1)</f>
        <v>Ralph Mann</v>
      </c>
      <c r="O719" t="str">
        <f>_xlfn.XLOOKUP(N:N,'Resource Table'!B:B,'Resource Table'!C:C,"n/a",0,1)</f>
        <v>rmann@ameritfleet.com</v>
      </c>
      <c r="P719" t="str">
        <f>_xlfn.XLOOKUP(N:N,'Resource Table'!B:B,'Resource Table'!D:D,"n/a",0,1)</f>
        <v>Vended Repair</v>
      </c>
    </row>
    <row r="720" spans="1:16" x14ac:dyDescent="0.45">
      <c r="A720" t="s">
        <v>5399</v>
      </c>
      <c r="B720" t="s">
        <v>5400</v>
      </c>
      <c r="C720" t="s">
        <v>5401</v>
      </c>
      <c r="D720" t="s">
        <v>6092</v>
      </c>
      <c r="E720" t="s">
        <v>6461</v>
      </c>
      <c r="F720" t="s">
        <v>13460</v>
      </c>
      <c r="G720" t="s">
        <v>13481</v>
      </c>
      <c r="H720" t="s">
        <v>13518</v>
      </c>
      <c r="I720" t="s">
        <v>6479</v>
      </c>
      <c r="J720" t="s">
        <v>13463</v>
      </c>
      <c r="K720">
        <v>0</v>
      </c>
      <c r="L720" t="s">
        <v>20</v>
      </c>
      <c r="M720" t="s">
        <v>20</v>
      </c>
      <c r="N720" t="str">
        <f>_xlfn.XLOOKUP(C:C,'Resource Table'!A:A,'Resource Table'!B:B,"NOT FOUND",0,1)</f>
        <v>Dedicated</v>
      </c>
      <c r="O720" t="str">
        <f>_xlfn.XLOOKUP(N:N,'Resource Table'!B:B,'Resource Table'!C:C,"n/a",0,1)</f>
        <v>AFS Dedicated Tech</v>
      </c>
      <c r="P720" t="str">
        <f>_xlfn.XLOOKUP(N:N,'Resource Table'!B:B,'Resource Table'!D:D,"n/a",0,1)</f>
        <v>Dedicated</v>
      </c>
    </row>
    <row r="721" spans="1:16" x14ac:dyDescent="0.45">
      <c r="A721" t="s">
        <v>5399</v>
      </c>
      <c r="B721" t="s">
        <v>5400</v>
      </c>
      <c r="C721" t="s">
        <v>5401</v>
      </c>
      <c r="D721" t="s">
        <v>5612</v>
      </c>
      <c r="E721" t="s">
        <v>6451</v>
      </c>
      <c r="F721" t="s">
        <v>13460</v>
      </c>
      <c r="G721" t="s">
        <v>13461</v>
      </c>
      <c r="H721" t="s">
        <v>13465</v>
      </c>
      <c r="I721" t="s">
        <v>29</v>
      </c>
      <c r="J721" t="s">
        <v>13463</v>
      </c>
      <c r="K721">
        <v>1</v>
      </c>
      <c r="L721" t="s">
        <v>13466</v>
      </c>
      <c r="M721" t="s">
        <v>20</v>
      </c>
      <c r="N721" t="str">
        <f>_xlfn.XLOOKUP(C:C,'Resource Table'!A:A,'Resource Table'!B:B,"NOT FOUND",0,1)</f>
        <v>Dedicated</v>
      </c>
      <c r="O721" t="str">
        <f>_xlfn.XLOOKUP(N:N,'Resource Table'!B:B,'Resource Table'!C:C,"n/a",0,1)</f>
        <v>AFS Dedicated Tech</v>
      </c>
      <c r="P721" t="str">
        <f>_xlfn.XLOOKUP(N:N,'Resource Table'!B:B,'Resource Table'!D:D,"n/a",0,1)</f>
        <v>Dedicated</v>
      </c>
    </row>
    <row r="722" spans="1:16" x14ac:dyDescent="0.45">
      <c r="A722" t="s">
        <v>5399</v>
      </c>
      <c r="B722" t="s">
        <v>5400</v>
      </c>
      <c r="C722" t="s">
        <v>5401</v>
      </c>
      <c r="D722" t="s">
        <v>6182</v>
      </c>
      <c r="E722" t="s">
        <v>6451</v>
      </c>
      <c r="F722" t="s">
        <v>13525</v>
      </c>
      <c r="G722" t="s">
        <v>13585</v>
      </c>
      <c r="H722" t="s">
        <v>13590</v>
      </c>
      <c r="I722" t="s">
        <v>6479</v>
      </c>
      <c r="J722" t="s">
        <v>13463</v>
      </c>
      <c r="K722">
        <v>2</v>
      </c>
      <c r="L722" t="s">
        <v>13466</v>
      </c>
      <c r="M722" t="s">
        <v>20</v>
      </c>
      <c r="N722" t="str">
        <f>_xlfn.XLOOKUP(C:C,'Resource Table'!A:A,'Resource Table'!B:B,"NOT FOUND",0,1)</f>
        <v>Dedicated</v>
      </c>
      <c r="O722" t="str">
        <f>_xlfn.XLOOKUP(N:N,'Resource Table'!B:B,'Resource Table'!C:C,"n/a",0,1)</f>
        <v>AFS Dedicated Tech</v>
      </c>
      <c r="P722" t="str">
        <f>_xlfn.XLOOKUP(N:N,'Resource Table'!B:B,'Resource Table'!D:D,"n/a",0,1)</f>
        <v>Dedicated</v>
      </c>
    </row>
    <row r="723" spans="1:16" x14ac:dyDescent="0.45">
      <c r="A723" t="s">
        <v>5399</v>
      </c>
      <c r="B723" t="s">
        <v>5400</v>
      </c>
      <c r="C723" t="s">
        <v>5401</v>
      </c>
      <c r="D723" t="s">
        <v>6089</v>
      </c>
      <c r="E723" t="s">
        <v>6461</v>
      </c>
      <c r="F723" t="s">
        <v>13460</v>
      </c>
      <c r="G723" t="s">
        <v>13481</v>
      </c>
      <c r="H723" t="s">
        <v>13518</v>
      </c>
      <c r="I723" t="s">
        <v>6479</v>
      </c>
      <c r="J723" t="s">
        <v>13463</v>
      </c>
      <c r="K723">
        <v>0</v>
      </c>
      <c r="L723" t="s">
        <v>20</v>
      </c>
      <c r="M723" t="s">
        <v>20</v>
      </c>
      <c r="N723" t="str">
        <f>_xlfn.XLOOKUP(C:C,'Resource Table'!A:A,'Resource Table'!B:B,"NOT FOUND",0,1)</f>
        <v>Dedicated</v>
      </c>
      <c r="O723" t="str">
        <f>_xlfn.XLOOKUP(N:N,'Resource Table'!B:B,'Resource Table'!C:C,"n/a",0,1)</f>
        <v>AFS Dedicated Tech</v>
      </c>
      <c r="P723" t="str">
        <f>_xlfn.XLOOKUP(N:N,'Resource Table'!B:B,'Resource Table'!D:D,"n/a",0,1)</f>
        <v>Dedicated</v>
      </c>
    </row>
    <row r="724" spans="1:16" x14ac:dyDescent="0.45">
      <c r="A724" t="s">
        <v>5399</v>
      </c>
      <c r="B724" t="s">
        <v>5400</v>
      </c>
      <c r="C724" t="s">
        <v>5401</v>
      </c>
      <c r="D724" t="s">
        <v>5796</v>
      </c>
      <c r="E724" t="s">
        <v>6451</v>
      </c>
      <c r="F724" t="s">
        <v>13473</v>
      </c>
      <c r="G724" t="s">
        <v>13474</v>
      </c>
      <c r="H724" t="s">
        <v>13521</v>
      </c>
      <c r="I724" t="s">
        <v>6479</v>
      </c>
      <c r="J724" t="s">
        <v>13463</v>
      </c>
      <c r="K724">
        <v>0</v>
      </c>
      <c r="L724" t="s">
        <v>20</v>
      </c>
      <c r="M724" t="s">
        <v>20</v>
      </c>
      <c r="N724" t="str">
        <f>_xlfn.XLOOKUP(C:C,'Resource Table'!A:A,'Resource Table'!B:B,"NOT FOUND",0,1)</f>
        <v>Dedicated</v>
      </c>
      <c r="O724" t="str">
        <f>_xlfn.XLOOKUP(N:N,'Resource Table'!B:B,'Resource Table'!C:C,"n/a",0,1)</f>
        <v>AFS Dedicated Tech</v>
      </c>
      <c r="P724" t="str">
        <f>_xlfn.XLOOKUP(N:N,'Resource Table'!B:B,'Resource Table'!D:D,"n/a",0,1)</f>
        <v>Dedicated</v>
      </c>
    </row>
    <row r="725" spans="1:16" x14ac:dyDescent="0.45">
      <c r="A725" t="s">
        <v>5399</v>
      </c>
      <c r="B725" t="s">
        <v>5400</v>
      </c>
      <c r="C725" t="s">
        <v>5401</v>
      </c>
      <c r="D725" t="s">
        <v>6003</v>
      </c>
      <c r="E725" t="s">
        <v>6461</v>
      </c>
      <c r="F725" t="s">
        <v>13460</v>
      </c>
      <c r="G725" t="s">
        <v>13481</v>
      </c>
      <c r="H725" t="s">
        <v>13522</v>
      </c>
      <c r="I725" t="s">
        <v>6479</v>
      </c>
      <c r="J725" t="s">
        <v>13463</v>
      </c>
      <c r="K725">
        <v>0</v>
      </c>
      <c r="L725" t="s">
        <v>20</v>
      </c>
      <c r="M725" t="s">
        <v>20</v>
      </c>
      <c r="N725" t="str">
        <f>_xlfn.XLOOKUP(C:C,'Resource Table'!A:A,'Resource Table'!B:B,"NOT FOUND",0,1)</f>
        <v>Dedicated</v>
      </c>
      <c r="O725" t="str">
        <f>_xlfn.XLOOKUP(N:N,'Resource Table'!B:B,'Resource Table'!C:C,"n/a",0,1)</f>
        <v>AFS Dedicated Tech</v>
      </c>
      <c r="P725" t="str">
        <f>_xlfn.XLOOKUP(N:N,'Resource Table'!B:B,'Resource Table'!D:D,"n/a",0,1)</f>
        <v>Dedicated</v>
      </c>
    </row>
    <row r="726" spans="1:16" x14ac:dyDescent="0.45">
      <c r="A726" t="s">
        <v>5399</v>
      </c>
      <c r="B726" t="s">
        <v>5400</v>
      </c>
      <c r="C726" t="s">
        <v>5401</v>
      </c>
      <c r="D726" t="s">
        <v>6193</v>
      </c>
      <c r="E726" t="s">
        <v>6451</v>
      </c>
      <c r="F726" t="s">
        <v>13525</v>
      </c>
      <c r="G726" t="s">
        <v>13597</v>
      </c>
      <c r="H726" t="s">
        <v>13598</v>
      </c>
      <c r="I726" t="s">
        <v>6479</v>
      </c>
      <c r="J726" t="s">
        <v>13463</v>
      </c>
      <c r="K726">
        <v>1</v>
      </c>
      <c r="L726" t="s">
        <v>13480</v>
      </c>
      <c r="M726" t="s">
        <v>20</v>
      </c>
      <c r="N726" t="str">
        <f>_xlfn.XLOOKUP(C:C,'Resource Table'!A:A,'Resource Table'!B:B,"NOT FOUND",0,1)</f>
        <v>Dedicated</v>
      </c>
      <c r="O726" t="str">
        <f>_xlfn.XLOOKUP(N:N,'Resource Table'!B:B,'Resource Table'!C:C,"n/a",0,1)</f>
        <v>AFS Dedicated Tech</v>
      </c>
      <c r="P726" t="str">
        <f>_xlfn.XLOOKUP(N:N,'Resource Table'!B:B,'Resource Table'!D:D,"n/a",0,1)</f>
        <v>Dedicated</v>
      </c>
    </row>
    <row r="727" spans="1:16" x14ac:dyDescent="0.45">
      <c r="A727" t="s">
        <v>5399</v>
      </c>
      <c r="B727" t="s">
        <v>5400</v>
      </c>
      <c r="C727" t="s">
        <v>5401</v>
      </c>
      <c r="D727" t="s">
        <v>6183</v>
      </c>
      <c r="E727" t="s">
        <v>6451</v>
      </c>
      <c r="F727" t="s">
        <v>13525</v>
      </c>
      <c r="G727" t="s">
        <v>13597</v>
      </c>
      <c r="H727" t="s">
        <v>13598</v>
      </c>
      <c r="I727" t="s">
        <v>6479</v>
      </c>
      <c r="J727" t="s">
        <v>13463</v>
      </c>
      <c r="K727">
        <v>3</v>
      </c>
      <c r="L727" t="s">
        <v>13543</v>
      </c>
      <c r="M727" t="s">
        <v>20</v>
      </c>
      <c r="N727" t="str">
        <f>_xlfn.XLOOKUP(C:C,'Resource Table'!A:A,'Resource Table'!B:B,"NOT FOUND",0,1)</f>
        <v>Dedicated</v>
      </c>
      <c r="O727" t="str">
        <f>_xlfn.XLOOKUP(N:N,'Resource Table'!B:B,'Resource Table'!C:C,"n/a",0,1)</f>
        <v>AFS Dedicated Tech</v>
      </c>
      <c r="P727" t="str">
        <f>_xlfn.XLOOKUP(N:N,'Resource Table'!B:B,'Resource Table'!D:D,"n/a",0,1)</f>
        <v>Dedicated</v>
      </c>
    </row>
    <row r="728" spans="1:16" x14ac:dyDescent="0.45">
      <c r="A728" t="s">
        <v>5399</v>
      </c>
      <c r="B728" t="s">
        <v>5400</v>
      </c>
      <c r="C728" t="s">
        <v>5401</v>
      </c>
      <c r="D728" t="s">
        <v>6001</v>
      </c>
      <c r="E728" t="s">
        <v>6461</v>
      </c>
      <c r="F728" t="s">
        <v>13460</v>
      </c>
      <c r="G728" t="s">
        <v>13481</v>
      </c>
      <c r="H728" t="s">
        <v>13522</v>
      </c>
      <c r="I728" t="s">
        <v>6479</v>
      </c>
      <c r="J728" t="s">
        <v>13463</v>
      </c>
      <c r="K728">
        <v>1</v>
      </c>
      <c r="L728" t="s">
        <v>13480</v>
      </c>
      <c r="M728" t="s">
        <v>20</v>
      </c>
      <c r="N728" t="str">
        <f>_xlfn.XLOOKUP(C:C,'Resource Table'!A:A,'Resource Table'!B:B,"NOT FOUND",0,1)</f>
        <v>Dedicated</v>
      </c>
      <c r="O728" t="str">
        <f>_xlfn.XLOOKUP(N:N,'Resource Table'!B:B,'Resource Table'!C:C,"n/a",0,1)</f>
        <v>AFS Dedicated Tech</v>
      </c>
      <c r="P728" t="str">
        <f>_xlfn.XLOOKUP(N:N,'Resource Table'!B:B,'Resource Table'!D:D,"n/a",0,1)</f>
        <v>Dedicated</v>
      </c>
    </row>
    <row r="729" spans="1:16" x14ac:dyDescent="0.45">
      <c r="A729" t="s">
        <v>5399</v>
      </c>
      <c r="B729" t="s">
        <v>5400</v>
      </c>
      <c r="C729" t="s">
        <v>5401</v>
      </c>
      <c r="D729" t="s">
        <v>6272</v>
      </c>
      <c r="E729" t="s">
        <v>6451</v>
      </c>
      <c r="F729" t="s">
        <v>13460</v>
      </c>
      <c r="G729" t="s">
        <v>13461</v>
      </c>
      <c r="H729" t="s">
        <v>13465</v>
      </c>
      <c r="I729" t="s">
        <v>6479</v>
      </c>
      <c r="J729" t="s">
        <v>13463</v>
      </c>
      <c r="K729">
        <v>2</v>
      </c>
      <c r="L729" t="s">
        <v>13520</v>
      </c>
      <c r="M729" t="s">
        <v>20</v>
      </c>
      <c r="N729" t="str">
        <f>_xlfn.XLOOKUP(C:C,'Resource Table'!A:A,'Resource Table'!B:B,"NOT FOUND",0,1)</f>
        <v>Dedicated</v>
      </c>
      <c r="O729" t="str">
        <f>_xlfn.XLOOKUP(N:N,'Resource Table'!B:B,'Resource Table'!C:C,"n/a",0,1)</f>
        <v>AFS Dedicated Tech</v>
      </c>
      <c r="P729" t="str">
        <f>_xlfn.XLOOKUP(N:N,'Resource Table'!B:B,'Resource Table'!D:D,"n/a",0,1)</f>
        <v>Dedicated</v>
      </c>
    </row>
    <row r="730" spans="1:16" x14ac:dyDescent="0.45">
      <c r="A730" t="s">
        <v>5399</v>
      </c>
      <c r="B730" t="s">
        <v>5400</v>
      </c>
      <c r="C730" t="s">
        <v>5401</v>
      </c>
      <c r="D730" t="s">
        <v>6295</v>
      </c>
      <c r="E730" t="s">
        <v>6451</v>
      </c>
      <c r="F730" t="s">
        <v>13460</v>
      </c>
      <c r="G730" t="s">
        <v>13461</v>
      </c>
      <c r="H730" t="s">
        <v>13465</v>
      </c>
      <c r="I730" t="s">
        <v>29</v>
      </c>
      <c r="J730" t="s">
        <v>13463</v>
      </c>
      <c r="K730">
        <v>2</v>
      </c>
      <c r="L730" t="s">
        <v>13544</v>
      </c>
      <c r="M730" t="s">
        <v>20</v>
      </c>
      <c r="N730" t="str">
        <f>_xlfn.XLOOKUP(C:C,'Resource Table'!A:A,'Resource Table'!B:B,"NOT FOUND",0,1)</f>
        <v>Dedicated</v>
      </c>
      <c r="O730" t="str">
        <f>_xlfn.XLOOKUP(N:N,'Resource Table'!B:B,'Resource Table'!C:C,"n/a",0,1)</f>
        <v>AFS Dedicated Tech</v>
      </c>
      <c r="P730" t="str">
        <f>_xlfn.XLOOKUP(N:N,'Resource Table'!B:B,'Resource Table'!D:D,"n/a",0,1)</f>
        <v>Dedicated</v>
      </c>
    </row>
    <row r="731" spans="1:16" x14ac:dyDescent="0.45">
      <c r="A731" t="s">
        <v>5399</v>
      </c>
      <c r="B731" t="s">
        <v>5400</v>
      </c>
      <c r="C731" t="s">
        <v>5401</v>
      </c>
      <c r="D731" t="s">
        <v>5596</v>
      </c>
      <c r="E731" t="s">
        <v>6451</v>
      </c>
      <c r="F731" t="s">
        <v>13460</v>
      </c>
      <c r="G731" t="s">
        <v>13476</v>
      </c>
      <c r="H731" t="s">
        <v>13477</v>
      </c>
      <c r="I731" t="s">
        <v>29</v>
      </c>
      <c r="J731" t="s">
        <v>13463</v>
      </c>
      <c r="K731">
        <v>1</v>
      </c>
      <c r="L731" t="s">
        <v>13534</v>
      </c>
      <c r="M731" t="s">
        <v>13599</v>
      </c>
      <c r="N731" t="str">
        <f>_xlfn.XLOOKUP(C:C,'Resource Table'!A:A,'Resource Table'!B:B,"NOT FOUND",0,1)</f>
        <v>Dedicated</v>
      </c>
      <c r="O731" t="str">
        <f>_xlfn.XLOOKUP(N:N,'Resource Table'!B:B,'Resource Table'!C:C,"n/a",0,1)</f>
        <v>AFS Dedicated Tech</v>
      </c>
      <c r="P731" t="str">
        <f>_xlfn.XLOOKUP(N:N,'Resource Table'!B:B,'Resource Table'!D:D,"n/a",0,1)</f>
        <v>Dedicated</v>
      </c>
    </row>
    <row r="732" spans="1:16" x14ac:dyDescent="0.45">
      <c r="A732" t="s">
        <v>5399</v>
      </c>
      <c r="B732" t="s">
        <v>5400</v>
      </c>
      <c r="C732" t="s">
        <v>5401</v>
      </c>
      <c r="D732" t="s">
        <v>6093</v>
      </c>
      <c r="E732" t="s">
        <v>6461</v>
      </c>
      <c r="F732" t="s">
        <v>13460</v>
      </c>
      <c r="G732" t="s">
        <v>13481</v>
      </c>
      <c r="H732" t="s">
        <v>13518</v>
      </c>
      <c r="I732" t="s">
        <v>6479</v>
      </c>
      <c r="J732" t="s">
        <v>13463</v>
      </c>
      <c r="K732">
        <v>0</v>
      </c>
      <c r="L732" t="s">
        <v>20</v>
      </c>
      <c r="M732" t="s">
        <v>20</v>
      </c>
      <c r="N732" t="str">
        <f>_xlfn.XLOOKUP(C:C,'Resource Table'!A:A,'Resource Table'!B:B,"NOT FOUND",0,1)</f>
        <v>Dedicated</v>
      </c>
      <c r="O732" t="str">
        <f>_xlfn.XLOOKUP(N:N,'Resource Table'!B:B,'Resource Table'!C:C,"n/a",0,1)</f>
        <v>AFS Dedicated Tech</v>
      </c>
      <c r="P732" t="str">
        <f>_xlfn.XLOOKUP(N:N,'Resource Table'!B:B,'Resource Table'!D:D,"n/a",0,1)</f>
        <v>Dedicated</v>
      </c>
    </row>
    <row r="733" spans="1:16" x14ac:dyDescent="0.45">
      <c r="A733" t="s">
        <v>5399</v>
      </c>
      <c r="B733" t="s">
        <v>5400</v>
      </c>
      <c r="C733" t="s">
        <v>5401</v>
      </c>
      <c r="D733" t="s">
        <v>5999</v>
      </c>
      <c r="E733" t="s">
        <v>6461</v>
      </c>
      <c r="F733" t="s">
        <v>13460</v>
      </c>
      <c r="G733" t="s">
        <v>13481</v>
      </c>
      <c r="H733" t="s">
        <v>13522</v>
      </c>
      <c r="I733" t="s">
        <v>6479</v>
      </c>
      <c r="J733" t="s">
        <v>13463</v>
      </c>
      <c r="K733">
        <v>1</v>
      </c>
      <c r="L733" t="s">
        <v>13489</v>
      </c>
      <c r="M733" t="s">
        <v>20</v>
      </c>
      <c r="N733" t="str">
        <f>_xlfn.XLOOKUP(C:C,'Resource Table'!A:A,'Resource Table'!B:B,"NOT FOUND",0,1)</f>
        <v>Dedicated</v>
      </c>
      <c r="O733" t="str">
        <f>_xlfn.XLOOKUP(N:N,'Resource Table'!B:B,'Resource Table'!C:C,"n/a",0,1)</f>
        <v>AFS Dedicated Tech</v>
      </c>
      <c r="P733" t="str">
        <f>_xlfn.XLOOKUP(N:N,'Resource Table'!B:B,'Resource Table'!D:D,"n/a",0,1)</f>
        <v>Dedicated</v>
      </c>
    </row>
    <row r="734" spans="1:16" x14ac:dyDescent="0.45">
      <c r="A734" t="s">
        <v>5399</v>
      </c>
      <c r="B734" t="s">
        <v>5400</v>
      </c>
      <c r="C734" t="s">
        <v>5401</v>
      </c>
      <c r="D734" t="s">
        <v>5402</v>
      </c>
      <c r="E734" t="s">
        <v>6451</v>
      </c>
      <c r="F734" t="s">
        <v>13562</v>
      </c>
      <c r="G734" t="s">
        <v>13600</v>
      </c>
      <c r="H734" t="s">
        <v>13601</v>
      </c>
      <c r="I734" t="s">
        <v>6479</v>
      </c>
      <c r="J734" t="s">
        <v>13463</v>
      </c>
      <c r="K734">
        <v>0</v>
      </c>
      <c r="L734" t="s">
        <v>20</v>
      </c>
      <c r="M734" t="s">
        <v>20</v>
      </c>
      <c r="N734" t="str">
        <f>_xlfn.XLOOKUP(C:C,'Resource Table'!A:A,'Resource Table'!B:B,"NOT FOUND",0,1)</f>
        <v>Dedicated</v>
      </c>
      <c r="O734" t="str">
        <f>_xlfn.XLOOKUP(N:N,'Resource Table'!B:B,'Resource Table'!C:C,"n/a",0,1)</f>
        <v>AFS Dedicated Tech</v>
      </c>
      <c r="P734" t="str">
        <f>_xlfn.XLOOKUP(N:N,'Resource Table'!B:B,'Resource Table'!D:D,"n/a",0,1)</f>
        <v>Dedicated</v>
      </c>
    </row>
    <row r="735" spans="1:16" x14ac:dyDescent="0.45">
      <c r="A735" t="s">
        <v>5399</v>
      </c>
      <c r="B735" t="s">
        <v>5400</v>
      </c>
      <c r="C735" t="s">
        <v>5401</v>
      </c>
      <c r="D735" t="s">
        <v>6002</v>
      </c>
      <c r="E735" t="s">
        <v>6461</v>
      </c>
      <c r="F735" t="s">
        <v>13460</v>
      </c>
      <c r="G735" t="s">
        <v>13481</v>
      </c>
      <c r="H735" t="s">
        <v>13522</v>
      </c>
      <c r="I735" t="s">
        <v>6479</v>
      </c>
      <c r="J735" t="s">
        <v>13463</v>
      </c>
      <c r="K735">
        <v>0</v>
      </c>
      <c r="L735" t="s">
        <v>20</v>
      </c>
      <c r="M735" t="s">
        <v>20</v>
      </c>
      <c r="N735" t="str">
        <f>_xlfn.XLOOKUP(C:C,'Resource Table'!A:A,'Resource Table'!B:B,"NOT FOUND",0,1)</f>
        <v>Dedicated</v>
      </c>
      <c r="O735" t="str">
        <f>_xlfn.XLOOKUP(N:N,'Resource Table'!B:B,'Resource Table'!C:C,"n/a",0,1)</f>
        <v>AFS Dedicated Tech</v>
      </c>
      <c r="P735" t="str">
        <f>_xlfn.XLOOKUP(N:N,'Resource Table'!B:B,'Resource Table'!D:D,"n/a",0,1)</f>
        <v>Dedicated</v>
      </c>
    </row>
    <row r="736" spans="1:16" x14ac:dyDescent="0.45">
      <c r="A736" t="s">
        <v>5399</v>
      </c>
      <c r="B736" t="s">
        <v>5400</v>
      </c>
      <c r="C736" t="s">
        <v>5401</v>
      </c>
      <c r="D736" t="s">
        <v>6039</v>
      </c>
      <c r="E736" t="s">
        <v>6461</v>
      </c>
      <c r="F736" t="s">
        <v>13460</v>
      </c>
      <c r="G736" t="s">
        <v>13481</v>
      </c>
      <c r="H736" t="s">
        <v>13522</v>
      </c>
      <c r="I736" t="s">
        <v>6479</v>
      </c>
      <c r="J736" t="s">
        <v>13463</v>
      </c>
      <c r="K736">
        <v>0</v>
      </c>
      <c r="L736" t="s">
        <v>20</v>
      </c>
      <c r="M736" t="s">
        <v>20</v>
      </c>
      <c r="N736" t="str">
        <f>_xlfn.XLOOKUP(C:C,'Resource Table'!A:A,'Resource Table'!B:B,"NOT FOUND",0,1)</f>
        <v>Dedicated</v>
      </c>
      <c r="O736" t="str">
        <f>_xlfn.XLOOKUP(N:N,'Resource Table'!B:B,'Resource Table'!C:C,"n/a",0,1)</f>
        <v>AFS Dedicated Tech</v>
      </c>
      <c r="P736" t="str">
        <f>_xlfn.XLOOKUP(N:N,'Resource Table'!B:B,'Resource Table'!D:D,"n/a",0,1)</f>
        <v>Dedicated</v>
      </c>
    </row>
    <row r="737" spans="1:16" x14ac:dyDescent="0.45">
      <c r="A737" t="s">
        <v>5399</v>
      </c>
      <c r="B737" t="s">
        <v>5400</v>
      </c>
      <c r="C737" t="s">
        <v>5401</v>
      </c>
      <c r="D737" t="s">
        <v>6040</v>
      </c>
      <c r="E737" t="s">
        <v>6461</v>
      </c>
      <c r="F737" t="s">
        <v>13460</v>
      </c>
      <c r="G737" t="s">
        <v>13481</v>
      </c>
      <c r="H737" t="s">
        <v>13522</v>
      </c>
      <c r="I737" t="s">
        <v>6479</v>
      </c>
      <c r="J737" t="s">
        <v>13463</v>
      </c>
      <c r="K737">
        <v>2</v>
      </c>
      <c r="L737" t="s">
        <v>13480</v>
      </c>
      <c r="M737" t="s">
        <v>13480</v>
      </c>
      <c r="N737" t="str">
        <f>_xlfn.XLOOKUP(C:C,'Resource Table'!A:A,'Resource Table'!B:B,"NOT FOUND",0,1)</f>
        <v>Dedicated</v>
      </c>
      <c r="O737" t="str">
        <f>_xlfn.XLOOKUP(N:N,'Resource Table'!B:B,'Resource Table'!C:C,"n/a",0,1)</f>
        <v>AFS Dedicated Tech</v>
      </c>
      <c r="P737" t="str">
        <f>_xlfn.XLOOKUP(N:N,'Resource Table'!B:B,'Resource Table'!D:D,"n/a",0,1)</f>
        <v>Dedicated</v>
      </c>
    </row>
    <row r="738" spans="1:16" x14ac:dyDescent="0.45">
      <c r="A738" t="s">
        <v>5399</v>
      </c>
      <c r="B738" t="s">
        <v>5400</v>
      </c>
      <c r="C738" t="s">
        <v>5401</v>
      </c>
      <c r="D738" t="s">
        <v>13084</v>
      </c>
      <c r="E738" t="s">
        <v>6451</v>
      </c>
      <c r="F738" t="s">
        <v>13525</v>
      </c>
      <c r="G738" t="s">
        <v>13597</v>
      </c>
      <c r="H738" t="s">
        <v>13598</v>
      </c>
      <c r="I738" t="s">
        <v>6479</v>
      </c>
      <c r="J738" t="s">
        <v>13463</v>
      </c>
      <c r="K738">
        <v>0</v>
      </c>
      <c r="L738" t="s">
        <v>20</v>
      </c>
      <c r="M738" t="s">
        <v>20</v>
      </c>
      <c r="N738" t="str">
        <f>_xlfn.XLOOKUP(C:C,'Resource Table'!A:A,'Resource Table'!B:B,"NOT FOUND",0,1)</f>
        <v>Dedicated</v>
      </c>
      <c r="O738" t="str">
        <f>_xlfn.XLOOKUP(N:N,'Resource Table'!B:B,'Resource Table'!C:C,"n/a",0,1)</f>
        <v>AFS Dedicated Tech</v>
      </c>
      <c r="P738" t="str">
        <f>_xlfn.XLOOKUP(N:N,'Resource Table'!B:B,'Resource Table'!D:D,"n/a",0,1)</f>
        <v>Dedicated</v>
      </c>
    </row>
    <row r="739" spans="1:16" x14ac:dyDescent="0.45">
      <c r="A739" t="s">
        <v>5399</v>
      </c>
      <c r="B739" t="s">
        <v>5400</v>
      </c>
      <c r="C739" t="s">
        <v>5401</v>
      </c>
      <c r="D739" t="s">
        <v>6042</v>
      </c>
      <c r="E739" t="s">
        <v>6461</v>
      </c>
      <c r="F739" t="s">
        <v>13460</v>
      </c>
      <c r="G739" t="s">
        <v>13481</v>
      </c>
      <c r="H739" t="s">
        <v>13522</v>
      </c>
      <c r="I739" t="s">
        <v>6479</v>
      </c>
      <c r="J739" t="s">
        <v>13463</v>
      </c>
      <c r="K739">
        <v>1</v>
      </c>
      <c r="L739" t="s">
        <v>13489</v>
      </c>
      <c r="M739" t="s">
        <v>20</v>
      </c>
      <c r="N739" t="str">
        <f>_xlfn.XLOOKUP(C:C,'Resource Table'!A:A,'Resource Table'!B:B,"NOT FOUND",0,1)</f>
        <v>Dedicated</v>
      </c>
      <c r="O739" t="str">
        <f>_xlfn.XLOOKUP(N:N,'Resource Table'!B:B,'Resource Table'!C:C,"n/a",0,1)</f>
        <v>AFS Dedicated Tech</v>
      </c>
      <c r="P739" t="str">
        <f>_xlfn.XLOOKUP(N:N,'Resource Table'!B:B,'Resource Table'!D:D,"n/a",0,1)</f>
        <v>Dedicated</v>
      </c>
    </row>
    <row r="740" spans="1:16" x14ac:dyDescent="0.45">
      <c r="A740" t="s">
        <v>5399</v>
      </c>
      <c r="B740" t="s">
        <v>5400</v>
      </c>
      <c r="C740" t="s">
        <v>5401</v>
      </c>
      <c r="D740" t="s">
        <v>6286</v>
      </c>
      <c r="E740" t="s">
        <v>6451</v>
      </c>
      <c r="F740" t="s">
        <v>13460</v>
      </c>
      <c r="G740" t="s">
        <v>13461</v>
      </c>
      <c r="H740" t="s">
        <v>13465</v>
      </c>
      <c r="I740" t="s">
        <v>6479</v>
      </c>
      <c r="J740" t="s">
        <v>13463</v>
      </c>
      <c r="K740">
        <v>0</v>
      </c>
      <c r="L740" t="s">
        <v>20</v>
      </c>
      <c r="M740" t="s">
        <v>20</v>
      </c>
      <c r="N740" t="str">
        <f>_xlfn.XLOOKUP(C:C,'Resource Table'!A:A,'Resource Table'!B:B,"NOT FOUND",0,1)</f>
        <v>Dedicated</v>
      </c>
      <c r="O740" t="str">
        <f>_xlfn.XLOOKUP(N:N,'Resource Table'!B:B,'Resource Table'!C:C,"n/a",0,1)</f>
        <v>AFS Dedicated Tech</v>
      </c>
      <c r="P740" t="str">
        <f>_xlfn.XLOOKUP(N:N,'Resource Table'!B:B,'Resource Table'!D:D,"n/a",0,1)</f>
        <v>Dedicated</v>
      </c>
    </row>
    <row r="741" spans="1:16" x14ac:dyDescent="0.45">
      <c r="A741" t="s">
        <v>5399</v>
      </c>
      <c r="B741" t="s">
        <v>5400</v>
      </c>
      <c r="C741" t="s">
        <v>5401</v>
      </c>
      <c r="D741" t="s">
        <v>6184</v>
      </c>
      <c r="E741" t="s">
        <v>6451</v>
      </c>
      <c r="F741" t="s">
        <v>13525</v>
      </c>
      <c r="G741" t="s">
        <v>13597</v>
      </c>
      <c r="H741" t="s">
        <v>13598</v>
      </c>
      <c r="I741" t="s">
        <v>6479</v>
      </c>
      <c r="J741" t="s">
        <v>13463</v>
      </c>
      <c r="K741">
        <v>2</v>
      </c>
      <c r="L741" t="s">
        <v>13468</v>
      </c>
      <c r="M741" t="s">
        <v>20</v>
      </c>
      <c r="N741" t="str">
        <f>_xlfn.XLOOKUP(C:C,'Resource Table'!A:A,'Resource Table'!B:B,"NOT FOUND",0,1)</f>
        <v>Dedicated</v>
      </c>
      <c r="O741" t="str">
        <f>_xlfn.XLOOKUP(N:N,'Resource Table'!B:B,'Resource Table'!C:C,"n/a",0,1)</f>
        <v>AFS Dedicated Tech</v>
      </c>
      <c r="P741" t="str">
        <f>_xlfn.XLOOKUP(N:N,'Resource Table'!B:B,'Resource Table'!D:D,"n/a",0,1)</f>
        <v>Dedicated</v>
      </c>
    </row>
    <row r="742" spans="1:16" x14ac:dyDescent="0.45">
      <c r="A742" t="s">
        <v>5399</v>
      </c>
      <c r="B742" t="s">
        <v>5400</v>
      </c>
      <c r="C742" t="s">
        <v>5401</v>
      </c>
      <c r="D742" t="s">
        <v>6180</v>
      </c>
      <c r="E742" t="s">
        <v>6451</v>
      </c>
      <c r="F742" t="s">
        <v>13562</v>
      </c>
      <c r="G742" t="s">
        <v>13602</v>
      </c>
      <c r="H742" t="s">
        <v>13603</v>
      </c>
      <c r="I742" t="s">
        <v>29</v>
      </c>
      <c r="J742" t="s">
        <v>13463</v>
      </c>
      <c r="K742">
        <v>2</v>
      </c>
      <c r="L742" t="s">
        <v>13507</v>
      </c>
      <c r="M742" t="s">
        <v>20</v>
      </c>
      <c r="N742" t="str">
        <f>_xlfn.XLOOKUP(C:C,'Resource Table'!A:A,'Resource Table'!B:B,"NOT FOUND",0,1)</f>
        <v>Dedicated</v>
      </c>
      <c r="O742" t="str">
        <f>_xlfn.XLOOKUP(N:N,'Resource Table'!B:B,'Resource Table'!C:C,"n/a",0,1)</f>
        <v>AFS Dedicated Tech</v>
      </c>
      <c r="P742" t="str">
        <f>_xlfn.XLOOKUP(N:N,'Resource Table'!B:B,'Resource Table'!D:D,"n/a",0,1)</f>
        <v>Dedicated</v>
      </c>
    </row>
    <row r="743" spans="1:16" x14ac:dyDescent="0.45">
      <c r="A743" t="s">
        <v>5399</v>
      </c>
      <c r="B743" t="s">
        <v>5400</v>
      </c>
      <c r="C743" t="s">
        <v>5401</v>
      </c>
      <c r="D743" t="s">
        <v>6000</v>
      </c>
      <c r="E743" t="s">
        <v>6461</v>
      </c>
      <c r="F743" t="s">
        <v>13460</v>
      </c>
      <c r="G743" t="s">
        <v>13481</v>
      </c>
      <c r="H743" t="s">
        <v>13522</v>
      </c>
      <c r="I743" t="s">
        <v>6479</v>
      </c>
      <c r="J743" t="s">
        <v>13463</v>
      </c>
      <c r="K743">
        <v>0</v>
      </c>
      <c r="L743" t="s">
        <v>20</v>
      </c>
      <c r="M743" t="s">
        <v>20</v>
      </c>
      <c r="N743" t="str">
        <f>_xlfn.XLOOKUP(C:C,'Resource Table'!A:A,'Resource Table'!B:B,"NOT FOUND",0,1)</f>
        <v>Dedicated</v>
      </c>
      <c r="O743" t="str">
        <f>_xlfn.XLOOKUP(N:N,'Resource Table'!B:B,'Resource Table'!C:C,"n/a",0,1)</f>
        <v>AFS Dedicated Tech</v>
      </c>
      <c r="P743" t="str">
        <f>_xlfn.XLOOKUP(N:N,'Resource Table'!B:B,'Resource Table'!D:D,"n/a",0,1)</f>
        <v>Dedicated</v>
      </c>
    </row>
    <row r="744" spans="1:16" x14ac:dyDescent="0.45">
      <c r="A744" t="s">
        <v>5399</v>
      </c>
      <c r="B744" t="s">
        <v>5400</v>
      </c>
      <c r="C744" t="s">
        <v>5401</v>
      </c>
      <c r="D744" t="s">
        <v>6181</v>
      </c>
      <c r="E744" t="s">
        <v>6451</v>
      </c>
      <c r="F744" t="s">
        <v>13562</v>
      </c>
      <c r="G744" t="s">
        <v>13602</v>
      </c>
      <c r="H744" t="s">
        <v>13603</v>
      </c>
      <c r="I744" t="s">
        <v>6479</v>
      </c>
      <c r="J744" t="s">
        <v>13463</v>
      </c>
      <c r="K744">
        <v>2</v>
      </c>
      <c r="L744" t="s">
        <v>13543</v>
      </c>
      <c r="M744" t="s">
        <v>20</v>
      </c>
      <c r="N744" t="str">
        <f>_xlfn.XLOOKUP(C:C,'Resource Table'!A:A,'Resource Table'!B:B,"NOT FOUND",0,1)</f>
        <v>Dedicated</v>
      </c>
      <c r="O744" t="str">
        <f>_xlfn.XLOOKUP(N:N,'Resource Table'!B:B,'Resource Table'!C:C,"n/a",0,1)</f>
        <v>AFS Dedicated Tech</v>
      </c>
      <c r="P744" t="str">
        <f>_xlfn.XLOOKUP(N:N,'Resource Table'!B:B,'Resource Table'!D:D,"n/a",0,1)</f>
        <v>Dedicated</v>
      </c>
    </row>
    <row r="745" spans="1:16" x14ac:dyDescent="0.45">
      <c r="A745" t="s">
        <v>5399</v>
      </c>
      <c r="B745" t="s">
        <v>5400</v>
      </c>
      <c r="C745" t="s">
        <v>5401</v>
      </c>
      <c r="D745" t="s">
        <v>6192</v>
      </c>
      <c r="E745" t="s">
        <v>6451</v>
      </c>
      <c r="F745" t="s">
        <v>13525</v>
      </c>
      <c r="G745" t="s">
        <v>13597</v>
      </c>
      <c r="H745" t="s">
        <v>13598</v>
      </c>
      <c r="I745" t="s">
        <v>6479</v>
      </c>
      <c r="J745" t="s">
        <v>13463</v>
      </c>
      <c r="K745">
        <v>4</v>
      </c>
      <c r="L745" t="s">
        <v>13544</v>
      </c>
      <c r="M745" t="s">
        <v>20</v>
      </c>
      <c r="N745" t="str">
        <f>_xlfn.XLOOKUP(C:C,'Resource Table'!A:A,'Resource Table'!B:B,"NOT FOUND",0,1)</f>
        <v>Dedicated</v>
      </c>
      <c r="O745" t="str">
        <f>_xlfn.XLOOKUP(N:N,'Resource Table'!B:B,'Resource Table'!C:C,"n/a",0,1)</f>
        <v>AFS Dedicated Tech</v>
      </c>
      <c r="P745" t="str">
        <f>_xlfn.XLOOKUP(N:N,'Resource Table'!B:B,'Resource Table'!D:D,"n/a",0,1)</f>
        <v>Dedicated</v>
      </c>
    </row>
    <row r="746" spans="1:16" x14ac:dyDescent="0.45">
      <c r="A746" t="s">
        <v>5399</v>
      </c>
      <c r="B746" t="s">
        <v>5400</v>
      </c>
      <c r="C746" t="s">
        <v>5401</v>
      </c>
      <c r="D746" t="s">
        <v>6077</v>
      </c>
      <c r="E746" t="s">
        <v>6461</v>
      </c>
      <c r="F746" t="s">
        <v>13460</v>
      </c>
      <c r="G746" t="s">
        <v>13538</v>
      </c>
      <c r="H746" t="s">
        <v>13547</v>
      </c>
      <c r="I746" t="s">
        <v>6479</v>
      </c>
      <c r="J746" t="s">
        <v>13463</v>
      </c>
      <c r="K746">
        <v>0</v>
      </c>
      <c r="L746" t="s">
        <v>20</v>
      </c>
      <c r="M746" t="s">
        <v>20</v>
      </c>
      <c r="N746" t="str">
        <f>_xlfn.XLOOKUP(C:C,'Resource Table'!A:A,'Resource Table'!B:B,"NOT FOUND",0,1)</f>
        <v>Dedicated</v>
      </c>
      <c r="O746" t="str">
        <f>_xlfn.XLOOKUP(N:N,'Resource Table'!B:B,'Resource Table'!C:C,"n/a",0,1)</f>
        <v>AFS Dedicated Tech</v>
      </c>
      <c r="P746" t="str">
        <f>_xlfn.XLOOKUP(N:N,'Resource Table'!B:B,'Resource Table'!D:D,"n/a",0,1)</f>
        <v>Dedicated</v>
      </c>
    </row>
    <row r="747" spans="1:16" x14ac:dyDescent="0.45">
      <c r="A747" t="s">
        <v>5399</v>
      </c>
      <c r="B747" t="s">
        <v>5400</v>
      </c>
      <c r="C747" t="s">
        <v>5401</v>
      </c>
      <c r="D747" t="s">
        <v>6257</v>
      </c>
      <c r="E747" t="s">
        <v>6451</v>
      </c>
      <c r="F747" t="s">
        <v>13460</v>
      </c>
      <c r="G747" t="s">
        <v>13476</v>
      </c>
      <c r="H747" t="s">
        <v>13477</v>
      </c>
      <c r="I747" t="s">
        <v>6479</v>
      </c>
      <c r="J747" t="s">
        <v>13463</v>
      </c>
      <c r="K747">
        <v>0</v>
      </c>
      <c r="L747" t="s">
        <v>20</v>
      </c>
      <c r="M747" t="s">
        <v>20</v>
      </c>
      <c r="N747" t="str">
        <f>_xlfn.XLOOKUP(C:C,'Resource Table'!A:A,'Resource Table'!B:B,"NOT FOUND",0,1)</f>
        <v>Dedicated</v>
      </c>
      <c r="O747" t="str">
        <f>_xlfn.XLOOKUP(N:N,'Resource Table'!B:B,'Resource Table'!C:C,"n/a",0,1)</f>
        <v>AFS Dedicated Tech</v>
      </c>
      <c r="P747" t="str">
        <f>_xlfn.XLOOKUP(N:N,'Resource Table'!B:B,'Resource Table'!D:D,"n/a",0,1)</f>
        <v>Dedicated</v>
      </c>
    </row>
    <row r="748" spans="1:16" x14ac:dyDescent="0.45">
      <c r="A748" t="s">
        <v>5399</v>
      </c>
      <c r="B748" t="s">
        <v>5400</v>
      </c>
      <c r="C748" t="s">
        <v>5401</v>
      </c>
      <c r="D748" t="s">
        <v>5063</v>
      </c>
      <c r="E748" t="s">
        <v>6461</v>
      </c>
      <c r="F748" t="s">
        <v>13460</v>
      </c>
      <c r="G748" t="s">
        <v>13481</v>
      </c>
      <c r="H748" t="s">
        <v>13568</v>
      </c>
      <c r="I748" t="s">
        <v>6479</v>
      </c>
      <c r="J748" t="s">
        <v>13463</v>
      </c>
      <c r="K748">
        <v>2</v>
      </c>
      <c r="L748" t="s">
        <v>13544</v>
      </c>
      <c r="M748" t="s">
        <v>20</v>
      </c>
      <c r="N748" t="str">
        <f>_xlfn.XLOOKUP(C:C,'Resource Table'!A:A,'Resource Table'!B:B,"NOT FOUND",0,1)</f>
        <v>Dedicated</v>
      </c>
      <c r="O748" t="str">
        <f>_xlfn.XLOOKUP(N:N,'Resource Table'!B:B,'Resource Table'!C:C,"n/a",0,1)</f>
        <v>AFS Dedicated Tech</v>
      </c>
      <c r="P748" t="str">
        <f>_xlfn.XLOOKUP(N:N,'Resource Table'!B:B,'Resource Table'!D:D,"n/a",0,1)</f>
        <v>Dedicated</v>
      </c>
    </row>
    <row r="749" spans="1:16" x14ac:dyDescent="0.45">
      <c r="A749" t="s">
        <v>5399</v>
      </c>
      <c r="B749" t="s">
        <v>5400</v>
      </c>
      <c r="C749" t="s">
        <v>5401</v>
      </c>
      <c r="D749" t="s">
        <v>6091</v>
      </c>
      <c r="E749" t="s">
        <v>6461</v>
      </c>
      <c r="F749" t="s">
        <v>13460</v>
      </c>
      <c r="G749" t="s">
        <v>13538</v>
      </c>
      <c r="H749" t="s">
        <v>13547</v>
      </c>
      <c r="I749" t="s">
        <v>6479</v>
      </c>
      <c r="J749" t="s">
        <v>13463</v>
      </c>
      <c r="K749">
        <v>2</v>
      </c>
      <c r="L749" t="s">
        <v>13530</v>
      </c>
      <c r="M749" t="s">
        <v>13468</v>
      </c>
      <c r="N749" t="str">
        <f>_xlfn.XLOOKUP(C:C,'Resource Table'!A:A,'Resource Table'!B:B,"NOT FOUND",0,1)</f>
        <v>Dedicated</v>
      </c>
      <c r="O749" t="str">
        <f>_xlfn.XLOOKUP(N:N,'Resource Table'!B:B,'Resource Table'!C:C,"n/a",0,1)</f>
        <v>AFS Dedicated Tech</v>
      </c>
      <c r="P749" t="str">
        <f>_xlfn.XLOOKUP(N:N,'Resource Table'!B:B,'Resource Table'!D:D,"n/a",0,1)</f>
        <v>Dedicated</v>
      </c>
    </row>
    <row r="750" spans="1:16" x14ac:dyDescent="0.45">
      <c r="A750" t="s">
        <v>5399</v>
      </c>
      <c r="B750" t="s">
        <v>5400</v>
      </c>
      <c r="C750" t="s">
        <v>5401</v>
      </c>
      <c r="D750" t="s">
        <v>3029</v>
      </c>
      <c r="E750" t="s">
        <v>6461</v>
      </c>
      <c r="F750" t="s">
        <v>13460</v>
      </c>
      <c r="G750" t="s">
        <v>13481</v>
      </c>
      <c r="H750" t="s">
        <v>13522</v>
      </c>
      <c r="I750" t="s">
        <v>6479</v>
      </c>
      <c r="J750" t="s">
        <v>13463</v>
      </c>
      <c r="K750">
        <v>2</v>
      </c>
      <c r="L750" t="s">
        <v>13552</v>
      </c>
      <c r="M750" t="s">
        <v>13505</v>
      </c>
      <c r="N750" t="str">
        <f>_xlfn.XLOOKUP(C:C,'Resource Table'!A:A,'Resource Table'!B:B,"NOT FOUND",0,1)</f>
        <v>Dedicated</v>
      </c>
      <c r="O750" t="str">
        <f>_xlfn.XLOOKUP(N:N,'Resource Table'!B:B,'Resource Table'!C:C,"n/a",0,1)</f>
        <v>AFS Dedicated Tech</v>
      </c>
      <c r="P750" t="str">
        <f>_xlfn.XLOOKUP(N:N,'Resource Table'!B:B,'Resource Table'!D:D,"n/a",0,1)</f>
        <v>Dedicated</v>
      </c>
    </row>
    <row r="751" spans="1:16" x14ac:dyDescent="0.45">
      <c r="A751" t="s">
        <v>5399</v>
      </c>
      <c r="B751" t="s">
        <v>5400</v>
      </c>
      <c r="C751" t="s">
        <v>5401</v>
      </c>
      <c r="D751" t="s">
        <v>6041</v>
      </c>
      <c r="E751" t="s">
        <v>6461</v>
      </c>
      <c r="F751" t="s">
        <v>13460</v>
      </c>
      <c r="G751" t="s">
        <v>13481</v>
      </c>
      <c r="H751" t="s">
        <v>13522</v>
      </c>
      <c r="I751" t="s">
        <v>6479</v>
      </c>
      <c r="J751" t="s">
        <v>13463</v>
      </c>
      <c r="K751">
        <v>0</v>
      </c>
      <c r="L751" t="s">
        <v>20</v>
      </c>
      <c r="M751" t="s">
        <v>20</v>
      </c>
      <c r="N751" t="str">
        <f>_xlfn.XLOOKUP(C:C,'Resource Table'!A:A,'Resource Table'!B:B,"NOT FOUND",0,1)</f>
        <v>Dedicated</v>
      </c>
      <c r="O751" t="str">
        <f>_xlfn.XLOOKUP(N:N,'Resource Table'!B:B,'Resource Table'!C:C,"n/a",0,1)</f>
        <v>AFS Dedicated Tech</v>
      </c>
      <c r="P751" t="str">
        <f>_xlfn.XLOOKUP(N:N,'Resource Table'!B:B,'Resource Table'!D:D,"n/a",0,1)</f>
        <v>Dedicated</v>
      </c>
    </row>
    <row r="752" spans="1:16" x14ac:dyDescent="0.45">
      <c r="A752" t="s">
        <v>5399</v>
      </c>
      <c r="B752" t="s">
        <v>5400</v>
      </c>
      <c r="C752" t="s">
        <v>5401</v>
      </c>
      <c r="D752" t="s">
        <v>3818</v>
      </c>
      <c r="E752" t="s">
        <v>6461</v>
      </c>
      <c r="F752" t="s">
        <v>13460</v>
      </c>
      <c r="G752" t="s">
        <v>13481</v>
      </c>
      <c r="H752" t="s">
        <v>13518</v>
      </c>
      <c r="I752" t="s">
        <v>6479</v>
      </c>
      <c r="J752" t="s">
        <v>13463</v>
      </c>
      <c r="K752">
        <v>0</v>
      </c>
      <c r="L752" t="s">
        <v>20</v>
      </c>
      <c r="M752" t="s">
        <v>20</v>
      </c>
      <c r="N752" t="str">
        <f>_xlfn.XLOOKUP(C:C,'Resource Table'!A:A,'Resource Table'!B:B,"NOT FOUND",0,1)</f>
        <v>Dedicated</v>
      </c>
      <c r="O752" t="str">
        <f>_xlfn.XLOOKUP(N:N,'Resource Table'!B:B,'Resource Table'!C:C,"n/a",0,1)</f>
        <v>AFS Dedicated Tech</v>
      </c>
      <c r="P752" t="str">
        <f>_xlfn.XLOOKUP(N:N,'Resource Table'!B:B,'Resource Table'!D:D,"n/a",0,1)</f>
        <v>Dedicated</v>
      </c>
    </row>
    <row r="753" spans="1:16" x14ac:dyDescent="0.45">
      <c r="A753" t="s">
        <v>5399</v>
      </c>
      <c r="B753" t="s">
        <v>5400</v>
      </c>
      <c r="C753" t="s">
        <v>5401</v>
      </c>
      <c r="D753" t="s">
        <v>6005</v>
      </c>
      <c r="E753" t="s">
        <v>6461</v>
      </c>
      <c r="F753" t="s">
        <v>13460</v>
      </c>
      <c r="G753" t="s">
        <v>13481</v>
      </c>
      <c r="H753" t="s">
        <v>13522</v>
      </c>
      <c r="I753" t="s">
        <v>6479</v>
      </c>
      <c r="J753" t="s">
        <v>13463</v>
      </c>
      <c r="K753">
        <v>2</v>
      </c>
      <c r="L753" t="s">
        <v>13489</v>
      </c>
      <c r="M753" t="s">
        <v>20</v>
      </c>
      <c r="N753" t="str">
        <f>_xlfn.XLOOKUP(C:C,'Resource Table'!A:A,'Resource Table'!B:B,"NOT FOUND",0,1)</f>
        <v>Dedicated</v>
      </c>
      <c r="O753" t="str">
        <f>_xlfn.XLOOKUP(N:N,'Resource Table'!B:B,'Resource Table'!C:C,"n/a",0,1)</f>
        <v>AFS Dedicated Tech</v>
      </c>
      <c r="P753" t="str">
        <f>_xlfn.XLOOKUP(N:N,'Resource Table'!B:B,'Resource Table'!D:D,"n/a",0,1)</f>
        <v>Dedicated</v>
      </c>
    </row>
    <row r="754" spans="1:16" x14ac:dyDescent="0.45">
      <c r="A754" t="s">
        <v>5399</v>
      </c>
      <c r="B754" t="s">
        <v>5400</v>
      </c>
      <c r="C754" t="s">
        <v>5401</v>
      </c>
      <c r="D754" t="s">
        <v>6185</v>
      </c>
      <c r="E754" t="s">
        <v>6451</v>
      </c>
      <c r="F754" t="s">
        <v>13525</v>
      </c>
      <c r="G754" t="s">
        <v>13597</v>
      </c>
      <c r="H754" t="s">
        <v>13598</v>
      </c>
      <c r="I754" t="s">
        <v>6479</v>
      </c>
      <c r="J754" t="s">
        <v>13463</v>
      </c>
      <c r="K754">
        <v>3</v>
      </c>
      <c r="L754" t="s">
        <v>13512</v>
      </c>
      <c r="M754" t="s">
        <v>20</v>
      </c>
      <c r="N754" t="str">
        <f>_xlfn.XLOOKUP(C:C,'Resource Table'!A:A,'Resource Table'!B:B,"NOT FOUND",0,1)</f>
        <v>Dedicated</v>
      </c>
      <c r="O754" t="str">
        <f>_xlfn.XLOOKUP(N:N,'Resource Table'!B:B,'Resource Table'!C:C,"n/a",0,1)</f>
        <v>AFS Dedicated Tech</v>
      </c>
      <c r="P754" t="str">
        <f>_xlfn.XLOOKUP(N:N,'Resource Table'!B:B,'Resource Table'!D:D,"n/a",0,1)</f>
        <v>Dedicated</v>
      </c>
    </row>
    <row r="755" spans="1:16" x14ac:dyDescent="0.45">
      <c r="A755" t="s">
        <v>5399</v>
      </c>
      <c r="B755" t="s">
        <v>5400</v>
      </c>
      <c r="C755" t="s">
        <v>5401</v>
      </c>
      <c r="D755" t="s">
        <v>6191</v>
      </c>
      <c r="E755" t="s">
        <v>6451</v>
      </c>
      <c r="F755" t="s">
        <v>13525</v>
      </c>
      <c r="G755" t="s">
        <v>13597</v>
      </c>
      <c r="H755" t="s">
        <v>13598</v>
      </c>
      <c r="I755" t="s">
        <v>6479</v>
      </c>
      <c r="J755" t="s">
        <v>13463</v>
      </c>
      <c r="K755">
        <v>0</v>
      </c>
      <c r="L755" t="s">
        <v>20</v>
      </c>
      <c r="M755" t="s">
        <v>20</v>
      </c>
      <c r="N755" t="str">
        <f>_xlfn.XLOOKUP(C:C,'Resource Table'!A:A,'Resource Table'!B:B,"NOT FOUND",0,1)</f>
        <v>Dedicated</v>
      </c>
      <c r="O755" t="str">
        <f>_xlfn.XLOOKUP(N:N,'Resource Table'!B:B,'Resource Table'!C:C,"n/a",0,1)</f>
        <v>AFS Dedicated Tech</v>
      </c>
      <c r="P755" t="str">
        <f>_xlfn.XLOOKUP(N:N,'Resource Table'!B:B,'Resource Table'!D:D,"n/a",0,1)</f>
        <v>Dedicated</v>
      </c>
    </row>
    <row r="756" spans="1:16" x14ac:dyDescent="0.45">
      <c r="A756" t="s">
        <v>5399</v>
      </c>
      <c r="B756" t="s">
        <v>5400</v>
      </c>
      <c r="C756" t="s">
        <v>5401</v>
      </c>
      <c r="D756" t="s">
        <v>6090</v>
      </c>
      <c r="E756" t="s">
        <v>6461</v>
      </c>
      <c r="F756" t="s">
        <v>13460</v>
      </c>
      <c r="G756" t="s">
        <v>13481</v>
      </c>
      <c r="H756" t="s">
        <v>13518</v>
      </c>
      <c r="I756" t="s">
        <v>6479</v>
      </c>
      <c r="J756" t="s">
        <v>13463</v>
      </c>
      <c r="K756">
        <v>0</v>
      </c>
      <c r="L756" t="s">
        <v>20</v>
      </c>
      <c r="M756" t="s">
        <v>20</v>
      </c>
      <c r="N756" t="str">
        <f>_xlfn.XLOOKUP(C:C,'Resource Table'!A:A,'Resource Table'!B:B,"NOT FOUND",0,1)</f>
        <v>Dedicated</v>
      </c>
      <c r="O756" t="str">
        <f>_xlfn.XLOOKUP(N:N,'Resource Table'!B:B,'Resource Table'!C:C,"n/a",0,1)</f>
        <v>AFS Dedicated Tech</v>
      </c>
      <c r="P756" t="str">
        <f>_xlfn.XLOOKUP(N:N,'Resource Table'!B:B,'Resource Table'!D:D,"n/a",0,1)</f>
        <v>Dedicated</v>
      </c>
    </row>
    <row r="757" spans="1:16" x14ac:dyDescent="0.45">
      <c r="A757" t="s">
        <v>5399</v>
      </c>
      <c r="B757" t="s">
        <v>5400</v>
      </c>
      <c r="C757" t="s">
        <v>5401</v>
      </c>
      <c r="D757" t="s">
        <v>13085</v>
      </c>
      <c r="E757" t="s">
        <v>6451</v>
      </c>
      <c r="F757" t="s">
        <v>13562</v>
      </c>
      <c r="G757" t="s">
        <v>13563</v>
      </c>
      <c r="H757" t="s">
        <v>13604</v>
      </c>
      <c r="I757" t="s">
        <v>6479</v>
      </c>
      <c r="J757" t="s">
        <v>13463</v>
      </c>
      <c r="K757">
        <v>0</v>
      </c>
      <c r="L757" t="s">
        <v>20</v>
      </c>
      <c r="M757" t="s">
        <v>20</v>
      </c>
      <c r="N757" t="str">
        <f>_xlfn.XLOOKUP(C:C,'Resource Table'!A:A,'Resource Table'!B:B,"NOT FOUND",0,1)</f>
        <v>Dedicated</v>
      </c>
      <c r="O757" t="str">
        <f>_xlfn.XLOOKUP(N:N,'Resource Table'!B:B,'Resource Table'!C:C,"n/a",0,1)</f>
        <v>AFS Dedicated Tech</v>
      </c>
      <c r="P757" t="str">
        <f>_xlfn.XLOOKUP(N:N,'Resource Table'!B:B,'Resource Table'!D:D,"n/a",0,1)</f>
        <v>Dedicated</v>
      </c>
    </row>
    <row r="758" spans="1:16" x14ac:dyDescent="0.45">
      <c r="A758" t="s">
        <v>5399</v>
      </c>
      <c r="B758" t="s">
        <v>5400</v>
      </c>
      <c r="C758" t="s">
        <v>5401</v>
      </c>
      <c r="D758" t="s">
        <v>6190</v>
      </c>
      <c r="E758" t="s">
        <v>6451</v>
      </c>
      <c r="F758" t="s">
        <v>13525</v>
      </c>
      <c r="G758" t="s">
        <v>13597</v>
      </c>
      <c r="H758" t="s">
        <v>13598</v>
      </c>
      <c r="I758" t="s">
        <v>6479</v>
      </c>
      <c r="J758" t="s">
        <v>13463</v>
      </c>
      <c r="K758">
        <v>1</v>
      </c>
      <c r="L758" t="s">
        <v>13480</v>
      </c>
      <c r="M758" t="s">
        <v>20</v>
      </c>
      <c r="N758" t="str">
        <f>_xlfn.XLOOKUP(C:C,'Resource Table'!A:A,'Resource Table'!B:B,"NOT FOUND",0,1)</f>
        <v>Dedicated</v>
      </c>
      <c r="O758" t="str">
        <f>_xlfn.XLOOKUP(N:N,'Resource Table'!B:B,'Resource Table'!C:C,"n/a",0,1)</f>
        <v>AFS Dedicated Tech</v>
      </c>
      <c r="P758" t="str">
        <f>_xlfn.XLOOKUP(N:N,'Resource Table'!B:B,'Resource Table'!D:D,"n/a",0,1)</f>
        <v>Dedicated</v>
      </c>
    </row>
    <row r="759" spans="1:16" x14ac:dyDescent="0.45">
      <c r="A759" t="s">
        <v>5399</v>
      </c>
      <c r="B759" t="s">
        <v>5400</v>
      </c>
      <c r="C759" t="s">
        <v>5508</v>
      </c>
      <c r="D759" t="s">
        <v>686</v>
      </c>
      <c r="E759" t="s">
        <v>6451</v>
      </c>
      <c r="F759" t="s">
        <v>13473</v>
      </c>
      <c r="G759" t="s">
        <v>13474</v>
      </c>
      <c r="H759" t="s">
        <v>13521</v>
      </c>
      <c r="I759" t="s">
        <v>6479</v>
      </c>
      <c r="J759" t="s">
        <v>13463</v>
      </c>
      <c r="K759">
        <v>2</v>
      </c>
      <c r="L759" t="s">
        <v>13491</v>
      </c>
      <c r="M759" t="s">
        <v>13484</v>
      </c>
      <c r="N759" t="str">
        <f>_xlfn.XLOOKUP(C:C,'Resource Table'!A:A,'Resource Table'!B:B,"NOT FOUND",0,1)</f>
        <v>Ralph Mann</v>
      </c>
      <c r="O759" t="str">
        <f>_xlfn.XLOOKUP(N:N,'Resource Table'!B:B,'Resource Table'!C:C,"n/a",0,1)</f>
        <v>rmann@ameritfleet.com</v>
      </c>
      <c r="P759" t="str">
        <f>_xlfn.XLOOKUP(N:N,'Resource Table'!B:B,'Resource Table'!D:D,"n/a",0,1)</f>
        <v>Vended Repair</v>
      </c>
    </row>
    <row r="760" spans="1:16" x14ac:dyDescent="0.45">
      <c r="A760" t="s">
        <v>5399</v>
      </c>
      <c r="B760" t="s">
        <v>5400</v>
      </c>
      <c r="C760" t="s">
        <v>5508</v>
      </c>
      <c r="D760" t="s">
        <v>955</v>
      </c>
      <c r="E760" t="s">
        <v>6451</v>
      </c>
      <c r="F760" t="s">
        <v>13473</v>
      </c>
      <c r="G760" t="s">
        <v>13474</v>
      </c>
      <c r="H760" t="s">
        <v>13475</v>
      </c>
      <c r="I760" t="s">
        <v>29</v>
      </c>
      <c r="J760" t="s">
        <v>13463</v>
      </c>
      <c r="K760">
        <v>2</v>
      </c>
      <c r="L760" t="s">
        <v>13489</v>
      </c>
      <c r="M760" t="s">
        <v>13513</v>
      </c>
      <c r="N760" t="str">
        <f>_xlfn.XLOOKUP(C:C,'Resource Table'!A:A,'Resource Table'!B:B,"NOT FOUND",0,1)</f>
        <v>Ralph Mann</v>
      </c>
      <c r="O760" t="str">
        <f>_xlfn.XLOOKUP(N:N,'Resource Table'!B:B,'Resource Table'!C:C,"n/a",0,1)</f>
        <v>rmann@ameritfleet.com</v>
      </c>
      <c r="P760" t="str">
        <f>_xlfn.XLOOKUP(N:N,'Resource Table'!B:B,'Resource Table'!D:D,"n/a",0,1)</f>
        <v>Vended Repair</v>
      </c>
    </row>
    <row r="761" spans="1:16" x14ac:dyDescent="0.45">
      <c r="A761" t="s">
        <v>5399</v>
      </c>
      <c r="B761" t="s">
        <v>5400</v>
      </c>
      <c r="C761" t="s">
        <v>5508</v>
      </c>
      <c r="D761" t="s">
        <v>2677</v>
      </c>
      <c r="E761" t="s">
        <v>6462</v>
      </c>
      <c r="F761" t="s">
        <v>13460</v>
      </c>
      <c r="G761" t="s">
        <v>13481</v>
      </c>
      <c r="H761" t="s">
        <v>13490</v>
      </c>
      <c r="I761" t="s">
        <v>6479</v>
      </c>
      <c r="J761" t="s">
        <v>13463</v>
      </c>
      <c r="K761">
        <v>0</v>
      </c>
      <c r="L761" t="s">
        <v>20</v>
      </c>
      <c r="M761" t="s">
        <v>20</v>
      </c>
      <c r="N761" t="str">
        <f>_xlfn.XLOOKUP(C:C,'Resource Table'!A:A,'Resource Table'!B:B,"NOT FOUND",0,1)</f>
        <v>Ralph Mann</v>
      </c>
      <c r="O761" t="str">
        <f>_xlfn.XLOOKUP(N:N,'Resource Table'!B:B,'Resource Table'!C:C,"n/a",0,1)</f>
        <v>rmann@ameritfleet.com</v>
      </c>
      <c r="P761" t="str">
        <f>_xlfn.XLOOKUP(N:N,'Resource Table'!B:B,'Resource Table'!D:D,"n/a",0,1)</f>
        <v>Vended Repair</v>
      </c>
    </row>
    <row r="762" spans="1:16" x14ac:dyDescent="0.45">
      <c r="A762" t="s">
        <v>5399</v>
      </c>
      <c r="B762" t="s">
        <v>5400</v>
      </c>
      <c r="C762" t="s">
        <v>5508</v>
      </c>
      <c r="D762" t="s">
        <v>1273</v>
      </c>
      <c r="E762" t="s">
        <v>6451</v>
      </c>
      <c r="F762" t="s">
        <v>13460</v>
      </c>
      <c r="G762" t="s">
        <v>13461</v>
      </c>
      <c r="H762" t="s">
        <v>13465</v>
      </c>
      <c r="I762" t="s">
        <v>6479</v>
      </c>
      <c r="J762" t="s">
        <v>13463</v>
      </c>
      <c r="K762">
        <v>3</v>
      </c>
      <c r="L762" t="s">
        <v>13540</v>
      </c>
      <c r="M762" t="s">
        <v>13606</v>
      </c>
      <c r="N762" t="str">
        <f>_xlfn.XLOOKUP(C:C,'Resource Table'!A:A,'Resource Table'!B:B,"NOT FOUND",0,1)</f>
        <v>Ralph Mann</v>
      </c>
      <c r="O762" t="str">
        <f>_xlfn.XLOOKUP(N:N,'Resource Table'!B:B,'Resource Table'!C:C,"n/a",0,1)</f>
        <v>rmann@ameritfleet.com</v>
      </c>
      <c r="P762" t="str">
        <f>_xlfn.XLOOKUP(N:N,'Resource Table'!B:B,'Resource Table'!D:D,"n/a",0,1)</f>
        <v>Vended Repair</v>
      </c>
    </row>
    <row r="763" spans="1:16" x14ac:dyDescent="0.45">
      <c r="A763" t="s">
        <v>5399</v>
      </c>
      <c r="B763" t="s">
        <v>5400</v>
      </c>
      <c r="C763" t="s">
        <v>5508</v>
      </c>
      <c r="D763" t="s">
        <v>7774</v>
      </c>
      <c r="E763" t="s">
        <v>6451</v>
      </c>
      <c r="F763" t="s">
        <v>13514</v>
      </c>
      <c r="G763" t="s">
        <v>13585</v>
      </c>
      <c r="H763" t="s">
        <v>13605</v>
      </c>
      <c r="I763" t="s">
        <v>6479</v>
      </c>
      <c r="J763" t="s">
        <v>13463</v>
      </c>
      <c r="K763">
        <v>1</v>
      </c>
      <c r="L763" t="s">
        <v>13542</v>
      </c>
      <c r="M763" t="s">
        <v>13505</v>
      </c>
      <c r="N763" t="str">
        <f>_xlfn.XLOOKUP(C:C,'Resource Table'!A:A,'Resource Table'!B:B,"NOT FOUND",0,1)</f>
        <v>Ralph Mann</v>
      </c>
      <c r="O763" t="str">
        <f>_xlfn.XLOOKUP(N:N,'Resource Table'!B:B,'Resource Table'!C:C,"n/a",0,1)</f>
        <v>rmann@ameritfleet.com</v>
      </c>
      <c r="P763" t="str">
        <f>_xlfn.XLOOKUP(N:N,'Resource Table'!B:B,'Resource Table'!D:D,"n/a",0,1)</f>
        <v>Vended Repair</v>
      </c>
    </row>
    <row r="764" spans="1:16" x14ac:dyDescent="0.45">
      <c r="A764" t="s">
        <v>5399</v>
      </c>
      <c r="B764" t="s">
        <v>5400</v>
      </c>
      <c r="C764" t="s">
        <v>5508</v>
      </c>
      <c r="D764" t="s">
        <v>263</v>
      </c>
      <c r="E764" t="s">
        <v>6451</v>
      </c>
      <c r="F764" t="s">
        <v>13460</v>
      </c>
      <c r="G764" t="s">
        <v>13476</v>
      </c>
      <c r="H764" t="s">
        <v>13478</v>
      </c>
      <c r="I764" t="s">
        <v>29</v>
      </c>
      <c r="J764" t="s">
        <v>13463</v>
      </c>
      <c r="K764">
        <v>1</v>
      </c>
      <c r="L764" t="s">
        <v>13540</v>
      </c>
      <c r="M764" t="s">
        <v>13591</v>
      </c>
      <c r="N764" t="str">
        <f>_xlfn.XLOOKUP(C:C,'Resource Table'!A:A,'Resource Table'!B:B,"NOT FOUND",0,1)</f>
        <v>Ralph Mann</v>
      </c>
      <c r="O764" t="str">
        <f>_xlfn.XLOOKUP(N:N,'Resource Table'!B:B,'Resource Table'!C:C,"n/a",0,1)</f>
        <v>rmann@ameritfleet.com</v>
      </c>
      <c r="P764" t="str">
        <f>_xlfn.XLOOKUP(N:N,'Resource Table'!B:B,'Resource Table'!D:D,"n/a",0,1)</f>
        <v>Vended Repair</v>
      </c>
    </row>
    <row r="765" spans="1:16" x14ac:dyDescent="0.45">
      <c r="A765" t="s">
        <v>5399</v>
      </c>
      <c r="B765" t="s">
        <v>5400</v>
      </c>
      <c r="C765" t="s">
        <v>5508</v>
      </c>
      <c r="D765" t="s">
        <v>2355</v>
      </c>
      <c r="E765" t="s">
        <v>6461</v>
      </c>
      <c r="F765" t="s">
        <v>13460</v>
      </c>
      <c r="G765" t="s">
        <v>13481</v>
      </c>
      <c r="H765" t="s">
        <v>13522</v>
      </c>
      <c r="I765" t="s">
        <v>6479</v>
      </c>
      <c r="J765" t="s">
        <v>13463</v>
      </c>
      <c r="K765">
        <v>4</v>
      </c>
      <c r="L765" t="s">
        <v>13540</v>
      </c>
      <c r="M765" t="s">
        <v>13505</v>
      </c>
      <c r="N765" t="str">
        <f>_xlfn.XLOOKUP(C:C,'Resource Table'!A:A,'Resource Table'!B:B,"NOT FOUND",0,1)</f>
        <v>Ralph Mann</v>
      </c>
      <c r="O765" t="str">
        <f>_xlfn.XLOOKUP(N:N,'Resource Table'!B:B,'Resource Table'!C:C,"n/a",0,1)</f>
        <v>rmann@ameritfleet.com</v>
      </c>
      <c r="P765" t="str">
        <f>_xlfn.XLOOKUP(N:N,'Resource Table'!B:B,'Resource Table'!D:D,"n/a",0,1)</f>
        <v>Vended Repair</v>
      </c>
    </row>
    <row r="766" spans="1:16" x14ac:dyDescent="0.45">
      <c r="A766" t="s">
        <v>5399</v>
      </c>
      <c r="B766" t="s">
        <v>5400</v>
      </c>
      <c r="C766" t="s">
        <v>5508</v>
      </c>
      <c r="D766" t="s">
        <v>2392</v>
      </c>
      <c r="E766" t="s">
        <v>6451</v>
      </c>
      <c r="F766" t="s">
        <v>13460</v>
      </c>
      <c r="G766" t="s">
        <v>13461</v>
      </c>
      <c r="H766" t="s">
        <v>13488</v>
      </c>
      <c r="I766" t="s">
        <v>6479</v>
      </c>
      <c r="J766" t="s">
        <v>13463</v>
      </c>
      <c r="K766">
        <v>6</v>
      </c>
      <c r="L766" t="s">
        <v>13540</v>
      </c>
      <c r="M766" t="s">
        <v>13505</v>
      </c>
      <c r="N766" t="str">
        <f>_xlfn.XLOOKUP(C:C,'Resource Table'!A:A,'Resource Table'!B:B,"NOT FOUND",0,1)</f>
        <v>Ralph Mann</v>
      </c>
      <c r="O766" t="str">
        <f>_xlfn.XLOOKUP(N:N,'Resource Table'!B:B,'Resource Table'!C:C,"n/a",0,1)</f>
        <v>rmann@ameritfleet.com</v>
      </c>
      <c r="P766" t="str">
        <f>_xlfn.XLOOKUP(N:N,'Resource Table'!B:B,'Resource Table'!D:D,"n/a",0,1)</f>
        <v>Vended Repair</v>
      </c>
    </row>
    <row r="767" spans="1:16" x14ac:dyDescent="0.45">
      <c r="A767" t="s">
        <v>5399</v>
      </c>
      <c r="B767" t="s">
        <v>5400</v>
      </c>
      <c r="C767" t="s">
        <v>5508</v>
      </c>
      <c r="D767" t="s">
        <v>323</v>
      </c>
      <c r="E767" t="s">
        <v>6451</v>
      </c>
      <c r="F767" t="s">
        <v>13525</v>
      </c>
      <c r="G767" t="s">
        <v>13585</v>
      </c>
      <c r="H767" t="s">
        <v>13586</v>
      </c>
      <c r="I767" t="s">
        <v>6479</v>
      </c>
      <c r="J767" t="s">
        <v>13463</v>
      </c>
      <c r="K767">
        <v>2</v>
      </c>
      <c r="L767" t="s">
        <v>13540</v>
      </c>
      <c r="M767" t="s">
        <v>13505</v>
      </c>
      <c r="N767" t="str">
        <f>_xlfn.XLOOKUP(C:C,'Resource Table'!A:A,'Resource Table'!B:B,"NOT FOUND",0,1)</f>
        <v>Ralph Mann</v>
      </c>
      <c r="O767" t="str">
        <f>_xlfn.XLOOKUP(N:N,'Resource Table'!B:B,'Resource Table'!C:C,"n/a",0,1)</f>
        <v>rmann@ameritfleet.com</v>
      </c>
      <c r="P767" t="str">
        <f>_xlfn.XLOOKUP(N:N,'Resource Table'!B:B,'Resource Table'!D:D,"n/a",0,1)</f>
        <v>Vended Repair</v>
      </c>
    </row>
    <row r="768" spans="1:16" x14ac:dyDescent="0.45">
      <c r="A768" t="s">
        <v>5399</v>
      </c>
      <c r="B768" t="s">
        <v>5400</v>
      </c>
      <c r="C768" t="s">
        <v>5508</v>
      </c>
      <c r="D768" t="s">
        <v>2298</v>
      </c>
      <c r="E768" t="s">
        <v>6451</v>
      </c>
      <c r="F768" t="s">
        <v>13525</v>
      </c>
      <c r="G768" t="s">
        <v>13597</v>
      </c>
      <c r="H768" t="s">
        <v>13598</v>
      </c>
      <c r="I768" t="s">
        <v>6479</v>
      </c>
      <c r="J768" t="s">
        <v>13463</v>
      </c>
      <c r="K768">
        <v>2</v>
      </c>
      <c r="L768" t="s">
        <v>13540</v>
      </c>
      <c r="M768" t="s">
        <v>13505</v>
      </c>
      <c r="N768" t="str">
        <f>_xlfn.XLOOKUP(C:C,'Resource Table'!A:A,'Resource Table'!B:B,"NOT FOUND",0,1)</f>
        <v>Ralph Mann</v>
      </c>
      <c r="O768" t="str">
        <f>_xlfn.XLOOKUP(N:N,'Resource Table'!B:B,'Resource Table'!C:C,"n/a",0,1)</f>
        <v>rmann@ameritfleet.com</v>
      </c>
      <c r="P768" t="str">
        <f>_xlfn.XLOOKUP(N:N,'Resource Table'!B:B,'Resource Table'!D:D,"n/a",0,1)</f>
        <v>Vended Repair</v>
      </c>
    </row>
    <row r="769" spans="1:16" x14ac:dyDescent="0.45">
      <c r="A769" t="s">
        <v>5399</v>
      </c>
      <c r="B769" t="s">
        <v>5400</v>
      </c>
      <c r="C769" t="s">
        <v>5508</v>
      </c>
      <c r="D769" t="s">
        <v>1463</v>
      </c>
      <c r="E769" t="s">
        <v>6461</v>
      </c>
      <c r="F769" t="s">
        <v>13460</v>
      </c>
      <c r="G769" t="s">
        <v>13481</v>
      </c>
      <c r="H769" t="s">
        <v>13482</v>
      </c>
      <c r="I769" t="s">
        <v>29</v>
      </c>
      <c r="J769" t="s">
        <v>13463</v>
      </c>
      <c r="K769">
        <v>3</v>
      </c>
      <c r="L769" t="s">
        <v>13497</v>
      </c>
      <c r="M769" t="s">
        <v>13591</v>
      </c>
      <c r="N769" t="str">
        <f>_xlfn.XLOOKUP(C:C,'Resource Table'!A:A,'Resource Table'!B:B,"NOT FOUND",0,1)</f>
        <v>Ralph Mann</v>
      </c>
      <c r="O769" t="str">
        <f>_xlfn.XLOOKUP(N:N,'Resource Table'!B:B,'Resource Table'!C:C,"n/a",0,1)</f>
        <v>rmann@ameritfleet.com</v>
      </c>
      <c r="P769" t="str">
        <f>_xlfn.XLOOKUP(N:N,'Resource Table'!B:B,'Resource Table'!D:D,"n/a",0,1)</f>
        <v>Vended Repair</v>
      </c>
    </row>
    <row r="770" spans="1:16" x14ac:dyDescent="0.45">
      <c r="A770" t="s">
        <v>5399</v>
      </c>
      <c r="B770" t="s">
        <v>5400</v>
      </c>
      <c r="C770" t="s">
        <v>5508</v>
      </c>
      <c r="D770" t="s">
        <v>5509</v>
      </c>
      <c r="E770" t="s">
        <v>6451</v>
      </c>
      <c r="F770" t="s">
        <v>13473</v>
      </c>
      <c r="G770" t="s">
        <v>13474</v>
      </c>
      <c r="H770" t="s">
        <v>13521</v>
      </c>
      <c r="I770" t="s">
        <v>29</v>
      </c>
      <c r="J770" t="s">
        <v>13463</v>
      </c>
      <c r="K770">
        <v>1</v>
      </c>
      <c r="L770" t="s">
        <v>13542</v>
      </c>
      <c r="M770" t="s">
        <v>13505</v>
      </c>
      <c r="N770" t="str">
        <f>_xlfn.XLOOKUP(C:C,'Resource Table'!A:A,'Resource Table'!B:B,"NOT FOUND",0,1)</f>
        <v>Ralph Mann</v>
      </c>
      <c r="O770" t="str">
        <f>_xlfn.XLOOKUP(N:N,'Resource Table'!B:B,'Resource Table'!C:C,"n/a",0,1)</f>
        <v>rmann@ameritfleet.com</v>
      </c>
      <c r="P770" t="str">
        <f>_xlfn.XLOOKUP(N:N,'Resource Table'!B:B,'Resource Table'!D:D,"n/a",0,1)</f>
        <v>Vended Repair</v>
      </c>
    </row>
    <row r="771" spans="1:16" x14ac:dyDescent="0.45">
      <c r="A771" t="s">
        <v>5399</v>
      </c>
      <c r="B771" t="s">
        <v>5400</v>
      </c>
      <c r="C771" t="s">
        <v>5508</v>
      </c>
      <c r="D771" t="s">
        <v>1339</v>
      </c>
      <c r="E771" t="s">
        <v>6451</v>
      </c>
      <c r="F771" t="s">
        <v>13525</v>
      </c>
      <c r="G771" t="s">
        <v>13597</v>
      </c>
      <c r="H771" t="s">
        <v>13598</v>
      </c>
      <c r="I771" t="s">
        <v>6479</v>
      </c>
      <c r="J771" t="s">
        <v>13463</v>
      </c>
      <c r="K771">
        <v>2</v>
      </c>
      <c r="L771" t="s">
        <v>13540</v>
      </c>
      <c r="M771" t="s">
        <v>13505</v>
      </c>
      <c r="N771" t="str">
        <f>_xlfn.XLOOKUP(C:C,'Resource Table'!A:A,'Resource Table'!B:B,"NOT FOUND",0,1)</f>
        <v>Ralph Mann</v>
      </c>
      <c r="O771" t="str">
        <f>_xlfn.XLOOKUP(N:N,'Resource Table'!B:B,'Resource Table'!C:C,"n/a",0,1)</f>
        <v>rmann@ameritfleet.com</v>
      </c>
      <c r="P771" t="str">
        <f>_xlfn.XLOOKUP(N:N,'Resource Table'!B:B,'Resource Table'!D:D,"n/a",0,1)</f>
        <v>Vended Repair</v>
      </c>
    </row>
    <row r="772" spans="1:16" x14ac:dyDescent="0.45">
      <c r="A772" t="s">
        <v>5399</v>
      </c>
      <c r="B772" t="s">
        <v>5400</v>
      </c>
      <c r="C772" t="s">
        <v>5508</v>
      </c>
      <c r="D772" t="s">
        <v>7591</v>
      </c>
      <c r="E772" t="s">
        <v>6451</v>
      </c>
      <c r="F772" t="s">
        <v>13525</v>
      </c>
      <c r="G772" t="s">
        <v>13585</v>
      </c>
      <c r="H772" t="s">
        <v>13586</v>
      </c>
      <c r="I772" t="s">
        <v>6479</v>
      </c>
      <c r="J772" t="s">
        <v>13463</v>
      </c>
      <c r="K772">
        <v>1</v>
      </c>
      <c r="L772" t="s">
        <v>13542</v>
      </c>
      <c r="M772" t="s">
        <v>13505</v>
      </c>
      <c r="N772" t="str">
        <f>_xlfn.XLOOKUP(C:C,'Resource Table'!A:A,'Resource Table'!B:B,"NOT FOUND",0,1)</f>
        <v>Ralph Mann</v>
      </c>
      <c r="O772" t="str">
        <f>_xlfn.XLOOKUP(N:N,'Resource Table'!B:B,'Resource Table'!C:C,"n/a",0,1)</f>
        <v>rmann@ameritfleet.com</v>
      </c>
      <c r="P772" t="str">
        <f>_xlfn.XLOOKUP(N:N,'Resource Table'!B:B,'Resource Table'!D:D,"n/a",0,1)</f>
        <v>Vended Repair</v>
      </c>
    </row>
    <row r="773" spans="1:16" x14ac:dyDescent="0.45">
      <c r="A773" t="s">
        <v>5399</v>
      </c>
      <c r="B773" t="s">
        <v>5400</v>
      </c>
      <c r="C773" t="s">
        <v>5667</v>
      </c>
      <c r="D773" t="s">
        <v>5687</v>
      </c>
      <c r="E773" t="s">
        <v>6451</v>
      </c>
      <c r="F773" t="s">
        <v>13473</v>
      </c>
      <c r="G773" t="s">
        <v>13474</v>
      </c>
      <c r="H773" t="s">
        <v>13492</v>
      </c>
      <c r="I773" t="s">
        <v>6479</v>
      </c>
      <c r="J773" t="s">
        <v>13463</v>
      </c>
      <c r="K773">
        <v>2</v>
      </c>
      <c r="L773" t="s">
        <v>13472</v>
      </c>
      <c r="M773" t="s">
        <v>20</v>
      </c>
      <c r="N773" t="str">
        <f>_xlfn.XLOOKUP(C:C,'Resource Table'!A:A,'Resource Table'!B:B,"NOT FOUND",0,1)</f>
        <v>Ralph Mann</v>
      </c>
      <c r="O773" t="str">
        <f>_xlfn.XLOOKUP(N:N,'Resource Table'!B:B,'Resource Table'!C:C,"n/a",0,1)</f>
        <v>rmann@ameritfleet.com</v>
      </c>
      <c r="P773" t="str">
        <f>_xlfn.XLOOKUP(N:N,'Resource Table'!B:B,'Resource Table'!D:D,"n/a",0,1)</f>
        <v>Vended Repair</v>
      </c>
    </row>
    <row r="774" spans="1:16" x14ac:dyDescent="0.45">
      <c r="A774" t="s">
        <v>5399</v>
      </c>
      <c r="B774" t="s">
        <v>5400</v>
      </c>
      <c r="C774" t="s">
        <v>5667</v>
      </c>
      <c r="D774" t="s">
        <v>2005</v>
      </c>
      <c r="E774" t="s">
        <v>6461</v>
      </c>
      <c r="F774" t="s">
        <v>13460</v>
      </c>
      <c r="G774" t="s">
        <v>13481</v>
      </c>
      <c r="H774" t="s">
        <v>13522</v>
      </c>
      <c r="I774" t="s">
        <v>6479</v>
      </c>
      <c r="J774" t="s">
        <v>13463</v>
      </c>
      <c r="K774">
        <v>0</v>
      </c>
      <c r="L774" t="s">
        <v>20</v>
      </c>
      <c r="M774" t="s">
        <v>20</v>
      </c>
      <c r="N774" t="str">
        <f>_xlfn.XLOOKUP(C:C,'Resource Table'!A:A,'Resource Table'!B:B,"NOT FOUND",0,1)</f>
        <v>Ralph Mann</v>
      </c>
      <c r="O774" t="str">
        <f>_xlfn.XLOOKUP(N:N,'Resource Table'!B:B,'Resource Table'!C:C,"n/a",0,1)</f>
        <v>rmann@ameritfleet.com</v>
      </c>
      <c r="P774" t="str">
        <f>_xlfn.XLOOKUP(N:N,'Resource Table'!B:B,'Resource Table'!D:D,"n/a",0,1)</f>
        <v>Vended Repair</v>
      </c>
    </row>
    <row r="775" spans="1:16" x14ac:dyDescent="0.45">
      <c r="A775" t="s">
        <v>5399</v>
      </c>
      <c r="B775" t="s">
        <v>5400</v>
      </c>
      <c r="C775" t="s">
        <v>5667</v>
      </c>
      <c r="D775" t="s">
        <v>2643</v>
      </c>
      <c r="E775" t="s">
        <v>6451</v>
      </c>
      <c r="F775" t="s">
        <v>13460</v>
      </c>
      <c r="G775" t="s">
        <v>13461</v>
      </c>
      <c r="H775" t="s">
        <v>13488</v>
      </c>
      <c r="I775" t="s">
        <v>6479</v>
      </c>
      <c r="J775" t="s">
        <v>13463</v>
      </c>
      <c r="K775">
        <v>0</v>
      </c>
      <c r="L775" t="s">
        <v>20</v>
      </c>
      <c r="M775" t="s">
        <v>20</v>
      </c>
      <c r="N775" t="str">
        <f>_xlfn.XLOOKUP(C:C,'Resource Table'!A:A,'Resource Table'!B:B,"NOT FOUND",0,1)</f>
        <v>Ralph Mann</v>
      </c>
      <c r="O775" t="str">
        <f>_xlfn.XLOOKUP(N:N,'Resource Table'!B:B,'Resource Table'!C:C,"n/a",0,1)</f>
        <v>rmann@ameritfleet.com</v>
      </c>
      <c r="P775" t="str">
        <f>_xlfn.XLOOKUP(N:N,'Resource Table'!B:B,'Resource Table'!D:D,"n/a",0,1)</f>
        <v>Vended Repair</v>
      </c>
    </row>
    <row r="776" spans="1:16" x14ac:dyDescent="0.45">
      <c r="A776" t="s">
        <v>5399</v>
      </c>
      <c r="B776" t="s">
        <v>5400</v>
      </c>
      <c r="C776" t="s">
        <v>5667</v>
      </c>
      <c r="D776" t="s">
        <v>878</v>
      </c>
      <c r="E776" t="s">
        <v>6461</v>
      </c>
      <c r="F776" t="s">
        <v>13460</v>
      </c>
      <c r="G776" t="s">
        <v>13481</v>
      </c>
      <c r="H776" t="s">
        <v>13518</v>
      </c>
      <c r="I776" t="s">
        <v>6479</v>
      </c>
      <c r="J776" t="s">
        <v>13463</v>
      </c>
      <c r="K776">
        <v>1</v>
      </c>
      <c r="L776" t="s">
        <v>13483</v>
      </c>
      <c r="M776" t="s">
        <v>13543</v>
      </c>
      <c r="N776" t="str">
        <f>_xlfn.XLOOKUP(C:C,'Resource Table'!A:A,'Resource Table'!B:B,"NOT FOUND",0,1)</f>
        <v>Ralph Mann</v>
      </c>
      <c r="O776" t="str">
        <f>_xlfn.XLOOKUP(N:N,'Resource Table'!B:B,'Resource Table'!C:C,"n/a",0,1)</f>
        <v>rmann@ameritfleet.com</v>
      </c>
      <c r="P776" t="str">
        <f>_xlfn.XLOOKUP(N:N,'Resource Table'!B:B,'Resource Table'!D:D,"n/a",0,1)</f>
        <v>Vended Repair</v>
      </c>
    </row>
    <row r="777" spans="1:16" x14ac:dyDescent="0.45">
      <c r="A777" t="s">
        <v>5399</v>
      </c>
      <c r="B777" t="s">
        <v>5400</v>
      </c>
      <c r="C777" t="s">
        <v>5667</v>
      </c>
      <c r="D777" t="s">
        <v>4066</v>
      </c>
      <c r="E777" t="s">
        <v>6451</v>
      </c>
      <c r="F777" t="s">
        <v>13473</v>
      </c>
      <c r="G777" t="s">
        <v>13474</v>
      </c>
      <c r="H777" t="s">
        <v>13475</v>
      </c>
      <c r="I777" t="s">
        <v>6479</v>
      </c>
      <c r="J777" t="s">
        <v>13463</v>
      </c>
      <c r="K777">
        <v>1</v>
      </c>
      <c r="L777" t="s">
        <v>13503</v>
      </c>
      <c r="M777" t="s">
        <v>13505</v>
      </c>
      <c r="N777" t="str">
        <f>_xlfn.XLOOKUP(C:C,'Resource Table'!A:A,'Resource Table'!B:B,"NOT FOUND",0,1)</f>
        <v>Ralph Mann</v>
      </c>
      <c r="O777" t="str">
        <f>_xlfn.XLOOKUP(N:N,'Resource Table'!B:B,'Resource Table'!C:C,"n/a",0,1)</f>
        <v>rmann@ameritfleet.com</v>
      </c>
      <c r="P777" t="str">
        <f>_xlfn.XLOOKUP(N:N,'Resource Table'!B:B,'Resource Table'!D:D,"n/a",0,1)</f>
        <v>Vended Repair</v>
      </c>
    </row>
    <row r="778" spans="1:16" x14ac:dyDescent="0.45">
      <c r="A778" t="s">
        <v>5399</v>
      </c>
      <c r="B778" t="s">
        <v>5400</v>
      </c>
      <c r="C778" t="s">
        <v>5667</v>
      </c>
      <c r="D778" t="s">
        <v>1110</v>
      </c>
      <c r="E778" t="s">
        <v>6461</v>
      </c>
      <c r="F778" t="s">
        <v>13460</v>
      </c>
      <c r="G778" t="s">
        <v>13481</v>
      </c>
      <c r="H778" t="s">
        <v>13522</v>
      </c>
      <c r="I778" t="s">
        <v>6479</v>
      </c>
      <c r="J778" t="s">
        <v>13463</v>
      </c>
      <c r="K778">
        <v>0</v>
      </c>
      <c r="L778" t="s">
        <v>20</v>
      </c>
      <c r="M778" t="s">
        <v>20</v>
      </c>
      <c r="N778" t="str">
        <f>_xlfn.XLOOKUP(C:C,'Resource Table'!A:A,'Resource Table'!B:B,"NOT FOUND",0,1)</f>
        <v>Ralph Mann</v>
      </c>
      <c r="O778" t="str">
        <f>_xlfn.XLOOKUP(N:N,'Resource Table'!B:B,'Resource Table'!C:C,"n/a",0,1)</f>
        <v>rmann@ameritfleet.com</v>
      </c>
      <c r="P778" t="str">
        <f>_xlfn.XLOOKUP(N:N,'Resource Table'!B:B,'Resource Table'!D:D,"n/a",0,1)</f>
        <v>Vended Repair</v>
      </c>
    </row>
    <row r="779" spans="1:16" x14ac:dyDescent="0.45">
      <c r="A779" t="s">
        <v>5399</v>
      </c>
      <c r="B779" t="s">
        <v>5400</v>
      </c>
      <c r="C779" t="s">
        <v>5667</v>
      </c>
      <c r="D779" t="s">
        <v>3454</v>
      </c>
      <c r="E779" t="s">
        <v>6461</v>
      </c>
      <c r="F779" t="s">
        <v>13460</v>
      </c>
      <c r="G779" t="s">
        <v>13481</v>
      </c>
      <c r="H779" t="s">
        <v>13482</v>
      </c>
      <c r="I779" t="s">
        <v>6479</v>
      </c>
      <c r="J779" t="s">
        <v>13463</v>
      </c>
      <c r="K779">
        <v>2</v>
      </c>
      <c r="L779" t="s">
        <v>13520</v>
      </c>
      <c r="M779" t="s">
        <v>13493</v>
      </c>
      <c r="N779" t="str">
        <f>_xlfn.XLOOKUP(C:C,'Resource Table'!A:A,'Resource Table'!B:B,"NOT FOUND",0,1)</f>
        <v>Ralph Mann</v>
      </c>
      <c r="O779" t="str">
        <f>_xlfn.XLOOKUP(N:N,'Resource Table'!B:B,'Resource Table'!C:C,"n/a",0,1)</f>
        <v>rmann@ameritfleet.com</v>
      </c>
      <c r="P779" t="str">
        <f>_xlfn.XLOOKUP(N:N,'Resource Table'!B:B,'Resource Table'!D:D,"n/a",0,1)</f>
        <v>Vended Repair</v>
      </c>
    </row>
    <row r="780" spans="1:16" x14ac:dyDescent="0.45">
      <c r="A780" t="s">
        <v>5399</v>
      </c>
      <c r="B780" t="s">
        <v>5400</v>
      </c>
      <c r="C780" t="s">
        <v>5667</v>
      </c>
      <c r="D780" t="s">
        <v>73</v>
      </c>
      <c r="E780" t="s">
        <v>6451</v>
      </c>
      <c r="F780" t="s">
        <v>13473</v>
      </c>
      <c r="G780" t="s">
        <v>13474</v>
      </c>
      <c r="H780" t="s">
        <v>13521</v>
      </c>
      <c r="I780" t="s">
        <v>6479</v>
      </c>
      <c r="J780" t="s">
        <v>13463</v>
      </c>
      <c r="K780">
        <v>0</v>
      </c>
      <c r="L780" t="s">
        <v>20</v>
      </c>
      <c r="M780" t="s">
        <v>20</v>
      </c>
      <c r="N780" t="str">
        <f>_xlfn.XLOOKUP(C:C,'Resource Table'!A:A,'Resource Table'!B:B,"NOT FOUND",0,1)</f>
        <v>Ralph Mann</v>
      </c>
      <c r="O780" t="str">
        <f>_xlfn.XLOOKUP(N:N,'Resource Table'!B:B,'Resource Table'!C:C,"n/a",0,1)</f>
        <v>rmann@ameritfleet.com</v>
      </c>
      <c r="P780" t="str">
        <f>_xlfn.XLOOKUP(N:N,'Resource Table'!B:B,'Resource Table'!D:D,"n/a",0,1)</f>
        <v>Vended Repair</v>
      </c>
    </row>
    <row r="781" spans="1:16" x14ac:dyDescent="0.45">
      <c r="A781" t="s">
        <v>5399</v>
      </c>
      <c r="B781" t="s">
        <v>5400</v>
      </c>
      <c r="C781" t="s">
        <v>5667</v>
      </c>
      <c r="D781" t="s">
        <v>1874</v>
      </c>
      <c r="E781" t="s">
        <v>6461</v>
      </c>
      <c r="F781" t="s">
        <v>13460</v>
      </c>
      <c r="G781" t="s">
        <v>13481</v>
      </c>
      <c r="H781" t="s">
        <v>13518</v>
      </c>
      <c r="I781" t="s">
        <v>6479</v>
      </c>
      <c r="J781" t="s">
        <v>13463</v>
      </c>
      <c r="K781">
        <v>3</v>
      </c>
      <c r="L781" t="s">
        <v>13542</v>
      </c>
      <c r="M781" t="s">
        <v>13505</v>
      </c>
      <c r="N781" t="str">
        <f>_xlfn.XLOOKUP(C:C,'Resource Table'!A:A,'Resource Table'!B:B,"NOT FOUND",0,1)</f>
        <v>Ralph Mann</v>
      </c>
      <c r="O781" t="str">
        <f>_xlfn.XLOOKUP(N:N,'Resource Table'!B:B,'Resource Table'!C:C,"n/a",0,1)</f>
        <v>rmann@ameritfleet.com</v>
      </c>
      <c r="P781" t="str">
        <f>_xlfn.XLOOKUP(N:N,'Resource Table'!B:B,'Resource Table'!D:D,"n/a",0,1)</f>
        <v>Vended Repair</v>
      </c>
    </row>
    <row r="782" spans="1:16" x14ac:dyDescent="0.45">
      <c r="A782" t="s">
        <v>5399</v>
      </c>
      <c r="B782" t="s">
        <v>5400</v>
      </c>
      <c r="C782" t="s">
        <v>5667</v>
      </c>
      <c r="D782" t="s">
        <v>4521</v>
      </c>
      <c r="E782" t="s">
        <v>6461</v>
      </c>
      <c r="F782" t="s">
        <v>13460</v>
      </c>
      <c r="G782" t="s">
        <v>13481</v>
      </c>
      <c r="H782" t="s">
        <v>13522</v>
      </c>
      <c r="I782" t="s">
        <v>6479</v>
      </c>
      <c r="J782" t="s">
        <v>13463</v>
      </c>
      <c r="K782">
        <v>1</v>
      </c>
      <c r="L782" t="s">
        <v>13487</v>
      </c>
      <c r="M782" t="s">
        <v>13468</v>
      </c>
      <c r="N782" t="str">
        <f>_xlfn.XLOOKUP(C:C,'Resource Table'!A:A,'Resource Table'!B:B,"NOT FOUND",0,1)</f>
        <v>Ralph Mann</v>
      </c>
      <c r="O782" t="str">
        <f>_xlfn.XLOOKUP(N:N,'Resource Table'!B:B,'Resource Table'!C:C,"n/a",0,1)</f>
        <v>rmann@ameritfleet.com</v>
      </c>
      <c r="P782" t="str">
        <f>_xlfn.XLOOKUP(N:N,'Resource Table'!B:B,'Resource Table'!D:D,"n/a",0,1)</f>
        <v>Vended Repair</v>
      </c>
    </row>
    <row r="783" spans="1:16" x14ac:dyDescent="0.45">
      <c r="A783" t="s">
        <v>5399</v>
      </c>
      <c r="B783" t="s">
        <v>5400</v>
      </c>
      <c r="C783" t="s">
        <v>5667</v>
      </c>
      <c r="D783" t="s">
        <v>4572</v>
      </c>
      <c r="E783" t="s">
        <v>6451</v>
      </c>
      <c r="F783" t="s">
        <v>13460</v>
      </c>
      <c r="G783" t="s">
        <v>13476</v>
      </c>
      <c r="H783" t="s">
        <v>13477</v>
      </c>
      <c r="I783" t="s">
        <v>6479</v>
      </c>
      <c r="J783" t="s">
        <v>13463</v>
      </c>
      <c r="K783">
        <v>0</v>
      </c>
      <c r="L783" t="s">
        <v>20</v>
      </c>
      <c r="M783" t="s">
        <v>20</v>
      </c>
      <c r="N783" t="str">
        <f>_xlfn.XLOOKUP(C:C,'Resource Table'!A:A,'Resource Table'!B:B,"NOT FOUND",0,1)</f>
        <v>Ralph Mann</v>
      </c>
      <c r="O783" t="str">
        <f>_xlfn.XLOOKUP(N:N,'Resource Table'!B:B,'Resource Table'!C:C,"n/a",0,1)</f>
        <v>rmann@ameritfleet.com</v>
      </c>
      <c r="P783" t="str">
        <f>_xlfn.XLOOKUP(N:N,'Resource Table'!B:B,'Resource Table'!D:D,"n/a",0,1)</f>
        <v>Vended Repair</v>
      </c>
    </row>
    <row r="784" spans="1:16" x14ac:dyDescent="0.45">
      <c r="A784" t="s">
        <v>5399</v>
      </c>
      <c r="B784" t="s">
        <v>5400</v>
      </c>
      <c r="C784" t="s">
        <v>5667</v>
      </c>
      <c r="D784" t="s">
        <v>1657</v>
      </c>
      <c r="E784" t="s">
        <v>6451</v>
      </c>
      <c r="F784" t="s">
        <v>13460</v>
      </c>
      <c r="G784" t="s">
        <v>13476</v>
      </c>
      <c r="H784" t="s">
        <v>13478</v>
      </c>
      <c r="I784" t="s">
        <v>6479</v>
      </c>
      <c r="J784" t="s">
        <v>13463</v>
      </c>
      <c r="K784">
        <v>0</v>
      </c>
      <c r="L784" t="s">
        <v>20</v>
      </c>
      <c r="M784" t="s">
        <v>20</v>
      </c>
      <c r="N784" t="str">
        <f>_xlfn.XLOOKUP(C:C,'Resource Table'!A:A,'Resource Table'!B:B,"NOT FOUND",0,1)</f>
        <v>Ralph Mann</v>
      </c>
      <c r="O784" t="str">
        <f>_xlfn.XLOOKUP(N:N,'Resource Table'!B:B,'Resource Table'!C:C,"n/a",0,1)</f>
        <v>rmann@ameritfleet.com</v>
      </c>
      <c r="P784" t="str">
        <f>_xlfn.XLOOKUP(N:N,'Resource Table'!B:B,'Resource Table'!D:D,"n/a",0,1)</f>
        <v>Vended Repair</v>
      </c>
    </row>
    <row r="785" spans="1:16" x14ac:dyDescent="0.45">
      <c r="A785" t="s">
        <v>5399</v>
      </c>
      <c r="B785" t="s">
        <v>5412</v>
      </c>
      <c r="C785" t="s">
        <v>5413</v>
      </c>
      <c r="D785" t="s">
        <v>5440</v>
      </c>
      <c r="E785" t="s">
        <v>6451</v>
      </c>
      <c r="F785" t="s">
        <v>13473</v>
      </c>
      <c r="G785" t="s">
        <v>13474</v>
      </c>
      <c r="H785" t="s">
        <v>13492</v>
      </c>
      <c r="I785" t="s">
        <v>6479</v>
      </c>
      <c r="J785" t="s">
        <v>13463</v>
      </c>
      <c r="K785">
        <v>3</v>
      </c>
      <c r="L785" t="s">
        <v>13468</v>
      </c>
      <c r="M785" t="s">
        <v>20</v>
      </c>
      <c r="N785" t="str">
        <f>_xlfn.XLOOKUP(C:C,'Resource Table'!A:A,'Resource Table'!B:B,"NOT FOUND",0,1)</f>
        <v>Dedicated</v>
      </c>
      <c r="O785" t="str">
        <f>_xlfn.XLOOKUP(N:N,'Resource Table'!B:B,'Resource Table'!C:C,"n/a",0,1)</f>
        <v>AFS Dedicated Tech</v>
      </c>
      <c r="P785" t="str">
        <f>_xlfn.XLOOKUP(N:N,'Resource Table'!B:B,'Resource Table'!D:D,"n/a",0,1)</f>
        <v>Dedicated</v>
      </c>
    </row>
    <row r="786" spans="1:16" x14ac:dyDescent="0.45">
      <c r="A786" t="s">
        <v>5399</v>
      </c>
      <c r="B786" t="s">
        <v>5412</v>
      </c>
      <c r="C786" t="s">
        <v>5413</v>
      </c>
      <c r="D786" t="s">
        <v>5729</v>
      </c>
      <c r="E786" t="s">
        <v>6451</v>
      </c>
      <c r="F786" t="s">
        <v>13473</v>
      </c>
      <c r="G786" t="s">
        <v>13474</v>
      </c>
      <c r="H786" t="s">
        <v>13517</v>
      </c>
      <c r="I786" t="s">
        <v>6479</v>
      </c>
      <c r="J786" t="s">
        <v>13463</v>
      </c>
      <c r="K786">
        <v>1</v>
      </c>
      <c r="L786" t="s">
        <v>13468</v>
      </c>
      <c r="M786" t="s">
        <v>20</v>
      </c>
      <c r="N786" t="str">
        <f>_xlfn.XLOOKUP(C:C,'Resource Table'!A:A,'Resource Table'!B:B,"NOT FOUND",0,1)</f>
        <v>Dedicated</v>
      </c>
      <c r="O786" t="str">
        <f>_xlfn.XLOOKUP(N:N,'Resource Table'!B:B,'Resource Table'!C:C,"n/a",0,1)</f>
        <v>AFS Dedicated Tech</v>
      </c>
      <c r="P786" t="str">
        <f>_xlfn.XLOOKUP(N:N,'Resource Table'!B:B,'Resource Table'!D:D,"n/a",0,1)</f>
        <v>Dedicated</v>
      </c>
    </row>
    <row r="787" spans="1:16" x14ac:dyDescent="0.45">
      <c r="A787" t="s">
        <v>5399</v>
      </c>
      <c r="B787" t="s">
        <v>5412</v>
      </c>
      <c r="C787" t="s">
        <v>5413</v>
      </c>
      <c r="D787" t="s">
        <v>5846</v>
      </c>
      <c r="E787" t="s">
        <v>6451</v>
      </c>
      <c r="F787" t="s">
        <v>13473</v>
      </c>
      <c r="G787" t="s">
        <v>13474</v>
      </c>
      <c r="H787" t="s">
        <v>13475</v>
      </c>
      <c r="I787" t="s">
        <v>6479</v>
      </c>
      <c r="J787" t="s">
        <v>13463</v>
      </c>
      <c r="K787">
        <v>5</v>
      </c>
      <c r="L787" t="s">
        <v>13472</v>
      </c>
      <c r="M787" t="s">
        <v>20</v>
      </c>
      <c r="N787" t="str">
        <f>_xlfn.XLOOKUP(C:C,'Resource Table'!A:A,'Resource Table'!B:B,"NOT FOUND",0,1)</f>
        <v>Dedicated</v>
      </c>
      <c r="O787" t="str">
        <f>_xlfn.XLOOKUP(N:N,'Resource Table'!B:B,'Resource Table'!C:C,"n/a",0,1)</f>
        <v>AFS Dedicated Tech</v>
      </c>
      <c r="P787" t="str">
        <f>_xlfn.XLOOKUP(N:N,'Resource Table'!B:B,'Resource Table'!D:D,"n/a",0,1)</f>
        <v>Dedicated</v>
      </c>
    </row>
    <row r="788" spans="1:16" x14ac:dyDescent="0.45">
      <c r="A788" t="s">
        <v>5399</v>
      </c>
      <c r="B788" t="s">
        <v>5412</v>
      </c>
      <c r="C788" t="s">
        <v>5413</v>
      </c>
      <c r="D788" t="s">
        <v>6443</v>
      </c>
      <c r="E788" t="s">
        <v>6451</v>
      </c>
      <c r="F788" t="s">
        <v>13460</v>
      </c>
      <c r="G788" t="s">
        <v>13550</v>
      </c>
      <c r="H788" t="s">
        <v>13551</v>
      </c>
      <c r="I788" t="s">
        <v>6479</v>
      </c>
      <c r="J788" t="s">
        <v>13463</v>
      </c>
      <c r="K788">
        <v>3</v>
      </c>
      <c r="L788" t="s">
        <v>13493</v>
      </c>
      <c r="M788" t="s">
        <v>20</v>
      </c>
      <c r="N788" t="str">
        <f>_xlfn.XLOOKUP(C:C,'Resource Table'!A:A,'Resource Table'!B:B,"NOT FOUND",0,1)</f>
        <v>Dedicated</v>
      </c>
      <c r="O788" t="str">
        <f>_xlfn.XLOOKUP(N:N,'Resource Table'!B:B,'Resource Table'!C:C,"n/a",0,1)</f>
        <v>AFS Dedicated Tech</v>
      </c>
      <c r="P788" t="str">
        <f>_xlfn.XLOOKUP(N:N,'Resource Table'!B:B,'Resource Table'!D:D,"n/a",0,1)</f>
        <v>Dedicated</v>
      </c>
    </row>
    <row r="789" spans="1:16" x14ac:dyDescent="0.45">
      <c r="A789" t="s">
        <v>5399</v>
      </c>
      <c r="B789" t="s">
        <v>5412</v>
      </c>
      <c r="C789" t="s">
        <v>5413</v>
      </c>
      <c r="D789" t="s">
        <v>5414</v>
      </c>
      <c r="E789" t="s">
        <v>6451</v>
      </c>
      <c r="F789" t="s">
        <v>13460</v>
      </c>
      <c r="G789" t="s">
        <v>13476</v>
      </c>
      <c r="H789" t="s">
        <v>13478</v>
      </c>
      <c r="I789" t="s">
        <v>6479</v>
      </c>
      <c r="J789" t="s">
        <v>13463</v>
      </c>
      <c r="K789">
        <v>2</v>
      </c>
      <c r="L789" t="s">
        <v>13483</v>
      </c>
      <c r="M789" t="s">
        <v>13489</v>
      </c>
      <c r="N789" t="str">
        <f>_xlfn.XLOOKUP(C:C,'Resource Table'!A:A,'Resource Table'!B:B,"NOT FOUND",0,1)</f>
        <v>Dedicated</v>
      </c>
      <c r="O789" t="str">
        <f>_xlfn.XLOOKUP(N:N,'Resource Table'!B:B,'Resource Table'!C:C,"n/a",0,1)</f>
        <v>AFS Dedicated Tech</v>
      </c>
      <c r="P789" t="str">
        <f>_xlfn.XLOOKUP(N:N,'Resource Table'!B:B,'Resource Table'!D:D,"n/a",0,1)</f>
        <v>Dedicated</v>
      </c>
    </row>
    <row r="790" spans="1:16" x14ac:dyDescent="0.45">
      <c r="A790" t="s">
        <v>5399</v>
      </c>
      <c r="B790" t="s">
        <v>5412</v>
      </c>
      <c r="C790" t="s">
        <v>5413</v>
      </c>
      <c r="D790" t="s">
        <v>6235</v>
      </c>
      <c r="E790" t="s">
        <v>6451</v>
      </c>
      <c r="F790" t="s">
        <v>13460</v>
      </c>
      <c r="G790" t="s">
        <v>13476</v>
      </c>
      <c r="H790" t="s">
        <v>13477</v>
      </c>
      <c r="I790" t="s">
        <v>6479</v>
      </c>
      <c r="J790" t="s">
        <v>13463</v>
      </c>
      <c r="K790">
        <v>0</v>
      </c>
      <c r="L790" t="s">
        <v>20</v>
      </c>
      <c r="M790" t="s">
        <v>20</v>
      </c>
      <c r="N790" t="str">
        <f>_xlfn.XLOOKUP(C:C,'Resource Table'!A:A,'Resource Table'!B:B,"NOT FOUND",0,1)</f>
        <v>Dedicated</v>
      </c>
      <c r="O790" t="str">
        <f>_xlfn.XLOOKUP(N:N,'Resource Table'!B:B,'Resource Table'!C:C,"n/a",0,1)</f>
        <v>AFS Dedicated Tech</v>
      </c>
      <c r="P790" t="str">
        <f>_xlfn.XLOOKUP(N:N,'Resource Table'!B:B,'Resource Table'!D:D,"n/a",0,1)</f>
        <v>Dedicated</v>
      </c>
    </row>
    <row r="791" spans="1:16" x14ac:dyDescent="0.45">
      <c r="A791" t="s">
        <v>5399</v>
      </c>
      <c r="B791" t="s">
        <v>5412</v>
      </c>
      <c r="C791" t="s">
        <v>5413</v>
      </c>
      <c r="D791" t="s">
        <v>5427</v>
      </c>
      <c r="E791" t="s">
        <v>6451</v>
      </c>
      <c r="F791" t="s">
        <v>13460</v>
      </c>
      <c r="G791" t="s">
        <v>13476</v>
      </c>
      <c r="H791" t="s">
        <v>13478</v>
      </c>
      <c r="I791" t="s">
        <v>29</v>
      </c>
      <c r="J791" t="s">
        <v>13463</v>
      </c>
      <c r="K791">
        <v>1</v>
      </c>
      <c r="L791" t="s">
        <v>13512</v>
      </c>
      <c r="M791" t="s">
        <v>20</v>
      </c>
      <c r="N791" t="str">
        <f>_xlfn.XLOOKUP(C:C,'Resource Table'!A:A,'Resource Table'!B:B,"NOT FOUND",0,1)</f>
        <v>Dedicated</v>
      </c>
      <c r="O791" t="str">
        <f>_xlfn.XLOOKUP(N:N,'Resource Table'!B:B,'Resource Table'!C:C,"n/a",0,1)</f>
        <v>AFS Dedicated Tech</v>
      </c>
      <c r="P791" t="str">
        <f>_xlfn.XLOOKUP(N:N,'Resource Table'!B:B,'Resource Table'!D:D,"n/a",0,1)</f>
        <v>Dedicated</v>
      </c>
    </row>
    <row r="792" spans="1:16" x14ac:dyDescent="0.45">
      <c r="A792" t="s">
        <v>5399</v>
      </c>
      <c r="B792" t="s">
        <v>5412</v>
      </c>
      <c r="C792" t="s">
        <v>5413</v>
      </c>
      <c r="D792" t="s">
        <v>5646</v>
      </c>
      <c r="E792" t="s">
        <v>6451</v>
      </c>
      <c r="F792" t="s">
        <v>13460</v>
      </c>
      <c r="G792" t="s">
        <v>13476</v>
      </c>
      <c r="H792" t="s">
        <v>13478</v>
      </c>
      <c r="I792" t="s">
        <v>6479</v>
      </c>
      <c r="J792" t="s">
        <v>13463</v>
      </c>
      <c r="K792">
        <v>14</v>
      </c>
      <c r="L792" t="s">
        <v>13536</v>
      </c>
      <c r="M792" t="s">
        <v>13493</v>
      </c>
      <c r="N792" t="str">
        <f>_xlfn.XLOOKUP(C:C,'Resource Table'!A:A,'Resource Table'!B:B,"NOT FOUND",0,1)</f>
        <v>Dedicated</v>
      </c>
      <c r="O792" t="str">
        <f>_xlfn.XLOOKUP(N:N,'Resource Table'!B:B,'Resource Table'!C:C,"n/a",0,1)</f>
        <v>AFS Dedicated Tech</v>
      </c>
      <c r="P792" t="str">
        <f>_xlfn.XLOOKUP(N:N,'Resource Table'!B:B,'Resource Table'!D:D,"n/a",0,1)</f>
        <v>Dedicated</v>
      </c>
    </row>
    <row r="793" spans="1:16" x14ac:dyDescent="0.45">
      <c r="A793" t="s">
        <v>5399</v>
      </c>
      <c r="B793" t="s">
        <v>5412</v>
      </c>
      <c r="C793" t="s">
        <v>5413</v>
      </c>
      <c r="D793" t="s">
        <v>5530</v>
      </c>
      <c r="E793" t="s">
        <v>6451</v>
      </c>
      <c r="F793" t="s">
        <v>13473</v>
      </c>
      <c r="G793" t="s">
        <v>13474</v>
      </c>
      <c r="H793" t="s">
        <v>13475</v>
      </c>
      <c r="I793" t="s">
        <v>29</v>
      </c>
      <c r="J793" t="s">
        <v>13463</v>
      </c>
      <c r="K793">
        <v>1</v>
      </c>
      <c r="L793" t="s">
        <v>13464</v>
      </c>
      <c r="M793" t="s">
        <v>13507</v>
      </c>
      <c r="N793" t="str">
        <f>_xlfn.XLOOKUP(C:C,'Resource Table'!A:A,'Resource Table'!B:B,"NOT FOUND",0,1)</f>
        <v>Dedicated</v>
      </c>
      <c r="O793" t="str">
        <f>_xlfn.XLOOKUP(N:N,'Resource Table'!B:B,'Resource Table'!C:C,"n/a",0,1)</f>
        <v>AFS Dedicated Tech</v>
      </c>
      <c r="P793" t="str">
        <f>_xlfn.XLOOKUP(N:N,'Resource Table'!B:B,'Resource Table'!D:D,"n/a",0,1)</f>
        <v>Dedicated</v>
      </c>
    </row>
    <row r="794" spans="1:16" x14ac:dyDescent="0.45">
      <c r="A794" t="s">
        <v>5399</v>
      </c>
      <c r="B794" t="s">
        <v>5412</v>
      </c>
      <c r="C794" t="s">
        <v>5413</v>
      </c>
      <c r="D794" t="s">
        <v>6028</v>
      </c>
      <c r="E794" t="s">
        <v>6461</v>
      </c>
      <c r="F794" t="s">
        <v>13460</v>
      </c>
      <c r="G794" t="s">
        <v>13481</v>
      </c>
      <c r="H794" t="s">
        <v>13522</v>
      </c>
      <c r="I794" t="s">
        <v>6479</v>
      </c>
      <c r="J794" t="s">
        <v>13463</v>
      </c>
      <c r="K794">
        <v>5</v>
      </c>
      <c r="L794" t="s">
        <v>13520</v>
      </c>
      <c r="M794" t="s">
        <v>13472</v>
      </c>
      <c r="N794" t="str">
        <f>_xlfn.XLOOKUP(C:C,'Resource Table'!A:A,'Resource Table'!B:B,"NOT FOUND",0,1)</f>
        <v>Dedicated</v>
      </c>
      <c r="O794" t="str">
        <f>_xlfn.XLOOKUP(N:N,'Resource Table'!B:B,'Resource Table'!C:C,"n/a",0,1)</f>
        <v>AFS Dedicated Tech</v>
      </c>
      <c r="P794" t="str">
        <f>_xlfn.XLOOKUP(N:N,'Resource Table'!B:B,'Resource Table'!D:D,"n/a",0,1)</f>
        <v>Dedicated</v>
      </c>
    </row>
    <row r="795" spans="1:16" x14ac:dyDescent="0.45">
      <c r="A795" t="s">
        <v>5399</v>
      </c>
      <c r="B795" t="s">
        <v>5412</v>
      </c>
      <c r="C795" t="s">
        <v>5413</v>
      </c>
      <c r="D795" t="s">
        <v>6136</v>
      </c>
      <c r="E795" t="s">
        <v>6461</v>
      </c>
      <c r="F795" t="s">
        <v>13460</v>
      </c>
      <c r="G795" t="s">
        <v>13481</v>
      </c>
      <c r="H795" t="s">
        <v>13568</v>
      </c>
      <c r="I795" t="s">
        <v>6479</v>
      </c>
      <c r="J795" t="s">
        <v>13463</v>
      </c>
      <c r="K795">
        <v>1</v>
      </c>
      <c r="L795" t="s">
        <v>13493</v>
      </c>
      <c r="M795" t="s">
        <v>20</v>
      </c>
      <c r="N795" t="str">
        <f>_xlfn.XLOOKUP(C:C,'Resource Table'!A:A,'Resource Table'!B:B,"NOT FOUND",0,1)</f>
        <v>Dedicated</v>
      </c>
      <c r="O795" t="str">
        <f>_xlfn.XLOOKUP(N:N,'Resource Table'!B:B,'Resource Table'!C:C,"n/a",0,1)</f>
        <v>AFS Dedicated Tech</v>
      </c>
      <c r="P795" t="str">
        <f>_xlfn.XLOOKUP(N:N,'Resource Table'!B:B,'Resource Table'!D:D,"n/a",0,1)</f>
        <v>Dedicated</v>
      </c>
    </row>
    <row r="796" spans="1:16" x14ac:dyDescent="0.45">
      <c r="A796" t="s">
        <v>5399</v>
      </c>
      <c r="B796" t="s">
        <v>5412</v>
      </c>
      <c r="C796" t="s">
        <v>5413</v>
      </c>
      <c r="D796" t="s">
        <v>5696</v>
      </c>
      <c r="E796" t="s">
        <v>6451</v>
      </c>
      <c r="F796" t="s">
        <v>13473</v>
      </c>
      <c r="G796" t="s">
        <v>13474</v>
      </c>
      <c r="H796" t="s">
        <v>13492</v>
      </c>
      <c r="I796" t="s">
        <v>6479</v>
      </c>
      <c r="J796" t="s">
        <v>13463</v>
      </c>
      <c r="K796">
        <v>1</v>
      </c>
      <c r="L796" t="s">
        <v>13468</v>
      </c>
      <c r="M796" t="s">
        <v>20</v>
      </c>
      <c r="N796" t="str">
        <f>_xlfn.XLOOKUP(C:C,'Resource Table'!A:A,'Resource Table'!B:B,"NOT FOUND",0,1)</f>
        <v>Dedicated</v>
      </c>
      <c r="O796" t="str">
        <f>_xlfn.XLOOKUP(N:N,'Resource Table'!B:B,'Resource Table'!C:C,"n/a",0,1)</f>
        <v>AFS Dedicated Tech</v>
      </c>
      <c r="P796" t="str">
        <f>_xlfn.XLOOKUP(N:N,'Resource Table'!B:B,'Resource Table'!D:D,"n/a",0,1)</f>
        <v>Dedicated</v>
      </c>
    </row>
    <row r="797" spans="1:16" x14ac:dyDescent="0.45">
      <c r="A797" t="s">
        <v>5399</v>
      </c>
      <c r="B797" t="s">
        <v>5412</v>
      </c>
      <c r="C797" t="s">
        <v>5413</v>
      </c>
      <c r="D797" t="s">
        <v>5913</v>
      </c>
      <c r="E797" t="s">
        <v>6462</v>
      </c>
      <c r="F797" t="s">
        <v>13460</v>
      </c>
      <c r="G797" t="s">
        <v>13481</v>
      </c>
      <c r="H797" t="s">
        <v>13490</v>
      </c>
      <c r="I797" t="s">
        <v>6479</v>
      </c>
      <c r="J797" t="s">
        <v>13463</v>
      </c>
      <c r="K797">
        <v>6</v>
      </c>
      <c r="L797" t="s">
        <v>13464</v>
      </c>
      <c r="M797" t="s">
        <v>13507</v>
      </c>
      <c r="N797" t="str">
        <f>_xlfn.XLOOKUP(C:C,'Resource Table'!A:A,'Resource Table'!B:B,"NOT FOUND",0,1)</f>
        <v>Dedicated</v>
      </c>
      <c r="O797" t="str">
        <f>_xlfn.XLOOKUP(N:N,'Resource Table'!B:B,'Resource Table'!C:C,"n/a",0,1)</f>
        <v>AFS Dedicated Tech</v>
      </c>
      <c r="P797" t="str">
        <f>_xlfn.XLOOKUP(N:N,'Resource Table'!B:B,'Resource Table'!D:D,"n/a",0,1)</f>
        <v>Dedicated</v>
      </c>
    </row>
    <row r="798" spans="1:16" x14ac:dyDescent="0.45">
      <c r="A798" t="s">
        <v>5399</v>
      </c>
      <c r="B798" t="s">
        <v>5412</v>
      </c>
      <c r="C798" t="s">
        <v>5413</v>
      </c>
      <c r="D798" t="s">
        <v>5652</v>
      </c>
      <c r="E798" t="s">
        <v>6451</v>
      </c>
      <c r="F798" t="s">
        <v>13460</v>
      </c>
      <c r="G798" t="s">
        <v>13476</v>
      </c>
      <c r="H798" t="s">
        <v>13478</v>
      </c>
      <c r="I798" t="s">
        <v>6479</v>
      </c>
      <c r="J798" t="s">
        <v>13463</v>
      </c>
      <c r="K798">
        <v>2</v>
      </c>
      <c r="L798" t="s">
        <v>13542</v>
      </c>
      <c r="M798" t="s">
        <v>13505</v>
      </c>
      <c r="N798" t="str">
        <f>_xlfn.XLOOKUP(C:C,'Resource Table'!A:A,'Resource Table'!B:B,"NOT FOUND",0,1)</f>
        <v>Dedicated</v>
      </c>
      <c r="O798" t="str">
        <f>_xlfn.XLOOKUP(N:N,'Resource Table'!B:B,'Resource Table'!C:C,"n/a",0,1)</f>
        <v>AFS Dedicated Tech</v>
      </c>
      <c r="P798" t="str">
        <f>_xlfn.XLOOKUP(N:N,'Resource Table'!B:B,'Resource Table'!D:D,"n/a",0,1)</f>
        <v>Dedicated</v>
      </c>
    </row>
    <row r="799" spans="1:16" x14ac:dyDescent="0.45">
      <c r="A799" t="s">
        <v>5399</v>
      </c>
      <c r="B799" t="s">
        <v>5412</v>
      </c>
      <c r="C799" t="s">
        <v>5413</v>
      </c>
      <c r="D799" t="s">
        <v>5647</v>
      </c>
      <c r="E799" t="s">
        <v>6451</v>
      </c>
      <c r="F799" t="s">
        <v>13460</v>
      </c>
      <c r="G799" t="s">
        <v>13476</v>
      </c>
      <c r="H799" t="s">
        <v>13478</v>
      </c>
      <c r="I799" t="s">
        <v>6479</v>
      </c>
      <c r="J799" t="s">
        <v>13463</v>
      </c>
      <c r="K799">
        <v>3</v>
      </c>
      <c r="L799" t="s">
        <v>13487</v>
      </c>
      <c r="M799" t="s">
        <v>20</v>
      </c>
      <c r="N799" t="str">
        <f>_xlfn.XLOOKUP(C:C,'Resource Table'!A:A,'Resource Table'!B:B,"NOT FOUND",0,1)</f>
        <v>Dedicated</v>
      </c>
      <c r="O799" t="str">
        <f>_xlfn.XLOOKUP(N:N,'Resource Table'!B:B,'Resource Table'!C:C,"n/a",0,1)</f>
        <v>AFS Dedicated Tech</v>
      </c>
      <c r="P799" t="str">
        <f>_xlfn.XLOOKUP(N:N,'Resource Table'!B:B,'Resource Table'!D:D,"n/a",0,1)</f>
        <v>Dedicated</v>
      </c>
    </row>
    <row r="800" spans="1:16" x14ac:dyDescent="0.45">
      <c r="A800" t="s">
        <v>5399</v>
      </c>
      <c r="B800" t="s">
        <v>5412</v>
      </c>
      <c r="C800" t="s">
        <v>5413</v>
      </c>
      <c r="D800" t="s">
        <v>5501</v>
      </c>
      <c r="E800" t="s">
        <v>6451</v>
      </c>
      <c r="F800" t="s">
        <v>13473</v>
      </c>
      <c r="G800" t="s">
        <v>13474</v>
      </c>
      <c r="H800" t="s">
        <v>13521</v>
      </c>
      <c r="I800" t="s">
        <v>29</v>
      </c>
      <c r="J800" t="s">
        <v>13463</v>
      </c>
      <c r="K800">
        <v>1</v>
      </c>
      <c r="L800" t="s">
        <v>13532</v>
      </c>
      <c r="M800" t="s">
        <v>13507</v>
      </c>
      <c r="N800" t="str">
        <f>_xlfn.XLOOKUP(C:C,'Resource Table'!A:A,'Resource Table'!B:B,"NOT FOUND",0,1)</f>
        <v>Dedicated</v>
      </c>
      <c r="O800" t="str">
        <f>_xlfn.XLOOKUP(N:N,'Resource Table'!B:B,'Resource Table'!C:C,"n/a",0,1)</f>
        <v>AFS Dedicated Tech</v>
      </c>
      <c r="P800" t="str">
        <f>_xlfn.XLOOKUP(N:N,'Resource Table'!B:B,'Resource Table'!D:D,"n/a",0,1)</f>
        <v>Dedicated</v>
      </c>
    </row>
    <row r="801" spans="1:16" x14ac:dyDescent="0.45">
      <c r="A801" t="s">
        <v>5399</v>
      </c>
      <c r="B801" t="s">
        <v>5412</v>
      </c>
      <c r="C801" t="s">
        <v>5413</v>
      </c>
      <c r="D801" t="s">
        <v>5665</v>
      </c>
      <c r="E801" t="s">
        <v>6451</v>
      </c>
      <c r="F801" t="s">
        <v>13460</v>
      </c>
      <c r="G801" t="s">
        <v>13476</v>
      </c>
      <c r="H801" t="s">
        <v>13478</v>
      </c>
      <c r="I801" t="s">
        <v>6479</v>
      </c>
      <c r="J801" t="s">
        <v>13463</v>
      </c>
      <c r="K801">
        <v>0</v>
      </c>
      <c r="L801" t="s">
        <v>20</v>
      </c>
      <c r="M801" t="s">
        <v>20</v>
      </c>
      <c r="N801" t="str">
        <f>_xlfn.XLOOKUP(C:C,'Resource Table'!A:A,'Resource Table'!B:B,"NOT FOUND",0,1)</f>
        <v>Dedicated</v>
      </c>
      <c r="O801" t="str">
        <f>_xlfn.XLOOKUP(N:N,'Resource Table'!B:B,'Resource Table'!C:C,"n/a",0,1)</f>
        <v>AFS Dedicated Tech</v>
      </c>
      <c r="P801" t="str">
        <f>_xlfn.XLOOKUP(N:N,'Resource Table'!B:B,'Resource Table'!D:D,"n/a",0,1)</f>
        <v>Dedicated</v>
      </c>
    </row>
    <row r="802" spans="1:16" x14ac:dyDescent="0.45">
      <c r="A802" t="s">
        <v>5403</v>
      </c>
      <c r="B802" t="s">
        <v>5404</v>
      </c>
      <c r="C802" t="s">
        <v>5433</v>
      </c>
      <c r="D802" t="s">
        <v>6138</v>
      </c>
      <c r="E802" t="s">
        <v>6461</v>
      </c>
      <c r="F802" t="s">
        <v>13460</v>
      </c>
      <c r="G802" t="s">
        <v>13538</v>
      </c>
      <c r="H802" t="s">
        <v>13554</v>
      </c>
      <c r="I802" t="s">
        <v>6479</v>
      </c>
      <c r="J802" t="s">
        <v>13486</v>
      </c>
      <c r="K802">
        <v>1</v>
      </c>
      <c r="L802" t="s">
        <v>13503</v>
      </c>
      <c r="M802" t="s">
        <v>20</v>
      </c>
      <c r="N802" t="str">
        <f>_xlfn.XLOOKUP(C:C,'Resource Table'!A:A,'Resource Table'!B:B,"NOT FOUND",0,1)</f>
        <v>Dedicated</v>
      </c>
      <c r="O802" t="str">
        <f>_xlfn.XLOOKUP(N:N,'Resource Table'!B:B,'Resource Table'!C:C,"n/a",0,1)</f>
        <v>AFS Dedicated Tech</v>
      </c>
      <c r="P802" t="str">
        <f>_xlfn.XLOOKUP(N:N,'Resource Table'!B:B,'Resource Table'!D:D,"n/a",0,1)</f>
        <v>Dedicated</v>
      </c>
    </row>
    <row r="803" spans="1:16" x14ac:dyDescent="0.45">
      <c r="A803" t="s">
        <v>5403</v>
      </c>
      <c r="B803" t="s">
        <v>5404</v>
      </c>
      <c r="C803" t="s">
        <v>5433</v>
      </c>
      <c r="D803" t="s">
        <v>5552</v>
      </c>
      <c r="E803" t="s">
        <v>6461</v>
      </c>
      <c r="F803" t="s">
        <v>13460</v>
      </c>
      <c r="G803" t="s">
        <v>13481</v>
      </c>
      <c r="H803" t="s">
        <v>13482</v>
      </c>
      <c r="I803" t="s">
        <v>29</v>
      </c>
      <c r="J803" t="s">
        <v>13486</v>
      </c>
      <c r="K803">
        <v>2</v>
      </c>
      <c r="L803" t="s">
        <v>13469</v>
      </c>
      <c r="M803" t="s">
        <v>13559</v>
      </c>
      <c r="N803" t="str">
        <f>_xlfn.XLOOKUP(C:C,'Resource Table'!A:A,'Resource Table'!B:B,"NOT FOUND",0,1)</f>
        <v>Dedicated</v>
      </c>
      <c r="O803" t="str">
        <f>_xlfn.XLOOKUP(N:N,'Resource Table'!B:B,'Resource Table'!C:C,"n/a",0,1)</f>
        <v>AFS Dedicated Tech</v>
      </c>
      <c r="P803" t="str">
        <f>_xlfn.XLOOKUP(N:N,'Resource Table'!B:B,'Resource Table'!D:D,"n/a",0,1)</f>
        <v>Dedicated</v>
      </c>
    </row>
    <row r="804" spans="1:16" x14ac:dyDescent="0.45">
      <c r="A804" t="s">
        <v>5403</v>
      </c>
      <c r="B804" t="s">
        <v>5404</v>
      </c>
      <c r="C804" t="s">
        <v>5433</v>
      </c>
      <c r="D804" t="s">
        <v>6051</v>
      </c>
      <c r="E804" t="s">
        <v>6461</v>
      </c>
      <c r="F804" t="s">
        <v>13460</v>
      </c>
      <c r="G804" t="s">
        <v>13481</v>
      </c>
      <c r="H804" t="s">
        <v>13522</v>
      </c>
      <c r="I804" t="s">
        <v>6479</v>
      </c>
      <c r="J804" t="s">
        <v>13486</v>
      </c>
      <c r="K804">
        <v>2</v>
      </c>
      <c r="L804" t="s">
        <v>13507</v>
      </c>
      <c r="M804" t="s">
        <v>20</v>
      </c>
      <c r="N804" t="str">
        <f>_xlfn.XLOOKUP(C:C,'Resource Table'!A:A,'Resource Table'!B:B,"NOT FOUND",0,1)</f>
        <v>Dedicated</v>
      </c>
      <c r="O804" t="str">
        <f>_xlfn.XLOOKUP(N:N,'Resource Table'!B:B,'Resource Table'!C:C,"n/a",0,1)</f>
        <v>AFS Dedicated Tech</v>
      </c>
      <c r="P804" t="str">
        <f>_xlfn.XLOOKUP(N:N,'Resource Table'!B:B,'Resource Table'!D:D,"n/a",0,1)</f>
        <v>Dedicated</v>
      </c>
    </row>
    <row r="805" spans="1:16" x14ac:dyDescent="0.45">
      <c r="A805" t="s">
        <v>5403</v>
      </c>
      <c r="B805" t="s">
        <v>5404</v>
      </c>
      <c r="C805" t="s">
        <v>5433</v>
      </c>
      <c r="D805" t="s">
        <v>6137</v>
      </c>
      <c r="E805" t="s">
        <v>6461</v>
      </c>
      <c r="F805" t="s">
        <v>13460</v>
      </c>
      <c r="G805" t="s">
        <v>13538</v>
      </c>
      <c r="H805" t="s">
        <v>13554</v>
      </c>
      <c r="I805" t="s">
        <v>6479</v>
      </c>
      <c r="J805" t="s">
        <v>13486</v>
      </c>
      <c r="K805">
        <v>1</v>
      </c>
      <c r="L805" t="s">
        <v>13507</v>
      </c>
      <c r="M805" t="s">
        <v>20</v>
      </c>
      <c r="N805" t="str">
        <f>_xlfn.XLOOKUP(C:C,'Resource Table'!A:A,'Resource Table'!B:B,"NOT FOUND",0,1)</f>
        <v>Dedicated</v>
      </c>
      <c r="O805" t="str">
        <f>_xlfn.XLOOKUP(N:N,'Resource Table'!B:B,'Resource Table'!C:C,"n/a",0,1)</f>
        <v>AFS Dedicated Tech</v>
      </c>
      <c r="P805" t="str">
        <f>_xlfn.XLOOKUP(N:N,'Resource Table'!B:B,'Resource Table'!D:D,"n/a",0,1)</f>
        <v>Dedicated</v>
      </c>
    </row>
    <row r="806" spans="1:16" x14ac:dyDescent="0.45">
      <c r="A806" t="s">
        <v>5403</v>
      </c>
      <c r="B806" t="s">
        <v>5404</v>
      </c>
      <c r="C806" t="s">
        <v>5433</v>
      </c>
      <c r="D806" t="s">
        <v>5434</v>
      </c>
      <c r="E806" t="s">
        <v>6451</v>
      </c>
      <c r="F806" t="s">
        <v>13473</v>
      </c>
      <c r="G806" t="s">
        <v>13474</v>
      </c>
      <c r="H806" t="s">
        <v>13492</v>
      </c>
      <c r="I806" t="s">
        <v>6479</v>
      </c>
      <c r="J806" t="s">
        <v>13463</v>
      </c>
      <c r="K806">
        <v>1</v>
      </c>
      <c r="L806" t="s">
        <v>13503</v>
      </c>
      <c r="M806" t="s">
        <v>20</v>
      </c>
      <c r="N806" t="str">
        <f>_xlfn.XLOOKUP(C:C,'Resource Table'!A:A,'Resource Table'!B:B,"NOT FOUND",0,1)</f>
        <v>Dedicated</v>
      </c>
      <c r="O806" t="str">
        <f>_xlfn.XLOOKUP(N:N,'Resource Table'!B:B,'Resource Table'!C:C,"n/a",0,1)</f>
        <v>AFS Dedicated Tech</v>
      </c>
      <c r="P806" t="str">
        <f>_xlfn.XLOOKUP(N:N,'Resource Table'!B:B,'Resource Table'!D:D,"n/a",0,1)</f>
        <v>Dedicated</v>
      </c>
    </row>
    <row r="807" spans="1:16" x14ac:dyDescent="0.45">
      <c r="A807" t="s">
        <v>5403</v>
      </c>
      <c r="B807" t="s">
        <v>5404</v>
      </c>
      <c r="C807" t="s">
        <v>5433</v>
      </c>
      <c r="D807" t="s">
        <v>5899</v>
      </c>
      <c r="E807" t="s">
        <v>6461</v>
      </c>
      <c r="F807" t="s">
        <v>13473</v>
      </c>
      <c r="G807" t="s">
        <v>13474</v>
      </c>
      <c r="H807" t="s">
        <v>13475</v>
      </c>
      <c r="I807" t="s">
        <v>6479</v>
      </c>
      <c r="J807" t="s">
        <v>13463</v>
      </c>
      <c r="K807">
        <v>2</v>
      </c>
      <c r="L807" t="s">
        <v>13493</v>
      </c>
      <c r="M807" t="s">
        <v>20</v>
      </c>
      <c r="N807" t="str">
        <f>_xlfn.XLOOKUP(C:C,'Resource Table'!A:A,'Resource Table'!B:B,"NOT FOUND",0,1)</f>
        <v>Dedicated</v>
      </c>
      <c r="O807" t="str">
        <f>_xlfn.XLOOKUP(N:N,'Resource Table'!B:B,'Resource Table'!C:C,"n/a",0,1)</f>
        <v>AFS Dedicated Tech</v>
      </c>
      <c r="P807" t="str">
        <f>_xlfn.XLOOKUP(N:N,'Resource Table'!B:B,'Resource Table'!D:D,"n/a",0,1)</f>
        <v>Dedicated</v>
      </c>
    </row>
    <row r="808" spans="1:16" x14ac:dyDescent="0.45">
      <c r="A808" t="s">
        <v>5403</v>
      </c>
      <c r="B808" t="s">
        <v>5404</v>
      </c>
      <c r="C808" t="s">
        <v>5433</v>
      </c>
      <c r="D808" t="s">
        <v>3993</v>
      </c>
      <c r="E808" t="s">
        <v>6461</v>
      </c>
      <c r="F808" t="s">
        <v>13460</v>
      </c>
      <c r="G808" t="s">
        <v>13538</v>
      </c>
      <c r="H808" t="s">
        <v>13539</v>
      </c>
      <c r="I808" t="s">
        <v>6479</v>
      </c>
      <c r="J808" t="s">
        <v>13486</v>
      </c>
      <c r="K808">
        <v>2</v>
      </c>
      <c r="L808" t="s">
        <v>13483</v>
      </c>
      <c r="M808" t="s">
        <v>13505</v>
      </c>
      <c r="N808" t="str">
        <f>_xlfn.XLOOKUP(C:C,'Resource Table'!A:A,'Resource Table'!B:B,"NOT FOUND",0,1)</f>
        <v>Dedicated</v>
      </c>
      <c r="O808" t="str">
        <f>_xlfn.XLOOKUP(N:N,'Resource Table'!B:B,'Resource Table'!C:C,"n/a",0,1)</f>
        <v>AFS Dedicated Tech</v>
      </c>
      <c r="P808" t="str">
        <f>_xlfn.XLOOKUP(N:N,'Resource Table'!B:B,'Resource Table'!D:D,"n/a",0,1)</f>
        <v>Dedicated</v>
      </c>
    </row>
    <row r="809" spans="1:16" x14ac:dyDescent="0.45">
      <c r="A809" t="s">
        <v>5403</v>
      </c>
      <c r="B809" t="s">
        <v>5404</v>
      </c>
      <c r="C809" t="s">
        <v>5433</v>
      </c>
      <c r="D809" t="s">
        <v>5951</v>
      </c>
      <c r="E809" t="s">
        <v>6461</v>
      </c>
      <c r="F809" t="s">
        <v>13460</v>
      </c>
      <c r="G809" t="s">
        <v>13481</v>
      </c>
      <c r="H809" t="s">
        <v>13482</v>
      </c>
      <c r="I809" t="s">
        <v>6479</v>
      </c>
      <c r="J809" t="s">
        <v>13486</v>
      </c>
      <c r="K809">
        <v>2</v>
      </c>
      <c r="L809" t="s">
        <v>13507</v>
      </c>
      <c r="M809" t="s">
        <v>20</v>
      </c>
      <c r="N809" t="str">
        <f>_xlfn.XLOOKUP(C:C,'Resource Table'!A:A,'Resource Table'!B:B,"NOT FOUND",0,1)</f>
        <v>Dedicated</v>
      </c>
      <c r="O809" t="str">
        <f>_xlfn.XLOOKUP(N:N,'Resource Table'!B:B,'Resource Table'!C:C,"n/a",0,1)</f>
        <v>AFS Dedicated Tech</v>
      </c>
      <c r="P809" t="str">
        <f>_xlfn.XLOOKUP(N:N,'Resource Table'!B:B,'Resource Table'!D:D,"n/a",0,1)</f>
        <v>Dedicated</v>
      </c>
    </row>
    <row r="810" spans="1:16" x14ac:dyDescent="0.45">
      <c r="A810" t="s">
        <v>5403</v>
      </c>
      <c r="B810" t="s">
        <v>5404</v>
      </c>
      <c r="C810" t="s">
        <v>5433</v>
      </c>
      <c r="D810" t="s">
        <v>5564</v>
      </c>
      <c r="E810" t="s">
        <v>6461</v>
      </c>
      <c r="F810" t="s">
        <v>13460</v>
      </c>
      <c r="G810" t="s">
        <v>13538</v>
      </c>
      <c r="H810" t="s">
        <v>13554</v>
      </c>
      <c r="I810" t="s">
        <v>29</v>
      </c>
      <c r="J810" t="s">
        <v>13463</v>
      </c>
      <c r="K810">
        <v>1</v>
      </c>
      <c r="L810" t="s">
        <v>13483</v>
      </c>
      <c r="M810" t="s">
        <v>13567</v>
      </c>
      <c r="N810" t="str">
        <f>_xlfn.XLOOKUP(C:C,'Resource Table'!A:A,'Resource Table'!B:B,"NOT FOUND",0,1)</f>
        <v>Dedicated</v>
      </c>
      <c r="O810" t="str">
        <f>_xlfn.XLOOKUP(N:N,'Resource Table'!B:B,'Resource Table'!C:C,"n/a",0,1)</f>
        <v>AFS Dedicated Tech</v>
      </c>
      <c r="P810" t="str">
        <f>_xlfn.XLOOKUP(N:N,'Resource Table'!B:B,'Resource Table'!D:D,"n/a",0,1)</f>
        <v>Dedicated</v>
      </c>
    </row>
    <row r="811" spans="1:16" x14ac:dyDescent="0.45">
      <c r="A811" t="s">
        <v>5403</v>
      </c>
      <c r="B811" t="s">
        <v>5404</v>
      </c>
      <c r="C811" t="s">
        <v>5433</v>
      </c>
      <c r="D811" t="s">
        <v>5510</v>
      </c>
      <c r="E811" t="s">
        <v>6451</v>
      </c>
      <c r="F811" t="s">
        <v>13473</v>
      </c>
      <c r="G811" t="s">
        <v>13474</v>
      </c>
      <c r="H811" t="s">
        <v>13521</v>
      </c>
      <c r="I811" t="s">
        <v>29</v>
      </c>
      <c r="J811" t="s">
        <v>13463</v>
      </c>
      <c r="K811">
        <v>1</v>
      </c>
      <c r="L811" t="s">
        <v>13507</v>
      </c>
      <c r="M811" t="s">
        <v>13503</v>
      </c>
      <c r="N811" t="str">
        <f>_xlfn.XLOOKUP(C:C,'Resource Table'!A:A,'Resource Table'!B:B,"NOT FOUND",0,1)</f>
        <v>Dedicated</v>
      </c>
      <c r="O811" t="str">
        <f>_xlfn.XLOOKUP(N:N,'Resource Table'!B:B,'Resource Table'!C:C,"n/a",0,1)</f>
        <v>AFS Dedicated Tech</v>
      </c>
      <c r="P811" t="str">
        <f>_xlfn.XLOOKUP(N:N,'Resource Table'!B:B,'Resource Table'!D:D,"n/a",0,1)</f>
        <v>Dedicated</v>
      </c>
    </row>
    <row r="812" spans="1:16" x14ac:dyDescent="0.45">
      <c r="A812" t="s">
        <v>5403</v>
      </c>
      <c r="B812" t="s">
        <v>5404</v>
      </c>
      <c r="C812" t="s">
        <v>5433</v>
      </c>
      <c r="D812" t="s">
        <v>5775</v>
      </c>
      <c r="E812" t="s">
        <v>6451</v>
      </c>
      <c r="F812" t="s">
        <v>13473</v>
      </c>
      <c r="G812" t="s">
        <v>13474</v>
      </c>
      <c r="H812" t="s">
        <v>13521</v>
      </c>
      <c r="I812" t="s">
        <v>6479</v>
      </c>
      <c r="J812" t="s">
        <v>13463</v>
      </c>
      <c r="K812">
        <v>2</v>
      </c>
      <c r="L812" t="s">
        <v>13493</v>
      </c>
      <c r="M812" t="s">
        <v>20</v>
      </c>
      <c r="N812" t="str">
        <f>_xlfn.XLOOKUP(C:C,'Resource Table'!A:A,'Resource Table'!B:B,"NOT FOUND",0,1)</f>
        <v>Dedicated</v>
      </c>
      <c r="O812" t="str">
        <f>_xlfn.XLOOKUP(N:N,'Resource Table'!B:B,'Resource Table'!C:C,"n/a",0,1)</f>
        <v>AFS Dedicated Tech</v>
      </c>
      <c r="P812" t="str">
        <f>_xlfn.XLOOKUP(N:N,'Resource Table'!B:B,'Resource Table'!D:D,"n/a",0,1)</f>
        <v>Dedicated</v>
      </c>
    </row>
    <row r="813" spans="1:16" x14ac:dyDescent="0.45">
      <c r="A813" t="s">
        <v>5403</v>
      </c>
      <c r="B813" t="s">
        <v>5404</v>
      </c>
      <c r="C813" t="s">
        <v>5429</v>
      </c>
      <c r="D813" t="s">
        <v>6142</v>
      </c>
      <c r="E813" t="s">
        <v>6461</v>
      </c>
      <c r="F813" t="s">
        <v>13460</v>
      </c>
      <c r="G813" t="s">
        <v>13509</v>
      </c>
      <c r="H813" t="s">
        <v>13510</v>
      </c>
      <c r="I813" t="s">
        <v>6479</v>
      </c>
      <c r="J813" t="s">
        <v>13463</v>
      </c>
      <c r="K813">
        <v>2</v>
      </c>
      <c r="L813" t="s">
        <v>13503</v>
      </c>
      <c r="M813" t="s">
        <v>20</v>
      </c>
      <c r="N813" t="str">
        <f>_xlfn.XLOOKUP(C:C,'Resource Table'!A:A,'Resource Table'!B:B,"NOT FOUND",0,1)</f>
        <v>Dedicated</v>
      </c>
      <c r="O813" t="str">
        <f>_xlfn.XLOOKUP(N:N,'Resource Table'!B:B,'Resource Table'!C:C,"n/a",0,1)</f>
        <v>AFS Dedicated Tech</v>
      </c>
      <c r="P813" t="str">
        <f>_xlfn.XLOOKUP(N:N,'Resource Table'!B:B,'Resource Table'!D:D,"n/a",0,1)</f>
        <v>Dedicated</v>
      </c>
    </row>
    <row r="814" spans="1:16" x14ac:dyDescent="0.45">
      <c r="A814" t="s">
        <v>5403</v>
      </c>
      <c r="B814" t="s">
        <v>5404</v>
      </c>
      <c r="C814" t="s">
        <v>5429</v>
      </c>
      <c r="D814" t="s">
        <v>5901</v>
      </c>
      <c r="E814" t="s">
        <v>6451</v>
      </c>
      <c r="F814" t="s">
        <v>13473</v>
      </c>
      <c r="G814" t="s">
        <v>13474</v>
      </c>
      <c r="H814" t="s">
        <v>13475</v>
      </c>
      <c r="I814" t="s">
        <v>6479</v>
      </c>
      <c r="J814" t="s">
        <v>13463</v>
      </c>
      <c r="K814">
        <v>0</v>
      </c>
      <c r="L814" t="s">
        <v>20</v>
      </c>
      <c r="M814" t="s">
        <v>20</v>
      </c>
      <c r="N814" t="str">
        <f>_xlfn.XLOOKUP(C:C,'Resource Table'!A:A,'Resource Table'!B:B,"NOT FOUND",0,1)</f>
        <v>Dedicated</v>
      </c>
      <c r="O814" t="str">
        <f>_xlfn.XLOOKUP(N:N,'Resource Table'!B:B,'Resource Table'!C:C,"n/a",0,1)</f>
        <v>AFS Dedicated Tech</v>
      </c>
      <c r="P814" t="str">
        <f>_xlfn.XLOOKUP(N:N,'Resource Table'!B:B,'Resource Table'!D:D,"n/a",0,1)</f>
        <v>Dedicated</v>
      </c>
    </row>
    <row r="815" spans="1:16" x14ac:dyDescent="0.45">
      <c r="A815" t="s">
        <v>5403</v>
      </c>
      <c r="B815" t="s">
        <v>5404</v>
      </c>
      <c r="C815" t="s">
        <v>5429</v>
      </c>
      <c r="D815" t="s">
        <v>6143</v>
      </c>
      <c r="E815" t="s">
        <v>6461</v>
      </c>
      <c r="F815" t="s">
        <v>13460</v>
      </c>
      <c r="G815" t="s">
        <v>13509</v>
      </c>
      <c r="H815" t="s">
        <v>13510</v>
      </c>
      <c r="I815" t="s">
        <v>6479</v>
      </c>
      <c r="J815" t="s">
        <v>13463</v>
      </c>
      <c r="K815">
        <v>0</v>
      </c>
      <c r="L815" t="s">
        <v>20</v>
      </c>
      <c r="M815" t="s">
        <v>20</v>
      </c>
      <c r="N815" t="str">
        <f>_xlfn.XLOOKUP(C:C,'Resource Table'!A:A,'Resource Table'!B:B,"NOT FOUND",0,1)</f>
        <v>Dedicated</v>
      </c>
      <c r="O815" t="str">
        <f>_xlfn.XLOOKUP(N:N,'Resource Table'!B:B,'Resource Table'!C:C,"n/a",0,1)</f>
        <v>AFS Dedicated Tech</v>
      </c>
      <c r="P815" t="str">
        <f>_xlfn.XLOOKUP(N:N,'Resource Table'!B:B,'Resource Table'!D:D,"n/a",0,1)</f>
        <v>Dedicated</v>
      </c>
    </row>
    <row r="816" spans="1:16" x14ac:dyDescent="0.45">
      <c r="A816" t="s">
        <v>5403</v>
      </c>
      <c r="B816" t="s">
        <v>5404</v>
      </c>
      <c r="C816" t="s">
        <v>5429</v>
      </c>
      <c r="D816" t="s">
        <v>6018</v>
      </c>
      <c r="E816" t="s">
        <v>6461</v>
      </c>
      <c r="F816" t="s">
        <v>13460</v>
      </c>
      <c r="G816" t="s">
        <v>13538</v>
      </c>
      <c r="H816" t="s">
        <v>13539</v>
      </c>
      <c r="I816" t="s">
        <v>6479</v>
      </c>
      <c r="J816" t="s">
        <v>13486</v>
      </c>
      <c r="K816">
        <v>1</v>
      </c>
      <c r="L816" t="s">
        <v>13503</v>
      </c>
      <c r="M816" t="s">
        <v>20</v>
      </c>
      <c r="N816" t="str">
        <f>_xlfn.XLOOKUP(C:C,'Resource Table'!A:A,'Resource Table'!B:B,"NOT FOUND",0,1)</f>
        <v>Dedicated</v>
      </c>
      <c r="O816" t="str">
        <f>_xlfn.XLOOKUP(N:N,'Resource Table'!B:B,'Resource Table'!C:C,"n/a",0,1)</f>
        <v>AFS Dedicated Tech</v>
      </c>
      <c r="P816" t="str">
        <f>_xlfn.XLOOKUP(N:N,'Resource Table'!B:B,'Resource Table'!D:D,"n/a",0,1)</f>
        <v>Dedicated</v>
      </c>
    </row>
    <row r="817" spans="1:16" x14ac:dyDescent="0.45">
      <c r="A817" t="s">
        <v>5403</v>
      </c>
      <c r="B817" t="s">
        <v>5404</v>
      </c>
      <c r="C817" t="s">
        <v>5429</v>
      </c>
      <c r="D817" t="s">
        <v>5681</v>
      </c>
      <c r="E817" t="s">
        <v>6451</v>
      </c>
      <c r="F817" t="s">
        <v>13473</v>
      </c>
      <c r="G817" t="s">
        <v>13474</v>
      </c>
      <c r="H817" t="s">
        <v>13492</v>
      </c>
      <c r="I817" t="s">
        <v>6479</v>
      </c>
      <c r="J817" t="s">
        <v>13463</v>
      </c>
      <c r="K817">
        <v>0</v>
      </c>
      <c r="L817" t="s">
        <v>20</v>
      </c>
      <c r="M817" t="s">
        <v>20</v>
      </c>
      <c r="N817" t="str">
        <f>_xlfn.XLOOKUP(C:C,'Resource Table'!A:A,'Resource Table'!B:B,"NOT FOUND",0,1)</f>
        <v>Dedicated</v>
      </c>
      <c r="O817" t="str">
        <f>_xlfn.XLOOKUP(N:N,'Resource Table'!B:B,'Resource Table'!C:C,"n/a",0,1)</f>
        <v>AFS Dedicated Tech</v>
      </c>
      <c r="P817" t="str">
        <f>_xlfn.XLOOKUP(N:N,'Resource Table'!B:B,'Resource Table'!D:D,"n/a",0,1)</f>
        <v>Dedicated</v>
      </c>
    </row>
    <row r="818" spans="1:16" x14ac:dyDescent="0.45">
      <c r="A818" t="s">
        <v>5403</v>
      </c>
      <c r="B818" t="s">
        <v>5404</v>
      </c>
      <c r="C818" t="s">
        <v>5429</v>
      </c>
      <c r="D818" t="s">
        <v>5478</v>
      </c>
      <c r="E818" t="s">
        <v>6451</v>
      </c>
      <c r="F818" t="s">
        <v>13473</v>
      </c>
      <c r="G818" t="s">
        <v>13474</v>
      </c>
      <c r="H818" t="s">
        <v>13517</v>
      </c>
      <c r="I818" t="s">
        <v>29</v>
      </c>
      <c r="J818" t="s">
        <v>13463</v>
      </c>
      <c r="K818">
        <v>1</v>
      </c>
      <c r="L818" t="s">
        <v>13483</v>
      </c>
      <c r="M818" t="s">
        <v>13505</v>
      </c>
      <c r="N818" t="str">
        <f>_xlfn.XLOOKUP(C:C,'Resource Table'!A:A,'Resource Table'!B:B,"NOT FOUND",0,1)</f>
        <v>Dedicated</v>
      </c>
      <c r="O818" t="str">
        <f>_xlfn.XLOOKUP(N:N,'Resource Table'!B:B,'Resource Table'!C:C,"n/a",0,1)</f>
        <v>AFS Dedicated Tech</v>
      </c>
      <c r="P818" t="str">
        <f>_xlfn.XLOOKUP(N:N,'Resource Table'!B:B,'Resource Table'!D:D,"n/a",0,1)</f>
        <v>Dedicated</v>
      </c>
    </row>
    <row r="819" spans="1:16" x14ac:dyDescent="0.45">
      <c r="A819" t="s">
        <v>5403</v>
      </c>
      <c r="B819" t="s">
        <v>5404</v>
      </c>
      <c r="C819" t="s">
        <v>5429</v>
      </c>
      <c r="D819" t="s">
        <v>6147</v>
      </c>
      <c r="E819" t="s">
        <v>6461</v>
      </c>
      <c r="F819" t="s">
        <v>13460</v>
      </c>
      <c r="G819" t="s">
        <v>13509</v>
      </c>
      <c r="H819" t="s">
        <v>13510</v>
      </c>
      <c r="I819" t="s">
        <v>6479</v>
      </c>
      <c r="J819" t="s">
        <v>13463</v>
      </c>
      <c r="K819">
        <v>0</v>
      </c>
      <c r="L819" t="s">
        <v>20</v>
      </c>
      <c r="M819" t="s">
        <v>20</v>
      </c>
      <c r="N819" t="str">
        <f>_xlfn.XLOOKUP(C:C,'Resource Table'!A:A,'Resource Table'!B:B,"NOT FOUND",0,1)</f>
        <v>Dedicated</v>
      </c>
      <c r="O819" t="str">
        <f>_xlfn.XLOOKUP(N:N,'Resource Table'!B:B,'Resource Table'!C:C,"n/a",0,1)</f>
        <v>AFS Dedicated Tech</v>
      </c>
      <c r="P819" t="str">
        <f>_xlfn.XLOOKUP(N:N,'Resource Table'!B:B,'Resource Table'!D:D,"n/a",0,1)</f>
        <v>Dedicated</v>
      </c>
    </row>
    <row r="820" spans="1:16" x14ac:dyDescent="0.45">
      <c r="A820" t="s">
        <v>5403</v>
      </c>
      <c r="B820" t="s">
        <v>5404</v>
      </c>
      <c r="C820" t="s">
        <v>5429</v>
      </c>
      <c r="D820" t="s">
        <v>5654</v>
      </c>
      <c r="E820" t="s">
        <v>6451</v>
      </c>
      <c r="F820" t="s">
        <v>13460</v>
      </c>
      <c r="G820" t="s">
        <v>13476</v>
      </c>
      <c r="H820" t="s">
        <v>13478</v>
      </c>
      <c r="I820" t="s">
        <v>6479</v>
      </c>
      <c r="J820" t="s">
        <v>13463</v>
      </c>
      <c r="K820">
        <v>0</v>
      </c>
      <c r="L820" t="s">
        <v>20</v>
      </c>
      <c r="M820" t="s">
        <v>20</v>
      </c>
      <c r="N820" t="str">
        <f>_xlfn.XLOOKUP(C:C,'Resource Table'!A:A,'Resource Table'!B:B,"NOT FOUND",0,1)</f>
        <v>Dedicated</v>
      </c>
      <c r="O820" t="str">
        <f>_xlfn.XLOOKUP(N:N,'Resource Table'!B:B,'Resource Table'!C:C,"n/a",0,1)</f>
        <v>AFS Dedicated Tech</v>
      </c>
      <c r="P820" t="str">
        <f>_xlfn.XLOOKUP(N:N,'Resource Table'!B:B,'Resource Table'!D:D,"n/a",0,1)</f>
        <v>Dedicated</v>
      </c>
    </row>
    <row r="821" spans="1:16" x14ac:dyDescent="0.45">
      <c r="A821" t="s">
        <v>5403</v>
      </c>
      <c r="B821" t="s">
        <v>5404</v>
      </c>
      <c r="C821" t="s">
        <v>5429</v>
      </c>
      <c r="D821" t="s">
        <v>5547</v>
      </c>
      <c r="E821" t="s">
        <v>6461</v>
      </c>
      <c r="F821" t="s">
        <v>13460</v>
      </c>
      <c r="G821" t="s">
        <v>13481</v>
      </c>
      <c r="H821" t="s">
        <v>13485</v>
      </c>
      <c r="I821" t="s">
        <v>6479</v>
      </c>
      <c r="J821" t="s">
        <v>13463</v>
      </c>
      <c r="K821">
        <v>0</v>
      </c>
      <c r="L821" t="s">
        <v>20</v>
      </c>
      <c r="M821" t="s">
        <v>20</v>
      </c>
      <c r="N821" t="str">
        <f>_xlfn.XLOOKUP(C:C,'Resource Table'!A:A,'Resource Table'!B:B,"NOT FOUND",0,1)</f>
        <v>Dedicated</v>
      </c>
      <c r="O821" t="str">
        <f>_xlfn.XLOOKUP(N:N,'Resource Table'!B:B,'Resource Table'!C:C,"n/a",0,1)</f>
        <v>AFS Dedicated Tech</v>
      </c>
      <c r="P821" t="str">
        <f>_xlfn.XLOOKUP(N:N,'Resource Table'!B:B,'Resource Table'!D:D,"n/a",0,1)</f>
        <v>Dedicated</v>
      </c>
    </row>
    <row r="822" spans="1:16" x14ac:dyDescent="0.45">
      <c r="A822" t="s">
        <v>5403</v>
      </c>
      <c r="B822" t="s">
        <v>5404</v>
      </c>
      <c r="C822" t="s">
        <v>5429</v>
      </c>
      <c r="D822" t="s">
        <v>5430</v>
      </c>
      <c r="E822" t="s">
        <v>6451</v>
      </c>
      <c r="F822" t="s">
        <v>13473</v>
      </c>
      <c r="G822" t="s">
        <v>13474</v>
      </c>
      <c r="H822" t="s">
        <v>13492</v>
      </c>
      <c r="I822" t="s">
        <v>29</v>
      </c>
      <c r="J822" t="s">
        <v>13463</v>
      </c>
      <c r="K822">
        <v>1</v>
      </c>
      <c r="L822" t="s">
        <v>13489</v>
      </c>
      <c r="M822" t="s">
        <v>13493</v>
      </c>
      <c r="N822" t="str">
        <f>_xlfn.XLOOKUP(C:C,'Resource Table'!A:A,'Resource Table'!B:B,"NOT FOUND",0,1)</f>
        <v>Dedicated</v>
      </c>
      <c r="O822" t="str">
        <f>_xlfn.XLOOKUP(N:N,'Resource Table'!B:B,'Resource Table'!C:C,"n/a",0,1)</f>
        <v>AFS Dedicated Tech</v>
      </c>
      <c r="P822" t="str">
        <f>_xlfn.XLOOKUP(N:N,'Resource Table'!B:B,'Resource Table'!D:D,"n/a",0,1)</f>
        <v>Dedicated</v>
      </c>
    </row>
    <row r="823" spans="1:16" x14ac:dyDescent="0.45">
      <c r="A823" t="s">
        <v>5403</v>
      </c>
      <c r="B823" t="s">
        <v>5404</v>
      </c>
      <c r="C823" t="s">
        <v>5429</v>
      </c>
      <c r="D823" t="s">
        <v>5680</v>
      </c>
      <c r="E823" t="s">
        <v>6451</v>
      </c>
      <c r="F823" t="s">
        <v>13473</v>
      </c>
      <c r="G823" t="s">
        <v>13474</v>
      </c>
      <c r="H823" t="s">
        <v>13492</v>
      </c>
      <c r="I823" t="s">
        <v>6479</v>
      </c>
      <c r="J823" t="s">
        <v>13463</v>
      </c>
      <c r="K823">
        <v>0</v>
      </c>
      <c r="L823" t="s">
        <v>20</v>
      </c>
      <c r="M823" t="s">
        <v>20</v>
      </c>
      <c r="N823" t="str">
        <f>_xlfn.XLOOKUP(C:C,'Resource Table'!A:A,'Resource Table'!B:B,"NOT FOUND",0,1)</f>
        <v>Dedicated</v>
      </c>
      <c r="O823" t="str">
        <f>_xlfn.XLOOKUP(N:N,'Resource Table'!B:B,'Resource Table'!C:C,"n/a",0,1)</f>
        <v>AFS Dedicated Tech</v>
      </c>
      <c r="P823" t="str">
        <f>_xlfn.XLOOKUP(N:N,'Resource Table'!B:B,'Resource Table'!D:D,"n/a",0,1)</f>
        <v>Dedicated</v>
      </c>
    </row>
    <row r="824" spans="1:16" x14ac:dyDescent="0.45">
      <c r="A824" t="s">
        <v>5403</v>
      </c>
      <c r="B824" t="s">
        <v>5404</v>
      </c>
      <c r="C824" t="s">
        <v>5429</v>
      </c>
      <c r="D824" t="s">
        <v>5481</v>
      </c>
      <c r="E824" t="s">
        <v>6451</v>
      </c>
      <c r="F824" t="s">
        <v>13473</v>
      </c>
      <c r="G824" t="s">
        <v>13474</v>
      </c>
      <c r="H824" t="s">
        <v>13517</v>
      </c>
      <c r="I824" t="s">
        <v>29</v>
      </c>
      <c r="J824" t="s">
        <v>13463</v>
      </c>
      <c r="K824">
        <v>1</v>
      </c>
      <c r="L824" t="s">
        <v>13519</v>
      </c>
      <c r="M824" t="s">
        <v>13503</v>
      </c>
      <c r="N824" t="str">
        <f>_xlfn.XLOOKUP(C:C,'Resource Table'!A:A,'Resource Table'!B:B,"NOT FOUND",0,1)</f>
        <v>Dedicated</v>
      </c>
      <c r="O824" t="str">
        <f>_xlfn.XLOOKUP(N:N,'Resource Table'!B:B,'Resource Table'!C:C,"n/a",0,1)</f>
        <v>AFS Dedicated Tech</v>
      </c>
      <c r="P824" t="str">
        <f>_xlfn.XLOOKUP(N:N,'Resource Table'!B:B,'Resource Table'!D:D,"n/a",0,1)</f>
        <v>Dedicated</v>
      </c>
    </row>
    <row r="825" spans="1:16" x14ac:dyDescent="0.45">
      <c r="A825" t="s">
        <v>5403</v>
      </c>
      <c r="B825" t="s">
        <v>5404</v>
      </c>
      <c r="C825" t="s">
        <v>5429</v>
      </c>
      <c r="D825" t="s">
        <v>6338</v>
      </c>
      <c r="E825" t="s">
        <v>6461</v>
      </c>
      <c r="F825" t="s">
        <v>13460</v>
      </c>
      <c r="G825" t="s">
        <v>13461</v>
      </c>
      <c r="H825" t="s">
        <v>13471</v>
      </c>
      <c r="I825" t="s">
        <v>6479</v>
      </c>
      <c r="J825" t="s">
        <v>13463</v>
      </c>
      <c r="K825">
        <v>0</v>
      </c>
      <c r="L825" t="s">
        <v>20</v>
      </c>
      <c r="M825" t="s">
        <v>20</v>
      </c>
      <c r="N825" t="str">
        <f>_xlfn.XLOOKUP(C:C,'Resource Table'!A:A,'Resource Table'!B:B,"NOT FOUND",0,1)</f>
        <v>Dedicated</v>
      </c>
      <c r="O825" t="str">
        <f>_xlfn.XLOOKUP(N:N,'Resource Table'!B:B,'Resource Table'!C:C,"n/a",0,1)</f>
        <v>AFS Dedicated Tech</v>
      </c>
      <c r="P825" t="str">
        <f>_xlfn.XLOOKUP(N:N,'Resource Table'!B:B,'Resource Table'!D:D,"n/a",0,1)</f>
        <v>Dedicated</v>
      </c>
    </row>
    <row r="826" spans="1:16" x14ac:dyDescent="0.45">
      <c r="A826" t="s">
        <v>5403</v>
      </c>
      <c r="B826" t="s">
        <v>5404</v>
      </c>
      <c r="C826" t="s">
        <v>5429</v>
      </c>
      <c r="D826" t="s">
        <v>5959</v>
      </c>
      <c r="E826" t="s">
        <v>6461</v>
      </c>
      <c r="F826" t="s">
        <v>13460</v>
      </c>
      <c r="G826" t="s">
        <v>13481</v>
      </c>
      <c r="H826" t="s">
        <v>13482</v>
      </c>
      <c r="I826" t="s">
        <v>6479</v>
      </c>
      <c r="J826" t="s">
        <v>13486</v>
      </c>
      <c r="K826">
        <v>2</v>
      </c>
      <c r="L826" t="s">
        <v>13503</v>
      </c>
      <c r="M826" t="s">
        <v>20</v>
      </c>
      <c r="N826" t="str">
        <f>_xlfn.XLOOKUP(C:C,'Resource Table'!A:A,'Resource Table'!B:B,"NOT FOUND",0,1)</f>
        <v>Dedicated</v>
      </c>
      <c r="O826" t="str">
        <f>_xlfn.XLOOKUP(N:N,'Resource Table'!B:B,'Resource Table'!C:C,"n/a",0,1)</f>
        <v>AFS Dedicated Tech</v>
      </c>
      <c r="P826" t="str">
        <f>_xlfn.XLOOKUP(N:N,'Resource Table'!B:B,'Resource Table'!D:D,"n/a",0,1)</f>
        <v>Dedicated</v>
      </c>
    </row>
    <row r="827" spans="1:16" x14ac:dyDescent="0.45">
      <c r="A827" t="s">
        <v>5403</v>
      </c>
      <c r="B827" t="s">
        <v>5404</v>
      </c>
      <c r="C827" t="s">
        <v>5429</v>
      </c>
      <c r="D827" t="s">
        <v>13086</v>
      </c>
      <c r="E827" t="s">
        <v>6461</v>
      </c>
      <c r="F827" t="s">
        <v>13460</v>
      </c>
      <c r="G827" t="s">
        <v>13461</v>
      </c>
      <c r="H827" t="s">
        <v>13471</v>
      </c>
      <c r="I827" t="s">
        <v>6479</v>
      </c>
      <c r="J827" t="s">
        <v>13463</v>
      </c>
      <c r="K827">
        <v>0</v>
      </c>
      <c r="L827" t="s">
        <v>20</v>
      </c>
      <c r="M827" t="s">
        <v>20</v>
      </c>
      <c r="N827" t="str">
        <f>_xlfn.XLOOKUP(C:C,'Resource Table'!A:A,'Resource Table'!B:B,"NOT FOUND",0,1)</f>
        <v>Dedicated</v>
      </c>
      <c r="O827" t="str">
        <f>_xlfn.XLOOKUP(N:N,'Resource Table'!B:B,'Resource Table'!C:C,"n/a",0,1)</f>
        <v>AFS Dedicated Tech</v>
      </c>
      <c r="P827" t="str">
        <f>_xlfn.XLOOKUP(N:N,'Resource Table'!B:B,'Resource Table'!D:D,"n/a",0,1)</f>
        <v>Dedicated</v>
      </c>
    </row>
    <row r="828" spans="1:16" x14ac:dyDescent="0.45">
      <c r="A828" t="s">
        <v>5403</v>
      </c>
      <c r="B828" t="s">
        <v>5404</v>
      </c>
      <c r="C828" t="s">
        <v>5429</v>
      </c>
      <c r="D828" t="s">
        <v>6141</v>
      </c>
      <c r="E828" t="s">
        <v>6461</v>
      </c>
      <c r="F828" t="s">
        <v>13460</v>
      </c>
      <c r="G828" t="s">
        <v>13509</v>
      </c>
      <c r="H828" t="s">
        <v>13510</v>
      </c>
      <c r="I828" t="s">
        <v>6479</v>
      </c>
      <c r="J828" t="s">
        <v>13486</v>
      </c>
      <c r="K828">
        <v>1</v>
      </c>
      <c r="L828" t="s">
        <v>13503</v>
      </c>
      <c r="M828" t="s">
        <v>20</v>
      </c>
      <c r="N828" t="str">
        <f>_xlfn.XLOOKUP(C:C,'Resource Table'!A:A,'Resource Table'!B:B,"NOT FOUND",0,1)</f>
        <v>Dedicated</v>
      </c>
      <c r="O828" t="str">
        <f>_xlfn.XLOOKUP(N:N,'Resource Table'!B:B,'Resource Table'!C:C,"n/a",0,1)</f>
        <v>AFS Dedicated Tech</v>
      </c>
      <c r="P828" t="str">
        <f>_xlfn.XLOOKUP(N:N,'Resource Table'!B:B,'Resource Table'!D:D,"n/a",0,1)</f>
        <v>Dedicated</v>
      </c>
    </row>
    <row r="829" spans="1:16" x14ac:dyDescent="0.45">
      <c r="A829" t="s">
        <v>5403</v>
      </c>
      <c r="B829" t="s">
        <v>5404</v>
      </c>
      <c r="C829" t="s">
        <v>5429</v>
      </c>
      <c r="D829" t="s">
        <v>5710</v>
      </c>
      <c r="E829" t="s">
        <v>6451</v>
      </c>
      <c r="F829" t="s">
        <v>13473</v>
      </c>
      <c r="G829" t="s">
        <v>13474</v>
      </c>
      <c r="H829" t="s">
        <v>13492</v>
      </c>
      <c r="I829" t="s">
        <v>6479</v>
      </c>
      <c r="J829" t="s">
        <v>13463</v>
      </c>
      <c r="K829">
        <v>2</v>
      </c>
      <c r="L829" t="s">
        <v>13472</v>
      </c>
      <c r="M829" t="s">
        <v>13493</v>
      </c>
      <c r="N829" t="str">
        <f>_xlfn.XLOOKUP(C:C,'Resource Table'!A:A,'Resource Table'!B:B,"NOT FOUND",0,1)</f>
        <v>Dedicated</v>
      </c>
      <c r="O829" t="str">
        <f>_xlfn.XLOOKUP(N:N,'Resource Table'!B:B,'Resource Table'!C:C,"n/a",0,1)</f>
        <v>AFS Dedicated Tech</v>
      </c>
      <c r="P829" t="str">
        <f>_xlfn.XLOOKUP(N:N,'Resource Table'!B:B,'Resource Table'!D:D,"n/a",0,1)</f>
        <v>Dedicated</v>
      </c>
    </row>
    <row r="830" spans="1:16" x14ac:dyDescent="0.45">
      <c r="A830" t="s">
        <v>5403</v>
      </c>
      <c r="B830" t="s">
        <v>5404</v>
      </c>
      <c r="C830" t="s">
        <v>5429</v>
      </c>
      <c r="D830" t="s">
        <v>6104</v>
      </c>
      <c r="E830" t="s">
        <v>6461</v>
      </c>
      <c r="F830" t="s">
        <v>13460</v>
      </c>
      <c r="G830" t="s">
        <v>13481</v>
      </c>
      <c r="H830" t="s">
        <v>13518</v>
      </c>
      <c r="I830" t="s">
        <v>6479</v>
      </c>
      <c r="J830" t="s">
        <v>13486</v>
      </c>
      <c r="K830">
        <v>3</v>
      </c>
      <c r="L830" t="s">
        <v>13507</v>
      </c>
      <c r="M830" t="s">
        <v>20</v>
      </c>
      <c r="N830" t="str">
        <f>_xlfn.XLOOKUP(C:C,'Resource Table'!A:A,'Resource Table'!B:B,"NOT FOUND",0,1)</f>
        <v>Dedicated</v>
      </c>
      <c r="O830" t="str">
        <f>_xlfn.XLOOKUP(N:N,'Resource Table'!B:B,'Resource Table'!C:C,"n/a",0,1)</f>
        <v>AFS Dedicated Tech</v>
      </c>
      <c r="P830" t="str">
        <f>_xlfn.XLOOKUP(N:N,'Resource Table'!B:B,'Resource Table'!D:D,"n/a",0,1)</f>
        <v>Dedicated</v>
      </c>
    </row>
    <row r="831" spans="1:16" x14ac:dyDescent="0.45">
      <c r="A831" t="s">
        <v>5403</v>
      </c>
      <c r="B831" t="s">
        <v>5404</v>
      </c>
      <c r="C831" t="s">
        <v>5405</v>
      </c>
      <c r="D831" t="s">
        <v>13087</v>
      </c>
      <c r="E831" t="s">
        <v>6461</v>
      </c>
      <c r="F831" t="s">
        <v>13460</v>
      </c>
      <c r="G831" t="s">
        <v>13461</v>
      </c>
      <c r="H831" t="s">
        <v>13471</v>
      </c>
      <c r="I831" t="s">
        <v>6479</v>
      </c>
      <c r="J831" t="s">
        <v>13463</v>
      </c>
      <c r="K831">
        <v>0</v>
      </c>
      <c r="L831" t="s">
        <v>20</v>
      </c>
      <c r="M831" t="s">
        <v>20</v>
      </c>
      <c r="N831" t="str">
        <f>_xlfn.XLOOKUP(C:C,'Resource Table'!A:A,'Resource Table'!B:B,"NOT FOUND",0,1)</f>
        <v>Dedicated</v>
      </c>
      <c r="O831" t="str">
        <f>_xlfn.XLOOKUP(N:N,'Resource Table'!B:B,'Resource Table'!C:C,"n/a",0,1)</f>
        <v>AFS Dedicated Tech</v>
      </c>
      <c r="P831" t="str">
        <f>_xlfn.XLOOKUP(N:N,'Resource Table'!B:B,'Resource Table'!D:D,"n/a",0,1)</f>
        <v>Dedicated</v>
      </c>
    </row>
    <row r="832" spans="1:16" x14ac:dyDescent="0.45">
      <c r="A832" t="s">
        <v>5403</v>
      </c>
      <c r="B832" t="s">
        <v>5404</v>
      </c>
      <c r="C832" t="s">
        <v>5405</v>
      </c>
      <c r="D832" t="s">
        <v>5511</v>
      </c>
      <c r="E832" t="s">
        <v>6451</v>
      </c>
      <c r="F832" t="s">
        <v>13473</v>
      </c>
      <c r="G832" t="s">
        <v>13474</v>
      </c>
      <c r="H832" t="s">
        <v>13521</v>
      </c>
      <c r="I832" t="s">
        <v>29</v>
      </c>
      <c r="J832" t="s">
        <v>13463</v>
      </c>
      <c r="K832">
        <v>1</v>
      </c>
      <c r="L832" t="s">
        <v>13524</v>
      </c>
      <c r="M832" t="s">
        <v>13545</v>
      </c>
      <c r="N832" t="str">
        <f>_xlfn.XLOOKUP(C:C,'Resource Table'!A:A,'Resource Table'!B:B,"NOT FOUND",0,1)</f>
        <v>Dedicated</v>
      </c>
      <c r="O832" t="str">
        <f>_xlfn.XLOOKUP(N:N,'Resource Table'!B:B,'Resource Table'!C:C,"n/a",0,1)</f>
        <v>AFS Dedicated Tech</v>
      </c>
      <c r="P832" t="str">
        <f>_xlfn.XLOOKUP(N:N,'Resource Table'!B:B,'Resource Table'!D:D,"n/a",0,1)</f>
        <v>Dedicated</v>
      </c>
    </row>
    <row r="833" spans="1:16" x14ac:dyDescent="0.45">
      <c r="A833" t="s">
        <v>5403</v>
      </c>
      <c r="B833" t="s">
        <v>5404</v>
      </c>
      <c r="C833" t="s">
        <v>5405</v>
      </c>
      <c r="D833" t="s">
        <v>5924</v>
      </c>
      <c r="E833" t="s">
        <v>6475</v>
      </c>
      <c r="F833" t="s">
        <v>13460</v>
      </c>
      <c r="G833" t="s">
        <v>13481</v>
      </c>
      <c r="H833" t="s">
        <v>13485</v>
      </c>
      <c r="I833" t="s">
        <v>6479</v>
      </c>
      <c r="J833" t="s">
        <v>13463</v>
      </c>
      <c r="K833">
        <v>0</v>
      </c>
      <c r="L833" t="s">
        <v>20</v>
      </c>
      <c r="M833" t="s">
        <v>20</v>
      </c>
      <c r="N833" t="str">
        <f>_xlfn.XLOOKUP(C:C,'Resource Table'!A:A,'Resource Table'!B:B,"NOT FOUND",0,1)</f>
        <v>Dedicated</v>
      </c>
      <c r="O833" t="str">
        <f>_xlfn.XLOOKUP(N:N,'Resource Table'!B:B,'Resource Table'!C:C,"n/a",0,1)</f>
        <v>AFS Dedicated Tech</v>
      </c>
      <c r="P833" t="str">
        <f>_xlfn.XLOOKUP(N:N,'Resource Table'!B:B,'Resource Table'!D:D,"n/a",0,1)</f>
        <v>Dedicated</v>
      </c>
    </row>
    <row r="834" spans="1:16" x14ac:dyDescent="0.45">
      <c r="A834" t="s">
        <v>5403</v>
      </c>
      <c r="B834" t="s">
        <v>5404</v>
      </c>
      <c r="C834" t="s">
        <v>5405</v>
      </c>
      <c r="D834" t="s">
        <v>5406</v>
      </c>
      <c r="E834" t="s">
        <v>6451</v>
      </c>
      <c r="F834" t="s">
        <v>13460</v>
      </c>
      <c r="G834" t="s">
        <v>13476</v>
      </c>
      <c r="H834" t="s">
        <v>13478</v>
      </c>
      <c r="I834" t="s">
        <v>29</v>
      </c>
      <c r="J834" t="s">
        <v>13463</v>
      </c>
      <c r="K834">
        <v>1</v>
      </c>
      <c r="L834" t="s">
        <v>13536</v>
      </c>
      <c r="M834" t="s">
        <v>20</v>
      </c>
      <c r="N834" t="str">
        <f>_xlfn.XLOOKUP(C:C,'Resource Table'!A:A,'Resource Table'!B:B,"NOT FOUND",0,1)</f>
        <v>Dedicated</v>
      </c>
      <c r="O834" t="str">
        <f>_xlfn.XLOOKUP(N:N,'Resource Table'!B:B,'Resource Table'!C:C,"n/a",0,1)</f>
        <v>AFS Dedicated Tech</v>
      </c>
      <c r="P834" t="str">
        <f>_xlfn.XLOOKUP(N:N,'Resource Table'!B:B,'Resource Table'!D:D,"n/a",0,1)</f>
        <v>Dedicated</v>
      </c>
    </row>
    <row r="835" spans="1:16" x14ac:dyDescent="0.45">
      <c r="A835" t="s">
        <v>5403</v>
      </c>
      <c r="B835" t="s">
        <v>5404</v>
      </c>
      <c r="C835" t="s">
        <v>5405</v>
      </c>
      <c r="D835" t="s">
        <v>5420</v>
      </c>
      <c r="E835" t="s">
        <v>6451</v>
      </c>
      <c r="F835" t="s">
        <v>13460</v>
      </c>
      <c r="G835" t="s">
        <v>13476</v>
      </c>
      <c r="H835" t="s">
        <v>13478</v>
      </c>
      <c r="I835" t="s">
        <v>6479</v>
      </c>
      <c r="J835" t="s">
        <v>13463</v>
      </c>
      <c r="K835">
        <v>2</v>
      </c>
      <c r="L835" t="s">
        <v>13468</v>
      </c>
      <c r="M835" t="s">
        <v>20</v>
      </c>
      <c r="N835" t="str">
        <f>_xlfn.XLOOKUP(C:C,'Resource Table'!A:A,'Resource Table'!B:B,"NOT FOUND",0,1)</f>
        <v>Dedicated</v>
      </c>
      <c r="O835" t="str">
        <f>_xlfn.XLOOKUP(N:N,'Resource Table'!B:B,'Resource Table'!C:C,"n/a",0,1)</f>
        <v>AFS Dedicated Tech</v>
      </c>
      <c r="P835" t="str">
        <f>_xlfn.XLOOKUP(N:N,'Resource Table'!B:B,'Resource Table'!D:D,"n/a",0,1)</f>
        <v>Dedicated</v>
      </c>
    </row>
    <row r="836" spans="1:16" x14ac:dyDescent="0.45">
      <c r="A836" t="s">
        <v>5403</v>
      </c>
      <c r="B836" t="s">
        <v>5404</v>
      </c>
      <c r="C836" t="s">
        <v>5405</v>
      </c>
      <c r="D836" t="s">
        <v>5922</v>
      </c>
      <c r="E836" t="s">
        <v>6462</v>
      </c>
      <c r="F836" t="s">
        <v>13460</v>
      </c>
      <c r="G836" t="s">
        <v>13481</v>
      </c>
      <c r="H836" t="s">
        <v>13485</v>
      </c>
      <c r="I836" t="s">
        <v>6479</v>
      </c>
      <c r="J836" t="s">
        <v>13463</v>
      </c>
      <c r="K836">
        <v>1</v>
      </c>
      <c r="L836" t="s">
        <v>13503</v>
      </c>
      <c r="M836" t="s">
        <v>20</v>
      </c>
      <c r="N836" t="str">
        <f>_xlfn.XLOOKUP(C:C,'Resource Table'!A:A,'Resource Table'!B:B,"NOT FOUND",0,1)</f>
        <v>Dedicated</v>
      </c>
      <c r="O836" t="str">
        <f>_xlfn.XLOOKUP(N:N,'Resource Table'!B:B,'Resource Table'!C:C,"n/a",0,1)</f>
        <v>AFS Dedicated Tech</v>
      </c>
      <c r="P836" t="str">
        <f>_xlfn.XLOOKUP(N:N,'Resource Table'!B:B,'Resource Table'!D:D,"n/a",0,1)</f>
        <v>Dedicated</v>
      </c>
    </row>
    <row r="837" spans="1:16" x14ac:dyDescent="0.45">
      <c r="A837" t="s">
        <v>5403</v>
      </c>
      <c r="B837" t="s">
        <v>5404</v>
      </c>
      <c r="C837" t="s">
        <v>5405</v>
      </c>
      <c r="D837" t="s">
        <v>5923</v>
      </c>
      <c r="E837" t="s">
        <v>6462</v>
      </c>
      <c r="F837" t="s">
        <v>13460</v>
      </c>
      <c r="G837" t="s">
        <v>13481</v>
      </c>
      <c r="H837" t="s">
        <v>13485</v>
      </c>
      <c r="I837" t="s">
        <v>6479</v>
      </c>
      <c r="J837" t="s">
        <v>13463</v>
      </c>
      <c r="K837">
        <v>0</v>
      </c>
      <c r="L837" t="s">
        <v>20</v>
      </c>
      <c r="M837" t="s">
        <v>20</v>
      </c>
      <c r="N837" t="str">
        <f>_xlfn.XLOOKUP(C:C,'Resource Table'!A:A,'Resource Table'!B:B,"NOT FOUND",0,1)</f>
        <v>Dedicated</v>
      </c>
      <c r="O837" t="str">
        <f>_xlfn.XLOOKUP(N:N,'Resource Table'!B:B,'Resource Table'!C:C,"n/a",0,1)</f>
        <v>AFS Dedicated Tech</v>
      </c>
      <c r="P837" t="str">
        <f>_xlfn.XLOOKUP(N:N,'Resource Table'!B:B,'Resource Table'!D:D,"n/a",0,1)</f>
        <v>Dedicated</v>
      </c>
    </row>
    <row r="838" spans="1:16" x14ac:dyDescent="0.45">
      <c r="A838" t="s">
        <v>5403</v>
      </c>
      <c r="B838" t="s">
        <v>5404</v>
      </c>
      <c r="C838" t="s">
        <v>5405</v>
      </c>
      <c r="D838" t="s">
        <v>5800</v>
      </c>
      <c r="E838" t="s">
        <v>6451</v>
      </c>
      <c r="F838" t="s">
        <v>13473</v>
      </c>
      <c r="G838" t="s">
        <v>13474</v>
      </c>
      <c r="H838" t="s">
        <v>13521</v>
      </c>
      <c r="I838" t="s">
        <v>6479</v>
      </c>
      <c r="J838" t="s">
        <v>13463</v>
      </c>
      <c r="K838">
        <v>1</v>
      </c>
      <c r="L838" t="s">
        <v>13468</v>
      </c>
      <c r="M838" t="s">
        <v>20</v>
      </c>
      <c r="N838" t="str">
        <f>_xlfn.XLOOKUP(C:C,'Resource Table'!A:A,'Resource Table'!B:B,"NOT FOUND",0,1)</f>
        <v>Dedicated</v>
      </c>
      <c r="O838" t="str">
        <f>_xlfn.XLOOKUP(N:N,'Resource Table'!B:B,'Resource Table'!C:C,"n/a",0,1)</f>
        <v>AFS Dedicated Tech</v>
      </c>
      <c r="P838" t="str">
        <f>_xlfn.XLOOKUP(N:N,'Resource Table'!B:B,'Resource Table'!D:D,"n/a",0,1)</f>
        <v>Dedicated</v>
      </c>
    </row>
    <row r="839" spans="1:16" x14ac:dyDescent="0.45">
      <c r="A839" t="s">
        <v>5403</v>
      </c>
      <c r="B839" t="s">
        <v>5404</v>
      </c>
      <c r="C839" t="s">
        <v>5405</v>
      </c>
      <c r="D839" t="s">
        <v>6418</v>
      </c>
      <c r="E839" t="s">
        <v>6461</v>
      </c>
      <c r="F839" t="s">
        <v>13460</v>
      </c>
      <c r="G839" t="s">
        <v>13461</v>
      </c>
      <c r="H839" t="s">
        <v>13488</v>
      </c>
      <c r="I839" t="s">
        <v>6479</v>
      </c>
      <c r="J839" t="s">
        <v>13463</v>
      </c>
      <c r="K839">
        <v>1</v>
      </c>
      <c r="L839" t="s">
        <v>13493</v>
      </c>
      <c r="M839" t="s">
        <v>20</v>
      </c>
      <c r="N839" t="str">
        <f>_xlfn.XLOOKUP(C:C,'Resource Table'!A:A,'Resource Table'!B:B,"NOT FOUND",0,1)</f>
        <v>Dedicated</v>
      </c>
      <c r="O839" t="str">
        <f>_xlfn.XLOOKUP(N:N,'Resource Table'!B:B,'Resource Table'!C:C,"n/a",0,1)</f>
        <v>AFS Dedicated Tech</v>
      </c>
      <c r="P839" t="str">
        <f>_xlfn.XLOOKUP(N:N,'Resource Table'!B:B,'Resource Table'!D:D,"n/a",0,1)</f>
        <v>Dedicated</v>
      </c>
    </row>
    <row r="840" spans="1:16" x14ac:dyDescent="0.45">
      <c r="A840" t="s">
        <v>5403</v>
      </c>
      <c r="B840" t="s">
        <v>5404</v>
      </c>
      <c r="C840" t="s">
        <v>5405</v>
      </c>
      <c r="D840" t="s">
        <v>5925</v>
      </c>
      <c r="E840" t="s">
        <v>6462</v>
      </c>
      <c r="F840" t="s">
        <v>13460</v>
      </c>
      <c r="G840" t="s">
        <v>13481</v>
      </c>
      <c r="H840" t="s">
        <v>13485</v>
      </c>
      <c r="I840" t="s">
        <v>6479</v>
      </c>
      <c r="J840" t="s">
        <v>13463</v>
      </c>
      <c r="K840">
        <v>0</v>
      </c>
      <c r="L840" t="s">
        <v>20</v>
      </c>
      <c r="M840" t="s">
        <v>20</v>
      </c>
      <c r="N840" t="str">
        <f>_xlfn.XLOOKUP(C:C,'Resource Table'!A:A,'Resource Table'!B:B,"NOT FOUND",0,1)</f>
        <v>Dedicated</v>
      </c>
      <c r="O840" t="str">
        <f>_xlfn.XLOOKUP(N:N,'Resource Table'!B:B,'Resource Table'!C:C,"n/a",0,1)</f>
        <v>AFS Dedicated Tech</v>
      </c>
      <c r="P840" t="str">
        <f>_xlfn.XLOOKUP(N:N,'Resource Table'!B:B,'Resource Table'!D:D,"n/a",0,1)</f>
        <v>Dedicated</v>
      </c>
    </row>
    <row r="841" spans="1:16" x14ac:dyDescent="0.45">
      <c r="A841" t="s">
        <v>5403</v>
      </c>
      <c r="B841" t="s">
        <v>5404</v>
      </c>
      <c r="C841" t="s">
        <v>5405</v>
      </c>
      <c r="D841" t="s">
        <v>5655</v>
      </c>
      <c r="E841" t="s">
        <v>6451</v>
      </c>
      <c r="F841" t="s">
        <v>13460</v>
      </c>
      <c r="G841" t="s">
        <v>13476</v>
      </c>
      <c r="H841" t="s">
        <v>13478</v>
      </c>
      <c r="I841" t="s">
        <v>6479</v>
      </c>
      <c r="J841" t="s">
        <v>13463</v>
      </c>
      <c r="K841">
        <v>2</v>
      </c>
      <c r="L841" t="s">
        <v>13530</v>
      </c>
      <c r="M841" t="s">
        <v>13469</v>
      </c>
      <c r="N841" t="str">
        <f>_xlfn.XLOOKUP(C:C,'Resource Table'!A:A,'Resource Table'!B:B,"NOT FOUND",0,1)</f>
        <v>Dedicated</v>
      </c>
      <c r="O841" t="str">
        <f>_xlfn.XLOOKUP(N:N,'Resource Table'!B:B,'Resource Table'!C:C,"n/a",0,1)</f>
        <v>AFS Dedicated Tech</v>
      </c>
      <c r="P841" t="str">
        <f>_xlfn.XLOOKUP(N:N,'Resource Table'!B:B,'Resource Table'!D:D,"n/a",0,1)</f>
        <v>Dedicated</v>
      </c>
    </row>
    <row r="842" spans="1:16" x14ac:dyDescent="0.45">
      <c r="A842" t="s">
        <v>5403</v>
      </c>
      <c r="B842" t="s">
        <v>5404</v>
      </c>
      <c r="C842" t="s">
        <v>5405</v>
      </c>
      <c r="D842" t="s">
        <v>5776</v>
      </c>
      <c r="E842" t="s">
        <v>6451</v>
      </c>
      <c r="F842" t="s">
        <v>13473</v>
      </c>
      <c r="G842" t="s">
        <v>13474</v>
      </c>
      <c r="H842" t="s">
        <v>13521</v>
      </c>
      <c r="I842" t="s">
        <v>6479</v>
      </c>
      <c r="J842" t="s">
        <v>13463</v>
      </c>
      <c r="K842">
        <v>0</v>
      </c>
      <c r="L842" t="s">
        <v>20</v>
      </c>
      <c r="M842" t="s">
        <v>20</v>
      </c>
      <c r="N842" t="str">
        <f>_xlfn.XLOOKUP(C:C,'Resource Table'!A:A,'Resource Table'!B:B,"NOT FOUND",0,1)</f>
        <v>Dedicated</v>
      </c>
      <c r="O842" t="str">
        <f>_xlfn.XLOOKUP(N:N,'Resource Table'!B:B,'Resource Table'!C:C,"n/a",0,1)</f>
        <v>AFS Dedicated Tech</v>
      </c>
      <c r="P842" t="str">
        <f>_xlfn.XLOOKUP(N:N,'Resource Table'!B:B,'Resource Table'!D:D,"n/a",0,1)</f>
        <v>Dedicated</v>
      </c>
    </row>
    <row r="843" spans="1:16" x14ac:dyDescent="0.45">
      <c r="A843" t="s">
        <v>5403</v>
      </c>
      <c r="B843" t="s">
        <v>5404</v>
      </c>
      <c r="C843" t="s">
        <v>5559</v>
      </c>
      <c r="D843" t="s">
        <v>433</v>
      </c>
      <c r="E843" t="s">
        <v>6462</v>
      </c>
      <c r="F843" t="s">
        <v>13460</v>
      </c>
      <c r="G843" t="s">
        <v>13481</v>
      </c>
      <c r="H843" t="s">
        <v>13485</v>
      </c>
      <c r="I843" t="s">
        <v>6479</v>
      </c>
      <c r="J843" t="s">
        <v>13463</v>
      </c>
      <c r="K843">
        <v>0</v>
      </c>
      <c r="L843" t="s">
        <v>20</v>
      </c>
      <c r="M843" t="s">
        <v>20</v>
      </c>
      <c r="N843" t="str">
        <f>_xlfn.XLOOKUP(C:C,'Resource Table'!A:A,'Resource Table'!B:B,"NOT FOUND",0,1)</f>
        <v>Brittany Williams</v>
      </c>
      <c r="O843" t="str">
        <f>_xlfn.XLOOKUP(N:N,'Resource Table'!B:B,'Resource Table'!C:C,"n/a",0,1)</f>
        <v>bwilliams5@ameritfleet.com</v>
      </c>
      <c r="P843" t="str">
        <f>_xlfn.XLOOKUP(N:N,'Resource Table'!B:B,'Resource Table'!D:D,"n/a",0,1)</f>
        <v>Vended Repair</v>
      </c>
    </row>
    <row r="844" spans="1:16" x14ac:dyDescent="0.45">
      <c r="A844" t="s">
        <v>5403</v>
      </c>
      <c r="B844" t="s">
        <v>5404</v>
      </c>
      <c r="C844" t="s">
        <v>5559</v>
      </c>
      <c r="D844" t="s">
        <v>6261</v>
      </c>
      <c r="E844" t="s">
        <v>6451</v>
      </c>
      <c r="F844" t="s">
        <v>13460</v>
      </c>
      <c r="G844" t="s">
        <v>13476</v>
      </c>
      <c r="H844" t="s">
        <v>13477</v>
      </c>
      <c r="I844" t="s">
        <v>6479</v>
      </c>
      <c r="J844" t="s">
        <v>13463</v>
      </c>
      <c r="K844">
        <v>0</v>
      </c>
      <c r="L844" t="s">
        <v>20</v>
      </c>
      <c r="M844" t="s">
        <v>20</v>
      </c>
      <c r="N844" t="str">
        <f>_xlfn.XLOOKUP(C:C,'Resource Table'!A:A,'Resource Table'!B:B,"NOT FOUND",0,1)</f>
        <v>Brittany Williams</v>
      </c>
      <c r="O844" t="str">
        <f>_xlfn.XLOOKUP(N:N,'Resource Table'!B:B,'Resource Table'!C:C,"n/a",0,1)</f>
        <v>bwilliams5@ameritfleet.com</v>
      </c>
      <c r="P844" t="str">
        <f>_xlfn.XLOOKUP(N:N,'Resource Table'!B:B,'Resource Table'!D:D,"n/a",0,1)</f>
        <v>Vended Repair</v>
      </c>
    </row>
    <row r="845" spans="1:16" x14ac:dyDescent="0.45">
      <c r="A845" t="s">
        <v>5403</v>
      </c>
      <c r="B845" t="s">
        <v>5404</v>
      </c>
      <c r="C845" t="s">
        <v>5559</v>
      </c>
      <c r="D845" t="s">
        <v>964</v>
      </c>
      <c r="E845" t="s">
        <v>6461</v>
      </c>
      <c r="F845" t="s">
        <v>13460</v>
      </c>
      <c r="G845" t="s">
        <v>13481</v>
      </c>
      <c r="H845" t="s">
        <v>13485</v>
      </c>
      <c r="I845" t="s">
        <v>6479</v>
      </c>
      <c r="J845" t="s">
        <v>13486</v>
      </c>
      <c r="K845">
        <v>3</v>
      </c>
      <c r="L845" t="s">
        <v>13523</v>
      </c>
      <c r="M845" t="s">
        <v>13545</v>
      </c>
      <c r="N845" t="str">
        <f>_xlfn.XLOOKUP(C:C,'Resource Table'!A:A,'Resource Table'!B:B,"NOT FOUND",0,1)</f>
        <v>Brittany Williams</v>
      </c>
      <c r="O845" t="str">
        <f>_xlfn.XLOOKUP(N:N,'Resource Table'!B:B,'Resource Table'!C:C,"n/a",0,1)</f>
        <v>bwilliams5@ameritfleet.com</v>
      </c>
      <c r="P845" t="str">
        <f>_xlfn.XLOOKUP(N:N,'Resource Table'!B:B,'Resource Table'!D:D,"n/a",0,1)</f>
        <v>Vended Repair</v>
      </c>
    </row>
    <row r="846" spans="1:16" x14ac:dyDescent="0.45">
      <c r="A846" t="s">
        <v>5403</v>
      </c>
      <c r="B846" t="s">
        <v>5404</v>
      </c>
      <c r="C846" t="s">
        <v>5559</v>
      </c>
      <c r="D846" t="s">
        <v>233</v>
      </c>
      <c r="E846" t="s">
        <v>6461</v>
      </c>
      <c r="F846" t="s">
        <v>13460</v>
      </c>
      <c r="G846" t="s">
        <v>13538</v>
      </c>
      <c r="H846" t="s">
        <v>13539</v>
      </c>
      <c r="I846" t="s">
        <v>29</v>
      </c>
      <c r="J846" t="s">
        <v>13463</v>
      </c>
      <c r="K846">
        <v>2</v>
      </c>
      <c r="L846" t="s">
        <v>13479</v>
      </c>
      <c r="M846" t="s">
        <v>13505</v>
      </c>
      <c r="N846" t="str">
        <f>_xlfn.XLOOKUP(C:C,'Resource Table'!A:A,'Resource Table'!B:B,"NOT FOUND",0,1)</f>
        <v>Brittany Williams</v>
      </c>
      <c r="O846" t="str">
        <f>_xlfn.XLOOKUP(N:N,'Resource Table'!B:B,'Resource Table'!C:C,"n/a",0,1)</f>
        <v>bwilliams5@ameritfleet.com</v>
      </c>
      <c r="P846" t="str">
        <f>_xlfn.XLOOKUP(N:N,'Resource Table'!B:B,'Resource Table'!D:D,"n/a",0,1)</f>
        <v>Vended Repair</v>
      </c>
    </row>
    <row r="847" spans="1:16" x14ac:dyDescent="0.45">
      <c r="A847" t="s">
        <v>5403</v>
      </c>
      <c r="B847" t="s">
        <v>5404</v>
      </c>
      <c r="C847" t="s">
        <v>5559</v>
      </c>
      <c r="D847" t="s">
        <v>1299</v>
      </c>
      <c r="E847" t="s">
        <v>6462</v>
      </c>
      <c r="F847" t="s">
        <v>13460</v>
      </c>
      <c r="G847" t="s">
        <v>13481</v>
      </c>
      <c r="H847" t="s">
        <v>13485</v>
      </c>
      <c r="I847" t="s">
        <v>6479</v>
      </c>
      <c r="J847" t="s">
        <v>13463</v>
      </c>
      <c r="K847">
        <v>3</v>
      </c>
      <c r="L847" t="s">
        <v>13578</v>
      </c>
      <c r="M847" t="s">
        <v>13505</v>
      </c>
      <c r="N847" t="str">
        <f>_xlfn.XLOOKUP(C:C,'Resource Table'!A:A,'Resource Table'!B:B,"NOT FOUND",0,1)</f>
        <v>Brittany Williams</v>
      </c>
      <c r="O847" t="str">
        <f>_xlfn.XLOOKUP(N:N,'Resource Table'!B:B,'Resource Table'!C:C,"n/a",0,1)</f>
        <v>bwilliams5@ameritfleet.com</v>
      </c>
      <c r="P847" t="str">
        <f>_xlfn.XLOOKUP(N:N,'Resource Table'!B:B,'Resource Table'!D:D,"n/a",0,1)</f>
        <v>Vended Repair</v>
      </c>
    </row>
    <row r="848" spans="1:16" x14ac:dyDescent="0.45">
      <c r="A848" t="s">
        <v>5403</v>
      </c>
      <c r="B848" t="s">
        <v>5404</v>
      </c>
      <c r="C848" t="s">
        <v>5559</v>
      </c>
      <c r="D848" t="s">
        <v>1086</v>
      </c>
      <c r="E848" t="s">
        <v>6461</v>
      </c>
      <c r="F848" t="s">
        <v>13460</v>
      </c>
      <c r="G848" t="s">
        <v>13481</v>
      </c>
      <c r="H848" t="s">
        <v>13485</v>
      </c>
      <c r="I848" t="s">
        <v>6479</v>
      </c>
      <c r="J848" t="s">
        <v>13486</v>
      </c>
      <c r="K848">
        <v>3</v>
      </c>
      <c r="L848" t="s">
        <v>13578</v>
      </c>
      <c r="M848" t="s">
        <v>13505</v>
      </c>
      <c r="N848" t="str">
        <f>_xlfn.XLOOKUP(C:C,'Resource Table'!A:A,'Resource Table'!B:B,"NOT FOUND",0,1)</f>
        <v>Brittany Williams</v>
      </c>
      <c r="O848" t="str">
        <f>_xlfn.XLOOKUP(N:N,'Resource Table'!B:B,'Resource Table'!C:C,"n/a",0,1)</f>
        <v>bwilliams5@ameritfleet.com</v>
      </c>
      <c r="P848" t="str">
        <f>_xlfn.XLOOKUP(N:N,'Resource Table'!B:B,'Resource Table'!D:D,"n/a",0,1)</f>
        <v>Vended Repair</v>
      </c>
    </row>
    <row r="849" spans="1:16" x14ac:dyDescent="0.45">
      <c r="A849" t="s">
        <v>5403</v>
      </c>
      <c r="B849" t="s">
        <v>5404</v>
      </c>
      <c r="C849" t="s">
        <v>5418</v>
      </c>
      <c r="D849" t="s">
        <v>5653</v>
      </c>
      <c r="E849" t="s">
        <v>6451</v>
      </c>
      <c r="F849" t="s">
        <v>13460</v>
      </c>
      <c r="G849" t="s">
        <v>13476</v>
      </c>
      <c r="H849" t="s">
        <v>13478</v>
      </c>
      <c r="I849" t="s">
        <v>6479</v>
      </c>
      <c r="J849" t="s">
        <v>13463</v>
      </c>
      <c r="K849">
        <v>0</v>
      </c>
      <c r="L849" t="s">
        <v>20</v>
      </c>
      <c r="M849" t="s">
        <v>20</v>
      </c>
      <c r="N849" t="str">
        <f>_xlfn.XLOOKUP(C:C,'Resource Table'!A:A,'Resource Table'!B:B,"NOT FOUND",0,1)</f>
        <v>Dedicated</v>
      </c>
      <c r="O849" t="str">
        <f>_xlfn.XLOOKUP(N:N,'Resource Table'!B:B,'Resource Table'!C:C,"n/a",0,1)</f>
        <v>AFS Dedicated Tech</v>
      </c>
      <c r="P849" t="str">
        <f>_xlfn.XLOOKUP(N:N,'Resource Table'!B:B,'Resource Table'!D:D,"n/a",0,1)</f>
        <v>Dedicated</v>
      </c>
    </row>
    <row r="850" spans="1:16" x14ac:dyDescent="0.45">
      <c r="A850" t="s">
        <v>5403</v>
      </c>
      <c r="B850" t="s">
        <v>5404</v>
      </c>
      <c r="C850" t="s">
        <v>5418</v>
      </c>
      <c r="D850" t="s">
        <v>2914</v>
      </c>
      <c r="E850" t="s">
        <v>6461</v>
      </c>
      <c r="F850" t="s">
        <v>13460</v>
      </c>
      <c r="G850" t="s">
        <v>13538</v>
      </c>
      <c r="H850" t="s">
        <v>13554</v>
      </c>
      <c r="I850" t="s">
        <v>6479</v>
      </c>
      <c r="J850" t="s">
        <v>13463</v>
      </c>
      <c r="K850">
        <v>1</v>
      </c>
      <c r="L850" t="s">
        <v>13464</v>
      </c>
      <c r="M850" t="s">
        <v>13512</v>
      </c>
      <c r="N850" t="str">
        <f>_xlfn.XLOOKUP(C:C,'Resource Table'!A:A,'Resource Table'!B:B,"NOT FOUND",0,1)</f>
        <v>Dedicated</v>
      </c>
      <c r="O850" t="str">
        <f>_xlfn.XLOOKUP(N:N,'Resource Table'!B:B,'Resource Table'!C:C,"n/a",0,1)</f>
        <v>AFS Dedicated Tech</v>
      </c>
      <c r="P850" t="str">
        <f>_xlfn.XLOOKUP(N:N,'Resource Table'!B:B,'Resource Table'!D:D,"n/a",0,1)</f>
        <v>Dedicated</v>
      </c>
    </row>
    <row r="851" spans="1:16" x14ac:dyDescent="0.45">
      <c r="A851" t="s">
        <v>5403</v>
      </c>
      <c r="B851" t="s">
        <v>5404</v>
      </c>
      <c r="C851" t="s">
        <v>5418</v>
      </c>
      <c r="D851" t="s">
        <v>2976</v>
      </c>
      <c r="E851" t="s">
        <v>6461</v>
      </c>
      <c r="F851" t="s">
        <v>13460</v>
      </c>
      <c r="G851" t="s">
        <v>13461</v>
      </c>
      <c r="H851" t="s">
        <v>13471</v>
      </c>
      <c r="I851" t="s">
        <v>6479</v>
      </c>
      <c r="J851" t="s">
        <v>13463</v>
      </c>
      <c r="K851">
        <v>1</v>
      </c>
      <c r="L851" t="s">
        <v>13552</v>
      </c>
      <c r="M851" t="s">
        <v>13544</v>
      </c>
      <c r="N851" t="str">
        <f>_xlfn.XLOOKUP(C:C,'Resource Table'!A:A,'Resource Table'!B:B,"NOT FOUND",0,1)</f>
        <v>Dedicated</v>
      </c>
      <c r="O851" t="str">
        <f>_xlfn.XLOOKUP(N:N,'Resource Table'!B:B,'Resource Table'!C:C,"n/a",0,1)</f>
        <v>AFS Dedicated Tech</v>
      </c>
      <c r="P851" t="str">
        <f>_xlfn.XLOOKUP(N:N,'Resource Table'!B:B,'Resource Table'!D:D,"n/a",0,1)</f>
        <v>Dedicated</v>
      </c>
    </row>
    <row r="852" spans="1:16" x14ac:dyDescent="0.45">
      <c r="A852" t="s">
        <v>5403</v>
      </c>
      <c r="B852" t="s">
        <v>5404</v>
      </c>
      <c r="C852" t="s">
        <v>5418</v>
      </c>
      <c r="D852" t="s">
        <v>5802</v>
      </c>
      <c r="E852" t="s">
        <v>6451</v>
      </c>
      <c r="F852" t="s">
        <v>13473</v>
      </c>
      <c r="G852" t="s">
        <v>13474</v>
      </c>
      <c r="H852" t="s">
        <v>13521</v>
      </c>
      <c r="I852" t="s">
        <v>6479</v>
      </c>
      <c r="J852" t="s">
        <v>13463</v>
      </c>
      <c r="K852">
        <v>0</v>
      </c>
      <c r="L852" t="s">
        <v>20</v>
      </c>
      <c r="M852" t="s">
        <v>20</v>
      </c>
      <c r="N852" t="str">
        <f>_xlfn.XLOOKUP(C:C,'Resource Table'!A:A,'Resource Table'!B:B,"NOT FOUND",0,1)</f>
        <v>Dedicated</v>
      </c>
      <c r="O852" t="str">
        <f>_xlfn.XLOOKUP(N:N,'Resource Table'!B:B,'Resource Table'!C:C,"n/a",0,1)</f>
        <v>AFS Dedicated Tech</v>
      </c>
      <c r="P852" t="str">
        <f>_xlfn.XLOOKUP(N:N,'Resource Table'!B:B,'Resource Table'!D:D,"n/a",0,1)</f>
        <v>Dedicated</v>
      </c>
    </row>
    <row r="853" spans="1:16" x14ac:dyDescent="0.45">
      <c r="A853" t="s">
        <v>5403</v>
      </c>
      <c r="B853" t="s">
        <v>5404</v>
      </c>
      <c r="C853" t="s">
        <v>5418</v>
      </c>
      <c r="D853" t="s">
        <v>5656</v>
      </c>
      <c r="E853" t="s">
        <v>6451</v>
      </c>
      <c r="F853" t="s">
        <v>13460</v>
      </c>
      <c r="G853" t="s">
        <v>13476</v>
      </c>
      <c r="H853" t="s">
        <v>13478</v>
      </c>
      <c r="I853" t="s">
        <v>6479</v>
      </c>
      <c r="J853" t="s">
        <v>13463</v>
      </c>
      <c r="K853">
        <v>0</v>
      </c>
      <c r="L853" t="s">
        <v>20</v>
      </c>
      <c r="M853" t="s">
        <v>20</v>
      </c>
      <c r="N853" t="str">
        <f>_xlfn.XLOOKUP(C:C,'Resource Table'!A:A,'Resource Table'!B:B,"NOT FOUND",0,1)</f>
        <v>Dedicated</v>
      </c>
      <c r="O853" t="str">
        <f>_xlfn.XLOOKUP(N:N,'Resource Table'!B:B,'Resource Table'!C:C,"n/a",0,1)</f>
        <v>AFS Dedicated Tech</v>
      </c>
      <c r="P853" t="str">
        <f>_xlfn.XLOOKUP(N:N,'Resource Table'!B:B,'Resource Table'!D:D,"n/a",0,1)</f>
        <v>Dedicated</v>
      </c>
    </row>
    <row r="854" spans="1:16" x14ac:dyDescent="0.45">
      <c r="A854" t="s">
        <v>5403</v>
      </c>
      <c r="B854" t="s">
        <v>5404</v>
      </c>
      <c r="C854" t="s">
        <v>5418</v>
      </c>
      <c r="D854" t="s">
        <v>5801</v>
      </c>
      <c r="E854" t="s">
        <v>6451</v>
      </c>
      <c r="F854" t="s">
        <v>13473</v>
      </c>
      <c r="G854" t="s">
        <v>13474</v>
      </c>
      <c r="H854" t="s">
        <v>13521</v>
      </c>
      <c r="I854" t="s">
        <v>6479</v>
      </c>
      <c r="J854" t="s">
        <v>13463</v>
      </c>
      <c r="K854">
        <v>0</v>
      </c>
      <c r="L854" t="s">
        <v>20</v>
      </c>
      <c r="M854" t="s">
        <v>20</v>
      </c>
      <c r="N854" t="str">
        <f>_xlfn.XLOOKUP(C:C,'Resource Table'!A:A,'Resource Table'!B:B,"NOT FOUND",0,1)</f>
        <v>Dedicated</v>
      </c>
      <c r="O854" t="str">
        <f>_xlfn.XLOOKUP(N:N,'Resource Table'!B:B,'Resource Table'!C:C,"n/a",0,1)</f>
        <v>AFS Dedicated Tech</v>
      </c>
      <c r="P854" t="str">
        <f>_xlfn.XLOOKUP(N:N,'Resource Table'!B:B,'Resource Table'!D:D,"n/a",0,1)</f>
        <v>Dedicated</v>
      </c>
    </row>
    <row r="855" spans="1:16" x14ac:dyDescent="0.45">
      <c r="A855" t="s">
        <v>5403</v>
      </c>
      <c r="B855" t="s">
        <v>5404</v>
      </c>
      <c r="C855" t="s">
        <v>5418</v>
      </c>
      <c r="D855" t="s">
        <v>5927</v>
      </c>
      <c r="E855" t="s">
        <v>6462</v>
      </c>
      <c r="F855" t="s">
        <v>13460</v>
      </c>
      <c r="G855" t="s">
        <v>13481</v>
      </c>
      <c r="H855" t="s">
        <v>13490</v>
      </c>
      <c r="I855" t="s">
        <v>6479</v>
      </c>
      <c r="J855" t="s">
        <v>13463</v>
      </c>
      <c r="K855">
        <v>1</v>
      </c>
      <c r="L855" t="s">
        <v>13480</v>
      </c>
      <c r="M855" t="s">
        <v>20</v>
      </c>
      <c r="N855" t="str">
        <f>_xlfn.XLOOKUP(C:C,'Resource Table'!A:A,'Resource Table'!B:B,"NOT FOUND",0,1)</f>
        <v>Dedicated</v>
      </c>
      <c r="O855" t="str">
        <f>_xlfn.XLOOKUP(N:N,'Resource Table'!B:B,'Resource Table'!C:C,"n/a",0,1)</f>
        <v>AFS Dedicated Tech</v>
      </c>
      <c r="P855" t="str">
        <f>_xlfn.XLOOKUP(N:N,'Resource Table'!B:B,'Resource Table'!D:D,"n/a",0,1)</f>
        <v>Dedicated</v>
      </c>
    </row>
    <row r="856" spans="1:16" x14ac:dyDescent="0.45">
      <c r="A856" t="s">
        <v>5403</v>
      </c>
      <c r="B856" t="s">
        <v>5404</v>
      </c>
      <c r="C856" t="s">
        <v>5418</v>
      </c>
      <c r="D856" t="s">
        <v>6135</v>
      </c>
      <c r="E856" t="s">
        <v>6461</v>
      </c>
      <c r="F856" t="s">
        <v>13460</v>
      </c>
      <c r="G856" t="s">
        <v>13538</v>
      </c>
      <c r="H856" t="s">
        <v>13554</v>
      </c>
      <c r="I856" t="s">
        <v>6479</v>
      </c>
      <c r="J856" t="s">
        <v>13463</v>
      </c>
      <c r="K856">
        <v>0</v>
      </c>
      <c r="L856" t="s">
        <v>20</v>
      </c>
      <c r="M856" t="s">
        <v>20</v>
      </c>
      <c r="N856" t="str">
        <f>_xlfn.XLOOKUP(C:C,'Resource Table'!A:A,'Resource Table'!B:B,"NOT FOUND",0,1)</f>
        <v>Dedicated</v>
      </c>
      <c r="O856" t="str">
        <f>_xlfn.XLOOKUP(N:N,'Resource Table'!B:B,'Resource Table'!C:C,"n/a",0,1)</f>
        <v>AFS Dedicated Tech</v>
      </c>
      <c r="P856" t="str">
        <f>_xlfn.XLOOKUP(N:N,'Resource Table'!B:B,'Resource Table'!D:D,"n/a",0,1)</f>
        <v>Dedicated</v>
      </c>
    </row>
    <row r="857" spans="1:16" x14ac:dyDescent="0.45">
      <c r="A857" t="s">
        <v>5403</v>
      </c>
      <c r="B857" t="s">
        <v>5404</v>
      </c>
      <c r="C857" t="s">
        <v>5418</v>
      </c>
      <c r="D857" t="s">
        <v>6259</v>
      </c>
      <c r="E857" t="s">
        <v>6451</v>
      </c>
      <c r="F857" t="s">
        <v>13460</v>
      </c>
      <c r="G857" t="s">
        <v>13476</v>
      </c>
      <c r="H857" t="s">
        <v>13477</v>
      </c>
      <c r="I857" t="s">
        <v>6479</v>
      </c>
      <c r="J857" t="s">
        <v>13463</v>
      </c>
      <c r="K857">
        <v>0</v>
      </c>
      <c r="L857" t="s">
        <v>20</v>
      </c>
      <c r="M857" t="s">
        <v>20</v>
      </c>
      <c r="N857" t="str">
        <f>_xlfn.XLOOKUP(C:C,'Resource Table'!A:A,'Resource Table'!B:B,"NOT FOUND",0,1)</f>
        <v>Dedicated</v>
      </c>
      <c r="O857" t="str">
        <f>_xlfn.XLOOKUP(N:N,'Resource Table'!B:B,'Resource Table'!C:C,"n/a",0,1)</f>
        <v>AFS Dedicated Tech</v>
      </c>
      <c r="P857" t="str">
        <f>_xlfn.XLOOKUP(N:N,'Resource Table'!B:B,'Resource Table'!D:D,"n/a",0,1)</f>
        <v>Dedicated</v>
      </c>
    </row>
    <row r="858" spans="1:16" x14ac:dyDescent="0.45">
      <c r="A858" t="s">
        <v>5403</v>
      </c>
      <c r="B858" t="s">
        <v>5404</v>
      </c>
      <c r="C858" t="s">
        <v>5418</v>
      </c>
      <c r="D858" t="s">
        <v>6035</v>
      </c>
      <c r="E858" t="s">
        <v>6461</v>
      </c>
      <c r="F858" t="s">
        <v>13460</v>
      </c>
      <c r="G858" t="s">
        <v>13481</v>
      </c>
      <c r="H858" t="s">
        <v>13522</v>
      </c>
      <c r="I858" t="s">
        <v>6479</v>
      </c>
      <c r="J858" t="s">
        <v>13463</v>
      </c>
      <c r="K858">
        <v>0</v>
      </c>
      <c r="L858" t="s">
        <v>20</v>
      </c>
      <c r="M858" t="s">
        <v>20</v>
      </c>
      <c r="N858" t="str">
        <f>_xlfn.XLOOKUP(C:C,'Resource Table'!A:A,'Resource Table'!B:B,"NOT FOUND",0,1)</f>
        <v>Dedicated</v>
      </c>
      <c r="O858" t="str">
        <f>_xlfn.XLOOKUP(N:N,'Resource Table'!B:B,'Resource Table'!C:C,"n/a",0,1)</f>
        <v>AFS Dedicated Tech</v>
      </c>
      <c r="P858" t="str">
        <f>_xlfn.XLOOKUP(N:N,'Resource Table'!B:B,'Resource Table'!D:D,"n/a",0,1)</f>
        <v>Dedicated</v>
      </c>
    </row>
    <row r="859" spans="1:16" x14ac:dyDescent="0.45">
      <c r="A859" t="s">
        <v>5403</v>
      </c>
      <c r="B859" t="s">
        <v>5404</v>
      </c>
      <c r="C859" t="s">
        <v>5418</v>
      </c>
      <c r="D859" t="s">
        <v>5649</v>
      </c>
      <c r="E859" t="s">
        <v>6451</v>
      </c>
      <c r="F859" t="s">
        <v>13460</v>
      </c>
      <c r="G859" t="s">
        <v>13476</v>
      </c>
      <c r="H859" t="s">
        <v>13478</v>
      </c>
      <c r="I859" t="s">
        <v>6479</v>
      </c>
      <c r="J859" t="s">
        <v>13463</v>
      </c>
      <c r="K859">
        <v>0</v>
      </c>
      <c r="L859" t="s">
        <v>20</v>
      </c>
      <c r="M859" t="s">
        <v>20</v>
      </c>
      <c r="N859" t="str">
        <f>_xlfn.XLOOKUP(C:C,'Resource Table'!A:A,'Resource Table'!B:B,"NOT FOUND",0,1)</f>
        <v>Dedicated</v>
      </c>
      <c r="O859" t="str">
        <f>_xlfn.XLOOKUP(N:N,'Resource Table'!B:B,'Resource Table'!C:C,"n/a",0,1)</f>
        <v>AFS Dedicated Tech</v>
      </c>
      <c r="P859" t="str">
        <f>_xlfn.XLOOKUP(N:N,'Resource Table'!B:B,'Resource Table'!D:D,"n/a",0,1)</f>
        <v>Dedicated</v>
      </c>
    </row>
    <row r="860" spans="1:16" x14ac:dyDescent="0.45">
      <c r="A860" t="s">
        <v>5403</v>
      </c>
      <c r="B860" t="s">
        <v>5404</v>
      </c>
      <c r="C860" t="s">
        <v>5418</v>
      </c>
      <c r="D860" t="s">
        <v>6134</v>
      </c>
      <c r="E860" t="s">
        <v>6461</v>
      </c>
      <c r="F860" t="s">
        <v>13460</v>
      </c>
      <c r="G860" t="s">
        <v>13538</v>
      </c>
      <c r="H860" t="s">
        <v>13554</v>
      </c>
      <c r="I860" t="s">
        <v>6479</v>
      </c>
      <c r="J860" t="s">
        <v>13463</v>
      </c>
      <c r="K860">
        <v>0</v>
      </c>
      <c r="L860" t="s">
        <v>20</v>
      </c>
      <c r="M860" t="s">
        <v>20</v>
      </c>
      <c r="N860" t="str">
        <f>_xlfn.XLOOKUP(C:C,'Resource Table'!A:A,'Resource Table'!B:B,"NOT FOUND",0,1)</f>
        <v>Dedicated</v>
      </c>
      <c r="O860" t="str">
        <f>_xlfn.XLOOKUP(N:N,'Resource Table'!B:B,'Resource Table'!C:C,"n/a",0,1)</f>
        <v>AFS Dedicated Tech</v>
      </c>
      <c r="P860" t="str">
        <f>_xlfn.XLOOKUP(N:N,'Resource Table'!B:B,'Resource Table'!D:D,"n/a",0,1)</f>
        <v>Dedicated</v>
      </c>
    </row>
    <row r="861" spans="1:16" x14ac:dyDescent="0.45">
      <c r="A861" t="s">
        <v>5403</v>
      </c>
      <c r="B861" t="s">
        <v>5404</v>
      </c>
      <c r="C861" t="s">
        <v>5418</v>
      </c>
      <c r="D861" t="s">
        <v>5419</v>
      </c>
      <c r="E861" t="s">
        <v>6451</v>
      </c>
      <c r="F861" t="s">
        <v>13460</v>
      </c>
      <c r="G861" t="s">
        <v>13476</v>
      </c>
      <c r="H861" t="s">
        <v>13478</v>
      </c>
      <c r="I861" t="s">
        <v>29</v>
      </c>
      <c r="J861" t="s">
        <v>13463</v>
      </c>
      <c r="K861">
        <v>1</v>
      </c>
      <c r="L861" t="s">
        <v>13519</v>
      </c>
      <c r="M861" t="s">
        <v>13468</v>
      </c>
      <c r="N861" t="str">
        <f>_xlfn.XLOOKUP(C:C,'Resource Table'!A:A,'Resource Table'!B:B,"NOT FOUND",0,1)</f>
        <v>Dedicated</v>
      </c>
      <c r="O861" t="str">
        <f>_xlfn.XLOOKUP(N:N,'Resource Table'!B:B,'Resource Table'!C:C,"n/a",0,1)</f>
        <v>AFS Dedicated Tech</v>
      </c>
      <c r="P861" t="str">
        <f>_xlfn.XLOOKUP(N:N,'Resource Table'!B:B,'Resource Table'!D:D,"n/a",0,1)</f>
        <v>Dedicated</v>
      </c>
    </row>
    <row r="862" spans="1:16" x14ac:dyDescent="0.45">
      <c r="A862" t="s">
        <v>5403</v>
      </c>
      <c r="B862" t="s">
        <v>5404</v>
      </c>
      <c r="C862" t="s">
        <v>5418</v>
      </c>
      <c r="D862" t="s">
        <v>5921</v>
      </c>
      <c r="E862" t="s">
        <v>6462</v>
      </c>
      <c r="F862" t="s">
        <v>13460</v>
      </c>
      <c r="G862" t="s">
        <v>13481</v>
      </c>
      <c r="H862" t="s">
        <v>13485</v>
      </c>
      <c r="I862" t="s">
        <v>6479</v>
      </c>
      <c r="J862" t="s">
        <v>13463</v>
      </c>
      <c r="K862">
        <v>0</v>
      </c>
      <c r="L862" t="s">
        <v>20</v>
      </c>
      <c r="M862" t="s">
        <v>20</v>
      </c>
      <c r="N862" t="str">
        <f>_xlfn.XLOOKUP(C:C,'Resource Table'!A:A,'Resource Table'!B:B,"NOT FOUND",0,1)</f>
        <v>Dedicated</v>
      </c>
      <c r="O862" t="str">
        <f>_xlfn.XLOOKUP(N:N,'Resource Table'!B:B,'Resource Table'!C:C,"n/a",0,1)</f>
        <v>AFS Dedicated Tech</v>
      </c>
      <c r="P862" t="str">
        <f>_xlfn.XLOOKUP(N:N,'Resource Table'!B:B,'Resource Table'!D:D,"n/a",0,1)</f>
        <v>Dedicated</v>
      </c>
    </row>
    <row r="863" spans="1:16" x14ac:dyDescent="0.45">
      <c r="A863" t="s">
        <v>5403</v>
      </c>
      <c r="B863" t="s">
        <v>5416</v>
      </c>
      <c r="C863" t="s">
        <v>5441</v>
      </c>
      <c r="D863" t="s">
        <v>4903</v>
      </c>
      <c r="E863" t="s">
        <v>6451</v>
      </c>
      <c r="F863" t="s">
        <v>13473</v>
      </c>
      <c r="G863" t="s">
        <v>13474</v>
      </c>
      <c r="H863" t="s">
        <v>13492</v>
      </c>
      <c r="I863" t="s">
        <v>6479</v>
      </c>
      <c r="J863" t="s">
        <v>13463</v>
      </c>
      <c r="K863">
        <v>5</v>
      </c>
      <c r="L863" t="s">
        <v>13552</v>
      </c>
      <c r="M863" t="s">
        <v>13484</v>
      </c>
      <c r="N863" t="str">
        <f>_xlfn.XLOOKUP(C:C,'Resource Table'!A:A,'Resource Table'!B:B,"NOT FOUND",0,1)</f>
        <v>Dedicated</v>
      </c>
      <c r="O863" t="str">
        <f>_xlfn.XLOOKUP(N:N,'Resource Table'!B:B,'Resource Table'!C:C,"n/a",0,1)</f>
        <v>AFS Dedicated Tech</v>
      </c>
      <c r="P863" t="str">
        <f>_xlfn.XLOOKUP(N:N,'Resource Table'!B:B,'Resource Table'!D:D,"n/a",0,1)</f>
        <v>Dedicated</v>
      </c>
    </row>
    <row r="864" spans="1:16" x14ac:dyDescent="0.45">
      <c r="A864" t="s">
        <v>5403</v>
      </c>
      <c r="B864" t="s">
        <v>5416</v>
      </c>
      <c r="C864" t="s">
        <v>5441</v>
      </c>
      <c r="D864" t="s">
        <v>6053</v>
      </c>
      <c r="E864" t="s">
        <v>6461</v>
      </c>
      <c r="F864" t="s">
        <v>13460</v>
      </c>
      <c r="G864" t="s">
        <v>13481</v>
      </c>
      <c r="H864" t="s">
        <v>13522</v>
      </c>
      <c r="I864" t="s">
        <v>6479</v>
      </c>
      <c r="J864" t="s">
        <v>13463</v>
      </c>
      <c r="K864">
        <v>0</v>
      </c>
      <c r="L864" t="s">
        <v>20</v>
      </c>
      <c r="M864" t="s">
        <v>20</v>
      </c>
      <c r="N864" t="str">
        <f>_xlfn.XLOOKUP(C:C,'Resource Table'!A:A,'Resource Table'!B:B,"NOT FOUND",0,1)</f>
        <v>Dedicated</v>
      </c>
      <c r="O864" t="str">
        <f>_xlfn.XLOOKUP(N:N,'Resource Table'!B:B,'Resource Table'!C:C,"n/a",0,1)</f>
        <v>AFS Dedicated Tech</v>
      </c>
      <c r="P864" t="str">
        <f>_xlfn.XLOOKUP(N:N,'Resource Table'!B:B,'Resource Table'!D:D,"n/a",0,1)</f>
        <v>Dedicated</v>
      </c>
    </row>
    <row r="865" spans="1:16" x14ac:dyDescent="0.45">
      <c r="A865" t="s">
        <v>5403</v>
      </c>
      <c r="B865" t="s">
        <v>5416</v>
      </c>
      <c r="C865" t="s">
        <v>5441</v>
      </c>
      <c r="D865" t="s">
        <v>6050</v>
      </c>
      <c r="E865" t="s">
        <v>6461</v>
      </c>
      <c r="F865" t="s">
        <v>13460</v>
      </c>
      <c r="G865" t="s">
        <v>13481</v>
      </c>
      <c r="H865" t="s">
        <v>13522</v>
      </c>
      <c r="I865" t="s">
        <v>6479</v>
      </c>
      <c r="J865" t="s">
        <v>13463</v>
      </c>
      <c r="K865">
        <v>0</v>
      </c>
      <c r="L865" t="s">
        <v>20</v>
      </c>
      <c r="M865" t="s">
        <v>20</v>
      </c>
      <c r="N865" t="str">
        <f>_xlfn.XLOOKUP(C:C,'Resource Table'!A:A,'Resource Table'!B:B,"NOT FOUND",0,1)</f>
        <v>Dedicated</v>
      </c>
      <c r="O865" t="str">
        <f>_xlfn.XLOOKUP(N:N,'Resource Table'!B:B,'Resource Table'!C:C,"n/a",0,1)</f>
        <v>AFS Dedicated Tech</v>
      </c>
      <c r="P865" t="str">
        <f>_xlfn.XLOOKUP(N:N,'Resource Table'!B:B,'Resource Table'!D:D,"n/a",0,1)</f>
        <v>Dedicated</v>
      </c>
    </row>
    <row r="866" spans="1:16" x14ac:dyDescent="0.45">
      <c r="A866" t="s">
        <v>5403</v>
      </c>
      <c r="B866" t="s">
        <v>5416</v>
      </c>
      <c r="C866" t="s">
        <v>5441</v>
      </c>
      <c r="D866" t="s">
        <v>5693</v>
      </c>
      <c r="E866" t="s">
        <v>6451</v>
      </c>
      <c r="F866" t="s">
        <v>13473</v>
      </c>
      <c r="G866" t="s">
        <v>13474</v>
      </c>
      <c r="H866" t="s">
        <v>13492</v>
      </c>
      <c r="I866" t="s">
        <v>6479</v>
      </c>
      <c r="J866" t="s">
        <v>13463</v>
      </c>
      <c r="K866">
        <v>3</v>
      </c>
      <c r="L866" t="s">
        <v>13544</v>
      </c>
      <c r="M866" t="s">
        <v>13544</v>
      </c>
      <c r="N866" t="str">
        <f>_xlfn.XLOOKUP(C:C,'Resource Table'!A:A,'Resource Table'!B:B,"NOT FOUND",0,1)</f>
        <v>Dedicated</v>
      </c>
      <c r="O866" t="str">
        <f>_xlfn.XLOOKUP(N:N,'Resource Table'!B:B,'Resource Table'!C:C,"n/a",0,1)</f>
        <v>AFS Dedicated Tech</v>
      </c>
      <c r="P866" t="str">
        <f>_xlfn.XLOOKUP(N:N,'Resource Table'!B:B,'Resource Table'!D:D,"n/a",0,1)</f>
        <v>Dedicated</v>
      </c>
    </row>
    <row r="867" spans="1:16" x14ac:dyDescent="0.45">
      <c r="A867" t="s">
        <v>5403</v>
      </c>
      <c r="B867" t="s">
        <v>5416</v>
      </c>
      <c r="C867" t="s">
        <v>5441</v>
      </c>
      <c r="D867" t="s">
        <v>5464</v>
      </c>
      <c r="E867" t="s">
        <v>6451</v>
      </c>
      <c r="F867" t="s">
        <v>13473</v>
      </c>
      <c r="G867" t="s">
        <v>13474</v>
      </c>
      <c r="H867" t="s">
        <v>13517</v>
      </c>
      <c r="I867" t="s">
        <v>29</v>
      </c>
      <c r="J867" t="s">
        <v>13463</v>
      </c>
      <c r="K867">
        <v>4</v>
      </c>
      <c r="L867" t="s">
        <v>13534</v>
      </c>
      <c r="M867" t="s">
        <v>13595</v>
      </c>
      <c r="N867" t="str">
        <f>_xlfn.XLOOKUP(C:C,'Resource Table'!A:A,'Resource Table'!B:B,"NOT FOUND",0,1)</f>
        <v>Dedicated</v>
      </c>
      <c r="O867" t="str">
        <f>_xlfn.XLOOKUP(N:N,'Resource Table'!B:B,'Resource Table'!C:C,"n/a",0,1)</f>
        <v>AFS Dedicated Tech</v>
      </c>
      <c r="P867" t="str">
        <f>_xlfn.XLOOKUP(N:N,'Resource Table'!B:B,'Resource Table'!D:D,"n/a",0,1)</f>
        <v>Dedicated</v>
      </c>
    </row>
    <row r="868" spans="1:16" x14ac:dyDescent="0.45">
      <c r="A868" t="s">
        <v>5403</v>
      </c>
      <c r="B868" t="s">
        <v>5416</v>
      </c>
      <c r="C868" t="s">
        <v>5441</v>
      </c>
      <c r="D868" t="s">
        <v>6246</v>
      </c>
      <c r="E868" t="s">
        <v>6451</v>
      </c>
      <c r="F868" t="s">
        <v>13460</v>
      </c>
      <c r="G868" t="s">
        <v>13476</v>
      </c>
      <c r="H868" t="s">
        <v>13477</v>
      </c>
      <c r="I868" t="s">
        <v>6479</v>
      </c>
      <c r="J868" t="s">
        <v>13463</v>
      </c>
      <c r="K868">
        <v>1</v>
      </c>
      <c r="L868" t="s">
        <v>13503</v>
      </c>
      <c r="M868" t="s">
        <v>20</v>
      </c>
      <c r="N868" t="str">
        <f>_xlfn.XLOOKUP(C:C,'Resource Table'!A:A,'Resource Table'!B:B,"NOT FOUND",0,1)</f>
        <v>Dedicated</v>
      </c>
      <c r="O868" t="str">
        <f>_xlfn.XLOOKUP(N:N,'Resource Table'!B:B,'Resource Table'!C:C,"n/a",0,1)</f>
        <v>AFS Dedicated Tech</v>
      </c>
      <c r="P868" t="str">
        <f>_xlfn.XLOOKUP(N:N,'Resource Table'!B:B,'Resource Table'!D:D,"n/a",0,1)</f>
        <v>Dedicated</v>
      </c>
    </row>
    <row r="869" spans="1:16" x14ac:dyDescent="0.45">
      <c r="A869" t="s">
        <v>5403</v>
      </c>
      <c r="B869" t="s">
        <v>5416</v>
      </c>
      <c r="C869" t="s">
        <v>5441</v>
      </c>
      <c r="D869" t="s">
        <v>6013</v>
      </c>
      <c r="E869" t="s">
        <v>6461</v>
      </c>
      <c r="F869" t="s">
        <v>13460</v>
      </c>
      <c r="G869" t="s">
        <v>13538</v>
      </c>
      <c r="H869" t="s">
        <v>13539</v>
      </c>
      <c r="I869" t="s">
        <v>6479</v>
      </c>
      <c r="J869" t="s">
        <v>13463</v>
      </c>
      <c r="K869">
        <v>2</v>
      </c>
      <c r="L869" t="s">
        <v>13466</v>
      </c>
      <c r="M869" t="s">
        <v>20</v>
      </c>
      <c r="N869" t="str">
        <f>_xlfn.XLOOKUP(C:C,'Resource Table'!A:A,'Resource Table'!B:B,"NOT FOUND",0,1)</f>
        <v>Dedicated</v>
      </c>
      <c r="O869" t="str">
        <f>_xlfn.XLOOKUP(N:N,'Resource Table'!B:B,'Resource Table'!C:C,"n/a",0,1)</f>
        <v>AFS Dedicated Tech</v>
      </c>
      <c r="P869" t="str">
        <f>_xlfn.XLOOKUP(N:N,'Resource Table'!B:B,'Resource Table'!D:D,"n/a",0,1)</f>
        <v>Dedicated</v>
      </c>
    </row>
    <row r="870" spans="1:16" x14ac:dyDescent="0.45">
      <c r="A870" t="s">
        <v>5403</v>
      </c>
      <c r="B870" t="s">
        <v>5416</v>
      </c>
      <c r="C870" t="s">
        <v>5441</v>
      </c>
      <c r="D870" t="s">
        <v>6111</v>
      </c>
      <c r="E870" t="s">
        <v>6461</v>
      </c>
      <c r="F870" t="s">
        <v>13460</v>
      </c>
      <c r="G870" t="s">
        <v>13481</v>
      </c>
      <c r="H870" t="s">
        <v>13518</v>
      </c>
      <c r="I870" t="s">
        <v>6479</v>
      </c>
      <c r="J870" t="s">
        <v>13463</v>
      </c>
      <c r="K870">
        <v>0</v>
      </c>
      <c r="L870" t="s">
        <v>20</v>
      </c>
      <c r="M870" t="s">
        <v>20</v>
      </c>
      <c r="N870" t="str">
        <f>_xlfn.XLOOKUP(C:C,'Resource Table'!A:A,'Resource Table'!B:B,"NOT FOUND",0,1)</f>
        <v>Dedicated</v>
      </c>
      <c r="O870" t="str">
        <f>_xlfn.XLOOKUP(N:N,'Resource Table'!B:B,'Resource Table'!C:C,"n/a",0,1)</f>
        <v>AFS Dedicated Tech</v>
      </c>
      <c r="P870" t="str">
        <f>_xlfn.XLOOKUP(N:N,'Resource Table'!B:B,'Resource Table'!D:D,"n/a",0,1)</f>
        <v>Dedicated</v>
      </c>
    </row>
    <row r="871" spans="1:16" x14ac:dyDescent="0.45">
      <c r="A871" t="s">
        <v>5403</v>
      </c>
      <c r="B871" t="s">
        <v>5416</v>
      </c>
      <c r="C871" t="s">
        <v>5441</v>
      </c>
      <c r="D871" t="s">
        <v>5958</v>
      </c>
      <c r="E871" t="s">
        <v>6461</v>
      </c>
      <c r="F871" t="s">
        <v>13460</v>
      </c>
      <c r="G871" t="s">
        <v>13481</v>
      </c>
      <c r="H871" t="s">
        <v>13482</v>
      </c>
      <c r="I871" t="s">
        <v>6479</v>
      </c>
      <c r="J871" t="s">
        <v>13463</v>
      </c>
      <c r="K871">
        <v>2</v>
      </c>
      <c r="L871" t="s">
        <v>13524</v>
      </c>
      <c r="M871" t="s">
        <v>20</v>
      </c>
      <c r="N871" t="str">
        <f>_xlfn.XLOOKUP(C:C,'Resource Table'!A:A,'Resource Table'!B:B,"NOT FOUND",0,1)</f>
        <v>Dedicated</v>
      </c>
      <c r="O871" t="str">
        <f>_xlfn.XLOOKUP(N:N,'Resource Table'!B:B,'Resource Table'!C:C,"n/a",0,1)</f>
        <v>AFS Dedicated Tech</v>
      </c>
      <c r="P871" t="str">
        <f>_xlfn.XLOOKUP(N:N,'Resource Table'!B:B,'Resource Table'!D:D,"n/a",0,1)</f>
        <v>Dedicated</v>
      </c>
    </row>
    <row r="872" spans="1:16" x14ac:dyDescent="0.45">
      <c r="A872" t="s">
        <v>5403</v>
      </c>
      <c r="B872" t="s">
        <v>5416</v>
      </c>
      <c r="C872" t="s">
        <v>5441</v>
      </c>
      <c r="D872" t="s">
        <v>2969</v>
      </c>
      <c r="E872" t="s">
        <v>6451</v>
      </c>
      <c r="F872" t="s">
        <v>13473</v>
      </c>
      <c r="G872" t="s">
        <v>13474</v>
      </c>
      <c r="H872" t="s">
        <v>13475</v>
      </c>
      <c r="I872" t="s">
        <v>29</v>
      </c>
      <c r="J872" t="s">
        <v>13463</v>
      </c>
      <c r="K872">
        <v>3</v>
      </c>
      <c r="L872" t="s">
        <v>13512</v>
      </c>
      <c r="M872" t="s">
        <v>13491</v>
      </c>
      <c r="N872" t="str">
        <f>_xlfn.XLOOKUP(C:C,'Resource Table'!A:A,'Resource Table'!B:B,"NOT FOUND",0,1)</f>
        <v>Dedicated</v>
      </c>
      <c r="O872" t="str">
        <f>_xlfn.XLOOKUP(N:N,'Resource Table'!B:B,'Resource Table'!C:C,"n/a",0,1)</f>
        <v>AFS Dedicated Tech</v>
      </c>
      <c r="P872" t="str">
        <f>_xlfn.XLOOKUP(N:N,'Resource Table'!B:B,'Resource Table'!D:D,"n/a",0,1)</f>
        <v>Dedicated</v>
      </c>
    </row>
    <row r="873" spans="1:16" x14ac:dyDescent="0.45">
      <c r="A873" t="s">
        <v>5403</v>
      </c>
      <c r="B873" t="s">
        <v>5416</v>
      </c>
      <c r="C873" t="s">
        <v>5441</v>
      </c>
      <c r="D873" t="s">
        <v>5539</v>
      </c>
      <c r="E873" t="s">
        <v>6451</v>
      </c>
      <c r="F873" t="s">
        <v>13460</v>
      </c>
      <c r="G873" t="s">
        <v>13481</v>
      </c>
      <c r="H873" t="s">
        <v>13485</v>
      </c>
      <c r="I873" t="s">
        <v>29</v>
      </c>
      <c r="J873" t="s">
        <v>13463</v>
      </c>
      <c r="K873">
        <v>2</v>
      </c>
      <c r="L873" t="s">
        <v>13529</v>
      </c>
      <c r="M873" t="s">
        <v>13545</v>
      </c>
      <c r="N873" t="str">
        <f>_xlfn.XLOOKUP(C:C,'Resource Table'!A:A,'Resource Table'!B:B,"NOT FOUND",0,1)</f>
        <v>Dedicated</v>
      </c>
      <c r="O873" t="str">
        <f>_xlfn.XLOOKUP(N:N,'Resource Table'!B:B,'Resource Table'!C:C,"n/a",0,1)</f>
        <v>AFS Dedicated Tech</v>
      </c>
      <c r="P873" t="str">
        <f>_xlfn.XLOOKUP(N:N,'Resource Table'!B:B,'Resource Table'!D:D,"n/a",0,1)</f>
        <v>Dedicated</v>
      </c>
    </row>
    <row r="874" spans="1:16" x14ac:dyDescent="0.45">
      <c r="A874" t="s">
        <v>5403</v>
      </c>
      <c r="B874" t="s">
        <v>5416</v>
      </c>
      <c r="C874" t="s">
        <v>5441</v>
      </c>
      <c r="D874" t="s">
        <v>1192</v>
      </c>
      <c r="E874" t="s">
        <v>6451</v>
      </c>
      <c r="F874" t="s">
        <v>13473</v>
      </c>
      <c r="G874" t="s">
        <v>13474</v>
      </c>
      <c r="H874" t="s">
        <v>13517</v>
      </c>
      <c r="I874" t="s">
        <v>6479</v>
      </c>
      <c r="J874" t="s">
        <v>13463</v>
      </c>
      <c r="K874">
        <v>5</v>
      </c>
      <c r="L874" t="s">
        <v>13532</v>
      </c>
      <c r="M874" t="s">
        <v>13493</v>
      </c>
      <c r="N874" t="str">
        <f>_xlfn.XLOOKUP(C:C,'Resource Table'!A:A,'Resource Table'!B:B,"NOT FOUND",0,1)</f>
        <v>Dedicated</v>
      </c>
      <c r="O874" t="str">
        <f>_xlfn.XLOOKUP(N:N,'Resource Table'!B:B,'Resource Table'!C:C,"n/a",0,1)</f>
        <v>AFS Dedicated Tech</v>
      </c>
      <c r="P874" t="str">
        <f>_xlfn.XLOOKUP(N:N,'Resource Table'!B:B,'Resource Table'!D:D,"n/a",0,1)</f>
        <v>Dedicated</v>
      </c>
    </row>
    <row r="875" spans="1:16" x14ac:dyDescent="0.45">
      <c r="A875" t="s">
        <v>5403</v>
      </c>
      <c r="B875" t="s">
        <v>5416</v>
      </c>
      <c r="C875" t="s">
        <v>5441</v>
      </c>
      <c r="D875" t="s">
        <v>5787</v>
      </c>
      <c r="E875" t="s">
        <v>6451</v>
      </c>
      <c r="F875" t="s">
        <v>13473</v>
      </c>
      <c r="G875" t="s">
        <v>13474</v>
      </c>
      <c r="H875" t="s">
        <v>13521</v>
      </c>
      <c r="I875" t="s">
        <v>6479</v>
      </c>
      <c r="J875" t="s">
        <v>13463</v>
      </c>
      <c r="K875">
        <v>1</v>
      </c>
      <c r="L875" t="s">
        <v>13512</v>
      </c>
      <c r="M875" t="s">
        <v>20</v>
      </c>
      <c r="N875" t="str">
        <f>_xlfn.XLOOKUP(C:C,'Resource Table'!A:A,'Resource Table'!B:B,"NOT FOUND",0,1)</f>
        <v>Dedicated</v>
      </c>
      <c r="O875" t="str">
        <f>_xlfn.XLOOKUP(N:N,'Resource Table'!B:B,'Resource Table'!C:C,"n/a",0,1)</f>
        <v>AFS Dedicated Tech</v>
      </c>
      <c r="P875" t="str">
        <f>_xlfn.XLOOKUP(N:N,'Resource Table'!B:B,'Resource Table'!D:D,"n/a",0,1)</f>
        <v>Dedicated</v>
      </c>
    </row>
    <row r="876" spans="1:16" x14ac:dyDescent="0.45">
      <c r="A876" t="s">
        <v>5403</v>
      </c>
      <c r="B876" t="s">
        <v>5416</v>
      </c>
      <c r="C876" t="s">
        <v>5441</v>
      </c>
      <c r="D876" t="s">
        <v>5518</v>
      </c>
      <c r="E876" t="s">
        <v>6451</v>
      </c>
      <c r="F876" t="s">
        <v>13473</v>
      </c>
      <c r="G876" t="s">
        <v>13474</v>
      </c>
      <c r="H876" t="s">
        <v>13475</v>
      </c>
      <c r="I876" t="s">
        <v>6479</v>
      </c>
      <c r="J876" t="s">
        <v>13463</v>
      </c>
      <c r="K876">
        <v>1</v>
      </c>
      <c r="L876" t="s">
        <v>13497</v>
      </c>
      <c r="M876" t="s">
        <v>13489</v>
      </c>
      <c r="N876" t="str">
        <f>_xlfn.XLOOKUP(C:C,'Resource Table'!A:A,'Resource Table'!B:B,"NOT FOUND",0,1)</f>
        <v>Dedicated</v>
      </c>
      <c r="O876" t="str">
        <f>_xlfn.XLOOKUP(N:N,'Resource Table'!B:B,'Resource Table'!C:C,"n/a",0,1)</f>
        <v>AFS Dedicated Tech</v>
      </c>
      <c r="P876" t="str">
        <f>_xlfn.XLOOKUP(N:N,'Resource Table'!B:B,'Resource Table'!D:D,"n/a",0,1)</f>
        <v>Dedicated</v>
      </c>
    </row>
    <row r="877" spans="1:16" x14ac:dyDescent="0.45">
      <c r="A877" t="s">
        <v>5403</v>
      </c>
      <c r="B877" t="s">
        <v>5404</v>
      </c>
      <c r="C877" t="s">
        <v>5456</v>
      </c>
      <c r="D877" t="s">
        <v>6213</v>
      </c>
      <c r="E877" t="s">
        <v>6451</v>
      </c>
      <c r="F877" t="s">
        <v>13460</v>
      </c>
      <c r="G877" t="s">
        <v>13476</v>
      </c>
      <c r="H877" t="s">
        <v>13531</v>
      </c>
      <c r="I877" t="s">
        <v>6479</v>
      </c>
      <c r="J877" t="s">
        <v>13463</v>
      </c>
      <c r="K877">
        <v>3</v>
      </c>
      <c r="L877" t="s">
        <v>13552</v>
      </c>
      <c r="M877" t="s">
        <v>13468</v>
      </c>
      <c r="N877" t="str">
        <f>_xlfn.XLOOKUP(C:C,'Resource Table'!A:A,'Resource Table'!B:B,"NOT FOUND",0,1)</f>
        <v>Dedicated</v>
      </c>
      <c r="O877" t="str">
        <f>_xlfn.XLOOKUP(N:N,'Resource Table'!B:B,'Resource Table'!C:C,"n/a",0,1)</f>
        <v>AFS Dedicated Tech</v>
      </c>
      <c r="P877" t="str">
        <f>_xlfn.XLOOKUP(N:N,'Resource Table'!B:B,'Resource Table'!D:D,"n/a",0,1)</f>
        <v>Dedicated</v>
      </c>
    </row>
    <row r="878" spans="1:16" x14ac:dyDescent="0.45">
      <c r="A878" t="s">
        <v>5403</v>
      </c>
      <c r="B878" t="s">
        <v>5404</v>
      </c>
      <c r="C878" t="s">
        <v>5456</v>
      </c>
      <c r="D878" t="s">
        <v>5457</v>
      </c>
      <c r="E878" t="s">
        <v>6451</v>
      </c>
      <c r="F878" t="s">
        <v>13473</v>
      </c>
      <c r="G878" t="s">
        <v>13474</v>
      </c>
      <c r="H878" t="s">
        <v>13492</v>
      </c>
      <c r="I878" t="s">
        <v>29</v>
      </c>
      <c r="J878" t="s">
        <v>13463</v>
      </c>
      <c r="K878">
        <v>3</v>
      </c>
      <c r="L878" t="s">
        <v>13519</v>
      </c>
      <c r="M878" t="s">
        <v>13493</v>
      </c>
      <c r="N878" t="str">
        <f>_xlfn.XLOOKUP(C:C,'Resource Table'!A:A,'Resource Table'!B:B,"NOT FOUND",0,1)</f>
        <v>Dedicated</v>
      </c>
      <c r="O878" t="str">
        <f>_xlfn.XLOOKUP(N:N,'Resource Table'!B:B,'Resource Table'!C:C,"n/a",0,1)</f>
        <v>AFS Dedicated Tech</v>
      </c>
      <c r="P878" t="str">
        <f>_xlfn.XLOOKUP(N:N,'Resource Table'!B:B,'Resource Table'!D:D,"n/a",0,1)</f>
        <v>Dedicated</v>
      </c>
    </row>
    <row r="879" spans="1:16" x14ac:dyDescent="0.45">
      <c r="A879" t="s">
        <v>5403</v>
      </c>
      <c r="B879" t="s">
        <v>5404</v>
      </c>
      <c r="C879" t="s">
        <v>5456</v>
      </c>
      <c r="D879" t="s">
        <v>5586</v>
      </c>
      <c r="E879" t="s">
        <v>6451</v>
      </c>
      <c r="F879" t="s">
        <v>13460</v>
      </c>
      <c r="G879" t="s">
        <v>13476</v>
      </c>
      <c r="H879" t="s">
        <v>13477</v>
      </c>
      <c r="I879" t="s">
        <v>6479</v>
      </c>
      <c r="J879" t="s">
        <v>13463</v>
      </c>
      <c r="K879">
        <v>1</v>
      </c>
      <c r="L879" t="s">
        <v>13552</v>
      </c>
      <c r="M879" t="s">
        <v>13505</v>
      </c>
      <c r="N879" t="str">
        <f>_xlfn.XLOOKUP(C:C,'Resource Table'!A:A,'Resource Table'!B:B,"NOT FOUND",0,1)</f>
        <v>Dedicated</v>
      </c>
      <c r="O879" t="str">
        <f>_xlfn.XLOOKUP(N:N,'Resource Table'!B:B,'Resource Table'!C:C,"n/a",0,1)</f>
        <v>AFS Dedicated Tech</v>
      </c>
      <c r="P879" t="str">
        <f>_xlfn.XLOOKUP(N:N,'Resource Table'!B:B,'Resource Table'!D:D,"n/a",0,1)</f>
        <v>Dedicated</v>
      </c>
    </row>
    <row r="880" spans="1:16" x14ac:dyDescent="0.45">
      <c r="A880" t="s">
        <v>5403</v>
      </c>
      <c r="B880" t="s">
        <v>5404</v>
      </c>
      <c r="C880" t="s">
        <v>5456</v>
      </c>
      <c r="D880" t="s">
        <v>6116</v>
      </c>
      <c r="E880" t="s">
        <v>6461</v>
      </c>
      <c r="F880" t="s">
        <v>13460</v>
      </c>
      <c r="G880" t="s">
        <v>13538</v>
      </c>
      <c r="H880" t="s">
        <v>13547</v>
      </c>
      <c r="I880" t="s">
        <v>6479</v>
      </c>
      <c r="J880" t="s">
        <v>13463</v>
      </c>
      <c r="K880">
        <v>1</v>
      </c>
      <c r="L880" t="s">
        <v>13470</v>
      </c>
      <c r="M880" t="s">
        <v>13503</v>
      </c>
      <c r="N880" t="str">
        <f>_xlfn.XLOOKUP(C:C,'Resource Table'!A:A,'Resource Table'!B:B,"NOT FOUND",0,1)</f>
        <v>Dedicated</v>
      </c>
      <c r="O880" t="str">
        <f>_xlfn.XLOOKUP(N:N,'Resource Table'!B:B,'Resource Table'!C:C,"n/a",0,1)</f>
        <v>AFS Dedicated Tech</v>
      </c>
      <c r="P880" t="str">
        <f>_xlfn.XLOOKUP(N:N,'Resource Table'!B:B,'Resource Table'!D:D,"n/a",0,1)</f>
        <v>Dedicated</v>
      </c>
    </row>
    <row r="881" spans="1:16" x14ac:dyDescent="0.45">
      <c r="A881" t="s">
        <v>5403</v>
      </c>
      <c r="B881" t="s">
        <v>5404</v>
      </c>
      <c r="C881" t="s">
        <v>5456</v>
      </c>
      <c r="D881" t="s">
        <v>6423</v>
      </c>
      <c r="E881" t="s">
        <v>6451</v>
      </c>
      <c r="F881" t="s">
        <v>13514</v>
      </c>
      <c r="G881" t="s">
        <v>13557</v>
      </c>
      <c r="H881" t="s">
        <v>13565</v>
      </c>
      <c r="I881" t="s">
        <v>6479</v>
      </c>
      <c r="J881" t="s">
        <v>13463</v>
      </c>
      <c r="K881">
        <v>0</v>
      </c>
      <c r="L881" t="s">
        <v>20</v>
      </c>
      <c r="M881" t="s">
        <v>20</v>
      </c>
      <c r="N881" t="str">
        <f>_xlfn.XLOOKUP(C:C,'Resource Table'!A:A,'Resource Table'!B:B,"NOT FOUND",0,1)</f>
        <v>Dedicated</v>
      </c>
      <c r="O881" t="str">
        <f>_xlfn.XLOOKUP(N:N,'Resource Table'!B:B,'Resource Table'!C:C,"n/a",0,1)</f>
        <v>AFS Dedicated Tech</v>
      </c>
      <c r="P881" t="str">
        <f>_xlfn.XLOOKUP(N:N,'Resource Table'!B:B,'Resource Table'!D:D,"n/a",0,1)</f>
        <v>Dedicated</v>
      </c>
    </row>
    <row r="882" spans="1:16" x14ac:dyDescent="0.45">
      <c r="A882" t="s">
        <v>5403</v>
      </c>
      <c r="B882" t="s">
        <v>5404</v>
      </c>
      <c r="C882" t="s">
        <v>5456</v>
      </c>
      <c r="D882" t="s">
        <v>5995</v>
      </c>
      <c r="E882" t="s">
        <v>6461</v>
      </c>
      <c r="F882" t="s">
        <v>13460</v>
      </c>
      <c r="G882" t="s">
        <v>13481</v>
      </c>
      <c r="H882" t="s">
        <v>13482</v>
      </c>
      <c r="I882" t="s">
        <v>6479</v>
      </c>
      <c r="J882" t="s">
        <v>13486</v>
      </c>
      <c r="K882">
        <v>1</v>
      </c>
      <c r="L882" t="s">
        <v>13503</v>
      </c>
      <c r="M882" t="s">
        <v>13505</v>
      </c>
      <c r="N882" t="str">
        <f>_xlfn.XLOOKUP(C:C,'Resource Table'!A:A,'Resource Table'!B:B,"NOT FOUND",0,1)</f>
        <v>Dedicated</v>
      </c>
      <c r="O882" t="str">
        <f>_xlfn.XLOOKUP(N:N,'Resource Table'!B:B,'Resource Table'!C:C,"n/a",0,1)</f>
        <v>AFS Dedicated Tech</v>
      </c>
      <c r="P882" t="str">
        <f>_xlfn.XLOOKUP(N:N,'Resource Table'!B:B,'Resource Table'!D:D,"n/a",0,1)</f>
        <v>Dedicated</v>
      </c>
    </row>
    <row r="883" spans="1:16" x14ac:dyDescent="0.45">
      <c r="A883" t="s">
        <v>5403</v>
      </c>
      <c r="B883" t="s">
        <v>5404</v>
      </c>
      <c r="C883" t="s">
        <v>5456</v>
      </c>
      <c r="D883" t="s">
        <v>5635</v>
      </c>
      <c r="E883" t="s">
        <v>6451</v>
      </c>
      <c r="F883" t="s">
        <v>13514</v>
      </c>
      <c r="G883" t="s">
        <v>13557</v>
      </c>
      <c r="H883" t="s">
        <v>13565</v>
      </c>
      <c r="I883" t="s">
        <v>29</v>
      </c>
      <c r="J883" t="s">
        <v>13463</v>
      </c>
      <c r="K883">
        <v>1</v>
      </c>
      <c r="L883" t="s">
        <v>13503</v>
      </c>
      <c r="M883" t="s">
        <v>13537</v>
      </c>
      <c r="N883" t="str">
        <f>_xlfn.XLOOKUP(C:C,'Resource Table'!A:A,'Resource Table'!B:B,"NOT FOUND",0,1)</f>
        <v>Dedicated</v>
      </c>
      <c r="O883" t="str">
        <f>_xlfn.XLOOKUP(N:N,'Resource Table'!B:B,'Resource Table'!C:C,"n/a",0,1)</f>
        <v>AFS Dedicated Tech</v>
      </c>
      <c r="P883" t="str">
        <f>_xlfn.XLOOKUP(N:N,'Resource Table'!B:B,'Resource Table'!D:D,"n/a",0,1)</f>
        <v>Dedicated</v>
      </c>
    </row>
    <row r="884" spans="1:16" x14ac:dyDescent="0.45">
      <c r="A884" t="s">
        <v>5403</v>
      </c>
      <c r="B884" t="s">
        <v>5404</v>
      </c>
      <c r="C884" t="s">
        <v>5456</v>
      </c>
      <c r="D884" t="s">
        <v>6383</v>
      </c>
      <c r="E884" t="s">
        <v>6461</v>
      </c>
      <c r="F884" t="s">
        <v>13460</v>
      </c>
      <c r="G884" t="s">
        <v>13461</v>
      </c>
      <c r="H884" t="s">
        <v>13471</v>
      </c>
      <c r="I884" t="s">
        <v>6479</v>
      </c>
      <c r="J884" t="s">
        <v>13463</v>
      </c>
      <c r="K884">
        <v>3</v>
      </c>
      <c r="L884" t="s">
        <v>13468</v>
      </c>
      <c r="M884" t="s">
        <v>13508</v>
      </c>
      <c r="N884" t="str">
        <f>_xlfn.XLOOKUP(C:C,'Resource Table'!A:A,'Resource Table'!B:B,"NOT FOUND",0,1)</f>
        <v>Dedicated</v>
      </c>
      <c r="O884" t="str">
        <f>_xlfn.XLOOKUP(N:N,'Resource Table'!B:B,'Resource Table'!C:C,"n/a",0,1)</f>
        <v>AFS Dedicated Tech</v>
      </c>
      <c r="P884" t="str">
        <f>_xlfn.XLOOKUP(N:N,'Resource Table'!B:B,'Resource Table'!D:D,"n/a",0,1)</f>
        <v>Dedicated</v>
      </c>
    </row>
    <row r="885" spans="1:16" x14ac:dyDescent="0.45">
      <c r="A885" t="s">
        <v>5403</v>
      </c>
      <c r="B885" t="s">
        <v>5404</v>
      </c>
      <c r="C885" t="s">
        <v>5456</v>
      </c>
      <c r="D885" t="s">
        <v>6115</v>
      </c>
      <c r="E885" t="s">
        <v>6461</v>
      </c>
      <c r="F885" t="s">
        <v>13460</v>
      </c>
      <c r="G885" t="s">
        <v>13538</v>
      </c>
      <c r="H885" t="s">
        <v>13547</v>
      </c>
      <c r="I885" t="s">
        <v>6479</v>
      </c>
      <c r="J885" t="s">
        <v>13463</v>
      </c>
      <c r="K885">
        <v>2</v>
      </c>
      <c r="L885" t="s">
        <v>13524</v>
      </c>
      <c r="M885" t="s">
        <v>13537</v>
      </c>
      <c r="N885" t="str">
        <f>_xlfn.XLOOKUP(C:C,'Resource Table'!A:A,'Resource Table'!B:B,"NOT FOUND",0,1)</f>
        <v>Dedicated</v>
      </c>
      <c r="O885" t="str">
        <f>_xlfn.XLOOKUP(N:N,'Resource Table'!B:B,'Resource Table'!C:C,"n/a",0,1)</f>
        <v>AFS Dedicated Tech</v>
      </c>
      <c r="P885" t="str">
        <f>_xlfn.XLOOKUP(N:N,'Resource Table'!B:B,'Resource Table'!D:D,"n/a",0,1)</f>
        <v>Dedicated</v>
      </c>
    </row>
    <row r="886" spans="1:16" x14ac:dyDescent="0.45">
      <c r="A886" t="s">
        <v>5403</v>
      </c>
      <c r="B886" t="s">
        <v>5404</v>
      </c>
      <c r="C886" t="s">
        <v>5456</v>
      </c>
      <c r="D886" t="s">
        <v>5661</v>
      </c>
      <c r="E886" t="s">
        <v>6451</v>
      </c>
      <c r="F886" t="s">
        <v>13460</v>
      </c>
      <c r="G886" t="s">
        <v>13476</v>
      </c>
      <c r="H886" t="s">
        <v>13478</v>
      </c>
      <c r="I886" t="s">
        <v>6479</v>
      </c>
      <c r="J886" t="s">
        <v>13463</v>
      </c>
      <c r="K886">
        <v>3</v>
      </c>
      <c r="L886" t="s">
        <v>13464</v>
      </c>
      <c r="M886" t="s">
        <v>13505</v>
      </c>
      <c r="N886" t="str">
        <f>_xlfn.XLOOKUP(C:C,'Resource Table'!A:A,'Resource Table'!B:B,"NOT FOUND",0,1)</f>
        <v>Dedicated</v>
      </c>
      <c r="O886" t="str">
        <f>_xlfn.XLOOKUP(N:N,'Resource Table'!B:B,'Resource Table'!C:C,"n/a",0,1)</f>
        <v>AFS Dedicated Tech</v>
      </c>
      <c r="P886" t="str">
        <f>_xlfn.XLOOKUP(N:N,'Resource Table'!B:B,'Resource Table'!D:D,"n/a",0,1)</f>
        <v>Dedicated</v>
      </c>
    </row>
    <row r="887" spans="1:16" x14ac:dyDescent="0.45">
      <c r="A887" t="s">
        <v>5403</v>
      </c>
      <c r="B887" t="s">
        <v>5404</v>
      </c>
      <c r="C887" t="s">
        <v>5456</v>
      </c>
      <c r="D887" t="s">
        <v>5918</v>
      </c>
      <c r="E887" t="s">
        <v>6451</v>
      </c>
      <c r="F887" t="s">
        <v>13460</v>
      </c>
      <c r="G887" t="s">
        <v>13481</v>
      </c>
      <c r="H887" t="s">
        <v>13490</v>
      </c>
      <c r="I887" t="s">
        <v>6479</v>
      </c>
      <c r="J887" t="s">
        <v>13463</v>
      </c>
      <c r="K887">
        <v>1</v>
      </c>
      <c r="L887" t="s">
        <v>13493</v>
      </c>
      <c r="M887" t="s">
        <v>13513</v>
      </c>
      <c r="N887" t="str">
        <f>_xlfn.XLOOKUP(C:C,'Resource Table'!A:A,'Resource Table'!B:B,"NOT FOUND",0,1)</f>
        <v>Dedicated</v>
      </c>
      <c r="O887" t="str">
        <f>_xlfn.XLOOKUP(N:N,'Resource Table'!B:B,'Resource Table'!C:C,"n/a",0,1)</f>
        <v>AFS Dedicated Tech</v>
      </c>
      <c r="P887" t="str">
        <f>_xlfn.XLOOKUP(N:N,'Resource Table'!B:B,'Resource Table'!D:D,"n/a",0,1)</f>
        <v>Dedicated</v>
      </c>
    </row>
    <row r="888" spans="1:16" x14ac:dyDescent="0.45">
      <c r="A888" t="s">
        <v>5403</v>
      </c>
      <c r="B888" t="s">
        <v>5404</v>
      </c>
      <c r="C888" t="s">
        <v>5456</v>
      </c>
      <c r="D888" t="s">
        <v>5576</v>
      </c>
      <c r="E888" t="s">
        <v>6451</v>
      </c>
      <c r="F888" t="s">
        <v>13460</v>
      </c>
      <c r="G888" t="s">
        <v>13476</v>
      </c>
      <c r="H888" t="s">
        <v>13531</v>
      </c>
      <c r="I888" t="s">
        <v>29</v>
      </c>
      <c r="J888" t="s">
        <v>13463</v>
      </c>
      <c r="K888">
        <v>3</v>
      </c>
      <c r="L888" t="s">
        <v>13472</v>
      </c>
      <c r="M888" t="s">
        <v>13513</v>
      </c>
      <c r="N888" t="str">
        <f>_xlfn.XLOOKUP(C:C,'Resource Table'!A:A,'Resource Table'!B:B,"NOT FOUND",0,1)</f>
        <v>Dedicated</v>
      </c>
      <c r="O888" t="str">
        <f>_xlfn.XLOOKUP(N:N,'Resource Table'!B:B,'Resource Table'!C:C,"n/a",0,1)</f>
        <v>AFS Dedicated Tech</v>
      </c>
      <c r="P888" t="str">
        <f>_xlfn.XLOOKUP(N:N,'Resource Table'!B:B,'Resource Table'!D:D,"n/a",0,1)</f>
        <v>Dedicated</v>
      </c>
    </row>
    <row r="889" spans="1:16" x14ac:dyDescent="0.45">
      <c r="A889" t="s">
        <v>5403</v>
      </c>
      <c r="B889" t="s">
        <v>5404</v>
      </c>
      <c r="C889" t="s">
        <v>5456</v>
      </c>
      <c r="D889" t="s">
        <v>5555</v>
      </c>
      <c r="E889" t="s">
        <v>6461</v>
      </c>
      <c r="F889" t="s">
        <v>13460</v>
      </c>
      <c r="G889" t="s">
        <v>13481</v>
      </c>
      <c r="H889" t="s">
        <v>13482</v>
      </c>
      <c r="I889" t="s">
        <v>6479</v>
      </c>
      <c r="J889" t="s">
        <v>13463</v>
      </c>
      <c r="K889">
        <v>0</v>
      </c>
      <c r="L889" t="s">
        <v>20</v>
      </c>
      <c r="M889" t="s">
        <v>20</v>
      </c>
      <c r="N889" t="str">
        <f>_xlfn.XLOOKUP(C:C,'Resource Table'!A:A,'Resource Table'!B:B,"NOT FOUND",0,1)</f>
        <v>Dedicated</v>
      </c>
      <c r="O889" t="str">
        <f>_xlfn.XLOOKUP(N:N,'Resource Table'!B:B,'Resource Table'!C:C,"n/a",0,1)</f>
        <v>AFS Dedicated Tech</v>
      </c>
      <c r="P889" t="str">
        <f>_xlfn.XLOOKUP(N:N,'Resource Table'!B:B,'Resource Table'!D:D,"n/a",0,1)</f>
        <v>Dedicated</v>
      </c>
    </row>
    <row r="890" spans="1:16" x14ac:dyDescent="0.45">
      <c r="A890" t="s">
        <v>5403</v>
      </c>
      <c r="B890" t="s">
        <v>5404</v>
      </c>
      <c r="C890" t="s">
        <v>5456</v>
      </c>
      <c r="D890" t="s">
        <v>5952</v>
      </c>
      <c r="E890" t="s">
        <v>6461</v>
      </c>
      <c r="F890" t="s">
        <v>13460</v>
      </c>
      <c r="G890" t="s">
        <v>13481</v>
      </c>
      <c r="H890" t="s">
        <v>13482</v>
      </c>
      <c r="I890" t="s">
        <v>29</v>
      </c>
      <c r="J890" t="s">
        <v>13463</v>
      </c>
      <c r="K890">
        <v>2</v>
      </c>
      <c r="L890" t="s">
        <v>13536</v>
      </c>
      <c r="M890" t="s">
        <v>13484</v>
      </c>
      <c r="N890" t="str">
        <f>_xlfn.XLOOKUP(C:C,'Resource Table'!A:A,'Resource Table'!B:B,"NOT FOUND",0,1)</f>
        <v>Dedicated</v>
      </c>
      <c r="O890" t="str">
        <f>_xlfn.XLOOKUP(N:N,'Resource Table'!B:B,'Resource Table'!C:C,"n/a",0,1)</f>
        <v>AFS Dedicated Tech</v>
      </c>
      <c r="P890" t="str">
        <f>_xlfn.XLOOKUP(N:N,'Resource Table'!B:B,'Resource Table'!D:D,"n/a",0,1)</f>
        <v>Dedicated</v>
      </c>
    </row>
    <row r="891" spans="1:16" x14ac:dyDescent="0.45">
      <c r="A891" t="s">
        <v>5403</v>
      </c>
      <c r="B891" t="s">
        <v>5404</v>
      </c>
      <c r="C891" t="s">
        <v>5456</v>
      </c>
      <c r="D891" t="s">
        <v>6263</v>
      </c>
      <c r="E891" t="s">
        <v>6451</v>
      </c>
      <c r="F891" t="s">
        <v>13460</v>
      </c>
      <c r="G891" t="s">
        <v>13476</v>
      </c>
      <c r="H891" t="s">
        <v>13477</v>
      </c>
      <c r="I891" t="s">
        <v>6479</v>
      </c>
      <c r="J891" t="s">
        <v>13463</v>
      </c>
      <c r="K891">
        <v>1</v>
      </c>
      <c r="L891" t="s">
        <v>13523</v>
      </c>
      <c r="M891" t="s">
        <v>13468</v>
      </c>
      <c r="N891" t="str">
        <f>_xlfn.XLOOKUP(C:C,'Resource Table'!A:A,'Resource Table'!B:B,"NOT FOUND",0,1)</f>
        <v>Dedicated</v>
      </c>
      <c r="O891" t="str">
        <f>_xlfn.XLOOKUP(N:N,'Resource Table'!B:B,'Resource Table'!C:C,"n/a",0,1)</f>
        <v>AFS Dedicated Tech</v>
      </c>
      <c r="P891" t="str">
        <f>_xlfn.XLOOKUP(N:N,'Resource Table'!B:B,'Resource Table'!D:D,"n/a",0,1)</f>
        <v>Dedicated</v>
      </c>
    </row>
    <row r="892" spans="1:16" x14ac:dyDescent="0.45">
      <c r="A892" t="s">
        <v>5403</v>
      </c>
      <c r="B892" t="s">
        <v>5404</v>
      </c>
      <c r="C892" t="s">
        <v>5456</v>
      </c>
      <c r="D892" t="s">
        <v>6267</v>
      </c>
      <c r="E892" t="s">
        <v>6451</v>
      </c>
      <c r="F892" t="s">
        <v>13460</v>
      </c>
      <c r="G892" t="s">
        <v>13461</v>
      </c>
      <c r="H892" t="s">
        <v>13465</v>
      </c>
      <c r="I892" t="s">
        <v>6479</v>
      </c>
      <c r="J892" t="s">
        <v>13463</v>
      </c>
      <c r="K892">
        <v>0</v>
      </c>
      <c r="L892" t="s">
        <v>20</v>
      </c>
      <c r="M892" t="s">
        <v>20</v>
      </c>
      <c r="N892" t="str">
        <f>_xlfn.XLOOKUP(C:C,'Resource Table'!A:A,'Resource Table'!B:B,"NOT FOUND",0,1)</f>
        <v>Dedicated</v>
      </c>
      <c r="O892" t="str">
        <f>_xlfn.XLOOKUP(N:N,'Resource Table'!B:B,'Resource Table'!C:C,"n/a",0,1)</f>
        <v>AFS Dedicated Tech</v>
      </c>
      <c r="P892" t="str">
        <f>_xlfn.XLOOKUP(N:N,'Resource Table'!B:B,'Resource Table'!D:D,"n/a",0,1)</f>
        <v>Dedicated</v>
      </c>
    </row>
    <row r="893" spans="1:16" x14ac:dyDescent="0.45">
      <c r="A893" t="s">
        <v>5403</v>
      </c>
      <c r="B893" t="s">
        <v>5404</v>
      </c>
      <c r="C893" t="s">
        <v>5456</v>
      </c>
      <c r="D893" t="s">
        <v>5633</v>
      </c>
      <c r="E893" t="s">
        <v>6451</v>
      </c>
      <c r="F893" t="s">
        <v>13514</v>
      </c>
      <c r="G893" t="s">
        <v>13557</v>
      </c>
      <c r="H893" t="s">
        <v>13565</v>
      </c>
      <c r="I893" t="s">
        <v>6479</v>
      </c>
      <c r="J893" t="s">
        <v>13463</v>
      </c>
      <c r="K893">
        <v>0</v>
      </c>
      <c r="L893" t="s">
        <v>20</v>
      </c>
      <c r="M893" t="s">
        <v>20</v>
      </c>
      <c r="N893" t="str">
        <f>_xlfn.XLOOKUP(C:C,'Resource Table'!A:A,'Resource Table'!B:B,"NOT FOUND",0,1)</f>
        <v>Dedicated</v>
      </c>
      <c r="O893" t="str">
        <f>_xlfn.XLOOKUP(N:N,'Resource Table'!B:B,'Resource Table'!C:C,"n/a",0,1)</f>
        <v>AFS Dedicated Tech</v>
      </c>
      <c r="P893" t="str">
        <f>_xlfn.XLOOKUP(N:N,'Resource Table'!B:B,'Resource Table'!D:D,"n/a",0,1)</f>
        <v>Dedicated</v>
      </c>
    </row>
    <row r="894" spans="1:16" x14ac:dyDescent="0.45">
      <c r="A894" t="s">
        <v>5403</v>
      </c>
      <c r="B894" t="s">
        <v>5416</v>
      </c>
      <c r="C894" t="s">
        <v>5627</v>
      </c>
      <c r="D894" t="s">
        <v>5262</v>
      </c>
      <c r="E894" t="s">
        <v>6451</v>
      </c>
      <c r="F894" t="s">
        <v>13473</v>
      </c>
      <c r="G894" t="s">
        <v>13474</v>
      </c>
      <c r="H894" t="s">
        <v>13521</v>
      </c>
      <c r="I894" t="s">
        <v>29</v>
      </c>
      <c r="J894" t="s">
        <v>13463</v>
      </c>
      <c r="K894">
        <v>2</v>
      </c>
      <c r="L894" t="s">
        <v>13542</v>
      </c>
      <c r="M894" t="s">
        <v>13545</v>
      </c>
      <c r="N894" t="str">
        <f>_xlfn.XLOOKUP(C:C,'Resource Table'!A:A,'Resource Table'!B:B,"NOT FOUND",0,1)</f>
        <v>Brittany Williams</v>
      </c>
      <c r="O894" t="str">
        <f>_xlfn.XLOOKUP(N:N,'Resource Table'!B:B,'Resource Table'!C:C,"n/a",0,1)</f>
        <v>bwilliams5@ameritfleet.com</v>
      </c>
      <c r="P894" t="str">
        <f>_xlfn.XLOOKUP(N:N,'Resource Table'!B:B,'Resource Table'!D:D,"n/a",0,1)</f>
        <v>Vended Repair</v>
      </c>
    </row>
    <row r="895" spans="1:16" x14ac:dyDescent="0.45">
      <c r="A895" t="s">
        <v>5403</v>
      </c>
      <c r="B895" t="s">
        <v>5416</v>
      </c>
      <c r="C895" t="s">
        <v>5627</v>
      </c>
      <c r="D895" t="s">
        <v>5644</v>
      </c>
      <c r="E895" t="s">
        <v>6451</v>
      </c>
      <c r="F895" t="s">
        <v>13460</v>
      </c>
      <c r="G895" t="s">
        <v>13476</v>
      </c>
      <c r="H895" t="s">
        <v>13478</v>
      </c>
      <c r="I895" t="s">
        <v>6479</v>
      </c>
      <c r="J895" t="s">
        <v>13463</v>
      </c>
      <c r="K895">
        <v>3</v>
      </c>
      <c r="L895" t="s">
        <v>13544</v>
      </c>
      <c r="M895" t="s">
        <v>13545</v>
      </c>
      <c r="N895" t="str">
        <f>_xlfn.XLOOKUP(C:C,'Resource Table'!A:A,'Resource Table'!B:B,"NOT FOUND",0,1)</f>
        <v>Brittany Williams</v>
      </c>
      <c r="O895" t="str">
        <f>_xlfn.XLOOKUP(N:N,'Resource Table'!B:B,'Resource Table'!C:C,"n/a",0,1)</f>
        <v>bwilliams5@ameritfleet.com</v>
      </c>
      <c r="P895" t="str">
        <f>_xlfn.XLOOKUP(N:N,'Resource Table'!B:B,'Resource Table'!D:D,"n/a",0,1)</f>
        <v>Vended Repair</v>
      </c>
    </row>
    <row r="896" spans="1:16" x14ac:dyDescent="0.45">
      <c r="A896" t="s">
        <v>5403</v>
      </c>
      <c r="B896" t="s">
        <v>5416</v>
      </c>
      <c r="C896" t="s">
        <v>5627</v>
      </c>
      <c r="D896" t="s">
        <v>5866</v>
      </c>
      <c r="E896" t="s">
        <v>6451</v>
      </c>
      <c r="F896" t="s">
        <v>13473</v>
      </c>
      <c r="G896" t="s">
        <v>13474</v>
      </c>
      <c r="H896" t="s">
        <v>13475</v>
      </c>
      <c r="I896" t="s">
        <v>6479</v>
      </c>
      <c r="J896" t="s">
        <v>13463</v>
      </c>
      <c r="K896">
        <v>1</v>
      </c>
      <c r="L896" t="s">
        <v>13542</v>
      </c>
      <c r="M896" t="s">
        <v>13507</v>
      </c>
      <c r="N896" t="str">
        <f>_xlfn.XLOOKUP(C:C,'Resource Table'!A:A,'Resource Table'!B:B,"NOT FOUND",0,1)</f>
        <v>Brittany Williams</v>
      </c>
      <c r="O896" t="str">
        <f>_xlfn.XLOOKUP(N:N,'Resource Table'!B:B,'Resource Table'!C:C,"n/a",0,1)</f>
        <v>bwilliams5@ameritfleet.com</v>
      </c>
      <c r="P896" t="str">
        <f>_xlfn.XLOOKUP(N:N,'Resource Table'!B:B,'Resource Table'!D:D,"n/a",0,1)</f>
        <v>Vended Repair</v>
      </c>
    </row>
    <row r="897" spans="1:16" x14ac:dyDescent="0.45">
      <c r="A897" t="s">
        <v>5403</v>
      </c>
      <c r="B897" t="s">
        <v>5416</v>
      </c>
      <c r="C897" t="s">
        <v>5627</v>
      </c>
      <c r="D897" t="s">
        <v>2146</v>
      </c>
      <c r="E897" t="s">
        <v>6451</v>
      </c>
      <c r="F897" t="s">
        <v>13473</v>
      </c>
      <c r="G897" t="s">
        <v>13474</v>
      </c>
      <c r="H897" t="s">
        <v>13492</v>
      </c>
      <c r="I897" t="s">
        <v>29</v>
      </c>
      <c r="J897" t="s">
        <v>13463</v>
      </c>
      <c r="K897">
        <v>1</v>
      </c>
      <c r="L897" t="s">
        <v>13542</v>
      </c>
      <c r="M897" t="s">
        <v>13507</v>
      </c>
      <c r="N897" t="str">
        <f>_xlfn.XLOOKUP(C:C,'Resource Table'!A:A,'Resource Table'!B:B,"NOT FOUND",0,1)</f>
        <v>Brittany Williams</v>
      </c>
      <c r="O897" t="str">
        <f>_xlfn.XLOOKUP(N:N,'Resource Table'!B:B,'Resource Table'!C:C,"n/a",0,1)</f>
        <v>bwilliams5@ameritfleet.com</v>
      </c>
      <c r="P897" t="str">
        <f>_xlfn.XLOOKUP(N:N,'Resource Table'!B:B,'Resource Table'!D:D,"n/a",0,1)</f>
        <v>Vended Repair</v>
      </c>
    </row>
    <row r="898" spans="1:16" x14ac:dyDescent="0.45">
      <c r="A898" t="s">
        <v>5403</v>
      </c>
      <c r="B898" t="s">
        <v>5416</v>
      </c>
      <c r="C898" t="s">
        <v>5627</v>
      </c>
      <c r="D898" t="s">
        <v>5628</v>
      </c>
      <c r="E898" t="s">
        <v>6461</v>
      </c>
      <c r="F898" t="s">
        <v>13460</v>
      </c>
      <c r="G898" t="s">
        <v>13461</v>
      </c>
      <c r="H898" t="s">
        <v>13471</v>
      </c>
      <c r="I898" t="s">
        <v>29</v>
      </c>
      <c r="J898" t="s">
        <v>13463</v>
      </c>
      <c r="K898">
        <v>2</v>
      </c>
      <c r="L898" t="s">
        <v>13479</v>
      </c>
      <c r="M898" t="s">
        <v>13545</v>
      </c>
      <c r="N898" t="str">
        <f>_xlfn.XLOOKUP(C:C,'Resource Table'!A:A,'Resource Table'!B:B,"NOT FOUND",0,1)</f>
        <v>Brittany Williams</v>
      </c>
      <c r="O898" t="str">
        <f>_xlfn.XLOOKUP(N:N,'Resource Table'!B:B,'Resource Table'!C:C,"n/a",0,1)</f>
        <v>bwilliams5@ameritfleet.com</v>
      </c>
      <c r="P898" t="str">
        <f>_xlfn.XLOOKUP(N:N,'Resource Table'!B:B,'Resource Table'!D:D,"n/a",0,1)</f>
        <v>Vended Repair</v>
      </c>
    </row>
    <row r="899" spans="1:16" x14ac:dyDescent="0.45">
      <c r="A899" t="s">
        <v>5403</v>
      </c>
      <c r="B899" t="s">
        <v>5416</v>
      </c>
      <c r="C899" t="s">
        <v>5627</v>
      </c>
      <c r="D899" t="s">
        <v>6015</v>
      </c>
      <c r="E899" t="s">
        <v>6461</v>
      </c>
      <c r="F899" t="s">
        <v>13460</v>
      </c>
      <c r="G899" t="s">
        <v>13538</v>
      </c>
      <c r="H899" t="s">
        <v>13539</v>
      </c>
      <c r="I899" t="s">
        <v>6479</v>
      </c>
      <c r="J899" t="s">
        <v>13463</v>
      </c>
      <c r="K899">
        <v>3</v>
      </c>
      <c r="L899" t="s">
        <v>13542</v>
      </c>
      <c r="M899" t="s">
        <v>13545</v>
      </c>
      <c r="N899" t="str">
        <f>_xlfn.XLOOKUP(C:C,'Resource Table'!A:A,'Resource Table'!B:B,"NOT FOUND",0,1)</f>
        <v>Brittany Williams</v>
      </c>
      <c r="O899" t="str">
        <f>_xlfn.XLOOKUP(N:N,'Resource Table'!B:B,'Resource Table'!C:C,"n/a",0,1)</f>
        <v>bwilliams5@ameritfleet.com</v>
      </c>
      <c r="P899" t="str">
        <f>_xlfn.XLOOKUP(N:N,'Resource Table'!B:B,'Resource Table'!D:D,"n/a",0,1)</f>
        <v>Vended Repair</v>
      </c>
    </row>
    <row r="900" spans="1:16" x14ac:dyDescent="0.45">
      <c r="A900" t="s">
        <v>5403</v>
      </c>
      <c r="B900" t="s">
        <v>5416</v>
      </c>
      <c r="C900" t="s">
        <v>5627</v>
      </c>
      <c r="D900" t="s">
        <v>6052</v>
      </c>
      <c r="E900" t="s">
        <v>6461</v>
      </c>
      <c r="F900" t="s">
        <v>13460</v>
      </c>
      <c r="G900" t="s">
        <v>13481</v>
      </c>
      <c r="H900" t="s">
        <v>13522</v>
      </c>
      <c r="I900" t="s">
        <v>29</v>
      </c>
      <c r="J900" t="s">
        <v>13463</v>
      </c>
      <c r="K900">
        <v>4</v>
      </c>
      <c r="L900" t="s">
        <v>13544</v>
      </c>
      <c r="M900" t="s">
        <v>13581</v>
      </c>
      <c r="N900" t="str">
        <f>_xlfn.XLOOKUP(C:C,'Resource Table'!A:A,'Resource Table'!B:B,"NOT FOUND",0,1)</f>
        <v>Brittany Williams</v>
      </c>
      <c r="O900" t="str">
        <f>_xlfn.XLOOKUP(N:N,'Resource Table'!B:B,'Resource Table'!C:C,"n/a",0,1)</f>
        <v>bwilliams5@ameritfleet.com</v>
      </c>
      <c r="P900" t="str">
        <f>_xlfn.XLOOKUP(N:N,'Resource Table'!B:B,'Resource Table'!D:D,"n/a",0,1)</f>
        <v>Vended Repair</v>
      </c>
    </row>
    <row r="901" spans="1:16" x14ac:dyDescent="0.45">
      <c r="A901" t="s">
        <v>5403</v>
      </c>
      <c r="B901" t="s">
        <v>5416</v>
      </c>
      <c r="C901" t="s">
        <v>5627</v>
      </c>
      <c r="D901" t="s">
        <v>1774</v>
      </c>
      <c r="E901" t="s">
        <v>6451</v>
      </c>
      <c r="F901" t="s">
        <v>13473</v>
      </c>
      <c r="G901" t="s">
        <v>13474</v>
      </c>
      <c r="H901" t="s">
        <v>13517</v>
      </c>
      <c r="I901" t="s">
        <v>6479</v>
      </c>
      <c r="J901" t="s">
        <v>13463</v>
      </c>
      <c r="K901">
        <v>2</v>
      </c>
      <c r="L901" t="s">
        <v>13544</v>
      </c>
      <c r="M901" t="s">
        <v>13513</v>
      </c>
      <c r="N901" t="str">
        <f>_xlfn.XLOOKUP(C:C,'Resource Table'!A:A,'Resource Table'!B:B,"NOT FOUND",0,1)</f>
        <v>Brittany Williams</v>
      </c>
      <c r="O901" t="str">
        <f>_xlfn.XLOOKUP(N:N,'Resource Table'!B:B,'Resource Table'!C:C,"n/a",0,1)</f>
        <v>bwilliams5@ameritfleet.com</v>
      </c>
      <c r="P901" t="str">
        <f>_xlfn.XLOOKUP(N:N,'Resource Table'!B:B,'Resource Table'!D:D,"n/a",0,1)</f>
        <v>Vended Repair</v>
      </c>
    </row>
    <row r="902" spans="1:16" x14ac:dyDescent="0.45">
      <c r="A902" t="s">
        <v>5403</v>
      </c>
      <c r="B902" t="s">
        <v>5416</v>
      </c>
      <c r="C902" t="s">
        <v>5627</v>
      </c>
      <c r="D902" t="s">
        <v>2593</v>
      </c>
      <c r="E902" t="s">
        <v>6451</v>
      </c>
      <c r="F902" t="s">
        <v>13473</v>
      </c>
      <c r="G902" t="s">
        <v>13474</v>
      </c>
      <c r="H902" t="s">
        <v>13475</v>
      </c>
      <c r="I902" t="s">
        <v>29</v>
      </c>
      <c r="J902" t="s">
        <v>13463</v>
      </c>
      <c r="K902">
        <v>3</v>
      </c>
      <c r="L902" t="s">
        <v>13529</v>
      </c>
      <c r="M902" t="s">
        <v>13513</v>
      </c>
      <c r="N902" t="str">
        <f>_xlfn.XLOOKUP(C:C,'Resource Table'!A:A,'Resource Table'!B:B,"NOT FOUND",0,1)</f>
        <v>Brittany Williams</v>
      </c>
      <c r="O902" t="str">
        <f>_xlfn.XLOOKUP(N:N,'Resource Table'!B:B,'Resource Table'!C:C,"n/a",0,1)</f>
        <v>bwilliams5@ameritfleet.com</v>
      </c>
      <c r="P902" t="str">
        <f>_xlfn.XLOOKUP(N:N,'Resource Table'!B:B,'Resource Table'!D:D,"n/a",0,1)</f>
        <v>Vended Repair</v>
      </c>
    </row>
    <row r="903" spans="1:16" x14ac:dyDescent="0.45">
      <c r="A903" t="s">
        <v>5403</v>
      </c>
      <c r="B903" t="s">
        <v>5416</v>
      </c>
      <c r="C903" t="s">
        <v>5474</v>
      </c>
      <c r="D903" t="s">
        <v>13088</v>
      </c>
      <c r="E903" t="s">
        <v>6461</v>
      </c>
      <c r="F903" t="s">
        <v>13460</v>
      </c>
      <c r="G903" t="s">
        <v>13461</v>
      </c>
      <c r="H903" t="s">
        <v>13488</v>
      </c>
      <c r="I903" t="s">
        <v>6479</v>
      </c>
      <c r="J903" t="s">
        <v>13463</v>
      </c>
      <c r="K903">
        <v>0</v>
      </c>
      <c r="L903" t="s">
        <v>20</v>
      </c>
      <c r="M903" t="s">
        <v>20</v>
      </c>
      <c r="N903" t="str">
        <f>_xlfn.XLOOKUP(C:C,'Resource Table'!A:A,'Resource Table'!B:B,"NOT FOUND",0,1)</f>
        <v>Dedicated</v>
      </c>
      <c r="O903" t="str">
        <f>_xlfn.XLOOKUP(N:N,'Resource Table'!B:B,'Resource Table'!C:C,"n/a",0,1)</f>
        <v>AFS Dedicated Tech</v>
      </c>
      <c r="P903" t="str">
        <f>_xlfn.XLOOKUP(N:N,'Resource Table'!B:B,'Resource Table'!D:D,"n/a",0,1)</f>
        <v>Dedicated</v>
      </c>
    </row>
    <row r="904" spans="1:16" x14ac:dyDescent="0.45">
      <c r="A904" t="s">
        <v>5403</v>
      </c>
      <c r="B904" t="s">
        <v>5416</v>
      </c>
      <c r="C904" t="s">
        <v>5474</v>
      </c>
      <c r="D904" t="s">
        <v>6122</v>
      </c>
      <c r="E904" t="s">
        <v>6461</v>
      </c>
      <c r="F904" t="s">
        <v>13460</v>
      </c>
      <c r="G904" t="s">
        <v>13538</v>
      </c>
      <c r="H904" t="s">
        <v>13554</v>
      </c>
      <c r="I904" t="s">
        <v>6479</v>
      </c>
      <c r="J904" t="s">
        <v>13463</v>
      </c>
      <c r="K904">
        <v>1</v>
      </c>
      <c r="L904" t="s">
        <v>13524</v>
      </c>
      <c r="M904" t="s">
        <v>20</v>
      </c>
      <c r="N904" t="str">
        <f>_xlfn.XLOOKUP(C:C,'Resource Table'!A:A,'Resource Table'!B:B,"NOT FOUND",0,1)</f>
        <v>Dedicated</v>
      </c>
      <c r="O904" t="str">
        <f>_xlfn.XLOOKUP(N:N,'Resource Table'!B:B,'Resource Table'!C:C,"n/a",0,1)</f>
        <v>AFS Dedicated Tech</v>
      </c>
      <c r="P904" t="str">
        <f>_xlfn.XLOOKUP(N:N,'Resource Table'!B:B,'Resource Table'!D:D,"n/a",0,1)</f>
        <v>Dedicated</v>
      </c>
    </row>
    <row r="905" spans="1:16" x14ac:dyDescent="0.45">
      <c r="A905" t="s">
        <v>5403</v>
      </c>
      <c r="B905" t="s">
        <v>5416</v>
      </c>
      <c r="C905" t="s">
        <v>5474</v>
      </c>
      <c r="D905" t="s">
        <v>13089</v>
      </c>
      <c r="E905" t="s">
        <v>6451</v>
      </c>
      <c r="F905" t="s">
        <v>13473</v>
      </c>
      <c r="G905" t="s">
        <v>13474</v>
      </c>
      <c r="H905" t="s">
        <v>13517</v>
      </c>
      <c r="I905" t="s">
        <v>29</v>
      </c>
      <c r="J905" t="s">
        <v>13463</v>
      </c>
      <c r="K905">
        <v>1</v>
      </c>
      <c r="L905" t="s">
        <v>13466</v>
      </c>
      <c r="M905" t="s">
        <v>20</v>
      </c>
      <c r="N905" t="str">
        <f>_xlfn.XLOOKUP(C:C,'Resource Table'!A:A,'Resource Table'!B:B,"NOT FOUND",0,1)</f>
        <v>Dedicated</v>
      </c>
      <c r="O905" t="str">
        <f>_xlfn.XLOOKUP(N:N,'Resource Table'!B:B,'Resource Table'!C:C,"n/a",0,1)</f>
        <v>AFS Dedicated Tech</v>
      </c>
      <c r="P905" t="str">
        <f>_xlfn.XLOOKUP(N:N,'Resource Table'!B:B,'Resource Table'!D:D,"n/a",0,1)</f>
        <v>Dedicated</v>
      </c>
    </row>
    <row r="906" spans="1:16" x14ac:dyDescent="0.45">
      <c r="A906" t="s">
        <v>5403</v>
      </c>
      <c r="B906" t="s">
        <v>5416</v>
      </c>
      <c r="C906" t="s">
        <v>5474</v>
      </c>
      <c r="D906" t="s">
        <v>6421</v>
      </c>
      <c r="E906" t="s">
        <v>6451</v>
      </c>
      <c r="F906" t="s">
        <v>13514</v>
      </c>
      <c r="G906" t="s">
        <v>13557</v>
      </c>
      <c r="H906" t="s">
        <v>13558</v>
      </c>
      <c r="I906" t="s">
        <v>6479</v>
      </c>
      <c r="J906" t="s">
        <v>13463</v>
      </c>
      <c r="K906">
        <v>0</v>
      </c>
      <c r="L906" t="s">
        <v>20</v>
      </c>
      <c r="M906" t="s">
        <v>20</v>
      </c>
      <c r="N906" t="str">
        <f>_xlfn.XLOOKUP(C:C,'Resource Table'!A:A,'Resource Table'!B:B,"NOT FOUND",0,1)</f>
        <v>Dedicated</v>
      </c>
      <c r="O906" t="str">
        <f>_xlfn.XLOOKUP(N:N,'Resource Table'!B:B,'Resource Table'!C:C,"n/a",0,1)</f>
        <v>AFS Dedicated Tech</v>
      </c>
      <c r="P906" t="str">
        <f>_xlfn.XLOOKUP(N:N,'Resource Table'!B:B,'Resource Table'!D:D,"n/a",0,1)</f>
        <v>Dedicated</v>
      </c>
    </row>
    <row r="907" spans="1:16" x14ac:dyDescent="0.45">
      <c r="A907" t="s">
        <v>5403</v>
      </c>
      <c r="B907" t="s">
        <v>5416</v>
      </c>
      <c r="C907" t="s">
        <v>5474</v>
      </c>
      <c r="D907" t="s">
        <v>5625</v>
      </c>
      <c r="E907" t="s">
        <v>6451</v>
      </c>
      <c r="F907" t="s">
        <v>13460</v>
      </c>
      <c r="G907" t="s">
        <v>13461</v>
      </c>
      <c r="H907" t="s">
        <v>13471</v>
      </c>
      <c r="I907" t="s">
        <v>29</v>
      </c>
      <c r="J907" t="s">
        <v>13463</v>
      </c>
      <c r="K907">
        <v>2</v>
      </c>
      <c r="L907" t="s">
        <v>13543</v>
      </c>
      <c r="M907" t="s">
        <v>13468</v>
      </c>
      <c r="N907" t="str">
        <f>_xlfn.XLOOKUP(C:C,'Resource Table'!A:A,'Resource Table'!B:B,"NOT FOUND",0,1)</f>
        <v>Dedicated</v>
      </c>
      <c r="O907" t="str">
        <f>_xlfn.XLOOKUP(N:N,'Resource Table'!B:B,'Resource Table'!C:C,"n/a",0,1)</f>
        <v>AFS Dedicated Tech</v>
      </c>
      <c r="P907" t="str">
        <f>_xlfn.XLOOKUP(N:N,'Resource Table'!B:B,'Resource Table'!D:D,"n/a",0,1)</f>
        <v>Dedicated</v>
      </c>
    </row>
    <row r="908" spans="1:16" x14ac:dyDescent="0.45">
      <c r="A908" t="s">
        <v>5403</v>
      </c>
      <c r="B908" t="s">
        <v>5416</v>
      </c>
      <c r="C908" t="s">
        <v>5474</v>
      </c>
      <c r="D908" t="s">
        <v>5475</v>
      </c>
      <c r="E908" t="s">
        <v>6451</v>
      </c>
      <c r="F908" t="s">
        <v>13473</v>
      </c>
      <c r="G908" t="s">
        <v>13474</v>
      </c>
      <c r="H908" t="s">
        <v>13517</v>
      </c>
      <c r="I908" t="s">
        <v>29</v>
      </c>
      <c r="J908" t="s">
        <v>13463</v>
      </c>
      <c r="K908">
        <v>3</v>
      </c>
      <c r="L908" t="s">
        <v>13470</v>
      </c>
      <c r="M908" t="s">
        <v>13472</v>
      </c>
      <c r="N908" t="str">
        <f>_xlfn.XLOOKUP(C:C,'Resource Table'!A:A,'Resource Table'!B:B,"NOT FOUND",0,1)</f>
        <v>Dedicated</v>
      </c>
      <c r="O908" t="str">
        <f>_xlfn.XLOOKUP(N:N,'Resource Table'!B:B,'Resource Table'!C:C,"n/a",0,1)</f>
        <v>AFS Dedicated Tech</v>
      </c>
      <c r="P908" t="str">
        <f>_xlfn.XLOOKUP(N:N,'Resource Table'!B:B,'Resource Table'!D:D,"n/a",0,1)</f>
        <v>Dedicated</v>
      </c>
    </row>
    <row r="909" spans="1:16" x14ac:dyDescent="0.45">
      <c r="A909" t="s">
        <v>5403</v>
      </c>
      <c r="B909" t="s">
        <v>5416</v>
      </c>
      <c r="C909" t="s">
        <v>5474</v>
      </c>
      <c r="D909" t="s">
        <v>5677</v>
      </c>
      <c r="E909" t="s">
        <v>6451</v>
      </c>
      <c r="F909" t="s">
        <v>13473</v>
      </c>
      <c r="G909" t="s">
        <v>13474</v>
      </c>
      <c r="H909" t="s">
        <v>13492</v>
      </c>
      <c r="I909" t="s">
        <v>6479</v>
      </c>
      <c r="J909" t="s">
        <v>13463</v>
      </c>
      <c r="K909">
        <v>0</v>
      </c>
      <c r="L909" t="s">
        <v>20</v>
      </c>
      <c r="M909" t="s">
        <v>20</v>
      </c>
      <c r="N909" t="str">
        <f>_xlfn.XLOOKUP(C:C,'Resource Table'!A:A,'Resource Table'!B:B,"NOT FOUND",0,1)</f>
        <v>Dedicated</v>
      </c>
      <c r="O909" t="str">
        <f>_xlfn.XLOOKUP(N:N,'Resource Table'!B:B,'Resource Table'!C:C,"n/a",0,1)</f>
        <v>AFS Dedicated Tech</v>
      </c>
      <c r="P909" t="str">
        <f>_xlfn.XLOOKUP(N:N,'Resource Table'!B:B,'Resource Table'!D:D,"n/a",0,1)</f>
        <v>Dedicated</v>
      </c>
    </row>
    <row r="910" spans="1:16" x14ac:dyDescent="0.45">
      <c r="A910" t="s">
        <v>5403</v>
      </c>
      <c r="B910" t="s">
        <v>5416</v>
      </c>
      <c r="C910" t="s">
        <v>5474</v>
      </c>
      <c r="D910" t="s">
        <v>5705</v>
      </c>
      <c r="E910" t="s">
        <v>6451</v>
      </c>
      <c r="F910" t="s">
        <v>13473</v>
      </c>
      <c r="G910" t="s">
        <v>13474</v>
      </c>
      <c r="H910" t="s">
        <v>13492</v>
      </c>
      <c r="I910" t="s">
        <v>6479</v>
      </c>
      <c r="J910" t="s">
        <v>13463</v>
      </c>
      <c r="K910">
        <v>2</v>
      </c>
      <c r="L910" t="s">
        <v>13543</v>
      </c>
      <c r="M910" t="s">
        <v>13472</v>
      </c>
      <c r="N910" t="str">
        <f>_xlfn.XLOOKUP(C:C,'Resource Table'!A:A,'Resource Table'!B:B,"NOT FOUND",0,1)</f>
        <v>Dedicated</v>
      </c>
      <c r="O910" t="str">
        <f>_xlfn.XLOOKUP(N:N,'Resource Table'!B:B,'Resource Table'!C:C,"n/a",0,1)</f>
        <v>AFS Dedicated Tech</v>
      </c>
      <c r="P910" t="str">
        <f>_xlfn.XLOOKUP(N:N,'Resource Table'!B:B,'Resource Table'!D:D,"n/a",0,1)</f>
        <v>Dedicated</v>
      </c>
    </row>
    <row r="911" spans="1:16" x14ac:dyDescent="0.45">
      <c r="A911" t="s">
        <v>5403</v>
      </c>
      <c r="B911" t="s">
        <v>5416</v>
      </c>
      <c r="C911" t="s">
        <v>5474</v>
      </c>
      <c r="D911" t="s">
        <v>5692</v>
      </c>
      <c r="E911" t="s">
        <v>6451</v>
      </c>
      <c r="F911" t="s">
        <v>13473</v>
      </c>
      <c r="G911" t="s">
        <v>13474</v>
      </c>
      <c r="H911" t="s">
        <v>13492</v>
      </c>
      <c r="I911" t="s">
        <v>6479</v>
      </c>
      <c r="J911" t="s">
        <v>13463</v>
      </c>
      <c r="K911">
        <v>2</v>
      </c>
      <c r="L911" t="s">
        <v>13524</v>
      </c>
      <c r="M911" t="s">
        <v>20</v>
      </c>
      <c r="N911" t="str">
        <f>_xlfn.XLOOKUP(C:C,'Resource Table'!A:A,'Resource Table'!B:B,"NOT FOUND",0,1)</f>
        <v>Dedicated</v>
      </c>
      <c r="O911" t="str">
        <f>_xlfn.XLOOKUP(N:N,'Resource Table'!B:B,'Resource Table'!C:C,"n/a",0,1)</f>
        <v>AFS Dedicated Tech</v>
      </c>
      <c r="P911" t="str">
        <f>_xlfn.XLOOKUP(N:N,'Resource Table'!B:B,'Resource Table'!D:D,"n/a",0,1)</f>
        <v>Dedicated</v>
      </c>
    </row>
    <row r="912" spans="1:16" x14ac:dyDescent="0.45">
      <c r="A912" t="s">
        <v>5403</v>
      </c>
      <c r="B912" t="s">
        <v>5416</v>
      </c>
      <c r="C912" t="s">
        <v>5474</v>
      </c>
      <c r="D912" t="s">
        <v>5750</v>
      </c>
      <c r="E912" t="s">
        <v>6451</v>
      </c>
      <c r="F912" t="s">
        <v>13473</v>
      </c>
      <c r="G912" t="s">
        <v>13474</v>
      </c>
      <c r="H912" t="s">
        <v>13517</v>
      </c>
      <c r="I912" t="s">
        <v>6479</v>
      </c>
      <c r="J912" t="s">
        <v>13463</v>
      </c>
      <c r="K912">
        <v>2</v>
      </c>
      <c r="L912" t="s">
        <v>13524</v>
      </c>
      <c r="M912" t="s">
        <v>20</v>
      </c>
      <c r="N912" t="str">
        <f>_xlfn.XLOOKUP(C:C,'Resource Table'!A:A,'Resource Table'!B:B,"NOT FOUND",0,1)</f>
        <v>Dedicated</v>
      </c>
      <c r="O912" t="str">
        <f>_xlfn.XLOOKUP(N:N,'Resource Table'!B:B,'Resource Table'!C:C,"n/a",0,1)</f>
        <v>AFS Dedicated Tech</v>
      </c>
      <c r="P912" t="str">
        <f>_xlfn.XLOOKUP(N:N,'Resource Table'!B:B,'Resource Table'!D:D,"n/a",0,1)</f>
        <v>Dedicated</v>
      </c>
    </row>
    <row r="913" spans="1:16" x14ac:dyDescent="0.45">
      <c r="A913" t="s">
        <v>5403</v>
      </c>
      <c r="B913" t="s">
        <v>5416</v>
      </c>
      <c r="C913" t="s">
        <v>5474</v>
      </c>
      <c r="D913" t="s">
        <v>5868</v>
      </c>
      <c r="E913" t="s">
        <v>6451</v>
      </c>
      <c r="F913" t="s">
        <v>13473</v>
      </c>
      <c r="G913" t="s">
        <v>13474</v>
      </c>
      <c r="H913" t="s">
        <v>13475</v>
      </c>
      <c r="I913" t="s">
        <v>6479</v>
      </c>
      <c r="J913" t="s">
        <v>13463</v>
      </c>
      <c r="K913">
        <v>0</v>
      </c>
      <c r="L913" t="s">
        <v>20</v>
      </c>
      <c r="M913" t="s">
        <v>20</v>
      </c>
      <c r="N913" t="str">
        <f>_xlfn.XLOOKUP(C:C,'Resource Table'!A:A,'Resource Table'!B:B,"NOT FOUND",0,1)</f>
        <v>Dedicated</v>
      </c>
      <c r="O913" t="str">
        <f>_xlfn.XLOOKUP(N:N,'Resource Table'!B:B,'Resource Table'!C:C,"n/a",0,1)</f>
        <v>AFS Dedicated Tech</v>
      </c>
      <c r="P913" t="str">
        <f>_xlfn.XLOOKUP(N:N,'Resource Table'!B:B,'Resource Table'!D:D,"n/a",0,1)</f>
        <v>Dedicated</v>
      </c>
    </row>
    <row r="914" spans="1:16" x14ac:dyDescent="0.45">
      <c r="A914" t="s">
        <v>5403</v>
      </c>
      <c r="B914" t="s">
        <v>5416</v>
      </c>
      <c r="C914" t="s">
        <v>5474</v>
      </c>
      <c r="D914" t="s">
        <v>6219</v>
      </c>
      <c r="E914" t="s">
        <v>6451</v>
      </c>
      <c r="F914" t="s">
        <v>13460</v>
      </c>
      <c r="G914" t="s">
        <v>13476</v>
      </c>
      <c r="H914" t="s">
        <v>13531</v>
      </c>
      <c r="I914" t="s">
        <v>6479</v>
      </c>
      <c r="J914" t="s">
        <v>13463</v>
      </c>
      <c r="K914">
        <v>2</v>
      </c>
      <c r="L914" t="s">
        <v>13524</v>
      </c>
      <c r="M914" t="s">
        <v>20</v>
      </c>
      <c r="N914" t="str">
        <f>_xlfn.XLOOKUP(C:C,'Resource Table'!A:A,'Resource Table'!B:B,"NOT FOUND",0,1)</f>
        <v>Dedicated</v>
      </c>
      <c r="O914" t="str">
        <f>_xlfn.XLOOKUP(N:N,'Resource Table'!B:B,'Resource Table'!C:C,"n/a",0,1)</f>
        <v>AFS Dedicated Tech</v>
      </c>
      <c r="P914" t="str">
        <f>_xlfn.XLOOKUP(N:N,'Resource Table'!B:B,'Resource Table'!D:D,"n/a",0,1)</f>
        <v>Dedicated</v>
      </c>
    </row>
    <row r="915" spans="1:16" x14ac:dyDescent="0.45">
      <c r="A915" t="s">
        <v>5403</v>
      </c>
      <c r="B915" t="s">
        <v>5416</v>
      </c>
      <c r="C915" t="s">
        <v>5474</v>
      </c>
      <c r="D915" t="s">
        <v>6252</v>
      </c>
      <c r="E915" t="s">
        <v>6451</v>
      </c>
      <c r="F915" t="s">
        <v>13460</v>
      </c>
      <c r="G915" t="s">
        <v>13476</v>
      </c>
      <c r="H915" t="s">
        <v>13477</v>
      </c>
      <c r="I915" t="s">
        <v>6479</v>
      </c>
      <c r="J915" t="s">
        <v>13463</v>
      </c>
      <c r="K915">
        <v>1</v>
      </c>
      <c r="L915" t="s">
        <v>13530</v>
      </c>
      <c r="M915" t="s">
        <v>13512</v>
      </c>
      <c r="N915" t="str">
        <f>_xlfn.XLOOKUP(C:C,'Resource Table'!A:A,'Resource Table'!B:B,"NOT FOUND",0,1)</f>
        <v>Dedicated</v>
      </c>
      <c r="O915" t="str">
        <f>_xlfn.XLOOKUP(N:N,'Resource Table'!B:B,'Resource Table'!C:C,"n/a",0,1)</f>
        <v>AFS Dedicated Tech</v>
      </c>
      <c r="P915" t="str">
        <f>_xlfn.XLOOKUP(N:N,'Resource Table'!B:B,'Resource Table'!D:D,"n/a",0,1)</f>
        <v>Dedicated</v>
      </c>
    </row>
    <row r="916" spans="1:16" x14ac:dyDescent="0.45">
      <c r="A916" t="s">
        <v>5403</v>
      </c>
      <c r="B916" t="s">
        <v>5416</v>
      </c>
      <c r="C916" t="s">
        <v>5474</v>
      </c>
      <c r="D916" t="s">
        <v>5484</v>
      </c>
      <c r="E916" t="s">
        <v>6451</v>
      </c>
      <c r="F916" t="s">
        <v>13473</v>
      </c>
      <c r="G916" t="s">
        <v>13474</v>
      </c>
      <c r="H916" t="s">
        <v>13517</v>
      </c>
      <c r="I916" t="s">
        <v>29</v>
      </c>
      <c r="J916" t="s">
        <v>13463</v>
      </c>
      <c r="K916">
        <v>2</v>
      </c>
      <c r="L916" t="s">
        <v>13536</v>
      </c>
      <c r="M916" t="s">
        <v>20</v>
      </c>
      <c r="N916" t="str">
        <f>_xlfn.XLOOKUP(C:C,'Resource Table'!A:A,'Resource Table'!B:B,"NOT FOUND",0,1)</f>
        <v>Dedicated</v>
      </c>
      <c r="O916" t="str">
        <f>_xlfn.XLOOKUP(N:N,'Resource Table'!B:B,'Resource Table'!C:C,"n/a",0,1)</f>
        <v>AFS Dedicated Tech</v>
      </c>
      <c r="P916" t="str">
        <f>_xlfn.XLOOKUP(N:N,'Resource Table'!B:B,'Resource Table'!D:D,"n/a",0,1)</f>
        <v>Dedicated</v>
      </c>
    </row>
    <row r="917" spans="1:16" x14ac:dyDescent="0.45">
      <c r="A917" t="s">
        <v>5403</v>
      </c>
      <c r="B917" t="s">
        <v>5416</v>
      </c>
      <c r="C917" t="s">
        <v>5474</v>
      </c>
      <c r="D917" t="s">
        <v>6123</v>
      </c>
      <c r="E917" t="s">
        <v>6461</v>
      </c>
      <c r="F917" t="s">
        <v>13460</v>
      </c>
      <c r="G917" t="s">
        <v>13538</v>
      </c>
      <c r="H917" t="s">
        <v>13554</v>
      </c>
      <c r="I917" t="s">
        <v>6479</v>
      </c>
      <c r="J917" t="s">
        <v>13463</v>
      </c>
      <c r="K917">
        <v>0</v>
      </c>
      <c r="L917" t="s">
        <v>20</v>
      </c>
      <c r="M917" t="s">
        <v>20</v>
      </c>
      <c r="N917" t="str">
        <f>_xlfn.XLOOKUP(C:C,'Resource Table'!A:A,'Resource Table'!B:B,"NOT FOUND",0,1)</f>
        <v>Dedicated</v>
      </c>
      <c r="O917" t="str">
        <f>_xlfn.XLOOKUP(N:N,'Resource Table'!B:B,'Resource Table'!C:C,"n/a",0,1)</f>
        <v>AFS Dedicated Tech</v>
      </c>
      <c r="P917" t="str">
        <f>_xlfn.XLOOKUP(N:N,'Resource Table'!B:B,'Resource Table'!D:D,"n/a",0,1)</f>
        <v>Dedicated</v>
      </c>
    </row>
    <row r="918" spans="1:16" x14ac:dyDescent="0.45">
      <c r="A918" t="s">
        <v>5403</v>
      </c>
      <c r="B918" t="s">
        <v>5416</v>
      </c>
      <c r="C918" t="s">
        <v>5474</v>
      </c>
      <c r="D918" t="s">
        <v>5658</v>
      </c>
      <c r="E918" t="s">
        <v>6451</v>
      </c>
      <c r="F918" t="s">
        <v>13460</v>
      </c>
      <c r="G918" t="s">
        <v>13476</v>
      </c>
      <c r="H918" t="s">
        <v>13478</v>
      </c>
      <c r="I918" t="s">
        <v>6479</v>
      </c>
      <c r="J918" t="s">
        <v>13463</v>
      </c>
      <c r="K918">
        <v>0</v>
      </c>
      <c r="L918" t="s">
        <v>20</v>
      </c>
      <c r="M918" t="s">
        <v>20</v>
      </c>
      <c r="N918" t="str">
        <f>_xlfn.XLOOKUP(C:C,'Resource Table'!A:A,'Resource Table'!B:B,"NOT FOUND",0,1)</f>
        <v>Dedicated</v>
      </c>
      <c r="O918" t="str">
        <f>_xlfn.XLOOKUP(N:N,'Resource Table'!B:B,'Resource Table'!C:C,"n/a",0,1)</f>
        <v>AFS Dedicated Tech</v>
      </c>
      <c r="P918" t="str">
        <f>_xlfn.XLOOKUP(N:N,'Resource Table'!B:B,'Resource Table'!D:D,"n/a",0,1)</f>
        <v>Dedicated</v>
      </c>
    </row>
    <row r="919" spans="1:16" x14ac:dyDescent="0.45">
      <c r="A919" t="s">
        <v>5403</v>
      </c>
      <c r="B919" t="s">
        <v>5416</v>
      </c>
      <c r="C919" t="s">
        <v>5474</v>
      </c>
      <c r="D919" t="s">
        <v>5678</v>
      </c>
      <c r="E919" t="s">
        <v>6451</v>
      </c>
      <c r="F919" t="s">
        <v>13473</v>
      </c>
      <c r="G919" t="s">
        <v>13474</v>
      </c>
      <c r="H919" t="s">
        <v>13492</v>
      </c>
      <c r="I919" t="s">
        <v>29</v>
      </c>
      <c r="J919" t="s">
        <v>13463</v>
      </c>
      <c r="K919">
        <v>1</v>
      </c>
      <c r="L919" t="s">
        <v>13472</v>
      </c>
      <c r="M919" t="s">
        <v>13507</v>
      </c>
      <c r="N919" t="str">
        <f>_xlfn.XLOOKUP(C:C,'Resource Table'!A:A,'Resource Table'!B:B,"NOT FOUND",0,1)</f>
        <v>Dedicated</v>
      </c>
      <c r="O919" t="str">
        <f>_xlfn.XLOOKUP(N:N,'Resource Table'!B:B,'Resource Table'!C:C,"n/a",0,1)</f>
        <v>AFS Dedicated Tech</v>
      </c>
      <c r="P919" t="str">
        <f>_xlfn.XLOOKUP(N:N,'Resource Table'!B:B,'Resource Table'!D:D,"n/a",0,1)</f>
        <v>Dedicated</v>
      </c>
    </row>
    <row r="920" spans="1:16" x14ac:dyDescent="0.45">
      <c r="A920" t="s">
        <v>5403</v>
      </c>
      <c r="B920" t="s">
        <v>5416</v>
      </c>
      <c r="C920" t="s">
        <v>5474</v>
      </c>
      <c r="D920" t="s">
        <v>5603</v>
      </c>
      <c r="E920" t="s">
        <v>6451</v>
      </c>
      <c r="F920" t="s">
        <v>13460</v>
      </c>
      <c r="G920" t="s">
        <v>13461</v>
      </c>
      <c r="H920" t="s">
        <v>13465</v>
      </c>
      <c r="I920" t="s">
        <v>6479</v>
      </c>
      <c r="J920" t="s">
        <v>13463</v>
      </c>
      <c r="K920">
        <v>0</v>
      </c>
      <c r="L920" t="s">
        <v>20</v>
      </c>
      <c r="M920" t="s">
        <v>20</v>
      </c>
      <c r="N920" t="str">
        <f>_xlfn.XLOOKUP(C:C,'Resource Table'!A:A,'Resource Table'!B:B,"NOT FOUND",0,1)</f>
        <v>Dedicated</v>
      </c>
      <c r="O920" t="str">
        <f>_xlfn.XLOOKUP(N:N,'Resource Table'!B:B,'Resource Table'!C:C,"n/a",0,1)</f>
        <v>AFS Dedicated Tech</v>
      </c>
      <c r="P920" t="str">
        <f>_xlfn.XLOOKUP(N:N,'Resource Table'!B:B,'Resource Table'!D:D,"n/a",0,1)</f>
        <v>Dedicated</v>
      </c>
    </row>
    <row r="921" spans="1:16" x14ac:dyDescent="0.45">
      <c r="A921" t="s">
        <v>5403</v>
      </c>
      <c r="B921" t="s">
        <v>5416</v>
      </c>
      <c r="C921" t="s">
        <v>5474</v>
      </c>
      <c r="D921" t="s">
        <v>5297</v>
      </c>
      <c r="E921" t="s">
        <v>6451</v>
      </c>
      <c r="F921" t="s">
        <v>13514</v>
      </c>
      <c r="G921" t="s">
        <v>13557</v>
      </c>
      <c r="H921" t="s">
        <v>13558</v>
      </c>
      <c r="I921" t="s">
        <v>29</v>
      </c>
      <c r="J921" t="s">
        <v>13463</v>
      </c>
      <c r="K921">
        <v>2</v>
      </c>
      <c r="L921" t="s">
        <v>13607</v>
      </c>
      <c r="M921" t="s">
        <v>13468</v>
      </c>
      <c r="N921" t="str">
        <f>_xlfn.XLOOKUP(C:C,'Resource Table'!A:A,'Resource Table'!B:B,"NOT FOUND",0,1)</f>
        <v>Dedicated</v>
      </c>
      <c r="O921" t="str">
        <f>_xlfn.XLOOKUP(N:N,'Resource Table'!B:B,'Resource Table'!C:C,"n/a",0,1)</f>
        <v>AFS Dedicated Tech</v>
      </c>
      <c r="P921" t="str">
        <f>_xlfn.XLOOKUP(N:N,'Resource Table'!B:B,'Resource Table'!D:D,"n/a",0,1)</f>
        <v>Dedicated</v>
      </c>
    </row>
    <row r="922" spans="1:16" x14ac:dyDescent="0.45">
      <c r="A922" t="s">
        <v>5403</v>
      </c>
      <c r="B922" t="s">
        <v>5416</v>
      </c>
      <c r="C922" t="s">
        <v>5727</v>
      </c>
      <c r="D922" t="s">
        <v>3905</v>
      </c>
      <c r="E922" t="s">
        <v>6451</v>
      </c>
      <c r="F922" t="s">
        <v>13460</v>
      </c>
      <c r="G922" t="s">
        <v>13461</v>
      </c>
      <c r="H922" t="s">
        <v>13465</v>
      </c>
      <c r="I922" t="s">
        <v>6479</v>
      </c>
      <c r="J922" t="s">
        <v>13463</v>
      </c>
      <c r="K922">
        <v>0</v>
      </c>
      <c r="L922" t="s">
        <v>20</v>
      </c>
      <c r="M922" t="s">
        <v>20</v>
      </c>
      <c r="N922" t="str">
        <f>_xlfn.XLOOKUP(C:C,'Resource Table'!A:A,'Resource Table'!B:B,"NOT FOUND",0,1)</f>
        <v>Brittany Williams</v>
      </c>
      <c r="O922" t="str">
        <f>_xlfn.XLOOKUP(N:N,'Resource Table'!B:B,'Resource Table'!C:C,"n/a",0,1)</f>
        <v>bwilliams5@ameritfleet.com</v>
      </c>
      <c r="P922" t="str">
        <f>_xlfn.XLOOKUP(N:N,'Resource Table'!B:B,'Resource Table'!D:D,"n/a",0,1)</f>
        <v>Vended Repair</v>
      </c>
    </row>
    <row r="923" spans="1:16" x14ac:dyDescent="0.45">
      <c r="A923" t="s">
        <v>5403</v>
      </c>
      <c r="B923" t="s">
        <v>5416</v>
      </c>
      <c r="C923" t="s">
        <v>5727</v>
      </c>
      <c r="D923" t="s">
        <v>6049</v>
      </c>
      <c r="E923" t="s">
        <v>6461</v>
      </c>
      <c r="F923" t="s">
        <v>13460</v>
      </c>
      <c r="G923" t="s">
        <v>13481</v>
      </c>
      <c r="H923" t="s">
        <v>13522</v>
      </c>
      <c r="I923" t="s">
        <v>6479</v>
      </c>
      <c r="J923" t="s">
        <v>13463</v>
      </c>
      <c r="K923">
        <v>1</v>
      </c>
      <c r="L923" t="s">
        <v>13503</v>
      </c>
      <c r="M923" t="s">
        <v>13484</v>
      </c>
      <c r="N923" t="str">
        <f>_xlfn.XLOOKUP(C:C,'Resource Table'!A:A,'Resource Table'!B:B,"NOT FOUND",0,1)</f>
        <v>Brittany Williams</v>
      </c>
      <c r="O923" t="str">
        <f>_xlfn.XLOOKUP(N:N,'Resource Table'!B:B,'Resource Table'!C:C,"n/a",0,1)</f>
        <v>bwilliams5@ameritfleet.com</v>
      </c>
      <c r="P923" t="str">
        <f>_xlfn.XLOOKUP(N:N,'Resource Table'!B:B,'Resource Table'!D:D,"n/a",0,1)</f>
        <v>Vended Repair</v>
      </c>
    </row>
    <row r="924" spans="1:16" x14ac:dyDescent="0.45">
      <c r="A924" t="s">
        <v>5403</v>
      </c>
      <c r="B924" t="s">
        <v>5416</v>
      </c>
      <c r="C924" t="s">
        <v>5727</v>
      </c>
      <c r="D924" t="s">
        <v>4353</v>
      </c>
      <c r="E924" t="s">
        <v>6451</v>
      </c>
      <c r="F924" t="s">
        <v>13473</v>
      </c>
      <c r="G924" t="s">
        <v>13474</v>
      </c>
      <c r="H924" t="s">
        <v>13517</v>
      </c>
      <c r="I924" t="s">
        <v>29</v>
      </c>
      <c r="J924" t="s">
        <v>13463</v>
      </c>
      <c r="K924">
        <v>2</v>
      </c>
      <c r="L924" t="s">
        <v>13472</v>
      </c>
      <c r="M924" t="s">
        <v>13472</v>
      </c>
      <c r="N924" t="str">
        <f>_xlfn.XLOOKUP(C:C,'Resource Table'!A:A,'Resource Table'!B:B,"NOT FOUND",0,1)</f>
        <v>Brittany Williams</v>
      </c>
      <c r="O924" t="str">
        <f>_xlfn.XLOOKUP(N:N,'Resource Table'!B:B,'Resource Table'!C:C,"n/a",0,1)</f>
        <v>bwilliams5@ameritfleet.com</v>
      </c>
      <c r="P924" t="str">
        <f>_xlfn.XLOOKUP(N:N,'Resource Table'!B:B,'Resource Table'!D:D,"n/a",0,1)</f>
        <v>Vended Repair</v>
      </c>
    </row>
    <row r="925" spans="1:16" x14ac:dyDescent="0.45">
      <c r="A925" t="s">
        <v>5403</v>
      </c>
      <c r="B925" t="s">
        <v>5416</v>
      </c>
      <c r="C925" t="s">
        <v>5727</v>
      </c>
      <c r="D925" t="s">
        <v>4998</v>
      </c>
      <c r="E925" t="s">
        <v>6462</v>
      </c>
      <c r="F925" t="s">
        <v>13460</v>
      </c>
      <c r="G925" t="s">
        <v>13481</v>
      </c>
      <c r="H925" t="s">
        <v>13485</v>
      </c>
      <c r="I925" t="s">
        <v>6479</v>
      </c>
      <c r="J925" t="s">
        <v>13463</v>
      </c>
      <c r="K925">
        <v>0</v>
      </c>
      <c r="L925" t="s">
        <v>20</v>
      </c>
      <c r="M925" t="s">
        <v>20</v>
      </c>
      <c r="N925" t="str">
        <f>_xlfn.XLOOKUP(C:C,'Resource Table'!A:A,'Resource Table'!B:B,"NOT FOUND",0,1)</f>
        <v>Brittany Williams</v>
      </c>
      <c r="O925" t="str">
        <f>_xlfn.XLOOKUP(N:N,'Resource Table'!B:B,'Resource Table'!C:C,"n/a",0,1)</f>
        <v>bwilliams5@ameritfleet.com</v>
      </c>
      <c r="P925" t="str">
        <f>_xlfn.XLOOKUP(N:N,'Resource Table'!B:B,'Resource Table'!D:D,"n/a",0,1)</f>
        <v>Vended Repair</v>
      </c>
    </row>
    <row r="926" spans="1:16" x14ac:dyDescent="0.45">
      <c r="A926" t="s">
        <v>5403</v>
      </c>
      <c r="B926" t="s">
        <v>5416</v>
      </c>
      <c r="C926" t="s">
        <v>5727</v>
      </c>
      <c r="D926" t="s">
        <v>5879</v>
      </c>
      <c r="E926" t="s">
        <v>6451</v>
      </c>
      <c r="F926" t="s">
        <v>13473</v>
      </c>
      <c r="G926" t="s">
        <v>13474</v>
      </c>
      <c r="H926" t="s">
        <v>13475</v>
      </c>
      <c r="I926" t="s">
        <v>6479</v>
      </c>
      <c r="J926" t="s">
        <v>13463</v>
      </c>
      <c r="K926">
        <v>0</v>
      </c>
      <c r="L926" t="s">
        <v>20</v>
      </c>
      <c r="M926" t="s">
        <v>20</v>
      </c>
      <c r="N926" t="str">
        <f>_xlfn.XLOOKUP(C:C,'Resource Table'!A:A,'Resource Table'!B:B,"NOT FOUND",0,1)</f>
        <v>Brittany Williams</v>
      </c>
      <c r="O926" t="str">
        <f>_xlfn.XLOOKUP(N:N,'Resource Table'!B:B,'Resource Table'!C:C,"n/a",0,1)</f>
        <v>bwilliams5@ameritfleet.com</v>
      </c>
      <c r="P926" t="str">
        <f>_xlfn.XLOOKUP(N:N,'Resource Table'!B:B,'Resource Table'!D:D,"n/a",0,1)</f>
        <v>Vended Repair</v>
      </c>
    </row>
    <row r="927" spans="1:16" x14ac:dyDescent="0.45">
      <c r="A927" t="s">
        <v>5403</v>
      </c>
      <c r="B927" t="s">
        <v>5416</v>
      </c>
      <c r="C927" t="s">
        <v>5727</v>
      </c>
      <c r="D927" t="s">
        <v>13055</v>
      </c>
      <c r="E927" t="s">
        <v>6451</v>
      </c>
      <c r="F927" t="s">
        <v>13460</v>
      </c>
      <c r="G927" t="s">
        <v>13476</v>
      </c>
      <c r="H927" t="s">
        <v>13477</v>
      </c>
      <c r="I927" t="s">
        <v>6479</v>
      </c>
      <c r="J927" t="s">
        <v>13463</v>
      </c>
      <c r="K927">
        <v>0</v>
      </c>
      <c r="L927" t="s">
        <v>20</v>
      </c>
      <c r="M927" t="s">
        <v>20</v>
      </c>
      <c r="N927" t="str">
        <f>_xlfn.XLOOKUP(C:C,'Resource Table'!A:A,'Resource Table'!B:B,"NOT FOUND",0,1)</f>
        <v>Brittany Williams</v>
      </c>
      <c r="O927" t="str">
        <f>_xlfn.XLOOKUP(N:N,'Resource Table'!B:B,'Resource Table'!C:C,"n/a",0,1)</f>
        <v>bwilliams5@ameritfleet.com</v>
      </c>
      <c r="P927" t="str">
        <f>_xlfn.XLOOKUP(N:N,'Resource Table'!B:B,'Resource Table'!D:D,"n/a",0,1)</f>
        <v>Vended Repair</v>
      </c>
    </row>
    <row r="928" spans="1:16" x14ac:dyDescent="0.45">
      <c r="A928" t="s">
        <v>5403</v>
      </c>
      <c r="B928" t="s">
        <v>5416</v>
      </c>
      <c r="C928" t="s">
        <v>5598</v>
      </c>
      <c r="D928" t="s">
        <v>5632</v>
      </c>
      <c r="E928" t="s">
        <v>6461</v>
      </c>
      <c r="F928" t="s">
        <v>13460</v>
      </c>
      <c r="G928" t="s">
        <v>13461</v>
      </c>
      <c r="H928" t="s">
        <v>13488</v>
      </c>
      <c r="I928" t="s">
        <v>6479</v>
      </c>
      <c r="J928" t="s">
        <v>13463</v>
      </c>
      <c r="K928">
        <v>1</v>
      </c>
      <c r="L928" t="s">
        <v>13524</v>
      </c>
      <c r="M928" t="s">
        <v>13493</v>
      </c>
      <c r="N928" t="str">
        <f>_xlfn.XLOOKUP(C:C,'Resource Table'!A:A,'Resource Table'!B:B,"NOT FOUND",0,1)</f>
        <v>Dedicated</v>
      </c>
      <c r="O928" t="str">
        <f>_xlfn.XLOOKUP(N:N,'Resource Table'!B:B,'Resource Table'!C:C,"n/a",0,1)</f>
        <v>AFS Dedicated Tech</v>
      </c>
      <c r="P928" t="str">
        <f>_xlfn.XLOOKUP(N:N,'Resource Table'!B:B,'Resource Table'!D:D,"n/a",0,1)</f>
        <v>Dedicated</v>
      </c>
    </row>
    <row r="929" spans="1:16" x14ac:dyDescent="0.45">
      <c r="A929" t="s">
        <v>5403</v>
      </c>
      <c r="B929" t="s">
        <v>5416</v>
      </c>
      <c r="C929" t="s">
        <v>5598</v>
      </c>
      <c r="D929" t="s">
        <v>5599</v>
      </c>
      <c r="E929" t="s">
        <v>6451</v>
      </c>
      <c r="F929" t="s">
        <v>13460</v>
      </c>
      <c r="G929" t="s">
        <v>13476</v>
      </c>
      <c r="H929" t="s">
        <v>13477</v>
      </c>
      <c r="I929" t="s">
        <v>29</v>
      </c>
      <c r="J929" t="s">
        <v>13463</v>
      </c>
      <c r="K929">
        <v>3</v>
      </c>
      <c r="L929" t="s">
        <v>13580</v>
      </c>
      <c r="M929" t="s">
        <v>13610</v>
      </c>
      <c r="N929" t="str">
        <f>_xlfn.XLOOKUP(C:C,'Resource Table'!A:A,'Resource Table'!B:B,"NOT FOUND",0,1)</f>
        <v>Dedicated</v>
      </c>
      <c r="O929" t="str">
        <f>_xlfn.XLOOKUP(N:N,'Resource Table'!B:B,'Resource Table'!C:C,"n/a",0,1)</f>
        <v>AFS Dedicated Tech</v>
      </c>
      <c r="P929" t="str">
        <f>_xlfn.XLOOKUP(N:N,'Resource Table'!B:B,'Resource Table'!D:D,"n/a",0,1)</f>
        <v>Dedicated</v>
      </c>
    </row>
    <row r="930" spans="1:16" x14ac:dyDescent="0.45">
      <c r="A930" t="s">
        <v>5403</v>
      </c>
      <c r="B930" t="s">
        <v>5416</v>
      </c>
      <c r="C930" t="s">
        <v>5598</v>
      </c>
      <c r="D930" t="s">
        <v>6420</v>
      </c>
      <c r="E930" t="s">
        <v>6451</v>
      </c>
      <c r="F930" t="s">
        <v>13514</v>
      </c>
      <c r="G930" t="s">
        <v>13557</v>
      </c>
      <c r="H930" t="s">
        <v>13558</v>
      </c>
      <c r="I930" t="s">
        <v>6479</v>
      </c>
      <c r="J930" t="s">
        <v>13463</v>
      </c>
      <c r="K930">
        <v>5</v>
      </c>
      <c r="L930" t="s">
        <v>13512</v>
      </c>
      <c r="M930" t="s">
        <v>20</v>
      </c>
      <c r="N930" t="str">
        <f>_xlfn.XLOOKUP(C:C,'Resource Table'!A:A,'Resource Table'!B:B,"NOT FOUND",0,1)</f>
        <v>Dedicated</v>
      </c>
      <c r="O930" t="str">
        <f>_xlfn.XLOOKUP(N:N,'Resource Table'!B:B,'Resource Table'!C:C,"n/a",0,1)</f>
        <v>AFS Dedicated Tech</v>
      </c>
      <c r="P930" t="str">
        <f>_xlfn.XLOOKUP(N:N,'Resource Table'!B:B,'Resource Table'!D:D,"n/a",0,1)</f>
        <v>Dedicated</v>
      </c>
    </row>
    <row r="931" spans="1:16" x14ac:dyDescent="0.45">
      <c r="A931" t="s">
        <v>5403</v>
      </c>
      <c r="B931" t="s">
        <v>5416</v>
      </c>
      <c r="C931" t="s">
        <v>5598</v>
      </c>
      <c r="D931" t="s">
        <v>6287</v>
      </c>
      <c r="E931" t="s">
        <v>6451</v>
      </c>
      <c r="F931" t="s">
        <v>13460</v>
      </c>
      <c r="G931" t="s">
        <v>13461</v>
      </c>
      <c r="H931" t="s">
        <v>13465</v>
      </c>
      <c r="I931" t="s">
        <v>6479</v>
      </c>
      <c r="J931" t="s">
        <v>13463</v>
      </c>
      <c r="K931">
        <v>2</v>
      </c>
      <c r="L931" t="s">
        <v>13497</v>
      </c>
      <c r="M931" t="s">
        <v>13505</v>
      </c>
      <c r="N931" t="str">
        <f>_xlfn.XLOOKUP(C:C,'Resource Table'!A:A,'Resource Table'!B:B,"NOT FOUND",0,1)</f>
        <v>Dedicated</v>
      </c>
      <c r="O931" t="str">
        <f>_xlfn.XLOOKUP(N:N,'Resource Table'!B:B,'Resource Table'!C:C,"n/a",0,1)</f>
        <v>AFS Dedicated Tech</v>
      </c>
      <c r="P931" t="str">
        <f>_xlfn.XLOOKUP(N:N,'Resource Table'!B:B,'Resource Table'!D:D,"n/a",0,1)</f>
        <v>Dedicated</v>
      </c>
    </row>
    <row r="932" spans="1:16" x14ac:dyDescent="0.45">
      <c r="A932" t="s">
        <v>5403</v>
      </c>
      <c r="B932" t="s">
        <v>5416</v>
      </c>
      <c r="C932" t="s">
        <v>5598</v>
      </c>
      <c r="D932" t="s">
        <v>13090</v>
      </c>
      <c r="E932" t="s">
        <v>6461</v>
      </c>
      <c r="F932" t="s">
        <v>13460</v>
      </c>
      <c r="G932" t="s">
        <v>13461</v>
      </c>
      <c r="H932" t="s">
        <v>13471</v>
      </c>
      <c r="I932" t="s">
        <v>6479</v>
      </c>
      <c r="J932" t="s">
        <v>13463</v>
      </c>
      <c r="K932">
        <v>0</v>
      </c>
      <c r="L932" t="s">
        <v>20</v>
      </c>
      <c r="M932" t="s">
        <v>20</v>
      </c>
      <c r="N932" t="str">
        <f>_xlfn.XLOOKUP(C:C,'Resource Table'!A:A,'Resource Table'!B:B,"NOT FOUND",0,1)</f>
        <v>Dedicated</v>
      </c>
      <c r="O932" t="str">
        <f>_xlfn.XLOOKUP(N:N,'Resource Table'!B:B,'Resource Table'!C:C,"n/a",0,1)</f>
        <v>AFS Dedicated Tech</v>
      </c>
      <c r="P932" t="str">
        <f>_xlfn.XLOOKUP(N:N,'Resource Table'!B:B,'Resource Table'!D:D,"n/a",0,1)</f>
        <v>Dedicated</v>
      </c>
    </row>
    <row r="933" spans="1:16" x14ac:dyDescent="0.45">
      <c r="A933" t="s">
        <v>5403</v>
      </c>
      <c r="B933" t="s">
        <v>5416</v>
      </c>
      <c r="C933" t="s">
        <v>5598</v>
      </c>
      <c r="D933" t="s">
        <v>5634</v>
      </c>
      <c r="E933" t="s">
        <v>6451</v>
      </c>
      <c r="F933" t="s">
        <v>13514</v>
      </c>
      <c r="G933" t="s">
        <v>13557</v>
      </c>
      <c r="H933" t="s">
        <v>13565</v>
      </c>
      <c r="I933" t="s">
        <v>6479</v>
      </c>
      <c r="J933" t="s">
        <v>13463</v>
      </c>
      <c r="K933">
        <v>5</v>
      </c>
      <c r="L933" t="s">
        <v>13479</v>
      </c>
      <c r="M933" t="s">
        <v>13493</v>
      </c>
      <c r="N933" t="str">
        <f>_xlfn.XLOOKUP(C:C,'Resource Table'!A:A,'Resource Table'!B:B,"NOT FOUND",0,1)</f>
        <v>Dedicated</v>
      </c>
      <c r="O933" t="str">
        <f>_xlfn.XLOOKUP(N:N,'Resource Table'!B:B,'Resource Table'!C:C,"n/a",0,1)</f>
        <v>AFS Dedicated Tech</v>
      </c>
      <c r="P933" t="str">
        <f>_xlfn.XLOOKUP(N:N,'Resource Table'!B:B,'Resource Table'!D:D,"n/a",0,1)</f>
        <v>Dedicated</v>
      </c>
    </row>
    <row r="934" spans="1:16" x14ac:dyDescent="0.45">
      <c r="A934" t="s">
        <v>5403</v>
      </c>
      <c r="B934" t="s">
        <v>5416</v>
      </c>
      <c r="C934" t="s">
        <v>5598</v>
      </c>
      <c r="D934" t="s">
        <v>6048</v>
      </c>
      <c r="E934" t="s">
        <v>6461</v>
      </c>
      <c r="F934" t="s">
        <v>13460</v>
      </c>
      <c r="G934" t="s">
        <v>13538</v>
      </c>
      <c r="H934" t="s">
        <v>13539</v>
      </c>
      <c r="I934" t="s">
        <v>6479</v>
      </c>
      <c r="J934" t="s">
        <v>13463</v>
      </c>
      <c r="K934">
        <v>6</v>
      </c>
      <c r="L934" t="s">
        <v>13536</v>
      </c>
      <c r="M934" t="s">
        <v>20</v>
      </c>
      <c r="N934" t="str">
        <f>_xlfn.XLOOKUP(C:C,'Resource Table'!A:A,'Resource Table'!B:B,"NOT FOUND",0,1)</f>
        <v>Dedicated</v>
      </c>
      <c r="O934" t="str">
        <f>_xlfn.XLOOKUP(N:N,'Resource Table'!B:B,'Resource Table'!C:C,"n/a",0,1)</f>
        <v>AFS Dedicated Tech</v>
      </c>
      <c r="P934" t="str">
        <f>_xlfn.XLOOKUP(N:N,'Resource Table'!B:B,'Resource Table'!D:D,"n/a",0,1)</f>
        <v>Dedicated</v>
      </c>
    </row>
    <row r="935" spans="1:16" x14ac:dyDescent="0.45">
      <c r="A935" t="s">
        <v>5403</v>
      </c>
      <c r="B935" t="s">
        <v>5416</v>
      </c>
      <c r="C935" t="s">
        <v>5598</v>
      </c>
      <c r="D935" t="s">
        <v>6422</v>
      </c>
      <c r="E935" t="s">
        <v>6451</v>
      </c>
      <c r="F935" t="s">
        <v>13514</v>
      </c>
      <c r="G935" t="s">
        <v>13557</v>
      </c>
      <c r="H935" t="s">
        <v>13565</v>
      </c>
      <c r="I935" t="s">
        <v>6479</v>
      </c>
      <c r="J935" t="s">
        <v>13463</v>
      </c>
      <c r="K935">
        <v>4</v>
      </c>
      <c r="L935" t="s">
        <v>13536</v>
      </c>
      <c r="M935" t="s">
        <v>13570</v>
      </c>
      <c r="N935" t="str">
        <f>_xlfn.XLOOKUP(C:C,'Resource Table'!A:A,'Resource Table'!B:B,"NOT FOUND",0,1)</f>
        <v>Dedicated</v>
      </c>
      <c r="O935" t="str">
        <f>_xlfn.XLOOKUP(N:N,'Resource Table'!B:B,'Resource Table'!C:C,"n/a",0,1)</f>
        <v>AFS Dedicated Tech</v>
      </c>
      <c r="P935" t="str">
        <f>_xlfn.XLOOKUP(N:N,'Resource Table'!B:B,'Resource Table'!D:D,"n/a",0,1)</f>
        <v>Dedicated</v>
      </c>
    </row>
    <row r="936" spans="1:16" x14ac:dyDescent="0.45">
      <c r="A936" t="s">
        <v>5403</v>
      </c>
      <c r="B936" t="s">
        <v>5416</v>
      </c>
      <c r="C936" t="s">
        <v>5598</v>
      </c>
      <c r="D936" t="s">
        <v>6198</v>
      </c>
      <c r="E936" t="s">
        <v>6451</v>
      </c>
      <c r="F936" t="s">
        <v>13460</v>
      </c>
      <c r="G936" t="s">
        <v>13476</v>
      </c>
      <c r="H936" t="s">
        <v>13531</v>
      </c>
      <c r="I936" t="s">
        <v>6479</v>
      </c>
      <c r="J936" t="s">
        <v>13463</v>
      </c>
      <c r="K936">
        <v>1</v>
      </c>
      <c r="L936" t="s">
        <v>13534</v>
      </c>
      <c r="M936" t="s">
        <v>13503</v>
      </c>
      <c r="N936" t="str">
        <f>_xlfn.XLOOKUP(C:C,'Resource Table'!A:A,'Resource Table'!B:B,"NOT FOUND",0,1)</f>
        <v>Dedicated</v>
      </c>
      <c r="O936" t="str">
        <f>_xlfn.XLOOKUP(N:N,'Resource Table'!B:B,'Resource Table'!C:C,"n/a",0,1)</f>
        <v>AFS Dedicated Tech</v>
      </c>
      <c r="P936" t="str">
        <f>_xlfn.XLOOKUP(N:N,'Resource Table'!B:B,'Resource Table'!D:D,"n/a",0,1)</f>
        <v>Dedicated</v>
      </c>
    </row>
    <row r="937" spans="1:16" x14ac:dyDescent="0.45">
      <c r="A937" t="s">
        <v>5403</v>
      </c>
      <c r="B937" t="s">
        <v>5416</v>
      </c>
      <c r="C937" t="s">
        <v>5598</v>
      </c>
      <c r="D937" t="s">
        <v>6240</v>
      </c>
      <c r="E937" t="s">
        <v>6451</v>
      </c>
      <c r="F937" t="s">
        <v>13460</v>
      </c>
      <c r="G937" t="s">
        <v>13476</v>
      </c>
      <c r="H937" t="s">
        <v>13477</v>
      </c>
      <c r="I937" t="s">
        <v>6479</v>
      </c>
      <c r="J937" t="s">
        <v>13463</v>
      </c>
      <c r="K937">
        <v>4</v>
      </c>
      <c r="L937" t="s">
        <v>13532</v>
      </c>
      <c r="M937" t="s">
        <v>13493</v>
      </c>
      <c r="N937" t="str">
        <f>_xlfn.XLOOKUP(C:C,'Resource Table'!A:A,'Resource Table'!B:B,"NOT FOUND",0,1)</f>
        <v>Dedicated</v>
      </c>
      <c r="O937" t="str">
        <f>_xlfn.XLOOKUP(N:N,'Resource Table'!B:B,'Resource Table'!C:C,"n/a",0,1)</f>
        <v>AFS Dedicated Tech</v>
      </c>
      <c r="P937" t="str">
        <f>_xlfn.XLOOKUP(N:N,'Resource Table'!B:B,'Resource Table'!D:D,"n/a",0,1)</f>
        <v>Dedicated</v>
      </c>
    </row>
    <row r="938" spans="1:16" x14ac:dyDescent="0.45">
      <c r="A938" t="s">
        <v>5403</v>
      </c>
      <c r="B938" t="s">
        <v>5416</v>
      </c>
      <c r="C938" t="s">
        <v>5598</v>
      </c>
      <c r="D938" t="s">
        <v>5601</v>
      </c>
      <c r="E938" t="s">
        <v>6451</v>
      </c>
      <c r="F938" t="s">
        <v>13460</v>
      </c>
      <c r="G938" t="s">
        <v>13476</v>
      </c>
      <c r="H938" t="s">
        <v>13477</v>
      </c>
      <c r="I938" t="s">
        <v>29</v>
      </c>
      <c r="J938" t="s">
        <v>13463</v>
      </c>
      <c r="K938">
        <v>1</v>
      </c>
      <c r="L938" t="s">
        <v>13548</v>
      </c>
      <c r="M938" t="s">
        <v>13505</v>
      </c>
      <c r="N938" t="str">
        <f>_xlfn.XLOOKUP(C:C,'Resource Table'!A:A,'Resource Table'!B:B,"NOT FOUND",0,1)</f>
        <v>Dedicated</v>
      </c>
      <c r="O938" t="str">
        <f>_xlfn.XLOOKUP(N:N,'Resource Table'!B:B,'Resource Table'!C:C,"n/a",0,1)</f>
        <v>AFS Dedicated Tech</v>
      </c>
      <c r="P938" t="str">
        <f>_xlfn.XLOOKUP(N:N,'Resource Table'!B:B,'Resource Table'!D:D,"n/a",0,1)</f>
        <v>Dedicated</v>
      </c>
    </row>
    <row r="939" spans="1:16" x14ac:dyDescent="0.45">
      <c r="A939" t="s">
        <v>5403</v>
      </c>
      <c r="B939" t="s">
        <v>5416</v>
      </c>
      <c r="C939" t="s">
        <v>5598</v>
      </c>
      <c r="D939" t="s">
        <v>5600</v>
      </c>
      <c r="E939" t="s">
        <v>6451</v>
      </c>
      <c r="F939" t="s">
        <v>13460</v>
      </c>
      <c r="G939" t="s">
        <v>13476</v>
      </c>
      <c r="H939" t="s">
        <v>13477</v>
      </c>
      <c r="I939" t="s">
        <v>6479</v>
      </c>
      <c r="J939" t="s">
        <v>13463</v>
      </c>
      <c r="K939">
        <v>3</v>
      </c>
      <c r="L939" t="s">
        <v>13530</v>
      </c>
      <c r="M939" t="s">
        <v>13493</v>
      </c>
      <c r="N939" t="str">
        <f>_xlfn.XLOOKUP(C:C,'Resource Table'!A:A,'Resource Table'!B:B,"NOT FOUND",0,1)</f>
        <v>Dedicated</v>
      </c>
      <c r="O939" t="str">
        <f>_xlfn.XLOOKUP(N:N,'Resource Table'!B:B,'Resource Table'!C:C,"n/a",0,1)</f>
        <v>AFS Dedicated Tech</v>
      </c>
      <c r="P939" t="str">
        <f>_xlfn.XLOOKUP(N:N,'Resource Table'!B:B,'Resource Table'!D:D,"n/a",0,1)</f>
        <v>Dedicated</v>
      </c>
    </row>
    <row r="940" spans="1:16" x14ac:dyDescent="0.45">
      <c r="A940" t="s">
        <v>5403</v>
      </c>
      <c r="B940" t="s">
        <v>5416</v>
      </c>
      <c r="C940" t="s">
        <v>5598</v>
      </c>
      <c r="D940" t="s">
        <v>6119</v>
      </c>
      <c r="E940" t="s">
        <v>6461</v>
      </c>
      <c r="F940" t="s">
        <v>13460</v>
      </c>
      <c r="G940" t="s">
        <v>13538</v>
      </c>
      <c r="H940" t="s">
        <v>13547</v>
      </c>
      <c r="I940" t="s">
        <v>6479</v>
      </c>
      <c r="J940" t="s">
        <v>13463</v>
      </c>
      <c r="K940">
        <v>3</v>
      </c>
      <c r="L940" t="s">
        <v>13552</v>
      </c>
      <c r="M940" t="s">
        <v>13472</v>
      </c>
      <c r="N940" t="str">
        <f>_xlfn.XLOOKUP(C:C,'Resource Table'!A:A,'Resource Table'!B:B,"NOT FOUND",0,1)</f>
        <v>Dedicated</v>
      </c>
      <c r="O940" t="str">
        <f>_xlfn.XLOOKUP(N:N,'Resource Table'!B:B,'Resource Table'!C:C,"n/a",0,1)</f>
        <v>AFS Dedicated Tech</v>
      </c>
      <c r="P940" t="str">
        <f>_xlfn.XLOOKUP(N:N,'Resource Table'!B:B,'Resource Table'!D:D,"n/a",0,1)</f>
        <v>Dedicated</v>
      </c>
    </row>
    <row r="941" spans="1:16" x14ac:dyDescent="0.45">
      <c r="A941" t="s">
        <v>5403</v>
      </c>
      <c r="B941" t="s">
        <v>5416</v>
      </c>
      <c r="C941" t="s">
        <v>5598</v>
      </c>
      <c r="D941" t="s">
        <v>6120</v>
      </c>
      <c r="E941" t="s">
        <v>6461</v>
      </c>
      <c r="F941" t="s">
        <v>13460</v>
      </c>
      <c r="G941" t="s">
        <v>13538</v>
      </c>
      <c r="H941" t="s">
        <v>13547</v>
      </c>
      <c r="I941" t="s">
        <v>6479</v>
      </c>
      <c r="J941" t="s">
        <v>13463</v>
      </c>
      <c r="K941">
        <v>2</v>
      </c>
      <c r="L941" t="s">
        <v>13499</v>
      </c>
      <c r="M941" t="s">
        <v>13493</v>
      </c>
      <c r="N941" t="str">
        <f>_xlfn.XLOOKUP(C:C,'Resource Table'!A:A,'Resource Table'!B:B,"NOT FOUND",0,1)</f>
        <v>Dedicated</v>
      </c>
      <c r="O941" t="str">
        <f>_xlfn.XLOOKUP(N:N,'Resource Table'!B:B,'Resource Table'!C:C,"n/a",0,1)</f>
        <v>AFS Dedicated Tech</v>
      </c>
      <c r="P941" t="str">
        <f>_xlfn.XLOOKUP(N:N,'Resource Table'!B:B,'Resource Table'!D:D,"n/a",0,1)</f>
        <v>Dedicated</v>
      </c>
    </row>
    <row r="942" spans="1:16" x14ac:dyDescent="0.45">
      <c r="A942" t="s">
        <v>5431</v>
      </c>
      <c r="B942" t="s">
        <v>5431</v>
      </c>
      <c r="C942" t="s">
        <v>5485</v>
      </c>
      <c r="D942" t="s">
        <v>6022</v>
      </c>
      <c r="E942" t="s">
        <v>6461</v>
      </c>
      <c r="F942" t="s">
        <v>13460</v>
      </c>
      <c r="G942" t="s">
        <v>13538</v>
      </c>
      <c r="H942" t="s">
        <v>13539</v>
      </c>
      <c r="I942" t="s">
        <v>6479</v>
      </c>
      <c r="J942" t="s">
        <v>13486</v>
      </c>
      <c r="K942">
        <v>5</v>
      </c>
      <c r="L942" t="s">
        <v>13542</v>
      </c>
      <c r="M942" t="s">
        <v>20</v>
      </c>
      <c r="N942" t="str">
        <f>_xlfn.XLOOKUP(C:C,'Resource Table'!A:A,'Resource Table'!B:B,"NOT FOUND",0,1)</f>
        <v>Dedicated</v>
      </c>
      <c r="O942" t="str">
        <f>_xlfn.XLOOKUP(N:N,'Resource Table'!B:B,'Resource Table'!C:C,"n/a",0,1)</f>
        <v>AFS Dedicated Tech</v>
      </c>
      <c r="P942" t="str">
        <f>_xlfn.XLOOKUP(N:N,'Resource Table'!B:B,'Resource Table'!D:D,"n/a",0,1)</f>
        <v>Dedicated</v>
      </c>
    </row>
    <row r="943" spans="1:16" x14ac:dyDescent="0.45">
      <c r="A943" t="s">
        <v>5431</v>
      </c>
      <c r="B943" t="s">
        <v>5431</v>
      </c>
      <c r="C943" t="s">
        <v>5485</v>
      </c>
      <c r="D943" t="s">
        <v>6303</v>
      </c>
      <c r="E943" t="s">
        <v>6461</v>
      </c>
      <c r="F943" t="s">
        <v>13460</v>
      </c>
      <c r="G943" t="s">
        <v>13461</v>
      </c>
      <c r="H943" t="s">
        <v>13462</v>
      </c>
      <c r="I943" t="s">
        <v>29</v>
      </c>
      <c r="J943" t="s">
        <v>13463</v>
      </c>
      <c r="K943">
        <v>4</v>
      </c>
      <c r="L943" t="s">
        <v>13524</v>
      </c>
      <c r="M943" t="s">
        <v>13512</v>
      </c>
      <c r="N943" t="str">
        <f>_xlfn.XLOOKUP(C:C,'Resource Table'!A:A,'Resource Table'!B:B,"NOT FOUND",0,1)</f>
        <v>Dedicated</v>
      </c>
      <c r="O943" t="str">
        <f>_xlfn.XLOOKUP(N:N,'Resource Table'!B:B,'Resource Table'!C:C,"n/a",0,1)</f>
        <v>AFS Dedicated Tech</v>
      </c>
      <c r="P943" t="str">
        <f>_xlfn.XLOOKUP(N:N,'Resource Table'!B:B,'Resource Table'!D:D,"n/a",0,1)</f>
        <v>Dedicated</v>
      </c>
    </row>
    <row r="944" spans="1:16" x14ac:dyDescent="0.45">
      <c r="A944" t="s">
        <v>5431</v>
      </c>
      <c r="B944" t="s">
        <v>5431</v>
      </c>
      <c r="C944" t="s">
        <v>5485</v>
      </c>
      <c r="D944" t="s">
        <v>5754</v>
      </c>
      <c r="E944" t="s">
        <v>6451</v>
      </c>
      <c r="F944" t="s">
        <v>13473</v>
      </c>
      <c r="G944" t="s">
        <v>13474</v>
      </c>
      <c r="H944" t="s">
        <v>13517</v>
      </c>
      <c r="I944" t="s">
        <v>6479</v>
      </c>
      <c r="J944" t="s">
        <v>13463</v>
      </c>
      <c r="K944">
        <v>2</v>
      </c>
      <c r="L944" t="s">
        <v>13487</v>
      </c>
      <c r="M944" t="s">
        <v>20</v>
      </c>
      <c r="N944" t="str">
        <f>_xlfn.XLOOKUP(C:C,'Resource Table'!A:A,'Resource Table'!B:B,"NOT FOUND",0,1)</f>
        <v>Dedicated</v>
      </c>
      <c r="O944" t="str">
        <f>_xlfn.XLOOKUP(N:N,'Resource Table'!B:B,'Resource Table'!C:C,"n/a",0,1)</f>
        <v>AFS Dedicated Tech</v>
      </c>
      <c r="P944" t="str">
        <f>_xlfn.XLOOKUP(N:N,'Resource Table'!B:B,'Resource Table'!D:D,"n/a",0,1)</f>
        <v>Dedicated</v>
      </c>
    </row>
    <row r="945" spans="1:16" x14ac:dyDescent="0.45">
      <c r="A945" t="s">
        <v>5431</v>
      </c>
      <c r="B945" t="s">
        <v>5431</v>
      </c>
      <c r="C945" t="s">
        <v>5485</v>
      </c>
      <c r="D945" t="s">
        <v>5880</v>
      </c>
      <c r="E945" t="s">
        <v>6451</v>
      </c>
      <c r="F945" t="s">
        <v>13473</v>
      </c>
      <c r="G945" t="s">
        <v>13474</v>
      </c>
      <c r="H945" t="s">
        <v>13475</v>
      </c>
      <c r="I945" t="s">
        <v>6479</v>
      </c>
      <c r="J945" t="s">
        <v>13463</v>
      </c>
      <c r="K945">
        <v>4</v>
      </c>
      <c r="L945" t="s">
        <v>13534</v>
      </c>
      <c r="M945" t="s">
        <v>13505</v>
      </c>
      <c r="N945" t="str">
        <f>_xlfn.XLOOKUP(C:C,'Resource Table'!A:A,'Resource Table'!B:B,"NOT FOUND",0,1)</f>
        <v>Dedicated</v>
      </c>
      <c r="O945" t="str">
        <f>_xlfn.XLOOKUP(N:N,'Resource Table'!B:B,'Resource Table'!C:C,"n/a",0,1)</f>
        <v>AFS Dedicated Tech</v>
      </c>
      <c r="P945" t="str">
        <f>_xlfn.XLOOKUP(N:N,'Resource Table'!B:B,'Resource Table'!D:D,"n/a",0,1)</f>
        <v>Dedicated</v>
      </c>
    </row>
    <row r="946" spans="1:16" x14ac:dyDescent="0.45">
      <c r="A946" t="s">
        <v>5431</v>
      </c>
      <c r="B946" t="s">
        <v>5431</v>
      </c>
      <c r="C946" t="s">
        <v>5485</v>
      </c>
      <c r="D946" t="s">
        <v>5486</v>
      </c>
      <c r="E946" t="s">
        <v>6451</v>
      </c>
      <c r="F946" t="s">
        <v>13473</v>
      </c>
      <c r="G946" t="s">
        <v>13474</v>
      </c>
      <c r="H946" t="s">
        <v>13517</v>
      </c>
      <c r="I946" t="s">
        <v>6479</v>
      </c>
      <c r="J946" t="s">
        <v>13463</v>
      </c>
      <c r="K946">
        <v>4</v>
      </c>
      <c r="L946" t="s">
        <v>13489</v>
      </c>
      <c r="M946" t="s">
        <v>20</v>
      </c>
      <c r="N946" t="str">
        <f>_xlfn.XLOOKUP(C:C,'Resource Table'!A:A,'Resource Table'!B:B,"NOT FOUND",0,1)</f>
        <v>Dedicated</v>
      </c>
      <c r="O946" t="str">
        <f>_xlfn.XLOOKUP(N:N,'Resource Table'!B:B,'Resource Table'!C:C,"n/a",0,1)</f>
        <v>AFS Dedicated Tech</v>
      </c>
      <c r="P946" t="str">
        <f>_xlfn.XLOOKUP(N:N,'Resource Table'!B:B,'Resource Table'!D:D,"n/a",0,1)</f>
        <v>Dedicated</v>
      </c>
    </row>
    <row r="947" spans="1:16" x14ac:dyDescent="0.45">
      <c r="A947" t="s">
        <v>5431</v>
      </c>
      <c r="B947" t="s">
        <v>5431</v>
      </c>
      <c r="C947" t="s">
        <v>5485</v>
      </c>
      <c r="D947" t="s">
        <v>2923</v>
      </c>
      <c r="E947" t="s">
        <v>6461</v>
      </c>
      <c r="F947" t="s">
        <v>13460</v>
      </c>
      <c r="G947" t="s">
        <v>13461</v>
      </c>
      <c r="H947" t="s">
        <v>13462</v>
      </c>
      <c r="I947" t="s">
        <v>6479</v>
      </c>
      <c r="J947" t="s">
        <v>13463</v>
      </c>
      <c r="K947">
        <v>1</v>
      </c>
      <c r="L947" t="s">
        <v>13487</v>
      </c>
      <c r="M947" t="s">
        <v>20</v>
      </c>
      <c r="N947" t="str">
        <f>_xlfn.XLOOKUP(C:C,'Resource Table'!A:A,'Resource Table'!B:B,"NOT FOUND",0,1)</f>
        <v>Dedicated</v>
      </c>
      <c r="O947" t="str">
        <f>_xlfn.XLOOKUP(N:N,'Resource Table'!B:B,'Resource Table'!C:C,"n/a",0,1)</f>
        <v>AFS Dedicated Tech</v>
      </c>
      <c r="P947" t="str">
        <f>_xlfn.XLOOKUP(N:N,'Resource Table'!B:B,'Resource Table'!D:D,"n/a",0,1)</f>
        <v>Dedicated</v>
      </c>
    </row>
    <row r="948" spans="1:16" x14ac:dyDescent="0.45">
      <c r="A948" t="s">
        <v>5403</v>
      </c>
      <c r="B948" t="s">
        <v>5416</v>
      </c>
      <c r="C948" t="s">
        <v>5435</v>
      </c>
      <c r="D948" t="s">
        <v>5748</v>
      </c>
      <c r="E948" t="s">
        <v>6451</v>
      </c>
      <c r="F948" t="s">
        <v>13473</v>
      </c>
      <c r="G948" t="s">
        <v>13474</v>
      </c>
      <c r="H948" t="s">
        <v>13517</v>
      </c>
      <c r="I948" t="s">
        <v>29</v>
      </c>
      <c r="J948" t="s">
        <v>13463</v>
      </c>
      <c r="K948">
        <v>1</v>
      </c>
      <c r="L948" t="s">
        <v>13503</v>
      </c>
      <c r="M948" t="s">
        <v>20</v>
      </c>
      <c r="N948" t="str">
        <f>_xlfn.XLOOKUP(C:C,'Resource Table'!A:A,'Resource Table'!B:B,"NOT FOUND",0,1)</f>
        <v>Dedicated</v>
      </c>
      <c r="O948" t="str">
        <f>_xlfn.XLOOKUP(N:N,'Resource Table'!B:B,'Resource Table'!C:C,"n/a",0,1)</f>
        <v>AFS Dedicated Tech</v>
      </c>
      <c r="P948" t="str">
        <f>_xlfn.XLOOKUP(N:N,'Resource Table'!B:B,'Resource Table'!D:D,"n/a",0,1)</f>
        <v>Dedicated</v>
      </c>
    </row>
    <row r="949" spans="1:16" x14ac:dyDescent="0.45">
      <c r="A949" t="s">
        <v>5403</v>
      </c>
      <c r="B949" t="s">
        <v>5416</v>
      </c>
      <c r="C949" t="s">
        <v>5435</v>
      </c>
      <c r="D949" t="s">
        <v>5828</v>
      </c>
      <c r="E949" t="s">
        <v>6451</v>
      </c>
      <c r="F949" t="s">
        <v>13473</v>
      </c>
      <c r="G949" t="s">
        <v>13474</v>
      </c>
      <c r="H949" t="s">
        <v>13475</v>
      </c>
      <c r="I949" t="s">
        <v>6479</v>
      </c>
      <c r="J949" t="s">
        <v>13463</v>
      </c>
      <c r="K949">
        <v>4</v>
      </c>
      <c r="L949" t="s">
        <v>13512</v>
      </c>
      <c r="M949" t="s">
        <v>13472</v>
      </c>
      <c r="N949" t="str">
        <f>_xlfn.XLOOKUP(C:C,'Resource Table'!A:A,'Resource Table'!B:B,"NOT FOUND",0,1)</f>
        <v>Dedicated</v>
      </c>
      <c r="O949" t="str">
        <f>_xlfn.XLOOKUP(N:N,'Resource Table'!B:B,'Resource Table'!C:C,"n/a",0,1)</f>
        <v>AFS Dedicated Tech</v>
      </c>
      <c r="P949" t="str">
        <f>_xlfn.XLOOKUP(N:N,'Resource Table'!B:B,'Resource Table'!D:D,"n/a",0,1)</f>
        <v>Dedicated</v>
      </c>
    </row>
    <row r="950" spans="1:16" x14ac:dyDescent="0.45">
      <c r="A950" t="s">
        <v>5403</v>
      </c>
      <c r="B950" t="s">
        <v>5416</v>
      </c>
      <c r="C950" t="s">
        <v>5435</v>
      </c>
      <c r="D950" t="s">
        <v>6155</v>
      </c>
      <c r="E950" t="s">
        <v>6461</v>
      </c>
      <c r="F950" t="s">
        <v>13460</v>
      </c>
      <c r="G950" t="s">
        <v>13509</v>
      </c>
      <c r="H950" t="s">
        <v>13510</v>
      </c>
      <c r="I950" t="s">
        <v>6479</v>
      </c>
      <c r="J950" t="s">
        <v>13463</v>
      </c>
      <c r="K950">
        <v>1</v>
      </c>
      <c r="L950" t="s">
        <v>13479</v>
      </c>
      <c r="M950" t="s">
        <v>13507</v>
      </c>
      <c r="N950" t="str">
        <f>_xlfn.XLOOKUP(C:C,'Resource Table'!A:A,'Resource Table'!B:B,"NOT FOUND",0,1)</f>
        <v>Dedicated</v>
      </c>
      <c r="O950" t="str">
        <f>_xlfn.XLOOKUP(N:N,'Resource Table'!B:B,'Resource Table'!C:C,"n/a",0,1)</f>
        <v>AFS Dedicated Tech</v>
      </c>
      <c r="P950" t="str">
        <f>_xlfn.XLOOKUP(N:N,'Resource Table'!B:B,'Resource Table'!D:D,"n/a",0,1)</f>
        <v>Dedicated</v>
      </c>
    </row>
    <row r="951" spans="1:16" x14ac:dyDescent="0.45">
      <c r="A951" t="s">
        <v>5403</v>
      </c>
      <c r="B951" t="s">
        <v>5416</v>
      </c>
      <c r="C951" t="s">
        <v>5435</v>
      </c>
      <c r="D951" t="s">
        <v>5455</v>
      </c>
      <c r="E951" t="s">
        <v>6451</v>
      </c>
      <c r="F951" t="s">
        <v>13473</v>
      </c>
      <c r="G951" t="s">
        <v>13474</v>
      </c>
      <c r="H951" t="s">
        <v>13492</v>
      </c>
      <c r="I951" t="s">
        <v>6479</v>
      </c>
      <c r="J951" t="s">
        <v>13463</v>
      </c>
      <c r="K951">
        <v>1</v>
      </c>
      <c r="L951" t="s">
        <v>13493</v>
      </c>
      <c r="M951" t="s">
        <v>20</v>
      </c>
      <c r="N951" t="str">
        <f>_xlfn.XLOOKUP(C:C,'Resource Table'!A:A,'Resource Table'!B:B,"NOT FOUND",0,1)</f>
        <v>Dedicated</v>
      </c>
      <c r="O951" t="str">
        <f>_xlfn.XLOOKUP(N:N,'Resource Table'!B:B,'Resource Table'!C:C,"n/a",0,1)</f>
        <v>AFS Dedicated Tech</v>
      </c>
      <c r="P951" t="str">
        <f>_xlfn.XLOOKUP(N:N,'Resource Table'!B:B,'Resource Table'!D:D,"n/a",0,1)</f>
        <v>Dedicated</v>
      </c>
    </row>
    <row r="952" spans="1:16" x14ac:dyDescent="0.45">
      <c r="A952" t="s">
        <v>5403</v>
      </c>
      <c r="B952" t="s">
        <v>5416</v>
      </c>
      <c r="C952" t="s">
        <v>5435</v>
      </c>
      <c r="D952" t="s">
        <v>5546</v>
      </c>
      <c r="E952" t="s">
        <v>6462</v>
      </c>
      <c r="F952" t="s">
        <v>13460</v>
      </c>
      <c r="G952" t="s">
        <v>13481</v>
      </c>
      <c r="H952" t="s">
        <v>13485</v>
      </c>
      <c r="I952" t="s">
        <v>6479</v>
      </c>
      <c r="J952" t="s">
        <v>13463</v>
      </c>
      <c r="K952">
        <v>1</v>
      </c>
      <c r="L952" t="s">
        <v>13530</v>
      </c>
      <c r="M952" t="s">
        <v>13468</v>
      </c>
      <c r="N952" t="str">
        <f>_xlfn.XLOOKUP(C:C,'Resource Table'!A:A,'Resource Table'!B:B,"NOT FOUND",0,1)</f>
        <v>Dedicated</v>
      </c>
      <c r="O952" t="str">
        <f>_xlfn.XLOOKUP(N:N,'Resource Table'!B:B,'Resource Table'!C:C,"n/a",0,1)</f>
        <v>AFS Dedicated Tech</v>
      </c>
      <c r="P952" t="str">
        <f>_xlfn.XLOOKUP(N:N,'Resource Table'!B:B,'Resource Table'!D:D,"n/a",0,1)</f>
        <v>Dedicated</v>
      </c>
    </row>
    <row r="953" spans="1:16" x14ac:dyDescent="0.45">
      <c r="A953" t="s">
        <v>5403</v>
      </c>
      <c r="B953" t="s">
        <v>5416</v>
      </c>
      <c r="C953" t="s">
        <v>5435</v>
      </c>
      <c r="D953" t="s">
        <v>13091</v>
      </c>
      <c r="E953" t="s">
        <v>6451</v>
      </c>
      <c r="F953" t="s">
        <v>13473</v>
      </c>
      <c r="G953" t="s">
        <v>13474</v>
      </c>
      <c r="H953" t="s">
        <v>13492</v>
      </c>
      <c r="I953" t="s">
        <v>6479</v>
      </c>
      <c r="J953" t="s">
        <v>13463</v>
      </c>
      <c r="K953">
        <v>0</v>
      </c>
      <c r="L953" t="s">
        <v>20</v>
      </c>
      <c r="M953" t="s">
        <v>20</v>
      </c>
      <c r="N953" t="str">
        <f>_xlfn.XLOOKUP(C:C,'Resource Table'!A:A,'Resource Table'!B:B,"NOT FOUND",0,1)</f>
        <v>Dedicated</v>
      </c>
      <c r="O953" t="str">
        <f>_xlfn.XLOOKUP(N:N,'Resource Table'!B:B,'Resource Table'!C:C,"n/a",0,1)</f>
        <v>AFS Dedicated Tech</v>
      </c>
      <c r="P953" t="str">
        <f>_xlfn.XLOOKUP(N:N,'Resource Table'!B:B,'Resource Table'!D:D,"n/a",0,1)</f>
        <v>Dedicated</v>
      </c>
    </row>
    <row r="954" spans="1:16" x14ac:dyDescent="0.45">
      <c r="A954" t="s">
        <v>5403</v>
      </c>
      <c r="B954" t="s">
        <v>5416</v>
      </c>
      <c r="C954" t="s">
        <v>5435</v>
      </c>
      <c r="D954" t="s">
        <v>5447</v>
      </c>
      <c r="E954" t="s">
        <v>6451</v>
      </c>
      <c r="F954" t="s">
        <v>13473</v>
      </c>
      <c r="G954" t="s">
        <v>13474</v>
      </c>
      <c r="H954" t="s">
        <v>13492</v>
      </c>
      <c r="I954" t="s">
        <v>29</v>
      </c>
      <c r="J954" t="s">
        <v>13463</v>
      </c>
      <c r="K954">
        <v>1</v>
      </c>
      <c r="L954" t="s">
        <v>13487</v>
      </c>
      <c r="M954" t="s">
        <v>20</v>
      </c>
      <c r="N954" t="str">
        <f>_xlfn.XLOOKUP(C:C,'Resource Table'!A:A,'Resource Table'!B:B,"NOT FOUND",0,1)</f>
        <v>Dedicated</v>
      </c>
      <c r="O954" t="str">
        <f>_xlfn.XLOOKUP(N:N,'Resource Table'!B:B,'Resource Table'!C:C,"n/a",0,1)</f>
        <v>AFS Dedicated Tech</v>
      </c>
      <c r="P954" t="str">
        <f>_xlfn.XLOOKUP(N:N,'Resource Table'!B:B,'Resource Table'!D:D,"n/a",0,1)</f>
        <v>Dedicated</v>
      </c>
    </row>
    <row r="955" spans="1:16" x14ac:dyDescent="0.45">
      <c r="A955" t="s">
        <v>5403</v>
      </c>
      <c r="B955" t="s">
        <v>5416</v>
      </c>
      <c r="C955" t="s">
        <v>5435</v>
      </c>
      <c r="D955" t="s">
        <v>5703</v>
      </c>
      <c r="E955" t="s">
        <v>6451</v>
      </c>
      <c r="F955" t="s">
        <v>13473</v>
      </c>
      <c r="G955" t="s">
        <v>13474</v>
      </c>
      <c r="H955" t="s">
        <v>13492</v>
      </c>
      <c r="I955" t="s">
        <v>29</v>
      </c>
      <c r="J955" t="s">
        <v>13463</v>
      </c>
      <c r="K955">
        <v>6</v>
      </c>
      <c r="L955" t="s">
        <v>13487</v>
      </c>
      <c r="M955" t="s">
        <v>13508</v>
      </c>
      <c r="N955" t="str">
        <f>_xlfn.XLOOKUP(C:C,'Resource Table'!A:A,'Resource Table'!B:B,"NOT FOUND",0,1)</f>
        <v>Dedicated</v>
      </c>
      <c r="O955" t="str">
        <f>_xlfn.XLOOKUP(N:N,'Resource Table'!B:B,'Resource Table'!C:C,"n/a",0,1)</f>
        <v>AFS Dedicated Tech</v>
      </c>
      <c r="P955" t="str">
        <f>_xlfn.XLOOKUP(N:N,'Resource Table'!B:B,'Resource Table'!D:D,"n/a",0,1)</f>
        <v>Dedicated</v>
      </c>
    </row>
    <row r="956" spans="1:16" x14ac:dyDescent="0.45">
      <c r="A956" t="s">
        <v>5403</v>
      </c>
      <c r="B956" t="s">
        <v>5416</v>
      </c>
      <c r="C956" t="s">
        <v>5435</v>
      </c>
      <c r="D956" t="s">
        <v>5629</v>
      </c>
      <c r="E956" t="s">
        <v>6451</v>
      </c>
      <c r="F956" t="s">
        <v>13460</v>
      </c>
      <c r="G956" t="s">
        <v>13461</v>
      </c>
      <c r="H956" t="s">
        <v>13471</v>
      </c>
      <c r="I956" t="s">
        <v>29</v>
      </c>
      <c r="J956" t="s">
        <v>13463</v>
      </c>
      <c r="K956">
        <v>1</v>
      </c>
      <c r="L956" t="s">
        <v>13580</v>
      </c>
      <c r="M956" t="s">
        <v>20</v>
      </c>
      <c r="N956" t="str">
        <f>_xlfn.XLOOKUP(C:C,'Resource Table'!A:A,'Resource Table'!B:B,"NOT FOUND",0,1)</f>
        <v>Dedicated</v>
      </c>
      <c r="O956" t="str">
        <f>_xlfn.XLOOKUP(N:N,'Resource Table'!B:B,'Resource Table'!C:C,"n/a",0,1)</f>
        <v>AFS Dedicated Tech</v>
      </c>
      <c r="P956" t="str">
        <f>_xlfn.XLOOKUP(N:N,'Resource Table'!B:B,'Resource Table'!D:D,"n/a",0,1)</f>
        <v>Dedicated</v>
      </c>
    </row>
    <row r="957" spans="1:16" x14ac:dyDescent="0.45">
      <c r="A957" t="s">
        <v>5403</v>
      </c>
      <c r="B957" t="s">
        <v>5416</v>
      </c>
      <c r="C957" t="s">
        <v>5435</v>
      </c>
      <c r="D957" t="s">
        <v>5867</v>
      </c>
      <c r="E957" t="s">
        <v>6451</v>
      </c>
      <c r="F957" t="s">
        <v>13473</v>
      </c>
      <c r="G957" t="s">
        <v>13474</v>
      </c>
      <c r="H957" t="s">
        <v>13475</v>
      </c>
      <c r="I957" t="s">
        <v>6479</v>
      </c>
      <c r="J957" t="s">
        <v>13463</v>
      </c>
      <c r="K957">
        <v>0</v>
      </c>
      <c r="L957" t="s">
        <v>20</v>
      </c>
      <c r="M957" t="s">
        <v>20</v>
      </c>
      <c r="N957" t="str">
        <f>_xlfn.XLOOKUP(C:C,'Resource Table'!A:A,'Resource Table'!B:B,"NOT FOUND",0,1)</f>
        <v>Dedicated</v>
      </c>
      <c r="O957" t="str">
        <f>_xlfn.XLOOKUP(N:N,'Resource Table'!B:B,'Resource Table'!C:C,"n/a",0,1)</f>
        <v>AFS Dedicated Tech</v>
      </c>
      <c r="P957" t="str">
        <f>_xlfn.XLOOKUP(N:N,'Resource Table'!B:B,'Resource Table'!D:D,"n/a",0,1)</f>
        <v>Dedicated</v>
      </c>
    </row>
    <row r="958" spans="1:16" x14ac:dyDescent="0.45">
      <c r="A958" t="s">
        <v>5403</v>
      </c>
      <c r="B958" t="s">
        <v>5416</v>
      </c>
      <c r="C958" t="s">
        <v>5435</v>
      </c>
      <c r="D958" t="s">
        <v>5751</v>
      </c>
      <c r="E958" t="s">
        <v>6451</v>
      </c>
      <c r="F958" t="s">
        <v>13473</v>
      </c>
      <c r="G958" t="s">
        <v>13474</v>
      </c>
      <c r="H958" t="s">
        <v>13517</v>
      </c>
      <c r="I958" t="s">
        <v>6479</v>
      </c>
      <c r="J958" t="s">
        <v>13463</v>
      </c>
      <c r="K958">
        <v>1</v>
      </c>
      <c r="L958" t="s">
        <v>13487</v>
      </c>
      <c r="M958" t="s">
        <v>20</v>
      </c>
      <c r="N958" t="str">
        <f>_xlfn.XLOOKUP(C:C,'Resource Table'!A:A,'Resource Table'!B:B,"NOT FOUND",0,1)</f>
        <v>Dedicated</v>
      </c>
      <c r="O958" t="str">
        <f>_xlfn.XLOOKUP(N:N,'Resource Table'!B:B,'Resource Table'!C:C,"n/a",0,1)</f>
        <v>AFS Dedicated Tech</v>
      </c>
      <c r="P958" t="str">
        <f>_xlfn.XLOOKUP(N:N,'Resource Table'!B:B,'Resource Table'!D:D,"n/a",0,1)</f>
        <v>Dedicated</v>
      </c>
    </row>
    <row r="959" spans="1:16" x14ac:dyDescent="0.45">
      <c r="A959" t="s">
        <v>5403</v>
      </c>
      <c r="B959" t="s">
        <v>5416</v>
      </c>
      <c r="C959" t="s">
        <v>5435</v>
      </c>
      <c r="D959" t="s">
        <v>6159</v>
      </c>
      <c r="E959" t="s">
        <v>6461</v>
      </c>
      <c r="F959" t="s">
        <v>13460</v>
      </c>
      <c r="G959" t="s">
        <v>13509</v>
      </c>
      <c r="H959" t="s">
        <v>13510</v>
      </c>
      <c r="I959" t="s">
        <v>6479</v>
      </c>
      <c r="J959" t="s">
        <v>13463</v>
      </c>
      <c r="K959">
        <v>0</v>
      </c>
      <c r="L959" t="s">
        <v>20</v>
      </c>
      <c r="M959" t="s">
        <v>20</v>
      </c>
      <c r="N959" t="str">
        <f>_xlfn.XLOOKUP(C:C,'Resource Table'!A:A,'Resource Table'!B:B,"NOT FOUND",0,1)</f>
        <v>Dedicated</v>
      </c>
      <c r="O959" t="str">
        <f>_xlfn.XLOOKUP(N:N,'Resource Table'!B:B,'Resource Table'!C:C,"n/a",0,1)</f>
        <v>AFS Dedicated Tech</v>
      </c>
      <c r="P959" t="str">
        <f>_xlfn.XLOOKUP(N:N,'Resource Table'!B:B,'Resource Table'!D:D,"n/a",0,1)</f>
        <v>Dedicated</v>
      </c>
    </row>
    <row r="960" spans="1:16" x14ac:dyDescent="0.45">
      <c r="A960" t="s">
        <v>5403</v>
      </c>
      <c r="B960" t="s">
        <v>5416</v>
      </c>
      <c r="C960" t="s">
        <v>5435</v>
      </c>
      <c r="D960" t="s">
        <v>6158</v>
      </c>
      <c r="E960" t="s">
        <v>6461</v>
      </c>
      <c r="F960" t="s">
        <v>13460</v>
      </c>
      <c r="G960" t="s">
        <v>13509</v>
      </c>
      <c r="H960" t="s">
        <v>13510</v>
      </c>
      <c r="I960" t="s">
        <v>6479</v>
      </c>
      <c r="J960" t="s">
        <v>13463</v>
      </c>
      <c r="K960">
        <v>0</v>
      </c>
      <c r="L960" t="s">
        <v>20</v>
      </c>
      <c r="M960" t="s">
        <v>20</v>
      </c>
      <c r="N960" t="str">
        <f>_xlfn.XLOOKUP(C:C,'Resource Table'!A:A,'Resource Table'!B:B,"NOT FOUND",0,1)</f>
        <v>Dedicated</v>
      </c>
      <c r="O960" t="str">
        <f>_xlfn.XLOOKUP(N:N,'Resource Table'!B:B,'Resource Table'!C:C,"n/a",0,1)</f>
        <v>AFS Dedicated Tech</v>
      </c>
      <c r="P960" t="str">
        <f>_xlfn.XLOOKUP(N:N,'Resource Table'!B:B,'Resource Table'!D:D,"n/a",0,1)</f>
        <v>Dedicated</v>
      </c>
    </row>
    <row r="961" spans="1:16" x14ac:dyDescent="0.45">
      <c r="A961" t="s">
        <v>5403</v>
      </c>
      <c r="B961" t="s">
        <v>5416</v>
      </c>
      <c r="C961" t="s">
        <v>5435</v>
      </c>
      <c r="D961" t="s">
        <v>5517</v>
      </c>
      <c r="E961" t="s">
        <v>6451</v>
      </c>
      <c r="F961" t="s">
        <v>13473</v>
      </c>
      <c r="G961" t="s">
        <v>13474</v>
      </c>
      <c r="H961" t="s">
        <v>13475</v>
      </c>
      <c r="I961" t="s">
        <v>29</v>
      </c>
      <c r="J961" t="s">
        <v>13463</v>
      </c>
      <c r="K961">
        <v>1</v>
      </c>
      <c r="L961" t="s">
        <v>13487</v>
      </c>
      <c r="M961" t="s">
        <v>20</v>
      </c>
      <c r="N961" t="str">
        <f>_xlfn.XLOOKUP(C:C,'Resource Table'!A:A,'Resource Table'!B:B,"NOT FOUND",0,1)</f>
        <v>Dedicated</v>
      </c>
      <c r="O961" t="str">
        <f>_xlfn.XLOOKUP(N:N,'Resource Table'!B:B,'Resource Table'!C:C,"n/a",0,1)</f>
        <v>AFS Dedicated Tech</v>
      </c>
      <c r="P961" t="str">
        <f>_xlfn.XLOOKUP(N:N,'Resource Table'!B:B,'Resource Table'!D:D,"n/a",0,1)</f>
        <v>Dedicated</v>
      </c>
    </row>
    <row r="962" spans="1:16" x14ac:dyDescent="0.45">
      <c r="A962" t="s">
        <v>5403</v>
      </c>
      <c r="B962" t="s">
        <v>5416</v>
      </c>
      <c r="C962" t="s">
        <v>5435</v>
      </c>
      <c r="D962" t="s">
        <v>5452</v>
      </c>
      <c r="E962" t="s">
        <v>6451</v>
      </c>
      <c r="F962" t="s">
        <v>13473</v>
      </c>
      <c r="G962" t="s">
        <v>13474</v>
      </c>
      <c r="H962" t="s">
        <v>13492</v>
      </c>
      <c r="I962" t="s">
        <v>6479</v>
      </c>
      <c r="J962" t="s">
        <v>13463</v>
      </c>
      <c r="K962">
        <v>2</v>
      </c>
      <c r="L962" t="s">
        <v>13524</v>
      </c>
      <c r="M962" t="s">
        <v>20</v>
      </c>
      <c r="N962" t="str">
        <f>_xlfn.XLOOKUP(C:C,'Resource Table'!A:A,'Resource Table'!B:B,"NOT FOUND",0,1)</f>
        <v>Dedicated</v>
      </c>
      <c r="O962" t="str">
        <f>_xlfn.XLOOKUP(N:N,'Resource Table'!B:B,'Resource Table'!C:C,"n/a",0,1)</f>
        <v>AFS Dedicated Tech</v>
      </c>
      <c r="P962" t="str">
        <f>_xlfn.XLOOKUP(N:N,'Resource Table'!B:B,'Resource Table'!D:D,"n/a",0,1)</f>
        <v>Dedicated</v>
      </c>
    </row>
    <row r="963" spans="1:16" x14ac:dyDescent="0.45">
      <c r="A963" t="s">
        <v>5403</v>
      </c>
      <c r="B963" t="s">
        <v>5416</v>
      </c>
      <c r="C963" t="s">
        <v>5435</v>
      </c>
      <c r="D963" t="s">
        <v>5962</v>
      </c>
      <c r="E963" t="s">
        <v>6461</v>
      </c>
      <c r="F963" t="s">
        <v>13460</v>
      </c>
      <c r="G963" t="s">
        <v>13481</v>
      </c>
      <c r="H963" t="s">
        <v>13482</v>
      </c>
      <c r="I963" t="s">
        <v>6479</v>
      </c>
      <c r="J963" t="s">
        <v>13463</v>
      </c>
      <c r="K963">
        <v>2</v>
      </c>
      <c r="L963" t="s">
        <v>13468</v>
      </c>
      <c r="M963" t="s">
        <v>13468</v>
      </c>
      <c r="N963" t="str">
        <f>_xlfn.XLOOKUP(C:C,'Resource Table'!A:A,'Resource Table'!B:B,"NOT FOUND",0,1)</f>
        <v>Dedicated</v>
      </c>
      <c r="O963" t="str">
        <f>_xlfn.XLOOKUP(N:N,'Resource Table'!B:B,'Resource Table'!C:C,"n/a",0,1)</f>
        <v>AFS Dedicated Tech</v>
      </c>
      <c r="P963" t="str">
        <f>_xlfn.XLOOKUP(N:N,'Resource Table'!B:B,'Resource Table'!D:D,"n/a",0,1)</f>
        <v>Dedicated</v>
      </c>
    </row>
    <row r="964" spans="1:16" x14ac:dyDescent="0.45">
      <c r="A964" t="s">
        <v>5403</v>
      </c>
      <c r="B964" t="s">
        <v>5416</v>
      </c>
      <c r="C964" t="s">
        <v>5435</v>
      </c>
      <c r="D964" t="s">
        <v>6148</v>
      </c>
      <c r="E964" t="s">
        <v>6461</v>
      </c>
      <c r="F964" t="s">
        <v>13460</v>
      </c>
      <c r="G964" t="s">
        <v>13509</v>
      </c>
      <c r="H964" t="s">
        <v>13510</v>
      </c>
      <c r="I964" t="s">
        <v>6479</v>
      </c>
      <c r="J964" t="s">
        <v>13463</v>
      </c>
      <c r="K964">
        <v>0</v>
      </c>
      <c r="L964" t="s">
        <v>20</v>
      </c>
      <c r="M964" t="s">
        <v>20</v>
      </c>
      <c r="N964" t="str">
        <f>_xlfn.XLOOKUP(C:C,'Resource Table'!A:A,'Resource Table'!B:B,"NOT FOUND",0,1)</f>
        <v>Dedicated</v>
      </c>
      <c r="O964" t="str">
        <f>_xlfn.XLOOKUP(N:N,'Resource Table'!B:B,'Resource Table'!C:C,"n/a",0,1)</f>
        <v>AFS Dedicated Tech</v>
      </c>
      <c r="P964" t="str">
        <f>_xlfn.XLOOKUP(N:N,'Resource Table'!B:B,'Resource Table'!D:D,"n/a",0,1)</f>
        <v>Dedicated</v>
      </c>
    </row>
    <row r="965" spans="1:16" x14ac:dyDescent="0.45">
      <c r="A965" t="s">
        <v>5403</v>
      </c>
      <c r="B965" t="s">
        <v>5416</v>
      </c>
      <c r="C965" t="s">
        <v>5435</v>
      </c>
      <c r="D965" t="s">
        <v>5726</v>
      </c>
      <c r="E965" t="s">
        <v>6451</v>
      </c>
      <c r="F965" t="s">
        <v>13473</v>
      </c>
      <c r="G965" t="s">
        <v>13474</v>
      </c>
      <c r="H965" t="s">
        <v>13517</v>
      </c>
      <c r="I965" t="s">
        <v>6479</v>
      </c>
      <c r="J965" t="s">
        <v>13463</v>
      </c>
      <c r="K965">
        <v>1</v>
      </c>
      <c r="L965" t="s">
        <v>13524</v>
      </c>
      <c r="M965" t="s">
        <v>20</v>
      </c>
      <c r="N965" t="str">
        <f>_xlfn.XLOOKUP(C:C,'Resource Table'!A:A,'Resource Table'!B:B,"NOT FOUND",0,1)</f>
        <v>Dedicated</v>
      </c>
      <c r="O965" t="str">
        <f>_xlfn.XLOOKUP(N:N,'Resource Table'!B:B,'Resource Table'!C:C,"n/a",0,1)</f>
        <v>AFS Dedicated Tech</v>
      </c>
      <c r="P965" t="str">
        <f>_xlfn.XLOOKUP(N:N,'Resource Table'!B:B,'Resource Table'!D:D,"n/a",0,1)</f>
        <v>Dedicated</v>
      </c>
    </row>
    <row r="966" spans="1:16" x14ac:dyDescent="0.45">
      <c r="A966" t="s">
        <v>5403</v>
      </c>
      <c r="B966" t="s">
        <v>5416</v>
      </c>
      <c r="C966" t="s">
        <v>5435</v>
      </c>
      <c r="D966" t="s">
        <v>5860</v>
      </c>
      <c r="E966" t="s">
        <v>6451</v>
      </c>
      <c r="F966" t="s">
        <v>13473</v>
      </c>
      <c r="G966" t="s">
        <v>13474</v>
      </c>
      <c r="H966" t="s">
        <v>13475</v>
      </c>
      <c r="I966" t="s">
        <v>29</v>
      </c>
      <c r="J966" t="s">
        <v>13463</v>
      </c>
      <c r="K966">
        <v>1</v>
      </c>
      <c r="L966" t="s">
        <v>13507</v>
      </c>
      <c r="M966" t="s">
        <v>20</v>
      </c>
      <c r="N966" t="str">
        <f>_xlfn.XLOOKUP(C:C,'Resource Table'!A:A,'Resource Table'!B:B,"NOT FOUND",0,1)</f>
        <v>Dedicated</v>
      </c>
      <c r="O966" t="str">
        <f>_xlfn.XLOOKUP(N:N,'Resource Table'!B:B,'Resource Table'!C:C,"n/a",0,1)</f>
        <v>AFS Dedicated Tech</v>
      </c>
      <c r="P966" t="str">
        <f>_xlfn.XLOOKUP(N:N,'Resource Table'!B:B,'Resource Table'!D:D,"n/a",0,1)</f>
        <v>Dedicated</v>
      </c>
    </row>
    <row r="967" spans="1:16" x14ac:dyDescent="0.45">
      <c r="A967" t="s">
        <v>5403</v>
      </c>
      <c r="B967" t="s">
        <v>5416</v>
      </c>
      <c r="C967" t="s">
        <v>5435</v>
      </c>
      <c r="D967" t="s">
        <v>5436</v>
      </c>
      <c r="E967" t="s">
        <v>6451</v>
      </c>
      <c r="F967" t="s">
        <v>13473</v>
      </c>
      <c r="G967" t="s">
        <v>13474</v>
      </c>
      <c r="H967" t="s">
        <v>13492</v>
      </c>
      <c r="I967" t="s">
        <v>6479</v>
      </c>
      <c r="J967" t="s">
        <v>13463</v>
      </c>
      <c r="K967">
        <v>2</v>
      </c>
      <c r="L967" t="s">
        <v>13470</v>
      </c>
      <c r="M967" t="s">
        <v>13489</v>
      </c>
      <c r="N967" t="str">
        <f>_xlfn.XLOOKUP(C:C,'Resource Table'!A:A,'Resource Table'!B:B,"NOT FOUND",0,1)</f>
        <v>Dedicated</v>
      </c>
      <c r="O967" t="str">
        <f>_xlfn.XLOOKUP(N:N,'Resource Table'!B:B,'Resource Table'!C:C,"n/a",0,1)</f>
        <v>AFS Dedicated Tech</v>
      </c>
      <c r="P967" t="str">
        <f>_xlfn.XLOOKUP(N:N,'Resource Table'!B:B,'Resource Table'!D:D,"n/a",0,1)</f>
        <v>Dedicated</v>
      </c>
    </row>
    <row r="968" spans="1:16" x14ac:dyDescent="0.45">
      <c r="A968" t="s">
        <v>5403</v>
      </c>
      <c r="B968" t="s">
        <v>5416</v>
      </c>
      <c r="C968" t="s">
        <v>5435</v>
      </c>
      <c r="D968" t="s">
        <v>13092</v>
      </c>
      <c r="E968" t="s">
        <v>6451</v>
      </c>
      <c r="F968" t="s">
        <v>13460</v>
      </c>
      <c r="G968" t="s">
        <v>13461</v>
      </c>
      <c r="H968" t="s">
        <v>13465</v>
      </c>
      <c r="I968" t="s">
        <v>29</v>
      </c>
      <c r="J968" t="s">
        <v>13463</v>
      </c>
      <c r="K968">
        <v>1</v>
      </c>
      <c r="L968" t="s">
        <v>13487</v>
      </c>
      <c r="M968" t="s">
        <v>20</v>
      </c>
      <c r="N968" t="str">
        <f>_xlfn.XLOOKUP(C:C,'Resource Table'!A:A,'Resource Table'!B:B,"NOT FOUND",0,1)</f>
        <v>Dedicated</v>
      </c>
      <c r="O968" t="str">
        <f>_xlfn.XLOOKUP(N:N,'Resource Table'!B:B,'Resource Table'!C:C,"n/a",0,1)</f>
        <v>AFS Dedicated Tech</v>
      </c>
      <c r="P968" t="str">
        <f>_xlfn.XLOOKUP(N:N,'Resource Table'!B:B,'Resource Table'!D:D,"n/a",0,1)</f>
        <v>Dedicated</v>
      </c>
    </row>
    <row r="969" spans="1:16" x14ac:dyDescent="0.45">
      <c r="A969" t="s">
        <v>5403</v>
      </c>
      <c r="B969" t="s">
        <v>5416</v>
      </c>
      <c r="C969" t="s">
        <v>5435</v>
      </c>
      <c r="D969" t="s">
        <v>5861</v>
      </c>
      <c r="E969" t="s">
        <v>6451</v>
      </c>
      <c r="F969" t="s">
        <v>13473</v>
      </c>
      <c r="G969" t="s">
        <v>13474</v>
      </c>
      <c r="H969" t="s">
        <v>13475</v>
      </c>
      <c r="I969" t="s">
        <v>6479</v>
      </c>
      <c r="J969" t="s">
        <v>13463</v>
      </c>
      <c r="K969">
        <v>1</v>
      </c>
      <c r="L969" t="s">
        <v>13493</v>
      </c>
      <c r="M969" t="s">
        <v>20</v>
      </c>
      <c r="N969" t="str">
        <f>_xlfn.XLOOKUP(C:C,'Resource Table'!A:A,'Resource Table'!B:B,"NOT FOUND",0,1)</f>
        <v>Dedicated</v>
      </c>
      <c r="O969" t="str">
        <f>_xlfn.XLOOKUP(N:N,'Resource Table'!B:B,'Resource Table'!C:C,"n/a",0,1)</f>
        <v>AFS Dedicated Tech</v>
      </c>
      <c r="P969" t="str">
        <f>_xlfn.XLOOKUP(N:N,'Resource Table'!B:B,'Resource Table'!D:D,"n/a",0,1)</f>
        <v>Dedicated</v>
      </c>
    </row>
    <row r="970" spans="1:16" x14ac:dyDescent="0.45">
      <c r="A970" t="s">
        <v>5403</v>
      </c>
      <c r="B970" t="s">
        <v>5421</v>
      </c>
      <c r="C970" t="s">
        <v>5471</v>
      </c>
      <c r="D970" t="s">
        <v>6102</v>
      </c>
      <c r="E970" t="s">
        <v>6461</v>
      </c>
      <c r="F970" t="s">
        <v>13460</v>
      </c>
      <c r="G970" t="s">
        <v>13481</v>
      </c>
      <c r="H970" t="s">
        <v>13518</v>
      </c>
      <c r="I970" t="s">
        <v>6479</v>
      </c>
      <c r="J970" t="s">
        <v>13463</v>
      </c>
      <c r="K970">
        <v>1</v>
      </c>
      <c r="L970" t="s">
        <v>13466</v>
      </c>
      <c r="M970" t="s">
        <v>20</v>
      </c>
      <c r="N970" t="str">
        <f>_xlfn.XLOOKUP(C:C,'Resource Table'!A:A,'Resource Table'!B:B,"NOT FOUND",0,1)</f>
        <v>Dedicated</v>
      </c>
      <c r="O970" t="str">
        <f>_xlfn.XLOOKUP(N:N,'Resource Table'!B:B,'Resource Table'!C:C,"n/a",0,1)</f>
        <v>AFS Dedicated Tech</v>
      </c>
      <c r="P970" t="str">
        <f>_xlfn.XLOOKUP(N:N,'Resource Table'!B:B,'Resource Table'!D:D,"n/a",0,1)</f>
        <v>Dedicated</v>
      </c>
    </row>
    <row r="971" spans="1:16" x14ac:dyDescent="0.45">
      <c r="A971" t="s">
        <v>5403</v>
      </c>
      <c r="B971" t="s">
        <v>5421</v>
      </c>
      <c r="C971" t="s">
        <v>5471</v>
      </c>
      <c r="D971" t="s">
        <v>5803</v>
      </c>
      <c r="E971" t="s">
        <v>6451</v>
      </c>
      <c r="F971" t="s">
        <v>13473</v>
      </c>
      <c r="G971" t="s">
        <v>13474</v>
      </c>
      <c r="H971" t="s">
        <v>13521</v>
      </c>
      <c r="I971" t="s">
        <v>6479</v>
      </c>
      <c r="J971" t="s">
        <v>13463</v>
      </c>
      <c r="K971">
        <v>28</v>
      </c>
      <c r="L971" t="s">
        <v>13544</v>
      </c>
      <c r="M971" t="s">
        <v>13503</v>
      </c>
      <c r="N971" t="str">
        <f>_xlfn.XLOOKUP(C:C,'Resource Table'!A:A,'Resource Table'!B:B,"NOT FOUND",0,1)</f>
        <v>Dedicated</v>
      </c>
      <c r="O971" t="str">
        <f>_xlfn.XLOOKUP(N:N,'Resource Table'!B:B,'Resource Table'!C:C,"n/a",0,1)</f>
        <v>AFS Dedicated Tech</v>
      </c>
      <c r="P971" t="str">
        <f>_xlfn.XLOOKUP(N:N,'Resource Table'!B:B,'Resource Table'!D:D,"n/a",0,1)</f>
        <v>Dedicated</v>
      </c>
    </row>
    <row r="972" spans="1:16" x14ac:dyDescent="0.45">
      <c r="A972" t="s">
        <v>5403</v>
      </c>
      <c r="B972" t="s">
        <v>5421</v>
      </c>
      <c r="C972" t="s">
        <v>5471</v>
      </c>
      <c r="D972" t="s">
        <v>5941</v>
      </c>
      <c r="E972" t="s">
        <v>6461</v>
      </c>
      <c r="F972" t="s">
        <v>13460</v>
      </c>
      <c r="G972" t="s">
        <v>13481</v>
      </c>
      <c r="H972" t="s">
        <v>13482</v>
      </c>
      <c r="I972" t="s">
        <v>6479</v>
      </c>
      <c r="J972" t="s">
        <v>13463</v>
      </c>
      <c r="K972">
        <v>1</v>
      </c>
      <c r="L972" t="s">
        <v>13536</v>
      </c>
      <c r="M972" t="s">
        <v>20</v>
      </c>
      <c r="N972" t="str">
        <f>_xlfn.XLOOKUP(C:C,'Resource Table'!A:A,'Resource Table'!B:B,"NOT FOUND",0,1)</f>
        <v>Dedicated</v>
      </c>
      <c r="O972" t="str">
        <f>_xlfn.XLOOKUP(N:N,'Resource Table'!B:B,'Resource Table'!C:C,"n/a",0,1)</f>
        <v>AFS Dedicated Tech</v>
      </c>
      <c r="P972" t="str">
        <f>_xlfn.XLOOKUP(N:N,'Resource Table'!B:B,'Resource Table'!D:D,"n/a",0,1)</f>
        <v>Dedicated</v>
      </c>
    </row>
    <row r="973" spans="1:16" x14ac:dyDescent="0.45">
      <c r="A973" t="s">
        <v>5403</v>
      </c>
      <c r="B973" t="s">
        <v>5421</v>
      </c>
      <c r="C973" t="s">
        <v>5471</v>
      </c>
      <c r="D973" t="s">
        <v>5694</v>
      </c>
      <c r="E973" t="s">
        <v>6451</v>
      </c>
      <c r="F973" t="s">
        <v>13473</v>
      </c>
      <c r="G973" t="s">
        <v>13474</v>
      </c>
      <c r="H973" t="s">
        <v>13492</v>
      </c>
      <c r="I973" t="s">
        <v>29</v>
      </c>
      <c r="J973" t="s">
        <v>13463</v>
      </c>
      <c r="K973">
        <v>3</v>
      </c>
      <c r="L973" t="s">
        <v>13472</v>
      </c>
      <c r="M973" t="s">
        <v>13493</v>
      </c>
      <c r="N973" t="str">
        <f>_xlfn.XLOOKUP(C:C,'Resource Table'!A:A,'Resource Table'!B:B,"NOT FOUND",0,1)</f>
        <v>Dedicated</v>
      </c>
      <c r="O973" t="str">
        <f>_xlfn.XLOOKUP(N:N,'Resource Table'!B:B,'Resource Table'!C:C,"n/a",0,1)</f>
        <v>AFS Dedicated Tech</v>
      </c>
      <c r="P973" t="str">
        <f>_xlfn.XLOOKUP(N:N,'Resource Table'!B:B,'Resource Table'!D:D,"n/a",0,1)</f>
        <v>Dedicated</v>
      </c>
    </row>
    <row r="974" spans="1:16" x14ac:dyDescent="0.45">
      <c r="A974" t="s">
        <v>5403</v>
      </c>
      <c r="B974" t="s">
        <v>5421</v>
      </c>
      <c r="C974" t="s">
        <v>5471</v>
      </c>
      <c r="D974" t="s">
        <v>5659</v>
      </c>
      <c r="E974" t="s">
        <v>6451</v>
      </c>
      <c r="F974" t="s">
        <v>13460</v>
      </c>
      <c r="G974" t="s">
        <v>13476</v>
      </c>
      <c r="H974" t="s">
        <v>13478</v>
      </c>
      <c r="I974" t="s">
        <v>29</v>
      </c>
      <c r="J974" t="s">
        <v>13463</v>
      </c>
      <c r="K974">
        <v>1</v>
      </c>
      <c r="L974" t="s">
        <v>13472</v>
      </c>
      <c r="M974" t="s">
        <v>13570</v>
      </c>
      <c r="N974" t="str">
        <f>_xlfn.XLOOKUP(C:C,'Resource Table'!A:A,'Resource Table'!B:B,"NOT FOUND",0,1)</f>
        <v>Dedicated</v>
      </c>
      <c r="O974" t="str">
        <f>_xlfn.XLOOKUP(N:N,'Resource Table'!B:B,'Resource Table'!C:C,"n/a",0,1)</f>
        <v>AFS Dedicated Tech</v>
      </c>
      <c r="P974" t="str">
        <f>_xlfn.XLOOKUP(N:N,'Resource Table'!B:B,'Resource Table'!D:D,"n/a",0,1)</f>
        <v>Dedicated</v>
      </c>
    </row>
    <row r="975" spans="1:16" x14ac:dyDescent="0.45">
      <c r="A975" t="s">
        <v>5403</v>
      </c>
      <c r="B975" t="s">
        <v>5421</v>
      </c>
      <c r="C975" t="s">
        <v>5471</v>
      </c>
      <c r="D975" t="s">
        <v>4975</v>
      </c>
      <c r="E975" t="s">
        <v>6451</v>
      </c>
      <c r="F975" t="s">
        <v>13473</v>
      </c>
      <c r="G975" t="s">
        <v>13474</v>
      </c>
      <c r="H975" t="s">
        <v>13475</v>
      </c>
      <c r="I975" t="s">
        <v>6479</v>
      </c>
      <c r="J975" t="s">
        <v>13463</v>
      </c>
      <c r="K975">
        <v>0</v>
      </c>
      <c r="L975" t="s">
        <v>20</v>
      </c>
      <c r="M975" t="s">
        <v>20</v>
      </c>
      <c r="N975" t="str">
        <f>_xlfn.XLOOKUP(C:C,'Resource Table'!A:A,'Resource Table'!B:B,"NOT FOUND",0,1)</f>
        <v>Dedicated</v>
      </c>
      <c r="O975" t="str">
        <f>_xlfn.XLOOKUP(N:N,'Resource Table'!B:B,'Resource Table'!C:C,"n/a",0,1)</f>
        <v>AFS Dedicated Tech</v>
      </c>
      <c r="P975" t="str">
        <f>_xlfn.XLOOKUP(N:N,'Resource Table'!B:B,'Resource Table'!D:D,"n/a",0,1)</f>
        <v>Dedicated</v>
      </c>
    </row>
    <row r="976" spans="1:16" x14ac:dyDescent="0.45">
      <c r="A976" t="s">
        <v>5403</v>
      </c>
      <c r="B976" t="s">
        <v>5421</v>
      </c>
      <c r="C976" t="s">
        <v>5471</v>
      </c>
      <c r="D976" t="s">
        <v>5483</v>
      </c>
      <c r="E976" t="s">
        <v>6451</v>
      </c>
      <c r="F976" t="s">
        <v>13473</v>
      </c>
      <c r="G976" t="s">
        <v>13474</v>
      </c>
      <c r="H976" t="s">
        <v>13517</v>
      </c>
      <c r="I976" t="s">
        <v>29</v>
      </c>
      <c r="J976" t="s">
        <v>13463</v>
      </c>
      <c r="K976">
        <v>1</v>
      </c>
      <c r="L976" t="s">
        <v>13519</v>
      </c>
      <c r="M976" t="s">
        <v>13556</v>
      </c>
      <c r="N976" t="str">
        <f>_xlfn.XLOOKUP(C:C,'Resource Table'!A:A,'Resource Table'!B:B,"NOT FOUND",0,1)</f>
        <v>Dedicated</v>
      </c>
      <c r="O976" t="str">
        <f>_xlfn.XLOOKUP(N:N,'Resource Table'!B:B,'Resource Table'!C:C,"n/a",0,1)</f>
        <v>AFS Dedicated Tech</v>
      </c>
      <c r="P976" t="str">
        <f>_xlfn.XLOOKUP(N:N,'Resource Table'!B:B,'Resource Table'!D:D,"n/a",0,1)</f>
        <v>Dedicated</v>
      </c>
    </row>
    <row r="977" spans="1:16" x14ac:dyDescent="0.45">
      <c r="A977" t="s">
        <v>5403</v>
      </c>
      <c r="B977" t="s">
        <v>5421</v>
      </c>
      <c r="C977" t="s">
        <v>5471</v>
      </c>
      <c r="D977" t="s">
        <v>5073</v>
      </c>
      <c r="E977" t="s">
        <v>6451</v>
      </c>
      <c r="F977" t="s">
        <v>13473</v>
      </c>
      <c r="G977" t="s">
        <v>13474</v>
      </c>
      <c r="H977" t="s">
        <v>13475</v>
      </c>
      <c r="I977" t="s">
        <v>6479</v>
      </c>
      <c r="J977" t="s">
        <v>13463</v>
      </c>
      <c r="K977">
        <v>3</v>
      </c>
      <c r="L977" t="s">
        <v>13606</v>
      </c>
      <c r="M977" t="s">
        <v>13480</v>
      </c>
      <c r="N977" t="str">
        <f>_xlfn.XLOOKUP(C:C,'Resource Table'!A:A,'Resource Table'!B:B,"NOT FOUND",0,1)</f>
        <v>Dedicated</v>
      </c>
      <c r="O977" t="str">
        <f>_xlfn.XLOOKUP(N:N,'Resource Table'!B:B,'Resource Table'!C:C,"n/a",0,1)</f>
        <v>AFS Dedicated Tech</v>
      </c>
      <c r="P977" t="str">
        <f>_xlfn.XLOOKUP(N:N,'Resource Table'!B:B,'Resource Table'!D:D,"n/a",0,1)</f>
        <v>Dedicated</v>
      </c>
    </row>
    <row r="978" spans="1:16" x14ac:dyDescent="0.45">
      <c r="A978" t="s">
        <v>5403</v>
      </c>
      <c r="B978" t="s">
        <v>5421</v>
      </c>
      <c r="C978" t="s">
        <v>5471</v>
      </c>
      <c r="D978" t="s">
        <v>5737</v>
      </c>
      <c r="E978" t="s">
        <v>6451</v>
      </c>
      <c r="F978" t="s">
        <v>13473</v>
      </c>
      <c r="G978" t="s">
        <v>13474</v>
      </c>
      <c r="H978" t="s">
        <v>13517</v>
      </c>
      <c r="I978" t="s">
        <v>6479</v>
      </c>
      <c r="J978" t="s">
        <v>13463</v>
      </c>
      <c r="K978">
        <v>3</v>
      </c>
      <c r="L978" t="s">
        <v>13483</v>
      </c>
      <c r="M978" t="s">
        <v>13507</v>
      </c>
      <c r="N978" t="str">
        <f>_xlfn.XLOOKUP(C:C,'Resource Table'!A:A,'Resource Table'!B:B,"NOT FOUND",0,1)</f>
        <v>Dedicated</v>
      </c>
      <c r="O978" t="str">
        <f>_xlfn.XLOOKUP(N:N,'Resource Table'!B:B,'Resource Table'!C:C,"n/a",0,1)</f>
        <v>AFS Dedicated Tech</v>
      </c>
      <c r="P978" t="str">
        <f>_xlfn.XLOOKUP(N:N,'Resource Table'!B:B,'Resource Table'!D:D,"n/a",0,1)</f>
        <v>Dedicated</v>
      </c>
    </row>
    <row r="979" spans="1:16" x14ac:dyDescent="0.45">
      <c r="A979" t="s">
        <v>5403</v>
      </c>
      <c r="B979" t="s">
        <v>5421</v>
      </c>
      <c r="C979" t="s">
        <v>5471</v>
      </c>
      <c r="D979" t="s">
        <v>6047</v>
      </c>
      <c r="E979" t="s">
        <v>6461</v>
      </c>
      <c r="F979" t="s">
        <v>13460</v>
      </c>
      <c r="G979" t="s">
        <v>13481</v>
      </c>
      <c r="H979" t="s">
        <v>13522</v>
      </c>
      <c r="I979" t="s">
        <v>6479</v>
      </c>
      <c r="J979" t="s">
        <v>13463</v>
      </c>
      <c r="K979">
        <v>3</v>
      </c>
      <c r="L979" t="s">
        <v>13507</v>
      </c>
      <c r="M979" t="s">
        <v>20</v>
      </c>
      <c r="N979" t="str">
        <f>_xlfn.XLOOKUP(C:C,'Resource Table'!A:A,'Resource Table'!B:B,"NOT FOUND",0,1)</f>
        <v>Dedicated</v>
      </c>
      <c r="O979" t="str">
        <f>_xlfn.XLOOKUP(N:N,'Resource Table'!B:B,'Resource Table'!C:C,"n/a",0,1)</f>
        <v>AFS Dedicated Tech</v>
      </c>
      <c r="P979" t="str">
        <f>_xlfn.XLOOKUP(N:N,'Resource Table'!B:B,'Resource Table'!D:D,"n/a",0,1)</f>
        <v>Dedicated</v>
      </c>
    </row>
    <row r="980" spans="1:16" x14ac:dyDescent="0.45">
      <c r="A980" t="s">
        <v>5403</v>
      </c>
      <c r="B980" t="s">
        <v>5421</v>
      </c>
      <c r="C980" t="s">
        <v>5471</v>
      </c>
      <c r="D980" t="s">
        <v>5746</v>
      </c>
      <c r="E980" t="s">
        <v>6451</v>
      </c>
      <c r="F980" t="s">
        <v>13473</v>
      </c>
      <c r="G980" t="s">
        <v>13474</v>
      </c>
      <c r="H980" t="s">
        <v>13517</v>
      </c>
      <c r="I980" t="s">
        <v>6479</v>
      </c>
      <c r="J980" t="s">
        <v>13463</v>
      </c>
      <c r="K980">
        <v>1</v>
      </c>
      <c r="L980" t="s">
        <v>13507</v>
      </c>
      <c r="M980" t="s">
        <v>20</v>
      </c>
      <c r="N980" t="str">
        <f>_xlfn.XLOOKUP(C:C,'Resource Table'!A:A,'Resource Table'!B:B,"NOT FOUND",0,1)</f>
        <v>Dedicated</v>
      </c>
      <c r="O980" t="str">
        <f>_xlfn.XLOOKUP(N:N,'Resource Table'!B:B,'Resource Table'!C:C,"n/a",0,1)</f>
        <v>AFS Dedicated Tech</v>
      </c>
      <c r="P980" t="str">
        <f>_xlfn.XLOOKUP(N:N,'Resource Table'!B:B,'Resource Table'!D:D,"n/a",0,1)</f>
        <v>Dedicated</v>
      </c>
    </row>
    <row r="981" spans="1:16" x14ac:dyDescent="0.45">
      <c r="A981" t="s">
        <v>5403</v>
      </c>
      <c r="B981" t="s">
        <v>5421</v>
      </c>
      <c r="C981" t="s">
        <v>5471</v>
      </c>
      <c r="D981" t="s">
        <v>5735</v>
      </c>
      <c r="E981" t="s">
        <v>6451</v>
      </c>
      <c r="F981" t="s">
        <v>13473</v>
      </c>
      <c r="G981" t="s">
        <v>13474</v>
      </c>
      <c r="H981" t="s">
        <v>13517</v>
      </c>
      <c r="I981" t="s">
        <v>29</v>
      </c>
      <c r="J981" t="s">
        <v>13463</v>
      </c>
      <c r="K981">
        <v>3</v>
      </c>
      <c r="L981" t="s">
        <v>13464</v>
      </c>
      <c r="M981" t="s">
        <v>20</v>
      </c>
      <c r="N981" t="str">
        <f>_xlfn.XLOOKUP(C:C,'Resource Table'!A:A,'Resource Table'!B:B,"NOT FOUND",0,1)</f>
        <v>Dedicated</v>
      </c>
      <c r="O981" t="str">
        <f>_xlfn.XLOOKUP(N:N,'Resource Table'!B:B,'Resource Table'!C:C,"n/a",0,1)</f>
        <v>AFS Dedicated Tech</v>
      </c>
      <c r="P981" t="str">
        <f>_xlfn.XLOOKUP(N:N,'Resource Table'!B:B,'Resource Table'!D:D,"n/a",0,1)</f>
        <v>Dedicated</v>
      </c>
    </row>
    <row r="982" spans="1:16" x14ac:dyDescent="0.45">
      <c r="A982" t="s">
        <v>5403</v>
      </c>
      <c r="B982" t="s">
        <v>5421</v>
      </c>
      <c r="C982" t="s">
        <v>5471</v>
      </c>
      <c r="D982" t="s">
        <v>5994</v>
      </c>
      <c r="E982" t="s">
        <v>6461</v>
      </c>
      <c r="F982" t="s">
        <v>13460</v>
      </c>
      <c r="G982" t="s">
        <v>13481</v>
      </c>
      <c r="H982" t="s">
        <v>13482</v>
      </c>
      <c r="I982" t="s">
        <v>6479</v>
      </c>
      <c r="J982" t="s">
        <v>13463</v>
      </c>
      <c r="K982">
        <v>0</v>
      </c>
      <c r="L982" t="s">
        <v>20</v>
      </c>
      <c r="M982" t="s">
        <v>20</v>
      </c>
      <c r="N982" t="str">
        <f>_xlfn.XLOOKUP(C:C,'Resource Table'!A:A,'Resource Table'!B:B,"NOT FOUND",0,1)</f>
        <v>Dedicated</v>
      </c>
      <c r="O982" t="str">
        <f>_xlfn.XLOOKUP(N:N,'Resource Table'!B:B,'Resource Table'!C:C,"n/a",0,1)</f>
        <v>AFS Dedicated Tech</v>
      </c>
      <c r="P982" t="str">
        <f>_xlfn.XLOOKUP(N:N,'Resource Table'!B:B,'Resource Table'!D:D,"n/a",0,1)</f>
        <v>Dedicated</v>
      </c>
    </row>
    <row r="983" spans="1:16" x14ac:dyDescent="0.45">
      <c r="A983" t="s">
        <v>5403</v>
      </c>
      <c r="B983" t="s">
        <v>5421</v>
      </c>
      <c r="C983" t="s">
        <v>5471</v>
      </c>
      <c r="D983" t="s">
        <v>316</v>
      </c>
      <c r="E983" t="s">
        <v>6451</v>
      </c>
      <c r="F983" t="s">
        <v>13473</v>
      </c>
      <c r="G983" t="s">
        <v>13474</v>
      </c>
      <c r="H983" t="s">
        <v>13475</v>
      </c>
      <c r="I983" t="s">
        <v>29</v>
      </c>
      <c r="J983" t="s">
        <v>13463</v>
      </c>
      <c r="K983">
        <v>4</v>
      </c>
      <c r="L983" t="s">
        <v>13483</v>
      </c>
      <c r="M983" t="s">
        <v>13505</v>
      </c>
      <c r="N983" t="str">
        <f>_xlfn.XLOOKUP(C:C,'Resource Table'!A:A,'Resource Table'!B:B,"NOT FOUND",0,1)</f>
        <v>Dedicated</v>
      </c>
      <c r="O983" t="str">
        <f>_xlfn.XLOOKUP(N:N,'Resource Table'!B:B,'Resource Table'!C:C,"n/a",0,1)</f>
        <v>AFS Dedicated Tech</v>
      </c>
      <c r="P983" t="str">
        <f>_xlfn.XLOOKUP(N:N,'Resource Table'!B:B,'Resource Table'!D:D,"n/a",0,1)</f>
        <v>Dedicated</v>
      </c>
    </row>
    <row r="984" spans="1:16" x14ac:dyDescent="0.45">
      <c r="A984" t="s">
        <v>5403</v>
      </c>
      <c r="B984" t="s">
        <v>5421</v>
      </c>
      <c r="C984" t="s">
        <v>5471</v>
      </c>
      <c r="D984" t="s">
        <v>5845</v>
      </c>
      <c r="E984" t="s">
        <v>6451</v>
      </c>
      <c r="F984" t="s">
        <v>13473</v>
      </c>
      <c r="G984" t="s">
        <v>13474</v>
      </c>
      <c r="H984" t="s">
        <v>13475</v>
      </c>
      <c r="I984" t="s">
        <v>6479</v>
      </c>
      <c r="J984" t="s">
        <v>13463</v>
      </c>
      <c r="K984">
        <v>1</v>
      </c>
      <c r="L984" t="s">
        <v>13468</v>
      </c>
      <c r="M984" t="s">
        <v>20</v>
      </c>
      <c r="N984" t="str">
        <f>_xlfn.XLOOKUP(C:C,'Resource Table'!A:A,'Resource Table'!B:B,"NOT FOUND",0,1)</f>
        <v>Dedicated</v>
      </c>
      <c r="O984" t="str">
        <f>_xlfn.XLOOKUP(N:N,'Resource Table'!B:B,'Resource Table'!C:C,"n/a",0,1)</f>
        <v>AFS Dedicated Tech</v>
      </c>
      <c r="P984" t="str">
        <f>_xlfn.XLOOKUP(N:N,'Resource Table'!B:B,'Resource Table'!D:D,"n/a",0,1)</f>
        <v>Dedicated</v>
      </c>
    </row>
    <row r="985" spans="1:16" x14ac:dyDescent="0.45">
      <c r="A985" t="s">
        <v>5403</v>
      </c>
      <c r="B985" t="s">
        <v>5421</v>
      </c>
      <c r="C985" t="s">
        <v>5471</v>
      </c>
      <c r="D985" t="s">
        <v>5832</v>
      </c>
      <c r="E985" t="s">
        <v>6451</v>
      </c>
      <c r="F985" t="s">
        <v>13473</v>
      </c>
      <c r="G985" t="s">
        <v>13474</v>
      </c>
      <c r="H985" t="s">
        <v>13475</v>
      </c>
      <c r="I985" t="s">
        <v>6479</v>
      </c>
      <c r="J985" t="s">
        <v>13463</v>
      </c>
      <c r="K985">
        <v>0</v>
      </c>
      <c r="L985" t="s">
        <v>20</v>
      </c>
      <c r="M985" t="s">
        <v>20</v>
      </c>
      <c r="N985" t="str">
        <f>_xlfn.XLOOKUP(C:C,'Resource Table'!A:A,'Resource Table'!B:B,"NOT FOUND",0,1)</f>
        <v>Dedicated</v>
      </c>
      <c r="O985" t="str">
        <f>_xlfn.XLOOKUP(N:N,'Resource Table'!B:B,'Resource Table'!C:C,"n/a",0,1)</f>
        <v>AFS Dedicated Tech</v>
      </c>
      <c r="P985" t="str">
        <f>_xlfn.XLOOKUP(N:N,'Resource Table'!B:B,'Resource Table'!D:D,"n/a",0,1)</f>
        <v>Dedicated</v>
      </c>
    </row>
    <row r="986" spans="1:16" x14ac:dyDescent="0.45">
      <c r="A986" t="s">
        <v>5403</v>
      </c>
      <c r="B986" t="s">
        <v>5421</v>
      </c>
      <c r="C986" t="s">
        <v>5471</v>
      </c>
      <c r="D986" t="s">
        <v>6073</v>
      </c>
      <c r="E986" t="s">
        <v>6461</v>
      </c>
      <c r="F986" t="s">
        <v>13460</v>
      </c>
      <c r="G986" t="s">
        <v>13481</v>
      </c>
      <c r="H986" t="s">
        <v>13511</v>
      </c>
      <c r="I986" t="s">
        <v>6479</v>
      </c>
      <c r="J986" t="s">
        <v>13463</v>
      </c>
      <c r="K986">
        <v>2</v>
      </c>
      <c r="L986" t="s">
        <v>13536</v>
      </c>
      <c r="M986" t="s">
        <v>13493</v>
      </c>
      <c r="N986" t="str">
        <f>_xlfn.XLOOKUP(C:C,'Resource Table'!A:A,'Resource Table'!B:B,"NOT FOUND",0,1)</f>
        <v>Dedicated</v>
      </c>
      <c r="O986" t="str">
        <f>_xlfn.XLOOKUP(N:N,'Resource Table'!B:B,'Resource Table'!C:C,"n/a",0,1)</f>
        <v>AFS Dedicated Tech</v>
      </c>
      <c r="P986" t="str">
        <f>_xlfn.XLOOKUP(N:N,'Resource Table'!B:B,'Resource Table'!D:D,"n/a",0,1)</f>
        <v>Dedicated</v>
      </c>
    </row>
    <row r="987" spans="1:16" x14ac:dyDescent="0.45">
      <c r="A987" t="s">
        <v>5403</v>
      </c>
      <c r="B987" t="s">
        <v>5421</v>
      </c>
      <c r="C987" t="s">
        <v>5471</v>
      </c>
      <c r="D987" t="s">
        <v>6411</v>
      </c>
      <c r="E987" t="s">
        <v>6451</v>
      </c>
      <c r="F987" t="s">
        <v>13460</v>
      </c>
      <c r="G987" t="s">
        <v>13461</v>
      </c>
      <c r="H987" t="s">
        <v>13467</v>
      </c>
      <c r="I987" t="s">
        <v>29</v>
      </c>
      <c r="J987" t="s">
        <v>13463</v>
      </c>
      <c r="K987">
        <v>1</v>
      </c>
      <c r="L987" t="s">
        <v>13472</v>
      </c>
      <c r="M987" t="s">
        <v>13487</v>
      </c>
      <c r="N987" t="str">
        <f>_xlfn.XLOOKUP(C:C,'Resource Table'!A:A,'Resource Table'!B:B,"NOT FOUND",0,1)</f>
        <v>Dedicated</v>
      </c>
      <c r="O987" t="str">
        <f>_xlfn.XLOOKUP(N:N,'Resource Table'!B:B,'Resource Table'!C:C,"n/a",0,1)</f>
        <v>AFS Dedicated Tech</v>
      </c>
      <c r="P987" t="str">
        <f>_xlfn.XLOOKUP(N:N,'Resource Table'!B:B,'Resource Table'!D:D,"n/a",0,1)</f>
        <v>Dedicated</v>
      </c>
    </row>
    <row r="988" spans="1:16" x14ac:dyDescent="0.45">
      <c r="A988" t="s">
        <v>5403</v>
      </c>
      <c r="B988" t="s">
        <v>5421</v>
      </c>
      <c r="C988" t="s">
        <v>5471</v>
      </c>
      <c r="D988" t="s">
        <v>6046</v>
      </c>
      <c r="E988" t="s">
        <v>6461</v>
      </c>
      <c r="F988" t="s">
        <v>13460</v>
      </c>
      <c r="G988" t="s">
        <v>13481</v>
      </c>
      <c r="H988" t="s">
        <v>13522</v>
      </c>
      <c r="I988" t="s">
        <v>6479</v>
      </c>
      <c r="J988" t="s">
        <v>13463</v>
      </c>
      <c r="K988">
        <v>2</v>
      </c>
      <c r="L988" t="s">
        <v>13536</v>
      </c>
      <c r="M988" t="s">
        <v>20</v>
      </c>
      <c r="N988" t="str">
        <f>_xlfn.XLOOKUP(C:C,'Resource Table'!A:A,'Resource Table'!B:B,"NOT FOUND",0,1)</f>
        <v>Dedicated</v>
      </c>
      <c r="O988" t="str">
        <f>_xlfn.XLOOKUP(N:N,'Resource Table'!B:B,'Resource Table'!C:C,"n/a",0,1)</f>
        <v>AFS Dedicated Tech</v>
      </c>
      <c r="P988" t="str">
        <f>_xlfn.XLOOKUP(N:N,'Resource Table'!B:B,'Resource Table'!D:D,"n/a",0,1)</f>
        <v>Dedicated</v>
      </c>
    </row>
    <row r="989" spans="1:16" x14ac:dyDescent="0.45">
      <c r="A989" t="s">
        <v>5403</v>
      </c>
      <c r="B989" t="s">
        <v>5421</v>
      </c>
      <c r="C989" t="s">
        <v>5471</v>
      </c>
      <c r="D989" t="s">
        <v>6086</v>
      </c>
      <c r="E989" t="s">
        <v>6461</v>
      </c>
      <c r="F989" t="s">
        <v>13460</v>
      </c>
      <c r="G989" t="s">
        <v>13481</v>
      </c>
      <c r="H989" t="s">
        <v>13518</v>
      </c>
      <c r="I989" t="s">
        <v>6479</v>
      </c>
      <c r="J989" t="s">
        <v>13463</v>
      </c>
      <c r="K989">
        <v>0</v>
      </c>
      <c r="L989" t="s">
        <v>20</v>
      </c>
      <c r="M989" t="s">
        <v>20</v>
      </c>
      <c r="N989" t="str">
        <f>_xlfn.XLOOKUP(C:C,'Resource Table'!A:A,'Resource Table'!B:B,"NOT FOUND",0,1)</f>
        <v>Dedicated</v>
      </c>
      <c r="O989" t="str">
        <f>_xlfn.XLOOKUP(N:N,'Resource Table'!B:B,'Resource Table'!C:C,"n/a",0,1)</f>
        <v>AFS Dedicated Tech</v>
      </c>
      <c r="P989" t="str">
        <f>_xlfn.XLOOKUP(N:N,'Resource Table'!B:B,'Resource Table'!D:D,"n/a",0,1)</f>
        <v>Dedicated</v>
      </c>
    </row>
    <row r="990" spans="1:16" x14ac:dyDescent="0.45">
      <c r="A990" t="s">
        <v>5403</v>
      </c>
      <c r="B990" t="s">
        <v>5421</v>
      </c>
      <c r="C990" t="s">
        <v>5471</v>
      </c>
      <c r="D990" t="s">
        <v>6072</v>
      </c>
      <c r="E990" t="s">
        <v>6461</v>
      </c>
      <c r="F990" t="s">
        <v>13460</v>
      </c>
      <c r="G990" t="s">
        <v>13481</v>
      </c>
      <c r="H990" t="s">
        <v>13511</v>
      </c>
      <c r="I990" t="s">
        <v>6479</v>
      </c>
      <c r="J990" t="s">
        <v>13463</v>
      </c>
      <c r="K990">
        <v>0</v>
      </c>
      <c r="L990" t="s">
        <v>20</v>
      </c>
      <c r="M990" t="s">
        <v>20</v>
      </c>
      <c r="N990" t="str">
        <f>_xlfn.XLOOKUP(C:C,'Resource Table'!A:A,'Resource Table'!B:B,"NOT FOUND",0,1)</f>
        <v>Dedicated</v>
      </c>
      <c r="O990" t="str">
        <f>_xlfn.XLOOKUP(N:N,'Resource Table'!B:B,'Resource Table'!C:C,"n/a",0,1)</f>
        <v>AFS Dedicated Tech</v>
      </c>
      <c r="P990" t="str">
        <f>_xlfn.XLOOKUP(N:N,'Resource Table'!B:B,'Resource Table'!D:D,"n/a",0,1)</f>
        <v>Dedicated</v>
      </c>
    </row>
    <row r="991" spans="1:16" x14ac:dyDescent="0.45">
      <c r="A991" t="s">
        <v>5403</v>
      </c>
      <c r="B991" t="s">
        <v>5421</v>
      </c>
      <c r="C991" t="s">
        <v>5471</v>
      </c>
      <c r="D991" t="s">
        <v>6175</v>
      </c>
      <c r="E991" t="s">
        <v>6461</v>
      </c>
      <c r="F991" t="s">
        <v>13460</v>
      </c>
      <c r="G991" t="s">
        <v>13509</v>
      </c>
      <c r="H991" t="s">
        <v>13510</v>
      </c>
      <c r="I991" t="s">
        <v>6479</v>
      </c>
      <c r="J991" t="s">
        <v>13463</v>
      </c>
      <c r="K991">
        <v>0</v>
      </c>
      <c r="L991" t="s">
        <v>20</v>
      </c>
      <c r="M991" t="s">
        <v>20</v>
      </c>
      <c r="N991" t="str">
        <f>_xlfn.XLOOKUP(C:C,'Resource Table'!A:A,'Resource Table'!B:B,"NOT FOUND",0,1)</f>
        <v>Dedicated</v>
      </c>
      <c r="O991" t="str">
        <f>_xlfn.XLOOKUP(N:N,'Resource Table'!B:B,'Resource Table'!C:C,"n/a",0,1)</f>
        <v>AFS Dedicated Tech</v>
      </c>
      <c r="P991" t="str">
        <f>_xlfn.XLOOKUP(N:N,'Resource Table'!B:B,'Resource Table'!D:D,"n/a",0,1)</f>
        <v>Dedicated</v>
      </c>
    </row>
    <row r="992" spans="1:16" x14ac:dyDescent="0.45">
      <c r="A992" t="s">
        <v>5403</v>
      </c>
      <c r="B992" t="s">
        <v>5421</v>
      </c>
      <c r="C992" t="s">
        <v>5471</v>
      </c>
      <c r="D992" t="s">
        <v>6176</v>
      </c>
      <c r="E992" t="s">
        <v>6461</v>
      </c>
      <c r="F992" t="s">
        <v>13460</v>
      </c>
      <c r="G992" t="s">
        <v>13509</v>
      </c>
      <c r="H992" t="s">
        <v>13510</v>
      </c>
      <c r="I992" t="s">
        <v>6479</v>
      </c>
      <c r="J992" t="s">
        <v>13463</v>
      </c>
      <c r="K992">
        <v>1</v>
      </c>
      <c r="L992" t="s">
        <v>13480</v>
      </c>
      <c r="M992" t="s">
        <v>20</v>
      </c>
      <c r="N992" t="str">
        <f>_xlfn.XLOOKUP(C:C,'Resource Table'!A:A,'Resource Table'!B:B,"NOT FOUND",0,1)</f>
        <v>Dedicated</v>
      </c>
      <c r="O992" t="str">
        <f>_xlfn.XLOOKUP(N:N,'Resource Table'!B:B,'Resource Table'!C:C,"n/a",0,1)</f>
        <v>AFS Dedicated Tech</v>
      </c>
      <c r="P992" t="str">
        <f>_xlfn.XLOOKUP(N:N,'Resource Table'!B:B,'Resource Table'!D:D,"n/a",0,1)</f>
        <v>Dedicated</v>
      </c>
    </row>
    <row r="993" spans="1:16" x14ac:dyDescent="0.45">
      <c r="A993" t="s">
        <v>5403</v>
      </c>
      <c r="B993" t="s">
        <v>5421</v>
      </c>
      <c r="C993" t="s">
        <v>5471</v>
      </c>
      <c r="D993" t="s">
        <v>6177</v>
      </c>
      <c r="E993" t="s">
        <v>6461</v>
      </c>
      <c r="F993" t="s">
        <v>13460</v>
      </c>
      <c r="G993" t="s">
        <v>13509</v>
      </c>
      <c r="H993" t="s">
        <v>13510</v>
      </c>
      <c r="I993" t="s">
        <v>6479</v>
      </c>
      <c r="J993" t="s">
        <v>13463</v>
      </c>
      <c r="K993">
        <v>0</v>
      </c>
      <c r="L993" t="s">
        <v>20</v>
      </c>
      <c r="M993" t="s">
        <v>20</v>
      </c>
      <c r="N993" t="str">
        <f>_xlfn.XLOOKUP(C:C,'Resource Table'!A:A,'Resource Table'!B:B,"NOT FOUND",0,1)</f>
        <v>Dedicated</v>
      </c>
      <c r="O993" t="str">
        <f>_xlfn.XLOOKUP(N:N,'Resource Table'!B:B,'Resource Table'!C:C,"n/a",0,1)</f>
        <v>AFS Dedicated Tech</v>
      </c>
      <c r="P993" t="str">
        <f>_xlfn.XLOOKUP(N:N,'Resource Table'!B:B,'Resource Table'!D:D,"n/a",0,1)</f>
        <v>Dedicated</v>
      </c>
    </row>
    <row r="994" spans="1:16" x14ac:dyDescent="0.45">
      <c r="A994" t="s">
        <v>5403</v>
      </c>
      <c r="B994" t="s">
        <v>5421</v>
      </c>
      <c r="C994" t="s">
        <v>5471</v>
      </c>
      <c r="D994" t="s">
        <v>6178</v>
      </c>
      <c r="E994" t="s">
        <v>6461</v>
      </c>
      <c r="F994" t="s">
        <v>13460</v>
      </c>
      <c r="G994" t="s">
        <v>13509</v>
      </c>
      <c r="H994" t="s">
        <v>13510</v>
      </c>
      <c r="I994" t="s">
        <v>6479</v>
      </c>
      <c r="J994" t="s">
        <v>13463</v>
      </c>
      <c r="K994">
        <v>0</v>
      </c>
      <c r="L994" t="s">
        <v>20</v>
      </c>
      <c r="M994" t="s">
        <v>20</v>
      </c>
      <c r="N994" t="str">
        <f>_xlfn.XLOOKUP(C:C,'Resource Table'!A:A,'Resource Table'!B:B,"NOT FOUND",0,1)</f>
        <v>Dedicated</v>
      </c>
      <c r="O994" t="str">
        <f>_xlfn.XLOOKUP(N:N,'Resource Table'!B:B,'Resource Table'!C:C,"n/a",0,1)</f>
        <v>AFS Dedicated Tech</v>
      </c>
      <c r="P994" t="str">
        <f>_xlfn.XLOOKUP(N:N,'Resource Table'!B:B,'Resource Table'!D:D,"n/a",0,1)</f>
        <v>Dedicated</v>
      </c>
    </row>
    <row r="995" spans="1:16" x14ac:dyDescent="0.45">
      <c r="A995" t="s">
        <v>5403</v>
      </c>
      <c r="B995" t="s">
        <v>5421</v>
      </c>
      <c r="C995" t="s">
        <v>5471</v>
      </c>
      <c r="D995" t="s">
        <v>13093</v>
      </c>
      <c r="E995" t="s">
        <v>6451</v>
      </c>
      <c r="F995" t="s">
        <v>13460</v>
      </c>
      <c r="G995" t="s">
        <v>13476</v>
      </c>
      <c r="H995" t="s">
        <v>13478</v>
      </c>
      <c r="I995" t="s">
        <v>6479</v>
      </c>
      <c r="J995" t="s">
        <v>13463</v>
      </c>
      <c r="K995">
        <v>0</v>
      </c>
      <c r="L995" t="s">
        <v>20</v>
      </c>
      <c r="M995" t="s">
        <v>20</v>
      </c>
      <c r="N995" t="str">
        <f>_xlfn.XLOOKUP(C:C,'Resource Table'!A:A,'Resource Table'!B:B,"NOT FOUND",0,1)</f>
        <v>Dedicated</v>
      </c>
      <c r="O995" t="str">
        <f>_xlfn.XLOOKUP(N:N,'Resource Table'!B:B,'Resource Table'!C:C,"n/a",0,1)</f>
        <v>AFS Dedicated Tech</v>
      </c>
      <c r="P995" t="str">
        <f>_xlfn.XLOOKUP(N:N,'Resource Table'!B:B,'Resource Table'!D:D,"n/a",0,1)</f>
        <v>Dedicated</v>
      </c>
    </row>
    <row r="996" spans="1:16" x14ac:dyDescent="0.45">
      <c r="A996" t="s">
        <v>5403</v>
      </c>
      <c r="B996" t="s">
        <v>5404</v>
      </c>
      <c r="C996" t="s">
        <v>5423</v>
      </c>
      <c r="D996" t="s">
        <v>5830</v>
      </c>
      <c r="E996" t="s">
        <v>6451</v>
      </c>
      <c r="F996" t="s">
        <v>13473</v>
      </c>
      <c r="G996" t="s">
        <v>13474</v>
      </c>
      <c r="H996" t="s">
        <v>13475</v>
      </c>
      <c r="I996" t="s">
        <v>6479</v>
      </c>
      <c r="J996" t="s">
        <v>13463</v>
      </c>
      <c r="K996">
        <v>1</v>
      </c>
      <c r="L996" t="s">
        <v>13523</v>
      </c>
      <c r="M996" t="s">
        <v>13468</v>
      </c>
      <c r="N996" t="str">
        <f>_xlfn.XLOOKUP(C:C,'Resource Table'!A:A,'Resource Table'!B:B,"NOT FOUND",0,1)</f>
        <v>Dedicated</v>
      </c>
      <c r="O996" t="str">
        <f>_xlfn.XLOOKUP(N:N,'Resource Table'!B:B,'Resource Table'!C:C,"n/a",0,1)</f>
        <v>AFS Dedicated Tech</v>
      </c>
      <c r="P996" t="str">
        <f>_xlfn.XLOOKUP(N:N,'Resource Table'!B:B,'Resource Table'!D:D,"n/a",0,1)</f>
        <v>Dedicated</v>
      </c>
    </row>
    <row r="997" spans="1:16" x14ac:dyDescent="0.45">
      <c r="A997" t="s">
        <v>5403</v>
      </c>
      <c r="B997" t="s">
        <v>5404</v>
      </c>
      <c r="C997" t="s">
        <v>5423</v>
      </c>
      <c r="D997" t="s">
        <v>5557</v>
      </c>
      <c r="E997" t="s">
        <v>6461</v>
      </c>
      <c r="F997" t="s">
        <v>13460</v>
      </c>
      <c r="G997" t="s">
        <v>13481</v>
      </c>
      <c r="H997" t="s">
        <v>13482</v>
      </c>
      <c r="I997" t="s">
        <v>6479</v>
      </c>
      <c r="J997" t="s">
        <v>13463</v>
      </c>
      <c r="K997">
        <v>0</v>
      </c>
      <c r="L997" t="s">
        <v>20</v>
      </c>
      <c r="M997" t="s">
        <v>20</v>
      </c>
      <c r="N997" t="str">
        <f>_xlfn.XLOOKUP(C:C,'Resource Table'!A:A,'Resource Table'!B:B,"NOT FOUND",0,1)</f>
        <v>Dedicated</v>
      </c>
      <c r="O997" t="str">
        <f>_xlfn.XLOOKUP(N:N,'Resource Table'!B:B,'Resource Table'!C:C,"n/a",0,1)</f>
        <v>AFS Dedicated Tech</v>
      </c>
      <c r="P997" t="str">
        <f>_xlfn.XLOOKUP(N:N,'Resource Table'!B:B,'Resource Table'!D:D,"n/a",0,1)</f>
        <v>Dedicated</v>
      </c>
    </row>
    <row r="998" spans="1:16" x14ac:dyDescent="0.45">
      <c r="A998" t="s">
        <v>5403</v>
      </c>
      <c r="B998" t="s">
        <v>5404</v>
      </c>
      <c r="C998" t="s">
        <v>5423</v>
      </c>
      <c r="D998" t="s">
        <v>5732</v>
      </c>
      <c r="E998" t="s">
        <v>6451</v>
      </c>
      <c r="F998" t="s">
        <v>13473</v>
      </c>
      <c r="G998" t="s">
        <v>13474</v>
      </c>
      <c r="H998" t="s">
        <v>13517</v>
      </c>
      <c r="I998" t="s">
        <v>6479</v>
      </c>
      <c r="J998" t="s">
        <v>13463</v>
      </c>
      <c r="K998">
        <v>0</v>
      </c>
      <c r="L998" t="s">
        <v>20</v>
      </c>
      <c r="M998" t="s">
        <v>20</v>
      </c>
      <c r="N998" t="str">
        <f>_xlfn.XLOOKUP(C:C,'Resource Table'!A:A,'Resource Table'!B:B,"NOT FOUND",0,1)</f>
        <v>Dedicated</v>
      </c>
      <c r="O998" t="str">
        <f>_xlfn.XLOOKUP(N:N,'Resource Table'!B:B,'Resource Table'!C:C,"n/a",0,1)</f>
        <v>AFS Dedicated Tech</v>
      </c>
      <c r="P998" t="str">
        <f>_xlfn.XLOOKUP(N:N,'Resource Table'!B:B,'Resource Table'!D:D,"n/a",0,1)</f>
        <v>Dedicated</v>
      </c>
    </row>
    <row r="999" spans="1:16" x14ac:dyDescent="0.45">
      <c r="A999" t="s">
        <v>5403</v>
      </c>
      <c r="B999" t="s">
        <v>5404</v>
      </c>
      <c r="C999" t="s">
        <v>5423</v>
      </c>
      <c r="D999" t="s">
        <v>1271</v>
      </c>
      <c r="E999" t="s">
        <v>6461</v>
      </c>
      <c r="F999" t="s">
        <v>13460</v>
      </c>
      <c r="G999" t="s">
        <v>13461</v>
      </c>
      <c r="H999" t="s">
        <v>13488</v>
      </c>
      <c r="I999" t="s">
        <v>29</v>
      </c>
      <c r="J999" t="s">
        <v>13463</v>
      </c>
      <c r="K999">
        <v>1</v>
      </c>
      <c r="L999" t="s">
        <v>13580</v>
      </c>
      <c r="M999" t="s">
        <v>13535</v>
      </c>
      <c r="N999" t="str">
        <f>_xlfn.XLOOKUP(C:C,'Resource Table'!A:A,'Resource Table'!B:B,"NOT FOUND",0,1)</f>
        <v>Dedicated</v>
      </c>
      <c r="O999" t="str">
        <f>_xlfn.XLOOKUP(N:N,'Resource Table'!B:B,'Resource Table'!C:C,"n/a",0,1)</f>
        <v>AFS Dedicated Tech</v>
      </c>
      <c r="P999" t="str">
        <f>_xlfn.XLOOKUP(N:N,'Resource Table'!B:B,'Resource Table'!D:D,"n/a",0,1)</f>
        <v>Dedicated</v>
      </c>
    </row>
    <row r="1000" spans="1:16" x14ac:dyDescent="0.45">
      <c r="A1000" t="s">
        <v>5403</v>
      </c>
      <c r="B1000" t="s">
        <v>5404</v>
      </c>
      <c r="C1000" t="s">
        <v>5423</v>
      </c>
      <c r="D1000" t="s">
        <v>5759</v>
      </c>
      <c r="E1000" t="s">
        <v>6451</v>
      </c>
      <c r="F1000" t="s">
        <v>13473</v>
      </c>
      <c r="G1000" t="s">
        <v>13474</v>
      </c>
      <c r="H1000" t="s">
        <v>13517</v>
      </c>
      <c r="I1000" t="s">
        <v>6479</v>
      </c>
      <c r="J1000" t="s">
        <v>13463</v>
      </c>
      <c r="K1000">
        <v>0</v>
      </c>
      <c r="L1000" t="s">
        <v>20</v>
      </c>
      <c r="M1000" t="s">
        <v>20</v>
      </c>
      <c r="N1000" t="str">
        <f>_xlfn.XLOOKUP(C:C,'Resource Table'!A:A,'Resource Table'!B:B,"NOT FOUND",0,1)</f>
        <v>Dedicated</v>
      </c>
      <c r="O1000" t="str">
        <f>_xlfn.XLOOKUP(N:N,'Resource Table'!B:B,'Resource Table'!C:C,"n/a",0,1)</f>
        <v>AFS Dedicated Tech</v>
      </c>
      <c r="P1000" t="str">
        <f>_xlfn.XLOOKUP(N:N,'Resource Table'!B:B,'Resource Table'!D:D,"n/a",0,1)</f>
        <v>Dedicated</v>
      </c>
    </row>
    <row r="1001" spans="1:16" x14ac:dyDescent="0.45">
      <c r="A1001" t="s">
        <v>5403</v>
      </c>
      <c r="B1001" t="s">
        <v>5404</v>
      </c>
      <c r="C1001" t="s">
        <v>5423</v>
      </c>
      <c r="D1001" t="s">
        <v>5728</v>
      </c>
      <c r="E1001" t="s">
        <v>6451</v>
      </c>
      <c r="F1001" t="s">
        <v>13473</v>
      </c>
      <c r="G1001" t="s">
        <v>13474</v>
      </c>
      <c r="H1001" t="s">
        <v>13517</v>
      </c>
      <c r="I1001" t="s">
        <v>6479</v>
      </c>
      <c r="J1001" t="s">
        <v>13463</v>
      </c>
      <c r="K1001">
        <v>1</v>
      </c>
      <c r="L1001" t="s">
        <v>13536</v>
      </c>
      <c r="M1001" t="s">
        <v>13469</v>
      </c>
      <c r="N1001" t="str">
        <f>_xlfn.XLOOKUP(C:C,'Resource Table'!A:A,'Resource Table'!B:B,"NOT FOUND",0,1)</f>
        <v>Dedicated</v>
      </c>
      <c r="O1001" t="str">
        <f>_xlfn.XLOOKUP(N:N,'Resource Table'!B:B,'Resource Table'!C:C,"n/a",0,1)</f>
        <v>AFS Dedicated Tech</v>
      </c>
      <c r="P1001" t="str">
        <f>_xlfn.XLOOKUP(N:N,'Resource Table'!B:B,'Resource Table'!D:D,"n/a",0,1)</f>
        <v>Dedicated</v>
      </c>
    </row>
    <row r="1002" spans="1:16" x14ac:dyDescent="0.45">
      <c r="A1002" t="s">
        <v>5403</v>
      </c>
      <c r="B1002" t="s">
        <v>5404</v>
      </c>
      <c r="C1002" t="s">
        <v>5423</v>
      </c>
      <c r="D1002" t="s">
        <v>6014</v>
      </c>
      <c r="E1002" t="s">
        <v>6461</v>
      </c>
      <c r="F1002" t="s">
        <v>13460</v>
      </c>
      <c r="G1002" t="s">
        <v>13538</v>
      </c>
      <c r="H1002" t="s">
        <v>13539</v>
      </c>
      <c r="I1002" t="s">
        <v>6479</v>
      </c>
      <c r="J1002" t="s">
        <v>13463</v>
      </c>
      <c r="K1002">
        <v>0</v>
      </c>
      <c r="L1002" t="s">
        <v>20</v>
      </c>
      <c r="M1002" t="s">
        <v>20</v>
      </c>
      <c r="N1002" t="str">
        <f>_xlfn.XLOOKUP(C:C,'Resource Table'!A:A,'Resource Table'!B:B,"NOT FOUND",0,1)</f>
        <v>Dedicated</v>
      </c>
      <c r="O1002" t="str">
        <f>_xlfn.XLOOKUP(N:N,'Resource Table'!B:B,'Resource Table'!C:C,"n/a",0,1)</f>
        <v>AFS Dedicated Tech</v>
      </c>
      <c r="P1002" t="str">
        <f>_xlfn.XLOOKUP(N:N,'Resource Table'!B:B,'Resource Table'!D:D,"n/a",0,1)</f>
        <v>Dedicated</v>
      </c>
    </row>
    <row r="1003" spans="1:16" x14ac:dyDescent="0.45">
      <c r="A1003" t="s">
        <v>5403</v>
      </c>
      <c r="B1003" t="s">
        <v>5404</v>
      </c>
      <c r="C1003" t="s">
        <v>5423</v>
      </c>
      <c r="D1003" t="s">
        <v>5760</v>
      </c>
      <c r="E1003" t="s">
        <v>6451</v>
      </c>
      <c r="F1003" t="s">
        <v>13473</v>
      </c>
      <c r="G1003" t="s">
        <v>13474</v>
      </c>
      <c r="H1003" t="s">
        <v>13492</v>
      </c>
      <c r="I1003" t="s">
        <v>6479</v>
      </c>
      <c r="J1003" t="s">
        <v>13463</v>
      </c>
      <c r="K1003">
        <v>2</v>
      </c>
      <c r="L1003" t="s">
        <v>13523</v>
      </c>
      <c r="M1003" t="s">
        <v>13468</v>
      </c>
      <c r="N1003" t="str">
        <f>_xlfn.XLOOKUP(C:C,'Resource Table'!A:A,'Resource Table'!B:B,"NOT FOUND",0,1)</f>
        <v>Dedicated</v>
      </c>
      <c r="O1003" t="str">
        <f>_xlfn.XLOOKUP(N:N,'Resource Table'!B:B,'Resource Table'!C:C,"n/a",0,1)</f>
        <v>AFS Dedicated Tech</v>
      </c>
      <c r="P1003" t="str">
        <f>_xlfn.XLOOKUP(N:N,'Resource Table'!B:B,'Resource Table'!D:D,"n/a",0,1)</f>
        <v>Dedicated</v>
      </c>
    </row>
    <row r="1004" spans="1:16" x14ac:dyDescent="0.45">
      <c r="A1004" t="s">
        <v>5403</v>
      </c>
      <c r="B1004" t="s">
        <v>5404</v>
      </c>
      <c r="C1004" t="s">
        <v>5423</v>
      </c>
      <c r="D1004" t="s">
        <v>5744</v>
      </c>
      <c r="E1004" t="s">
        <v>6451</v>
      </c>
      <c r="F1004" t="s">
        <v>13473</v>
      </c>
      <c r="G1004" t="s">
        <v>13474</v>
      </c>
      <c r="H1004" t="s">
        <v>13517</v>
      </c>
      <c r="I1004" t="s">
        <v>6479</v>
      </c>
      <c r="J1004" t="s">
        <v>13463</v>
      </c>
      <c r="K1004">
        <v>0</v>
      </c>
      <c r="L1004" t="s">
        <v>20</v>
      </c>
      <c r="M1004" t="s">
        <v>20</v>
      </c>
      <c r="N1004" t="str">
        <f>_xlfn.XLOOKUP(C:C,'Resource Table'!A:A,'Resource Table'!B:B,"NOT FOUND",0,1)</f>
        <v>Dedicated</v>
      </c>
      <c r="O1004" t="str">
        <f>_xlfn.XLOOKUP(N:N,'Resource Table'!B:B,'Resource Table'!C:C,"n/a",0,1)</f>
        <v>AFS Dedicated Tech</v>
      </c>
      <c r="P1004" t="str">
        <f>_xlfn.XLOOKUP(N:N,'Resource Table'!B:B,'Resource Table'!D:D,"n/a",0,1)</f>
        <v>Dedicated</v>
      </c>
    </row>
    <row r="1005" spans="1:16" x14ac:dyDescent="0.45">
      <c r="A1005" t="s">
        <v>5403</v>
      </c>
      <c r="B1005" t="s">
        <v>5404</v>
      </c>
      <c r="C1005" t="s">
        <v>5423</v>
      </c>
      <c r="D1005" t="s">
        <v>5424</v>
      </c>
      <c r="E1005" t="s">
        <v>6451</v>
      </c>
      <c r="F1005" t="s">
        <v>13460</v>
      </c>
      <c r="G1005" t="s">
        <v>13476</v>
      </c>
      <c r="H1005" t="s">
        <v>13478</v>
      </c>
      <c r="I1005" t="s">
        <v>29</v>
      </c>
      <c r="J1005" t="s">
        <v>13463</v>
      </c>
      <c r="K1005">
        <v>1</v>
      </c>
      <c r="L1005" t="s">
        <v>13552</v>
      </c>
      <c r="M1005" t="s">
        <v>13544</v>
      </c>
      <c r="N1005" t="str">
        <f>_xlfn.XLOOKUP(C:C,'Resource Table'!A:A,'Resource Table'!B:B,"NOT FOUND",0,1)</f>
        <v>Dedicated</v>
      </c>
      <c r="O1005" t="str">
        <f>_xlfn.XLOOKUP(N:N,'Resource Table'!B:B,'Resource Table'!C:C,"n/a",0,1)</f>
        <v>AFS Dedicated Tech</v>
      </c>
      <c r="P1005" t="str">
        <f>_xlfn.XLOOKUP(N:N,'Resource Table'!B:B,'Resource Table'!D:D,"n/a",0,1)</f>
        <v>Dedicated</v>
      </c>
    </row>
    <row r="1006" spans="1:16" x14ac:dyDescent="0.45">
      <c r="A1006" t="s">
        <v>5403</v>
      </c>
      <c r="B1006" t="s">
        <v>5404</v>
      </c>
      <c r="C1006" t="s">
        <v>5423</v>
      </c>
      <c r="D1006" t="s">
        <v>6258</v>
      </c>
      <c r="E1006" t="s">
        <v>6451</v>
      </c>
      <c r="F1006" t="s">
        <v>13460</v>
      </c>
      <c r="G1006" t="s">
        <v>13476</v>
      </c>
      <c r="H1006" t="s">
        <v>13477</v>
      </c>
      <c r="I1006" t="s">
        <v>6479</v>
      </c>
      <c r="J1006" t="s">
        <v>13463</v>
      </c>
      <c r="K1006">
        <v>0</v>
      </c>
      <c r="L1006" t="s">
        <v>20</v>
      </c>
      <c r="M1006" t="s">
        <v>20</v>
      </c>
      <c r="N1006" t="str">
        <f>_xlfn.XLOOKUP(C:C,'Resource Table'!A:A,'Resource Table'!B:B,"NOT FOUND",0,1)</f>
        <v>Dedicated</v>
      </c>
      <c r="O1006" t="str">
        <f>_xlfn.XLOOKUP(N:N,'Resource Table'!B:B,'Resource Table'!C:C,"n/a",0,1)</f>
        <v>AFS Dedicated Tech</v>
      </c>
      <c r="P1006" t="str">
        <f>_xlfn.XLOOKUP(N:N,'Resource Table'!B:B,'Resource Table'!D:D,"n/a",0,1)</f>
        <v>Dedicated</v>
      </c>
    </row>
    <row r="1007" spans="1:16" x14ac:dyDescent="0.45">
      <c r="A1007" t="s">
        <v>5403</v>
      </c>
      <c r="B1007" t="s">
        <v>5404</v>
      </c>
      <c r="C1007" t="s">
        <v>5423</v>
      </c>
      <c r="D1007" t="s">
        <v>5657</v>
      </c>
      <c r="E1007" t="s">
        <v>6451</v>
      </c>
      <c r="F1007" t="s">
        <v>13460</v>
      </c>
      <c r="G1007" t="s">
        <v>13476</v>
      </c>
      <c r="H1007" t="s">
        <v>13478</v>
      </c>
      <c r="I1007" t="s">
        <v>6479</v>
      </c>
      <c r="J1007" t="s">
        <v>13463</v>
      </c>
      <c r="K1007">
        <v>0</v>
      </c>
      <c r="L1007" t="s">
        <v>20</v>
      </c>
      <c r="M1007" t="s">
        <v>20</v>
      </c>
      <c r="N1007" t="str">
        <f>_xlfn.XLOOKUP(C:C,'Resource Table'!A:A,'Resource Table'!B:B,"NOT FOUND",0,1)</f>
        <v>Dedicated</v>
      </c>
      <c r="O1007" t="str">
        <f>_xlfn.XLOOKUP(N:N,'Resource Table'!B:B,'Resource Table'!C:C,"n/a",0,1)</f>
        <v>AFS Dedicated Tech</v>
      </c>
      <c r="P1007" t="str">
        <f>_xlfn.XLOOKUP(N:N,'Resource Table'!B:B,'Resource Table'!D:D,"n/a",0,1)</f>
        <v>Dedicated</v>
      </c>
    </row>
    <row r="1008" spans="1:16" x14ac:dyDescent="0.45">
      <c r="A1008" t="s">
        <v>5403</v>
      </c>
      <c r="B1008" t="s">
        <v>5404</v>
      </c>
      <c r="C1008" t="s">
        <v>5423</v>
      </c>
      <c r="D1008" t="s">
        <v>5651</v>
      </c>
      <c r="E1008" t="s">
        <v>6451</v>
      </c>
      <c r="F1008" t="s">
        <v>13460</v>
      </c>
      <c r="G1008" t="s">
        <v>13476</v>
      </c>
      <c r="H1008" t="s">
        <v>13478</v>
      </c>
      <c r="I1008" t="s">
        <v>6479</v>
      </c>
      <c r="J1008" t="s">
        <v>13463</v>
      </c>
      <c r="K1008">
        <v>1</v>
      </c>
      <c r="L1008" t="s">
        <v>13503</v>
      </c>
      <c r="M1008" t="s">
        <v>13556</v>
      </c>
      <c r="N1008" t="str">
        <f>_xlfn.XLOOKUP(C:C,'Resource Table'!A:A,'Resource Table'!B:B,"NOT FOUND",0,1)</f>
        <v>Dedicated</v>
      </c>
      <c r="O1008" t="str">
        <f>_xlfn.XLOOKUP(N:N,'Resource Table'!B:B,'Resource Table'!C:C,"n/a",0,1)</f>
        <v>AFS Dedicated Tech</v>
      </c>
      <c r="P1008" t="str">
        <f>_xlfn.XLOOKUP(N:N,'Resource Table'!B:B,'Resource Table'!D:D,"n/a",0,1)</f>
        <v>Dedicated</v>
      </c>
    </row>
    <row r="1009" spans="1:16" x14ac:dyDescent="0.45">
      <c r="A1009" t="s">
        <v>5403</v>
      </c>
      <c r="B1009" t="s">
        <v>5404</v>
      </c>
      <c r="C1009" t="s">
        <v>5423</v>
      </c>
      <c r="D1009" t="s">
        <v>5537</v>
      </c>
      <c r="E1009" t="s">
        <v>6451</v>
      </c>
      <c r="F1009" t="s">
        <v>13473</v>
      </c>
      <c r="G1009" t="s">
        <v>13474</v>
      </c>
      <c r="H1009" t="s">
        <v>13475</v>
      </c>
      <c r="I1009" t="s">
        <v>29</v>
      </c>
      <c r="J1009" t="s">
        <v>13463</v>
      </c>
      <c r="K1009">
        <v>3</v>
      </c>
      <c r="L1009" t="s">
        <v>13523</v>
      </c>
      <c r="M1009" t="s">
        <v>13556</v>
      </c>
      <c r="N1009" t="str">
        <f>_xlfn.XLOOKUP(C:C,'Resource Table'!A:A,'Resource Table'!B:B,"NOT FOUND",0,1)</f>
        <v>Dedicated</v>
      </c>
      <c r="O1009" t="str">
        <f>_xlfn.XLOOKUP(N:N,'Resource Table'!B:B,'Resource Table'!C:C,"n/a",0,1)</f>
        <v>AFS Dedicated Tech</v>
      </c>
      <c r="P1009" t="str">
        <f>_xlfn.XLOOKUP(N:N,'Resource Table'!B:B,'Resource Table'!D:D,"n/a",0,1)</f>
        <v>Dedicated</v>
      </c>
    </row>
    <row r="1010" spans="1:16" x14ac:dyDescent="0.45">
      <c r="A1010" t="s">
        <v>5403</v>
      </c>
      <c r="B1010" t="s">
        <v>5404</v>
      </c>
      <c r="C1010" t="s">
        <v>5423</v>
      </c>
      <c r="D1010" t="s">
        <v>6054</v>
      </c>
      <c r="E1010" t="s">
        <v>6461</v>
      </c>
      <c r="F1010" t="s">
        <v>13460</v>
      </c>
      <c r="G1010" t="s">
        <v>13481</v>
      </c>
      <c r="H1010" t="s">
        <v>13522</v>
      </c>
      <c r="I1010" t="s">
        <v>6479</v>
      </c>
      <c r="J1010" t="s">
        <v>13463</v>
      </c>
      <c r="K1010">
        <v>1</v>
      </c>
      <c r="L1010" t="s">
        <v>13507</v>
      </c>
      <c r="M1010" t="s">
        <v>13468</v>
      </c>
      <c r="N1010" t="str">
        <f>_xlfn.XLOOKUP(C:C,'Resource Table'!A:A,'Resource Table'!B:B,"NOT FOUND",0,1)</f>
        <v>Dedicated</v>
      </c>
      <c r="O1010" t="str">
        <f>_xlfn.XLOOKUP(N:N,'Resource Table'!B:B,'Resource Table'!C:C,"n/a",0,1)</f>
        <v>AFS Dedicated Tech</v>
      </c>
      <c r="P1010" t="str">
        <f>_xlfn.XLOOKUP(N:N,'Resource Table'!B:B,'Resource Table'!D:D,"n/a",0,1)</f>
        <v>Dedicated</v>
      </c>
    </row>
    <row r="1011" spans="1:16" x14ac:dyDescent="0.45">
      <c r="A1011" t="s">
        <v>5403</v>
      </c>
      <c r="B1011" t="s">
        <v>5404</v>
      </c>
      <c r="C1011" t="s">
        <v>5423</v>
      </c>
      <c r="D1011" t="s">
        <v>5752</v>
      </c>
      <c r="E1011" t="s">
        <v>6451</v>
      </c>
      <c r="F1011" t="s">
        <v>13473</v>
      </c>
      <c r="G1011" t="s">
        <v>13474</v>
      </c>
      <c r="H1011" t="s">
        <v>13517</v>
      </c>
      <c r="I1011" t="s">
        <v>6479</v>
      </c>
      <c r="J1011" t="s">
        <v>13463</v>
      </c>
      <c r="K1011">
        <v>2</v>
      </c>
      <c r="L1011" t="s">
        <v>13487</v>
      </c>
      <c r="M1011" t="s">
        <v>13513</v>
      </c>
      <c r="N1011" t="str">
        <f>_xlfn.XLOOKUP(C:C,'Resource Table'!A:A,'Resource Table'!B:B,"NOT FOUND",0,1)</f>
        <v>Dedicated</v>
      </c>
      <c r="O1011" t="str">
        <f>_xlfn.XLOOKUP(N:N,'Resource Table'!B:B,'Resource Table'!C:C,"n/a",0,1)</f>
        <v>AFS Dedicated Tech</v>
      </c>
      <c r="P1011" t="str">
        <f>_xlfn.XLOOKUP(N:N,'Resource Table'!B:B,'Resource Table'!D:D,"n/a",0,1)</f>
        <v>Dedicated</v>
      </c>
    </row>
    <row r="1012" spans="1:16" x14ac:dyDescent="0.45">
      <c r="A1012" t="s">
        <v>5403</v>
      </c>
      <c r="B1012" t="s">
        <v>5404</v>
      </c>
      <c r="C1012" t="s">
        <v>5423</v>
      </c>
      <c r="D1012" t="s">
        <v>5835</v>
      </c>
      <c r="E1012" t="s">
        <v>6451</v>
      </c>
      <c r="F1012" t="s">
        <v>13473</v>
      </c>
      <c r="G1012" t="s">
        <v>13474</v>
      </c>
      <c r="H1012" t="s">
        <v>13475</v>
      </c>
      <c r="I1012" t="s">
        <v>6479</v>
      </c>
      <c r="J1012" t="s">
        <v>13463</v>
      </c>
      <c r="K1012">
        <v>1</v>
      </c>
      <c r="L1012" t="s">
        <v>13523</v>
      </c>
      <c r="M1012" t="s">
        <v>13468</v>
      </c>
      <c r="N1012" t="str">
        <f>_xlfn.XLOOKUP(C:C,'Resource Table'!A:A,'Resource Table'!B:B,"NOT FOUND",0,1)</f>
        <v>Dedicated</v>
      </c>
      <c r="O1012" t="str">
        <f>_xlfn.XLOOKUP(N:N,'Resource Table'!B:B,'Resource Table'!C:C,"n/a",0,1)</f>
        <v>AFS Dedicated Tech</v>
      </c>
      <c r="P1012" t="str">
        <f>_xlfn.XLOOKUP(N:N,'Resource Table'!B:B,'Resource Table'!D:D,"n/a",0,1)</f>
        <v>Dedicated</v>
      </c>
    </row>
    <row r="1013" spans="1:16" x14ac:dyDescent="0.45">
      <c r="A1013" t="s">
        <v>5403</v>
      </c>
      <c r="B1013" t="s">
        <v>5416</v>
      </c>
      <c r="C1013" t="s">
        <v>5417</v>
      </c>
      <c r="D1013" t="s">
        <v>3435</v>
      </c>
      <c r="E1013" t="s">
        <v>6451</v>
      </c>
      <c r="F1013" t="s">
        <v>13473</v>
      </c>
      <c r="G1013" t="s">
        <v>13474</v>
      </c>
      <c r="H1013" t="s">
        <v>13521</v>
      </c>
      <c r="I1013" t="s">
        <v>6479</v>
      </c>
      <c r="J1013" t="s">
        <v>13463</v>
      </c>
      <c r="K1013">
        <v>2</v>
      </c>
      <c r="L1013" t="s">
        <v>13542</v>
      </c>
      <c r="M1013" t="s">
        <v>13581</v>
      </c>
      <c r="N1013" t="str">
        <f>_xlfn.XLOOKUP(C:C,'Resource Table'!A:A,'Resource Table'!B:B,"NOT FOUND",0,1)</f>
        <v>Brittany Williams</v>
      </c>
      <c r="O1013" t="str">
        <f>_xlfn.XLOOKUP(N:N,'Resource Table'!B:B,'Resource Table'!C:C,"n/a",0,1)</f>
        <v>bwilliams5@ameritfleet.com</v>
      </c>
      <c r="P1013" t="str">
        <f>_xlfn.XLOOKUP(N:N,'Resource Table'!B:B,'Resource Table'!D:D,"n/a",0,1)</f>
        <v>Vended Repair</v>
      </c>
    </row>
    <row r="1014" spans="1:16" x14ac:dyDescent="0.45">
      <c r="A1014" t="s">
        <v>5403</v>
      </c>
      <c r="B1014" t="s">
        <v>5416</v>
      </c>
      <c r="C1014" t="s">
        <v>5417</v>
      </c>
      <c r="D1014" t="s">
        <v>2563</v>
      </c>
      <c r="E1014" t="s">
        <v>6461</v>
      </c>
      <c r="F1014" t="s">
        <v>13460</v>
      </c>
      <c r="G1014" t="s">
        <v>13481</v>
      </c>
      <c r="H1014" t="s">
        <v>13522</v>
      </c>
      <c r="I1014" t="s">
        <v>29</v>
      </c>
      <c r="J1014" t="s">
        <v>13463</v>
      </c>
      <c r="K1014">
        <v>3</v>
      </c>
      <c r="L1014" t="s">
        <v>13503</v>
      </c>
      <c r="M1014" t="s">
        <v>13505</v>
      </c>
      <c r="N1014" t="str">
        <f>_xlfn.XLOOKUP(C:C,'Resource Table'!A:A,'Resource Table'!B:B,"NOT FOUND",0,1)</f>
        <v>Brittany Williams</v>
      </c>
      <c r="O1014" t="str">
        <f>_xlfn.XLOOKUP(N:N,'Resource Table'!B:B,'Resource Table'!C:C,"n/a",0,1)</f>
        <v>bwilliams5@ameritfleet.com</v>
      </c>
      <c r="P1014" t="str">
        <f>_xlfn.XLOOKUP(N:N,'Resource Table'!B:B,'Resource Table'!D:D,"n/a",0,1)</f>
        <v>Vended Repair</v>
      </c>
    </row>
    <row r="1015" spans="1:16" x14ac:dyDescent="0.45">
      <c r="A1015" t="s">
        <v>5403</v>
      </c>
      <c r="B1015" t="s">
        <v>5416</v>
      </c>
      <c r="C1015" t="s">
        <v>5417</v>
      </c>
      <c r="D1015" t="s">
        <v>1691</v>
      </c>
      <c r="E1015" t="s">
        <v>6451</v>
      </c>
      <c r="F1015" t="s">
        <v>13460</v>
      </c>
      <c r="G1015" t="s">
        <v>13476</v>
      </c>
      <c r="H1015" t="s">
        <v>13478</v>
      </c>
      <c r="I1015" t="s">
        <v>6479</v>
      </c>
      <c r="J1015" t="s">
        <v>13463</v>
      </c>
      <c r="K1015">
        <v>2</v>
      </c>
      <c r="L1015" t="s">
        <v>13542</v>
      </c>
      <c r="M1015" t="s">
        <v>13466</v>
      </c>
      <c r="N1015" t="str">
        <f>_xlfn.XLOOKUP(C:C,'Resource Table'!A:A,'Resource Table'!B:B,"NOT FOUND",0,1)</f>
        <v>Brittany Williams</v>
      </c>
      <c r="O1015" t="str">
        <f>_xlfn.XLOOKUP(N:N,'Resource Table'!B:B,'Resource Table'!C:C,"n/a",0,1)</f>
        <v>bwilliams5@ameritfleet.com</v>
      </c>
      <c r="P1015" t="str">
        <f>_xlfn.XLOOKUP(N:N,'Resource Table'!B:B,'Resource Table'!D:D,"n/a",0,1)</f>
        <v>Vended Repair</v>
      </c>
    </row>
    <row r="1016" spans="1:16" x14ac:dyDescent="0.45">
      <c r="A1016" t="s">
        <v>5403</v>
      </c>
      <c r="B1016" t="s">
        <v>5416</v>
      </c>
      <c r="C1016" t="s">
        <v>5417</v>
      </c>
      <c r="D1016" t="s">
        <v>4967</v>
      </c>
      <c r="E1016" t="s">
        <v>6451</v>
      </c>
      <c r="F1016" t="s">
        <v>13473</v>
      </c>
      <c r="G1016" t="s">
        <v>13474</v>
      </c>
      <c r="H1016" t="s">
        <v>13517</v>
      </c>
      <c r="I1016" t="s">
        <v>6479</v>
      </c>
      <c r="J1016" t="s">
        <v>13463</v>
      </c>
      <c r="K1016">
        <v>2</v>
      </c>
      <c r="L1016" t="s">
        <v>13542</v>
      </c>
      <c r="M1016" t="s">
        <v>13468</v>
      </c>
      <c r="N1016" t="str">
        <f>_xlfn.XLOOKUP(C:C,'Resource Table'!A:A,'Resource Table'!B:B,"NOT FOUND",0,1)</f>
        <v>Brittany Williams</v>
      </c>
      <c r="O1016" t="str">
        <f>_xlfn.XLOOKUP(N:N,'Resource Table'!B:B,'Resource Table'!C:C,"n/a",0,1)</f>
        <v>bwilliams5@ameritfleet.com</v>
      </c>
      <c r="P1016" t="str">
        <f>_xlfn.XLOOKUP(N:N,'Resource Table'!B:B,'Resource Table'!D:D,"n/a",0,1)</f>
        <v>Vended Repair</v>
      </c>
    </row>
    <row r="1017" spans="1:16" x14ac:dyDescent="0.45">
      <c r="A1017" t="s">
        <v>5403</v>
      </c>
      <c r="B1017" t="s">
        <v>5416</v>
      </c>
      <c r="C1017" t="s">
        <v>5448</v>
      </c>
      <c r="D1017" t="s">
        <v>6199</v>
      </c>
      <c r="E1017" t="s">
        <v>6451</v>
      </c>
      <c r="F1017" t="s">
        <v>13460</v>
      </c>
      <c r="G1017" t="s">
        <v>13476</v>
      </c>
      <c r="H1017" t="s">
        <v>13531</v>
      </c>
      <c r="I1017" t="s">
        <v>6479</v>
      </c>
      <c r="J1017" t="s">
        <v>13463</v>
      </c>
      <c r="K1017">
        <v>1</v>
      </c>
      <c r="L1017" t="s">
        <v>13466</v>
      </c>
      <c r="M1017" t="s">
        <v>13508</v>
      </c>
      <c r="N1017" t="str">
        <f>_xlfn.XLOOKUP(C:C,'Resource Table'!A:A,'Resource Table'!B:B,"NOT FOUND",0,1)</f>
        <v>Dedicated</v>
      </c>
      <c r="O1017" t="str">
        <f>_xlfn.XLOOKUP(N:N,'Resource Table'!B:B,'Resource Table'!C:C,"n/a",0,1)</f>
        <v>AFS Dedicated Tech</v>
      </c>
      <c r="P1017" t="str">
        <f>_xlfn.XLOOKUP(N:N,'Resource Table'!B:B,'Resource Table'!D:D,"n/a",0,1)</f>
        <v>Dedicated</v>
      </c>
    </row>
    <row r="1018" spans="1:16" x14ac:dyDescent="0.45">
      <c r="A1018" t="s">
        <v>5403</v>
      </c>
      <c r="B1018" t="s">
        <v>5416</v>
      </c>
      <c r="C1018" t="s">
        <v>5448</v>
      </c>
      <c r="D1018" t="s">
        <v>5829</v>
      </c>
      <c r="E1018" t="s">
        <v>6451</v>
      </c>
      <c r="F1018" t="s">
        <v>13473</v>
      </c>
      <c r="G1018" t="s">
        <v>13474</v>
      </c>
      <c r="H1018" t="s">
        <v>13475</v>
      </c>
      <c r="I1018" t="s">
        <v>29</v>
      </c>
      <c r="J1018" t="s">
        <v>13463</v>
      </c>
      <c r="K1018">
        <v>1</v>
      </c>
      <c r="L1018" t="s">
        <v>13468</v>
      </c>
      <c r="M1018" t="s">
        <v>20</v>
      </c>
      <c r="N1018" t="str">
        <f>_xlfn.XLOOKUP(C:C,'Resource Table'!A:A,'Resource Table'!B:B,"NOT FOUND",0,1)</f>
        <v>Dedicated</v>
      </c>
      <c r="O1018" t="str">
        <f>_xlfn.XLOOKUP(N:N,'Resource Table'!B:B,'Resource Table'!C:C,"n/a",0,1)</f>
        <v>AFS Dedicated Tech</v>
      </c>
      <c r="P1018" t="str">
        <f>_xlfn.XLOOKUP(N:N,'Resource Table'!B:B,'Resource Table'!D:D,"n/a",0,1)</f>
        <v>Dedicated</v>
      </c>
    </row>
    <row r="1019" spans="1:16" x14ac:dyDescent="0.45">
      <c r="A1019" t="s">
        <v>5403</v>
      </c>
      <c r="B1019" t="s">
        <v>5416</v>
      </c>
      <c r="C1019" t="s">
        <v>5448</v>
      </c>
      <c r="D1019" t="s">
        <v>5961</v>
      </c>
      <c r="E1019" t="s">
        <v>6461</v>
      </c>
      <c r="F1019" t="s">
        <v>13460</v>
      </c>
      <c r="G1019" t="s">
        <v>13481</v>
      </c>
      <c r="H1019" t="s">
        <v>13482</v>
      </c>
      <c r="I1019" t="s">
        <v>6479</v>
      </c>
      <c r="J1019" t="s">
        <v>13486</v>
      </c>
      <c r="K1019">
        <v>1</v>
      </c>
      <c r="L1019" t="s">
        <v>13503</v>
      </c>
      <c r="M1019" t="s">
        <v>20</v>
      </c>
      <c r="N1019" t="str">
        <f>_xlfn.XLOOKUP(C:C,'Resource Table'!A:A,'Resource Table'!B:B,"NOT FOUND",0,1)</f>
        <v>Dedicated</v>
      </c>
      <c r="O1019" t="str">
        <f>_xlfn.XLOOKUP(N:N,'Resource Table'!B:B,'Resource Table'!C:C,"n/a",0,1)</f>
        <v>AFS Dedicated Tech</v>
      </c>
      <c r="P1019" t="str">
        <f>_xlfn.XLOOKUP(N:N,'Resource Table'!B:B,'Resource Table'!D:D,"n/a",0,1)</f>
        <v>Dedicated</v>
      </c>
    </row>
    <row r="1020" spans="1:16" x14ac:dyDescent="0.45">
      <c r="A1020" t="s">
        <v>5403</v>
      </c>
      <c r="B1020" t="s">
        <v>5416</v>
      </c>
      <c r="C1020" t="s">
        <v>5448</v>
      </c>
      <c r="D1020" t="s">
        <v>6262</v>
      </c>
      <c r="E1020" t="s">
        <v>6451</v>
      </c>
      <c r="F1020" t="s">
        <v>13460</v>
      </c>
      <c r="G1020" t="s">
        <v>13476</v>
      </c>
      <c r="H1020" t="s">
        <v>13477</v>
      </c>
      <c r="I1020" t="s">
        <v>6479</v>
      </c>
      <c r="J1020" t="s">
        <v>13463</v>
      </c>
      <c r="K1020">
        <v>0</v>
      </c>
      <c r="L1020" t="s">
        <v>20</v>
      </c>
      <c r="M1020" t="s">
        <v>20</v>
      </c>
      <c r="N1020" t="str">
        <f>_xlfn.XLOOKUP(C:C,'Resource Table'!A:A,'Resource Table'!B:B,"NOT FOUND",0,1)</f>
        <v>Dedicated</v>
      </c>
      <c r="O1020" t="str">
        <f>_xlfn.XLOOKUP(N:N,'Resource Table'!B:B,'Resource Table'!C:C,"n/a",0,1)</f>
        <v>AFS Dedicated Tech</v>
      </c>
      <c r="P1020" t="str">
        <f>_xlfn.XLOOKUP(N:N,'Resource Table'!B:B,'Resource Table'!D:D,"n/a",0,1)</f>
        <v>Dedicated</v>
      </c>
    </row>
    <row r="1021" spans="1:16" x14ac:dyDescent="0.45">
      <c r="A1021" t="s">
        <v>5403</v>
      </c>
      <c r="B1021" t="s">
        <v>5416</v>
      </c>
      <c r="C1021" t="s">
        <v>5448</v>
      </c>
      <c r="D1021" t="s">
        <v>6017</v>
      </c>
      <c r="E1021" t="s">
        <v>6461</v>
      </c>
      <c r="F1021" t="s">
        <v>13460</v>
      </c>
      <c r="G1021" t="s">
        <v>13538</v>
      </c>
      <c r="H1021" t="s">
        <v>13539</v>
      </c>
      <c r="I1021" t="s">
        <v>6479</v>
      </c>
      <c r="J1021" t="s">
        <v>13463</v>
      </c>
      <c r="K1021">
        <v>0</v>
      </c>
      <c r="L1021" t="s">
        <v>20</v>
      </c>
      <c r="M1021" t="s">
        <v>20</v>
      </c>
      <c r="N1021" t="str">
        <f>_xlfn.XLOOKUP(C:C,'Resource Table'!A:A,'Resource Table'!B:B,"NOT FOUND",0,1)</f>
        <v>Dedicated</v>
      </c>
      <c r="O1021" t="str">
        <f>_xlfn.XLOOKUP(N:N,'Resource Table'!B:B,'Resource Table'!C:C,"n/a",0,1)</f>
        <v>AFS Dedicated Tech</v>
      </c>
      <c r="P1021" t="str">
        <f>_xlfn.XLOOKUP(N:N,'Resource Table'!B:B,'Resource Table'!D:D,"n/a",0,1)</f>
        <v>Dedicated</v>
      </c>
    </row>
    <row r="1022" spans="1:16" x14ac:dyDescent="0.45">
      <c r="A1022" t="s">
        <v>5403</v>
      </c>
      <c r="B1022" t="s">
        <v>5416</v>
      </c>
      <c r="C1022" t="s">
        <v>5448</v>
      </c>
      <c r="D1022" t="s">
        <v>5691</v>
      </c>
      <c r="E1022" t="s">
        <v>6451</v>
      </c>
      <c r="F1022" t="s">
        <v>13473</v>
      </c>
      <c r="G1022" t="s">
        <v>13474</v>
      </c>
      <c r="H1022" t="s">
        <v>13492</v>
      </c>
      <c r="I1022" t="s">
        <v>6479</v>
      </c>
      <c r="J1022" t="s">
        <v>13463</v>
      </c>
      <c r="K1022">
        <v>0</v>
      </c>
      <c r="L1022" t="s">
        <v>20</v>
      </c>
      <c r="M1022" t="s">
        <v>20</v>
      </c>
      <c r="N1022" t="str">
        <f>_xlfn.XLOOKUP(C:C,'Resource Table'!A:A,'Resource Table'!B:B,"NOT FOUND",0,1)</f>
        <v>Dedicated</v>
      </c>
      <c r="O1022" t="str">
        <f>_xlfn.XLOOKUP(N:N,'Resource Table'!B:B,'Resource Table'!C:C,"n/a",0,1)</f>
        <v>AFS Dedicated Tech</v>
      </c>
      <c r="P1022" t="str">
        <f>_xlfn.XLOOKUP(N:N,'Resource Table'!B:B,'Resource Table'!D:D,"n/a",0,1)</f>
        <v>Dedicated</v>
      </c>
    </row>
    <row r="1023" spans="1:16" x14ac:dyDescent="0.45">
      <c r="A1023" t="s">
        <v>5403</v>
      </c>
      <c r="B1023" t="s">
        <v>5416</v>
      </c>
      <c r="C1023" t="s">
        <v>5448</v>
      </c>
      <c r="D1023" t="s">
        <v>5859</v>
      </c>
      <c r="E1023" t="s">
        <v>6451</v>
      </c>
      <c r="F1023" t="s">
        <v>13473</v>
      </c>
      <c r="G1023" t="s">
        <v>13474</v>
      </c>
      <c r="H1023" t="s">
        <v>13475</v>
      </c>
      <c r="I1023" t="s">
        <v>6479</v>
      </c>
      <c r="J1023" t="s">
        <v>13463</v>
      </c>
      <c r="K1023">
        <v>1</v>
      </c>
      <c r="L1023" t="s">
        <v>13544</v>
      </c>
      <c r="M1023" t="s">
        <v>13544</v>
      </c>
      <c r="N1023" t="str">
        <f>_xlfn.XLOOKUP(C:C,'Resource Table'!A:A,'Resource Table'!B:B,"NOT FOUND",0,1)</f>
        <v>Dedicated</v>
      </c>
      <c r="O1023" t="str">
        <f>_xlfn.XLOOKUP(N:N,'Resource Table'!B:B,'Resource Table'!C:C,"n/a",0,1)</f>
        <v>AFS Dedicated Tech</v>
      </c>
      <c r="P1023" t="str">
        <f>_xlfn.XLOOKUP(N:N,'Resource Table'!B:B,'Resource Table'!D:D,"n/a",0,1)</f>
        <v>Dedicated</v>
      </c>
    </row>
    <row r="1024" spans="1:16" x14ac:dyDescent="0.45">
      <c r="A1024" t="s">
        <v>5403</v>
      </c>
      <c r="B1024" t="s">
        <v>5416</v>
      </c>
      <c r="C1024" t="s">
        <v>5448</v>
      </c>
      <c r="D1024" t="s">
        <v>5449</v>
      </c>
      <c r="E1024" t="s">
        <v>6451</v>
      </c>
      <c r="F1024" t="s">
        <v>13473</v>
      </c>
      <c r="G1024" t="s">
        <v>13474</v>
      </c>
      <c r="H1024" t="s">
        <v>13492</v>
      </c>
      <c r="I1024" t="s">
        <v>6479</v>
      </c>
      <c r="J1024" t="s">
        <v>13463</v>
      </c>
      <c r="K1024">
        <v>0</v>
      </c>
      <c r="L1024" t="s">
        <v>20</v>
      </c>
      <c r="M1024" t="s">
        <v>20</v>
      </c>
      <c r="N1024" t="str">
        <f>_xlfn.XLOOKUP(C:C,'Resource Table'!A:A,'Resource Table'!B:B,"NOT FOUND",0,1)</f>
        <v>Dedicated</v>
      </c>
      <c r="O1024" t="str">
        <f>_xlfn.XLOOKUP(N:N,'Resource Table'!B:B,'Resource Table'!C:C,"n/a",0,1)</f>
        <v>AFS Dedicated Tech</v>
      </c>
      <c r="P1024" t="str">
        <f>_xlfn.XLOOKUP(N:N,'Resource Table'!B:B,'Resource Table'!D:D,"n/a",0,1)</f>
        <v>Dedicated</v>
      </c>
    </row>
    <row r="1025" spans="1:16" x14ac:dyDescent="0.45">
      <c r="A1025" t="s">
        <v>5403</v>
      </c>
      <c r="B1025" t="s">
        <v>5416</v>
      </c>
      <c r="C1025" t="s">
        <v>5448</v>
      </c>
      <c r="D1025" t="s">
        <v>5956</v>
      </c>
      <c r="E1025" t="s">
        <v>6461</v>
      </c>
      <c r="F1025" t="s">
        <v>13460</v>
      </c>
      <c r="G1025" t="s">
        <v>13481</v>
      </c>
      <c r="H1025" t="s">
        <v>13482</v>
      </c>
      <c r="I1025" t="s">
        <v>6479</v>
      </c>
      <c r="J1025" t="s">
        <v>13463</v>
      </c>
      <c r="K1025">
        <v>0</v>
      </c>
      <c r="L1025" t="s">
        <v>20</v>
      </c>
      <c r="M1025" t="s">
        <v>20</v>
      </c>
      <c r="N1025" t="str">
        <f>_xlfn.XLOOKUP(C:C,'Resource Table'!A:A,'Resource Table'!B:B,"NOT FOUND",0,1)</f>
        <v>Dedicated</v>
      </c>
      <c r="O1025" t="str">
        <f>_xlfn.XLOOKUP(N:N,'Resource Table'!B:B,'Resource Table'!C:C,"n/a",0,1)</f>
        <v>AFS Dedicated Tech</v>
      </c>
      <c r="P1025" t="str">
        <f>_xlfn.XLOOKUP(N:N,'Resource Table'!B:B,'Resource Table'!D:D,"n/a",0,1)</f>
        <v>Dedicated</v>
      </c>
    </row>
    <row r="1026" spans="1:16" x14ac:dyDescent="0.45">
      <c r="A1026" t="s">
        <v>5403</v>
      </c>
      <c r="B1026" t="s">
        <v>5416</v>
      </c>
      <c r="C1026" t="s">
        <v>5448</v>
      </c>
      <c r="D1026" t="s">
        <v>5755</v>
      </c>
      <c r="E1026" t="s">
        <v>6451</v>
      </c>
      <c r="F1026" t="s">
        <v>13473</v>
      </c>
      <c r="G1026" t="s">
        <v>13474</v>
      </c>
      <c r="H1026" t="s">
        <v>13517</v>
      </c>
      <c r="I1026" t="s">
        <v>29</v>
      </c>
      <c r="J1026" t="s">
        <v>13463</v>
      </c>
      <c r="K1026">
        <v>1</v>
      </c>
      <c r="L1026" t="s">
        <v>13472</v>
      </c>
      <c r="M1026" t="s">
        <v>20</v>
      </c>
      <c r="N1026" t="str">
        <f>_xlfn.XLOOKUP(C:C,'Resource Table'!A:A,'Resource Table'!B:B,"NOT FOUND",0,1)</f>
        <v>Dedicated</v>
      </c>
      <c r="O1026" t="str">
        <f>_xlfn.XLOOKUP(N:N,'Resource Table'!B:B,'Resource Table'!C:C,"n/a",0,1)</f>
        <v>AFS Dedicated Tech</v>
      </c>
      <c r="P1026" t="str">
        <f>_xlfn.XLOOKUP(N:N,'Resource Table'!B:B,'Resource Table'!D:D,"n/a",0,1)</f>
        <v>Dedicated</v>
      </c>
    </row>
    <row r="1027" spans="1:16" x14ac:dyDescent="0.45">
      <c r="A1027" t="s">
        <v>5403</v>
      </c>
      <c r="B1027" t="s">
        <v>5416</v>
      </c>
      <c r="C1027" t="s">
        <v>5448</v>
      </c>
      <c r="D1027" t="s">
        <v>6244</v>
      </c>
      <c r="E1027" t="s">
        <v>6451</v>
      </c>
      <c r="F1027" t="s">
        <v>13460</v>
      </c>
      <c r="G1027" t="s">
        <v>13476</v>
      </c>
      <c r="H1027" t="s">
        <v>13477</v>
      </c>
      <c r="I1027" t="s">
        <v>6479</v>
      </c>
      <c r="J1027" t="s">
        <v>13463</v>
      </c>
      <c r="K1027">
        <v>0</v>
      </c>
      <c r="L1027" t="s">
        <v>20</v>
      </c>
      <c r="M1027" t="s">
        <v>20</v>
      </c>
      <c r="N1027" t="str">
        <f>_xlfn.XLOOKUP(C:C,'Resource Table'!A:A,'Resource Table'!B:B,"NOT FOUND",0,1)</f>
        <v>Dedicated</v>
      </c>
      <c r="O1027" t="str">
        <f>_xlfn.XLOOKUP(N:N,'Resource Table'!B:B,'Resource Table'!C:C,"n/a",0,1)</f>
        <v>AFS Dedicated Tech</v>
      </c>
      <c r="P1027" t="str">
        <f>_xlfn.XLOOKUP(N:N,'Resource Table'!B:B,'Resource Table'!D:D,"n/a",0,1)</f>
        <v>Dedicated</v>
      </c>
    </row>
    <row r="1028" spans="1:16" x14ac:dyDescent="0.45">
      <c r="A1028" t="s">
        <v>5403</v>
      </c>
      <c r="B1028" t="s">
        <v>5416</v>
      </c>
      <c r="C1028" t="s">
        <v>5448</v>
      </c>
      <c r="D1028" t="s">
        <v>5709</v>
      </c>
      <c r="E1028" t="s">
        <v>6451</v>
      </c>
      <c r="F1028" t="s">
        <v>13473</v>
      </c>
      <c r="G1028" t="s">
        <v>13474</v>
      </c>
      <c r="H1028" t="s">
        <v>13492</v>
      </c>
      <c r="I1028" t="s">
        <v>6479</v>
      </c>
      <c r="J1028" t="s">
        <v>13463</v>
      </c>
      <c r="K1028">
        <v>0</v>
      </c>
      <c r="L1028" t="s">
        <v>20</v>
      </c>
      <c r="M1028" t="s">
        <v>20</v>
      </c>
      <c r="N1028" t="str">
        <f>_xlfn.XLOOKUP(C:C,'Resource Table'!A:A,'Resource Table'!B:B,"NOT FOUND",0,1)</f>
        <v>Dedicated</v>
      </c>
      <c r="O1028" t="str">
        <f>_xlfn.XLOOKUP(N:N,'Resource Table'!B:B,'Resource Table'!C:C,"n/a",0,1)</f>
        <v>AFS Dedicated Tech</v>
      </c>
      <c r="P1028" t="str">
        <f>_xlfn.XLOOKUP(N:N,'Resource Table'!B:B,'Resource Table'!D:D,"n/a",0,1)</f>
        <v>Dedicated</v>
      </c>
    </row>
    <row r="1029" spans="1:16" x14ac:dyDescent="0.45">
      <c r="A1029" t="s">
        <v>5403</v>
      </c>
      <c r="B1029" t="s">
        <v>5416</v>
      </c>
      <c r="C1029" t="s">
        <v>5448</v>
      </c>
      <c r="D1029" t="s">
        <v>5310</v>
      </c>
      <c r="E1029" t="s">
        <v>6451</v>
      </c>
      <c r="F1029" t="s">
        <v>13473</v>
      </c>
      <c r="G1029" t="s">
        <v>13474</v>
      </c>
      <c r="H1029" t="s">
        <v>13521</v>
      </c>
      <c r="I1029" t="s">
        <v>6479</v>
      </c>
      <c r="J1029" t="s">
        <v>13463</v>
      </c>
      <c r="K1029">
        <v>0</v>
      </c>
      <c r="L1029" t="s">
        <v>20</v>
      </c>
      <c r="M1029" t="s">
        <v>20</v>
      </c>
      <c r="N1029" t="str">
        <f>_xlfn.XLOOKUP(C:C,'Resource Table'!A:A,'Resource Table'!B:B,"NOT FOUND",0,1)</f>
        <v>Dedicated</v>
      </c>
      <c r="O1029" t="str">
        <f>_xlfn.XLOOKUP(N:N,'Resource Table'!B:B,'Resource Table'!C:C,"n/a",0,1)</f>
        <v>AFS Dedicated Tech</v>
      </c>
      <c r="P1029" t="str">
        <f>_xlfn.XLOOKUP(N:N,'Resource Table'!B:B,'Resource Table'!D:D,"n/a",0,1)</f>
        <v>Dedicated</v>
      </c>
    </row>
    <row r="1030" spans="1:16" x14ac:dyDescent="0.45">
      <c r="A1030" t="s">
        <v>5403</v>
      </c>
      <c r="B1030" t="s">
        <v>5416</v>
      </c>
      <c r="C1030" t="s">
        <v>5448</v>
      </c>
      <c r="D1030" t="s">
        <v>5957</v>
      </c>
      <c r="E1030" t="s">
        <v>6461</v>
      </c>
      <c r="F1030" t="s">
        <v>13460</v>
      </c>
      <c r="G1030" t="s">
        <v>13481</v>
      </c>
      <c r="H1030" t="s">
        <v>13482</v>
      </c>
      <c r="I1030" t="s">
        <v>6479</v>
      </c>
      <c r="J1030" t="s">
        <v>13463</v>
      </c>
      <c r="K1030">
        <v>1</v>
      </c>
      <c r="L1030" t="s">
        <v>13469</v>
      </c>
      <c r="M1030" t="s">
        <v>13507</v>
      </c>
      <c r="N1030" t="str">
        <f>_xlfn.XLOOKUP(C:C,'Resource Table'!A:A,'Resource Table'!B:B,"NOT FOUND",0,1)</f>
        <v>Dedicated</v>
      </c>
      <c r="O1030" t="str">
        <f>_xlfn.XLOOKUP(N:N,'Resource Table'!B:B,'Resource Table'!C:C,"n/a",0,1)</f>
        <v>AFS Dedicated Tech</v>
      </c>
      <c r="P1030" t="str">
        <f>_xlfn.XLOOKUP(N:N,'Resource Table'!B:B,'Resource Table'!D:D,"n/a",0,1)</f>
        <v>Dedicated</v>
      </c>
    </row>
    <row r="1031" spans="1:16" x14ac:dyDescent="0.45">
      <c r="A1031" t="s">
        <v>5403</v>
      </c>
      <c r="B1031" t="s">
        <v>5416</v>
      </c>
      <c r="C1031" t="s">
        <v>5448</v>
      </c>
      <c r="D1031" t="s">
        <v>6016</v>
      </c>
      <c r="E1031" t="s">
        <v>6461</v>
      </c>
      <c r="F1031" t="s">
        <v>13460</v>
      </c>
      <c r="G1031" t="s">
        <v>13538</v>
      </c>
      <c r="H1031" t="s">
        <v>13539</v>
      </c>
      <c r="I1031" t="s">
        <v>6479</v>
      </c>
      <c r="J1031" t="s">
        <v>13463</v>
      </c>
      <c r="K1031">
        <v>0</v>
      </c>
      <c r="L1031" t="s">
        <v>20</v>
      </c>
      <c r="M1031" t="s">
        <v>20</v>
      </c>
      <c r="N1031" t="str">
        <f>_xlfn.XLOOKUP(C:C,'Resource Table'!A:A,'Resource Table'!B:B,"NOT FOUND",0,1)</f>
        <v>Dedicated</v>
      </c>
      <c r="O1031" t="str">
        <f>_xlfn.XLOOKUP(N:N,'Resource Table'!B:B,'Resource Table'!C:C,"n/a",0,1)</f>
        <v>AFS Dedicated Tech</v>
      </c>
      <c r="P1031" t="str">
        <f>_xlfn.XLOOKUP(N:N,'Resource Table'!B:B,'Resource Table'!D:D,"n/a",0,1)</f>
        <v>Dedicated</v>
      </c>
    </row>
    <row r="1032" spans="1:16" x14ac:dyDescent="0.45">
      <c r="A1032" t="s">
        <v>5431</v>
      </c>
      <c r="B1032" t="s">
        <v>5431</v>
      </c>
      <c r="C1032" t="s">
        <v>5674</v>
      </c>
      <c r="D1032" t="s">
        <v>13094</v>
      </c>
      <c r="E1032" t="s">
        <v>6451</v>
      </c>
      <c r="F1032" t="s">
        <v>13460</v>
      </c>
      <c r="G1032" t="s">
        <v>13476</v>
      </c>
      <c r="H1032" t="s">
        <v>13477</v>
      </c>
      <c r="I1032" t="s">
        <v>6479</v>
      </c>
      <c r="J1032" t="s">
        <v>13463</v>
      </c>
      <c r="K1032">
        <v>0</v>
      </c>
      <c r="L1032" t="s">
        <v>20</v>
      </c>
      <c r="M1032" t="s">
        <v>20</v>
      </c>
      <c r="N1032" t="str">
        <f>_xlfn.XLOOKUP(C:C,'Resource Table'!A:A,'Resource Table'!B:B,"NOT FOUND",0,1)</f>
        <v>Brittany Williams</v>
      </c>
      <c r="O1032" t="str">
        <f>_xlfn.XLOOKUP(N:N,'Resource Table'!B:B,'Resource Table'!C:C,"n/a",0,1)</f>
        <v>bwilliams5@ameritfleet.com</v>
      </c>
      <c r="P1032" t="str">
        <f>_xlfn.XLOOKUP(N:N,'Resource Table'!B:B,'Resource Table'!D:D,"n/a",0,1)</f>
        <v>Vended Repair</v>
      </c>
    </row>
    <row r="1033" spans="1:16" x14ac:dyDescent="0.45">
      <c r="A1033" t="s">
        <v>5431</v>
      </c>
      <c r="B1033" t="s">
        <v>5431</v>
      </c>
      <c r="C1033" t="s">
        <v>5674</v>
      </c>
      <c r="D1033" t="s">
        <v>5675</v>
      </c>
      <c r="E1033" t="s">
        <v>6451</v>
      </c>
      <c r="F1033" t="s">
        <v>13473</v>
      </c>
      <c r="G1033" t="s">
        <v>13474</v>
      </c>
      <c r="H1033" t="s">
        <v>13492</v>
      </c>
      <c r="I1033" t="s">
        <v>6479</v>
      </c>
      <c r="J1033" t="s">
        <v>13463</v>
      </c>
      <c r="K1033">
        <v>0</v>
      </c>
      <c r="L1033" t="s">
        <v>20</v>
      </c>
      <c r="M1033" t="s">
        <v>20</v>
      </c>
      <c r="N1033" t="str">
        <f>_xlfn.XLOOKUP(C:C,'Resource Table'!A:A,'Resource Table'!B:B,"NOT FOUND",0,1)</f>
        <v>Brittany Williams</v>
      </c>
      <c r="O1033" t="str">
        <f>_xlfn.XLOOKUP(N:N,'Resource Table'!B:B,'Resource Table'!C:C,"n/a",0,1)</f>
        <v>bwilliams5@ameritfleet.com</v>
      </c>
      <c r="P1033" t="str">
        <f>_xlfn.XLOOKUP(N:N,'Resource Table'!B:B,'Resource Table'!D:D,"n/a",0,1)</f>
        <v>Vended Repair</v>
      </c>
    </row>
    <row r="1034" spans="1:16" x14ac:dyDescent="0.45">
      <c r="A1034" t="s">
        <v>5431</v>
      </c>
      <c r="B1034" t="s">
        <v>5431</v>
      </c>
      <c r="C1034" t="s">
        <v>5674</v>
      </c>
      <c r="D1034" t="s">
        <v>13095</v>
      </c>
      <c r="E1034" t="s">
        <v>6451</v>
      </c>
      <c r="F1034" t="s">
        <v>13460</v>
      </c>
      <c r="G1034" t="s">
        <v>13608</v>
      </c>
      <c r="H1034" t="s">
        <v>13609</v>
      </c>
      <c r="I1034" t="s">
        <v>6479</v>
      </c>
      <c r="J1034" t="s">
        <v>13463</v>
      </c>
      <c r="K1034">
        <v>0</v>
      </c>
      <c r="L1034" t="s">
        <v>20</v>
      </c>
      <c r="M1034" t="s">
        <v>20</v>
      </c>
      <c r="N1034" t="str">
        <f>_xlfn.XLOOKUP(C:C,'Resource Table'!A:A,'Resource Table'!B:B,"NOT FOUND",0,1)</f>
        <v>Brittany Williams</v>
      </c>
      <c r="O1034" t="str">
        <f>_xlfn.XLOOKUP(N:N,'Resource Table'!B:B,'Resource Table'!C:C,"n/a",0,1)</f>
        <v>bwilliams5@ameritfleet.com</v>
      </c>
      <c r="P1034" t="str">
        <f>_xlfn.XLOOKUP(N:N,'Resource Table'!B:B,'Resource Table'!D:D,"n/a",0,1)</f>
        <v>Vended Repair</v>
      </c>
    </row>
    <row r="1035" spans="1:16" x14ac:dyDescent="0.45">
      <c r="A1035" t="s">
        <v>5431</v>
      </c>
      <c r="B1035" t="s">
        <v>5431</v>
      </c>
      <c r="C1035" t="s">
        <v>5674</v>
      </c>
      <c r="D1035" t="s">
        <v>517</v>
      </c>
      <c r="E1035" t="s">
        <v>6451</v>
      </c>
      <c r="F1035" t="s">
        <v>13473</v>
      </c>
      <c r="G1035" t="s">
        <v>13474</v>
      </c>
      <c r="H1035" t="s">
        <v>13517</v>
      </c>
      <c r="I1035" t="s">
        <v>29</v>
      </c>
      <c r="J1035" t="s">
        <v>13463</v>
      </c>
      <c r="K1035">
        <v>4</v>
      </c>
      <c r="L1035" t="s">
        <v>13487</v>
      </c>
      <c r="M1035" t="s">
        <v>13505</v>
      </c>
      <c r="N1035" t="str">
        <f>_xlfn.XLOOKUP(C:C,'Resource Table'!A:A,'Resource Table'!B:B,"NOT FOUND",0,1)</f>
        <v>Brittany Williams</v>
      </c>
      <c r="O1035" t="str">
        <f>_xlfn.XLOOKUP(N:N,'Resource Table'!B:B,'Resource Table'!C:C,"n/a",0,1)</f>
        <v>bwilliams5@ameritfleet.com</v>
      </c>
      <c r="P1035" t="str">
        <f>_xlfn.XLOOKUP(N:N,'Resource Table'!B:B,'Resource Table'!D:D,"n/a",0,1)</f>
        <v>Vended Repair</v>
      </c>
    </row>
    <row r="1036" spans="1:16" x14ac:dyDescent="0.45">
      <c r="A1036" t="s">
        <v>5431</v>
      </c>
      <c r="B1036" t="s">
        <v>5431</v>
      </c>
      <c r="C1036" t="s">
        <v>5674</v>
      </c>
      <c r="D1036" t="s">
        <v>6023</v>
      </c>
      <c r="E1036" t="s">
        <v>6461</v>
      </c>
      <c r="F1036" t="s">
        <v>13460</v>
      </c>
      <c r="G1036" t="s">
        <v>13538</v>
      </c>
      <c r="H1036" t="s">
        <v>13539</v>
      </c>
      <c r="I1036" t="s">
        <v>29</v>
      </c>
      <c r="J1036" t="s">
        <v>13463</v>
      </c>
      <c r="K1036">
        <v>4</v>
      </c>
      <c r="L1036" t="s">
        <v>13489</v>
      </c>
      <c r="M1036" t="s">
        <v>13545</v>
      </c>
      <c r="N1036" t="str">
        <f>_xlfn.XLOOKUP(C:C,'Resource Table'!A:A,'Resource Table'!B:B,"NOT FOUND",0,1)</f>
        <v>Brittany Williams</v>
      </c>
      <c r="O1036" t="str">
        <f>_xlfn.XLOOKUP(N:N,'Resource Table'!B:B,'Resource Table'!C:C,"n/a",0,1)</f>
        <v>bwilliams5@ameritfleet.com</v>
      </c>
      <c r="P1036" t="str">
        <f>_xlfn.XLOOKUP(N:N,'Resource Table'!B:B,'Resource Table'!D:D,"n/a",0,1)</f>
        <v>Vended Repair</v>
      </c>
    </row>
    <row r="1037" spans="1:16" x14ac:dyDescent="0.45">
      <c r="A1037" t="s">
        <v>5431</v>
      </c>
      <c r="B1037" t="s">
        <v>5431</v>
      </c>
      <c r="C1037" t="s">
        <v>5674</v>
      </c>
      <c r="D1037" t="s">
        <v>5699</v>
      </c>
      <c r="E1037" t="s">
        <v>6451</v>
      </c>
      <c r="F1037" t="s">
        <v>13473</v>
      </c>
      <c r="G1037" t="s">
        <v>13474</v>
      </c>
      <c r="H1037" t="s">
        <v>13492</v>
      </c>
      <c r="I1037" t="s">
        <v>6479</v>
      </c>
      <c r="J1037" t="s">
        <v>13463</v>
      </c>
      <c r="K1037">
        <v>0</v>
      </c>
      <c r="L1037" t="s">
        <v>20</v>
      </c>
      <c r="M1037" t="s">
        <v>20</v>
      </c>
      <c r="N1037" t="str">
        <f>_xlfn.XLOOKUP(C:C,'Resource Table'!A:A,'Resource Table'!B:B,"NOT FOUND",0,1)</f>
        <v>Brittany Williams</v>
      </c>
      <c r="O1037" t="str">
        <f>_xlfn.XLOOKUP(N:N,'Resource Table'!B:B,'Resource Table'!C:C,"n/a",0,1)</f>
        <v>bwilliams5@ameritfleet.com</v>
      </c>
      <c r="P1037" t="str">
        <f>_xlfn.XLOOKUP(N:N,'Resource Table'!B:B,'Resource Table'!D:D,"n/a",0,1)</f>
        <v>Vended Repair</v>
      </c>
    </row>
    <row r="1038" spans="1:16" x14ac:dyDescent="0.45">
      <c r="A1038" t="s">
        <v>5431</v>
      </c>
      <c r="B1038" t="s">
        <v>5431</v>
      </c>
      <c r="C1038" t="s">
        <v>5674</v>
      </c>
      <c r="D1038" t="s">
        <v>6075</v>
      </c>
      <c r="E1038" t="s">
        <v>6461</v>
      </c>
      <c r="F1038" t="s">
        <v>13460</v>
      </c>
      <c r="G1038" t="s">
        <v>13481</v>
      </c>
      <c r="H1038" t="s">
        <v>13511</v>
      </c>
      <c r="I1038" t="s">
        <v>6479</v>
      </c>
      <c r="J1038" t="s">
        <v>13463</v>
      </c>
      <c r="K1038">
        <v>1</v>
      </c>
      <c r="L1038" t="s">
        <v>13480</v>
      </c>
      <c r="M1038" t="s">
        <v>13480</v>
      </c>
      <c r="N1038" t="str">
        <f>_xlfn.XLOOKUP(C:C,'Resource Table'!A:A,'Resource Table'!B:B,"NOT FOUND",0,1)</f>
        <v>Brittany Williams</v>
      </c>
      <c r="O1038" t="str">
        <f>_xlfn.XLOOKUP(N:N,'Resource Table'!B:B,'Resource Table'!C:C,"n/a",0,1)</f>
        <v>bwilliams5@ameritfleet.com</v>
      </c>
      <c r="P1038" t="str">
        <f>_xlfn.XLOOKUP(N:N,'Resource Table'!B:B,'Resource Table'!D:D,"n/a",0,1)</f>
        <v>Vended Repair</v>
      </c>
    </row>
    <row r="1039" spans="1:16" x14ac:dyDescent="0.45">
      <c r="A1039" t="s">
        <v>5431</v>
      </c>
      <c r="B1039" t="s">
        <v>5431</v>
      </c>
      <c r="C1039" t="s">
        <v>5674</v>
      </c>
      <c r="D1039" t="s">
        <v>1190</v>
      </c>
      <c r="E1039" t="s">
        <v>6461</v>
      </c>
      <c r="F1039" t="s">
        <v>13460</v>
      </c>
      <c r="G1039" t="s">
        <v>13481</v>
      </c>
      <c r="H1039" t="s">
        <v>13485</v>
      </c>
      <c r="I1039" t="s">
        <v>6479</v>
      </c>
      <c r="J1039" t="s">
        <v>13486</v>
      </c>
      <c r="K1039">
        <v>1</v>
      </c>
      <c r="L1039" t="s">
        <v>13507</v>
      </c>
      <c r="M1039" t="s">
        <v>20</v>
      </c>
      <c r="N1039" t="str">
        <f>_xlfn.XLOOKUP(C:C,'Resource Table'!A:A,'Resource Table'!B:B,"NOT FOUND",0,1)</f>
        <v>Brittany Williams</v>
      </c>
      <c r="O1039" t="str">
        <f>_xlfn.XLOOKUP(N:N,'Resource Table'!B:B,'Resource Table'!C:C,"n/a",0,1)</f>
        <v>bwilliams5@ameritfleet.com</v>
      </c>
      <c r="P1039" t="str">
        <f>_xlfn.XLOOKUP(N:N,'Resource Table'!B:B,'Resource Table'!D:D,"n/a",0,1)</f>
        <v>Vended Repair</v>
      </c>
    </row>
    <row r="1040" spans="1:16" x14ac:dyDescent="0.45">
      <c r="A1040" t="s">
        <v>5431</v>
      </c>
      <c r="B1040" t="s">
        <v>5431</v>
      </c>
      <c r="C1040" t="s">
        <v>5674</v>
      </c>
      <c r="D1040" t="s">
        <v>5723</v>
      </c>
      <c r="E1040" t="s">
        <v>6451</v>
      </c>
      <c r="F1040" t="s">
        <v>13473</v>
      </c>
      <c r="G1040" t="s">
        <v>13474</v>
      </c>
      <c r="H1040" t="s">
        <v>13517</v>
      </c>
      <c r="I1040" t="s">
        <v>29</v>
      </c>
      <c r="J1040" t="s">
        <v>13463</v>
      </c>
      <c r="K1040">
        <v>5</v>
      </c>
      <c r="L1040" t="s">
        <v>13524</v>
      </c>
      <c r="M1040" t="s">
        <v>13484</v>
      </c>
      <c r="N1040" t="str">
        <f>_xlfn.XLOOKUP(C:C,'Resource Table'!A:A,'Resource Table'!B:B,"NOT FOUND",0,1)</f>
        <v>Brittany Williams</v>
      </c>
      <c r="O1040" t="str">
        <f>_xlfn.XLOOKUP(N:N,'Resource Table'!B:B,'Resource Table'!C:C,"n/a",0,1)</f>
        <v>bwilliams5@ameritfleet.com</v>
      </c>
      <c r="P1040" t="str">
        <f>_xlfn.XLOOKUP(N:N,'Resource Table'!B:B,'Resource Table'!D:D,"n/a",0,1)</f>
        <v>Vended Repair</v>
      </c>
    </row>
    <row r="1041" spans="1:16" x14ac:dyDescent="0.45">
      <c r="A1041" t="s">
        <v>5403</v>
      </c>
      <c r="B1041" t="s">
        <v>5421</v>
      </c>
      <c r="C1041" t="s">
        <v>5516</v>
      </c>
      <c r="D1041" t="s">
        <v>6103</v>
      </c>
      <c r="E1041" t="s">
        <v>6461</v>
      </c>
      <c r="F1041" t="s">
        <v>13460</v>
      </c>
      <c r="G1041" t="s">
        <v>13481</v>
      </c>
      <c r="H1041" t="s">
        <v>13518</v>
      </c>
      <c r="I1041" t="s">
        <v>6479</v>
      </c>
      <c r="J1041" t="s">
        <v>13463</v>
      </c>
      <c r="K1041">
        <v>1</v>
      </c>
      <c r="L1041" t="s">
        <v>13493</v>
      </c>
      <c r="M1041" t="s">
        <v>20</v>
      </c>
      <c r="N1041" t="str">
        <f>_xlfn.XLOOKUP(C:C,'Resource Table'!A:A,'Resource Table'!B:B,"NOT FOUND",0,1)</f>
        <v>Brittany Williams</v>
      </c>
      <c r="O1041" t="str">
        <f>_xlfn.XLOOKUP(N:N,'Resource Table'!B:B,'Resource Table'!C:C,"n/a",0,1)</f>
        <v>bwilliams5@ameritfleet.com</v>
      </c>
      <c r="P1041" t="str">
        <f>_xlfn.XLOOKUP(N:N,'Resource Table'!B:B,'Resource Table'!D:D,"n/a",0,1)</f>
        <v>Vended Repair</v>
      </c>
    </row>
    <row r="1042" spans="1:16" x14ac:dyDescent="0.45">
      <c r="A1042" t="s">
        <v>5403</v>
      </c>
      <c r="B1042" t="s">
        <v>5421</v>
      </c>
      <c r="C1042" t="s">
        <v>5516</v>
      </c>
      <c r="D1042" t="s">
        <v>6069</v>
      </c>
      <c r="E1042" t="s">
        <v>6461</v>
      </c>
      <c r="F1042" t="s">
        <v>13460</v>
      </c>
      <c r="G1042" t="s">
        <v>13481</v>
      </c>
      <c r="H1042" t="s">
        <v>13522</v>
      </c>
      <c r="I1042" t="s">
        <v>29</v>
      </c>
      <c r="J1042" t="s">
        <v>13463</v>
      </c>
      <c r="K1042">
        <v>3</v>
      </c>
      <c r="L1042" t="s">
        <v>13512</v>
      </c>
      <c r="M1042" t="s">
        <v>13537</v>
      </c>
      <c r="N1042" t="str">
        <f>_xlfn.XLOOKUP(C:C,'Resource Table'!A:A,'Resource Table'!B:B,"NOT FOUND",0,1)</f>
        <v>Brittany Williams</v>
      </c>
      <c r="O1042" t="str">
        <f>_xlfn.XLOOKUP(N:N,'Resource Table'!B:B,'Resource Table'!C:C,"n/a",0,1)</f>
        <v>bwilliams5@ameritfleet.com</v>
      </c>
      <c r="P1042" t="str">
        <f>_xlfn.XLOOKUP(N:N,'Resource Table'!B:B,'Resource Table'!D:D,"n/a",0,1)</f>
        <v>Vended Repair</v>
      </c>
    </row>
    <row r="1043" spans="1:16" x14ac:dyDescent="0.45">
      <c r="A1043" t="s">
        <v>5403</v>
      </c>
      <c r="B1043" t="s">
        <v>5421</v>
      </c>
      <c r="C1043" t="s">
        <v>5516</v>
      </c>
      <c r="D1043" t="s">
        <v>5044</v>
      </c>
      <c r="E1043" t="s">
        <v>6461</v>
      </c>
      <c r="F1043" t="s">
        <v>13460</v>
      </c>
      <c r="G1043" t="s">
        <v>13481</v>
      </c>
      <c r="H1043" t="s">
        <v>13511</v>
      </c>
      <c r="I1043" t="s">
        <v>6479</v>
      </c>
      <c r="J1043" t="s">
        <v>13463</v>
      </c>
      <c r="K1043">
        <v>2</v>
      </c>
      <c r="L1043" t="s">
        <v>13489</v>
      </c>
      <c r="M1043" t="s">
        <v>13491</v>
      </c>
      <c r="N1043" t="str">
        <f>_xlfn.XLOOKUP(C:C,'Resource Table'!A:A,'Resource Table'!B:B,"NOT FOUND",0,1)</f>
        <v>Brittany Williams</v>
      </c>
      <c r="O1043" t="str">
        <f>_xlfn.XLOOKUP(N:N,'Resource Table'!B:B,'Resource Table'!C:C,"n/a",0,1)</f>
        <v>bwilliams5@ameritfleet.com</v>
      </c>
      <c r="P1043" t="str">
        <f>_xlfn.XLOOKUP(N:N,'Resource Table'!B:B,'Resource Table'!D:D,"n/a",0,1)</f>
        <v>Vended Repair</v>
      </c>
    </row>
    <row r="1044" spans="1:16" x14ac:dyDescent="0.45">
      <c r="A1044" t="s">
        <v>5403</v>
      </c>
      <c r="B1044" t="s">
        <v>5421</v>
      </c>
      <c r="C1044" t="s">
        <v>5516</v>
      </c>
      <c r="D1044" t="s">
        <v>6100</v>
      </c>
      <c r="E1044" t="s">
        <v>6461</v>
      </c>
      <c r="F1044" t="s">
        <v>13460</v>
      </c>
      <c r="G1044" t="s">
        <v>13481</v>
      </c>
      <c r="H1044" t="s">
        <v>13518</v>
      </c>
      <c r="I1044" t="s">
        <v>6479</v>
      </c>
      <c r="J1044" t="s">
        <v>13463</v>
      </c>
      <c r="K1044">
        <v>1</v>
      </c>
      <c r="L1044" t="s">
        <v>13466</v>
      </c>
      <c r="M1044" t="s">
        <v>13468</v>
      </c>
      <c r="N1044" t="str">
        <f>_xlfn.XLOOKUP(C:C,'Resource Table'!A:A,'Resource Table'!B:B,"NOT FOUND",0,1)</f>
        <v>Brittany Williams</v>
      </c>
      <c r="O1044" t="str">
        <f>_xlfn.XLOOKUP(N:N,'Resource Table'!B:B,'Resource Table'!C:C,"n/a",0,1)</f>
        <v>bwilliams5@ameritfleet.com</v>
      </c>
      <c r="P1044" t="str">
        <f>_xlfn.XLOOKUP(N:N,'Resource Table'!B:B,'Resource Table'!D:D,"n/a",0,1)</f>
        <v>Vended Repair</v>
      </c>
    </row>
    <row r="1045" spans="1:16" x14ac:dyDescent="0.45">
      <c r="A1045" t="s">
        <v>5403</v>
      </c>
      <c r="B1045" t="s">
        <v>5421</v>
      </c>
      <c r="C1045" t="s">
        <v>5516</v>
      </c>
      <c r="D1045" t="s">
        <v>6070</v>
      </c>
      <c r="E1045" t="s">
        <v>6461</v>
      </c>
      <c r="F1045" t="s">
        <v>13460</v>
      </c>
      <c r="G1045" t="s">
        <v>13481</v>
      </c>
      <c r="H1045" t="s">
        <v>13511</v>
      </c>
      <c r="I1045" t="s">
        <v>6479</v>
      </c>
      <c r="J1045" t="s">
        <v>13463</v>
      </c>
      <c r="K1045">
        <v>2</v>
      </c>
      <c r="L1045" t="s">
        <v>13466</v>
      </c>
      <c r="M1045" t="s">
        <v>13468</v>
      </c>
      <c r="N1045" t="str">
        <f>_xlfn.XLOOKUP(C:C,'Resource Table'!A:A,'Resource Table'!B:B,"NOT FOUND",0,1)</f>
        <v>Brittany Williams</v>
      </c>
      <c r="O1045" t="str">
        <f>_xlfn.XLOOKUP(N:N,'Resource Table'!B:B,'Resource Table'!C:C,"n/a",0,1)</f>
        <v>bwilliams5@ameritfleet.com</v>
      </c>
      <c r="P1045" t="str">
        <f>_xlfn.XLOOKUP(N:N,'Resource Table'!B:B,'Resource Table'!D:D,"n/a",0,1)</f>
        <v>Vended Repair</v>
      </c>
    </row>
    <row r="1046" spans="1:16" x14ac:dyDescent="0.45">
      <c r="A1046" t="s">
        <v>5403</v>
      </c>
      <c r="B1046" t="s">
        <v>5421</v>
      </c>
      <c r="C1046" t="s">
        <v>5516</v>
      </c>
      <c r="D1046" t="s">
        <v>6101</v>
      </c>
      <c r="E1046" t="s">
        <v>6461</v>
      </c>
      <c r="F1046" t="s">
        <v>13460</v>
      </c>
      <c r="G1046" t="s">
        <v>13481</v>
      </c>
      <c r="H1046" t="s">
        <v>13518</v>
      </c>
      <c r="I1046" t="s">
        <v>6479</v>
      </c>
      <c r="J1046" t="s">
        <v>13463</v>
      </c>
      <c r="K1046">
        <v>1</v>
      </c>
      <c r="L1046" t="s">
        <v>13505</v>
      </c>
      <c r="M1046" t="s">
        <v>13505</v>
      </c>
      <c r="N1046" t="str">
        <f>_xlfn.XLOOKUP(C:C,'Resource Table'!A:A,'Resource Table'!B:B,"NOT FOUND",0,1)</f>
        <v>Brittany Williams</v>
      </c>
      <c r="O1046" t="str">
        <f>_xlfn.XLOOKUP(N:N,'Resource Table'!B:B,'Resource Table'!C:C,"n/a",0,1)</f>
        <v>bwilliams5@ameritfleet.com</v>
      </c>
      <c r="P1046" t="str">
        <f>_xlfn.XLOOKUP(N:N,'Resource Table'!B:B,'Resource Table'!D:D,"n/a",0,1)</f>
        <v>Vended Repair</v>
      </c>
    </row>
    <row r="1047" spans="1:16" x14ac:dyDescent="0.45">
      <c r="A1047" t="s">
        <v>5403</v>
      </c>
      <c r="B1047" t="s">
        <v>5421</v>
      </c>
      <c r="C1047" t="s">
        <v>5516</v>
      </c>
      <c r="D1047" t="s">
        <v>6430</v>
      </c>
      <c r="E1047" t="s">
        <v>6451</v>
      </c>
      <c r="F1047" t="s">
        <v>13514</v>
      </c>
      <c r="G1047" t="s">
        <v>13515</v>
      </c>
      <c r="H1047" t="s">
        <v>13569</v>
      </c>
      <c r="I1047" t="s">
        <v>6479</v>
      </c>
      <c r="J1047" t="s">
        <v>13463</v>
      </c>
      <c r="K1047">
        <v>1</v>
      </c>
      <c r="L1047" t="s">
        <v>13524</v>
      </c>
      <c r="M1047" t="s">
        <v>13491</v>
      </c>
      <c r="N1047" t="str">
        <f>_xlfn.XLOOKUP(C:C,'Resource Table'!A:A,'Resource Table'!B:B,"NOT FOUND",0,1)</f>
        <v>Brittany Williams</v>
      </c>
      <c r="O1047" t="str">
        <f>_xlfn.XLOOKUP(N:N,'Resource Table'!B:B,'Resource Table'!C:C,"n/a",0,1)</f>
        <v>bwilliams5@ameritfleet.com</v>
      </c>
      <c r="P1047" t="str">
        <f>_xlfn.XLOOKUP(N:N,'Resource Table'!B:B,'Resource Table'!D:D,"n/a",0,1)</f>
        <v>Vended Repair</v>
      </c>
    </row>
    <row r="1048" spans="1:16" x14ac:dyDescent="0.45">
      <c r="A1048" t="s">
        <v>5403</v>
      </c>
      <c r="B1048" t="s">
        <v>5421</v>
      </c>
      <c r="C1048" t="s">
        <v>5516</v>
      </c>
      <c r="D1048" t="s">
        <v>795</v>
      </c>
      <c r="E1048" t="s">
        <v>6462</v>
      </c>
      <c r="F1048" t="s">
        <v>13460</v>
      </c>
      <c r="G1048" t="s">
        <v>13481</v>
      </c>
      <c r="H1048" t="s">
        <v>13485</v>
      </c>
      <c r="I1048" t="s">
        <v>29</v>
      </c>
      <c r="J1048" t="s">
        <v>13463</v>
      </c>
      <c r="K1048">
        <v>3</v>
      </c>
      <c r="L1048" t="s">
        <v>13534</v>
      </c>
      <c r="M1048" t="s">
        <v>13591</v>
      </c>
      <c r="N1048" t="str">
        <f>_xlfn.XLOOKUP(C:C,'Resource Table'!A:A,'Resource Table'!B:B,"NOT FOUND",0,1)</f>
        <v>Brittany Williams</v>
      </c>
      <c r="O1048" t="str">
        <f>_xlfn.XLOOKUP(N:N,'Resource Table'!B:B,'Resource Table'!C:C,"n/a",0,1)</f>
        <v>bwilliams5@ameritfleet.com</v>
      </c>
      <c r="P1048" t="str">
        <f>_xlfn.XLOOKUP(N:N,'Resource Table'!B:B,'Resource Table'!D:D,"n/a",0,1)</f>
        <v>Vended Repair</v>
      </c>
    </row>
    <row r="1049" spans="1:16" x14ac:dyDescent="0.45">
      <c r="A1049" t="s">
        <v>5403</v>
      </c>
      <c r="B1049" t="s">
        <v>5421</v>
      </c>
      <c r="C1049" t="s">
        <v>5516</v>
      </c>
      <c r="D1049" t="s">
        <v>4184</v>
      </c>
      <c r="E1049" t="s">
        <v>6451</v>
      </c>
      <c r="F1049" t="s">
        <v>13473</v>
      </c>
      <c r="G1049" t="s">
        <v>13474</v>
      </c>
      <c r="H1049" t="s">
        <v>13492</v>
      </c>
      <c r="I1049" t="s">
        <v>29</v>
      </c>
      <c r="J1049" t="s">
        <v>13463</v>
      </c>
      <c r="K1049">
        <v>2</v>
      </c>
      <c r="L1049" t="s">
        <v>13520</v>
      </c>
      <c r="M1049" t="s">
        <v>13591</v>
      </c>
      <c r="N1049" t="str">
        <f>_xlfn.XLOOKUP(C:C,'Resource Table'!A:A,'Resource Table'!B:B,"NOT FOUND",0,1)</f>
        <v>Brittany Williams</v>
      </c>
      <c r="O1049" t="str">
        <f>_xlfn.XLOOKUP(N:N,'Resource Table'!B:B,'Resource Table'!C:C,"n/a",0,1)</f>
        <v>bwilliams5@ameritfleet.com</v>
      </c>
      <c r="P1049" t="str">
        <f>_xlfn.XLOOKUP(N:N,'Resource Table'!B:B,'Resource Table'!D:D,"n/a",0,1)</f>
        <v>Vended Repair</v>
      </c>
    </row>
    <row r="1050" spans="1:16" x14ac:dyDescent="0.45">
      <c r="A1050" t="s">
        <v>5403</v>
      </c>
      <c r="B1050" t="s">
        <v>5421</v>
      </c>
      <c r="C1050" t="s">
        <v>5516</v>
      </c>
      <c r="D1050" t="s">
        <v>1401</v>
      </c>
      <c r="E1050" t="s">
        <v>6451</v>
      </c>
      <c r="F1050" t="s">
        <v>13473</v>
      </c>
      <c r="G1050" t="s">
        <v>13474</v>
      </c>
      <c r="H1050" t="s">
        <v>13492</v>
      </c>
      <c r="I1050" t="s">
        <v>29</v>
      </c>
      <c r="J1050" t="s">
        <v>13463</v>
      </c>
      <c r="K1050">
        <v>2</v>
      </c>
      <c r="L1050" t="s">
        <v>13466</v>
      </c>
      <c r="M1050" t="s">
        <v>13498</v>
      </c>
      <c r="N1050" t="str">
        <f>_xlfn.XLOOKUP(C:C,'Resource Table'!A:A,'Resource Table'!B:B,"NOT FOUND",0,1)</f>
        <v>Brittany Williams</v>
      </c>
      <c r="O1050" t="str">
        <f>_xlfn.XLOOKUP(N:N,'Resource Table'!B:B,'Resource Table'!C:C,"n/a",0,1)</f>
        <v>bwilliams5@ameritfleet.com</v>
      </c>
      <c r="P1050" t="str">
        <f>_xlfn.XLOOKUP(N:N,'Resource Table'!B:B,'Resource Table'!D:D,"n/a",0,1)</f>
        <v>Vended Repair</v>
      </c>
    </row>
    <row r="1051" spans="1:16" x14ac:dyDescent="0.45">
      <c r="A1051" t="s">
        <v>5403</v>
      </c>
      <c r="B1051" t="s">
        <v>5421</v>
      </c>
      <c r="C1051" t="s">
        <v>5515</v>
      </c>
      <c r="D1051" t="s">
        <v>858</v>
      </c>
      <c r="E1051" t="s">
        <v>6461</v>
      </c>
      <c r="F1051" t="s">
        <v>13460</v>
      </c>
      <c r="G1051" t="s">
        <v>13481</v>
      </c>
      <c r="H1051" t="s">
        <v>13522</v>
      </c>
      <c r="I1051" t="s">
        <v>6479</v>
      </c>
      <c r="J1051" t="s">
        <v>13463</v>
      </c>
      <c r="K1051">
        <v>5</v>
      </c>
      <c r="L1051" t="s">
        <v>13536</v>
      </c>
      <c r="M1051" t="s">
        <v>13505</v>
      </c>
      <c r="N1051" t="str">
        <f>_xlfn.XLOOKUP(C:C,'Resource Table'!A:A,'Resource Table'!B:B,"NOT FOUND",0,1)</f>
        <v>Brittany Williams</v>
      </c>
      <c r="O1051" t="str">
        <f>_xlfn.XLOOKUP(N:N,'Resource Table'!B:B,'Resource Table'!C:C,"n/a",0,1)</f>
        <v>bwilliams5@ameritfleet.com</v>
      </c>
      <c r="P1051" t="str">
        <f>_xlfn.XLOOKUP(N:N,'Resource Table'!B:B,'Resource Table'!D:D,"n/a",0,1)</f>
        <v>Vended Repair</v>
      </c>
    </row>
    <row r="1052" spans="1:16" x14ac:dyDescent="0.45">
      <c r="A1052" t="s">
        <v>5403</v>
      </c>
      <c r="B1052" t="s">
        <v>5421</v>
      </c>
      <c r="C1052" t="s">
        <v>5515</v>
      </c>
      <c r="D1052" t="s">
        <v>80</v>
      </c>
      <c r="E1052" t="s">
        <v>6461</v>
      </c>
      <c r="F1052" t="s">
        <v>13460</v>
      </c>
      <c r="G1052" t="s">
        <v>13481</v>
      </c>
      <c r="H1052" t="s">
        <v>13518</v>
      </c>
      <c r="I1052" t="s">
        <v>6479</v>
      </c>
      <c r="J1052" t="s">
        <v>13486</v>
      </c>
      <c r="K1052">
        <v>4</v>
      </c>
      <c r="L1052" t="s">
        <v>13489</v>
      </c>
      <c r="M1052" t="s">
        <v>13480</v>
      </c>
      <c r="N1052" t="str">
        <f>_xlfn.XLOOKUP(C:C,'Resource Table'!A:A,'Resource Table'!B:B,"NOT FOUND",0,1)</f>
        <v>Brittany Williams</v>
      </c>
      <c r="O1052" t="str">
        <f>_xlfn.XLOOKUP(N:N,'Resource Table'!B:B,'Resource Table'!C:C,"n/a",0,1)</f>
        <v>bwilliams5@ameritfleet.com</v>
      </c>
      <c r="P1052" t="str">
        <f>_xlfn.XLOOKUP(N:N,'Resource Table'!B:B,'Resource Table'!D:D,"n/a",0,1)</f>
        <v>Vended Repair</v>
      </c>
    </row>
    <row r="1053" spans="1:16" x14ac:dyDescent="0.45">
      <c r="A1053" t="s">
        <v>5403</v>
      </c>
      <c r="B1053" t="s">
        <v>5421</v>
      </c>
      <c r="C1053" t="s">
        <v>5515</v>
      </c>
      <c r="D1053" t="s">
        <v>1884</v>
      </c>
      <c r="E1053" t="s">
        <v>6451</v>
      </c>
      <c r="F1053" t="s">
        <v>13473</v>
      </c>
      <c r="G1053" t="s">
        <v>13474</v>
      </c>
      <c r="H1053" t="s">
        <v>13475</v>
      </c>
      <c r="I1053" t="s">
        <v>6479</v>
      </c>
      <c r="J1053" t="s">
        <v>13463</v>
      </c>
      <c r="K1053">
        <v>3</v>
      </c>
      <c r="L1053" t="s">
        <v>13544</v>
      </c>
      <c r="M1053" t="s">
        <v>13505</v>
      </c>
      <c r="N1053" t="str">
        <f>_xlfn.XLOOKUP(C:C,'Resource Table'!A:A,'Resource Table'!B:B,"NOT FOUND",0,1)</f>
        <v>Brittany Williams</v>
      </c>
      <c r="O1053" t="str">
        <f>_xlfn.XLOOKUP(N:N,'Resource Table'!B:B,'Resource Table'!C:C,"n/a",0,1)</f>
        <v>bwilliams5@ameritfleet.com</v>
      </c>
      <c r="P1053" t="str">
        <f>_xlfn.XLOOKUP(N:N,'Resource Table'!B:B,'Resource Table'!D:D,"n/a",0,1)</f>
        <v>Vended Repair</v>
      </c>
    </row>
    <row r="1054" spans="1:16" x14ac:dyDescent="0.45">
      <c r="A1054" t="s">
        <v>5403</v>
      </c>
      <c r="B1054" t="s">
        <v>5421</v>
      </c>
      <c r="C1054" t="s">
        <v>5515</v>
      </c>
      <c r="D1054" t="s">
        <v>695</v>
      </c>
      <c r="E1054" t="s">
        <v>6451</v>
      </c>
      <c r="F1054" t="s">
        <v>13473</v>
      </c>
      <c r="G1054" t="s">
        <v>13474</v>
      </c>
      <c r="H1054" t="s">
        <v>13475</v>
      </c>
      <c r="I1054" t="s">
        <v>29</v>
      </c>
      <c r="J1054" t="s">
        <v>13463</v>
      </c>
      <c r="K1054">
        <v>3</v>
      </c>
      <c r="L1054" t="s">
        <v>13479</v>
      </c>
      <c r="M1054" t="s">
        <v>13505</v>
      </c>
      <c r="N1054" t="str">
        <f>_xlfn.XLOOKUP(C:C,'Resource Table'!A:A,'Resource Table'!B:B,"NOT FOUND",0,1)</f>
        <v>Brittany Williams</v>
      </c>
      <c r="O1054" t="str">
        <f>_xlfn.XLOOKUP(N:N,'Resource Table'!B:B,'Resource Table'!C:C,"n/a",0,1)</f>
        <v>bwilliams5@ameritfleet.com</v>
      </c>
      <c r="P1054" t="str">
        <f>_xlfn.XLOOKUP(N:N,'Resource Table'!B:B,'Resource Table'!D:D,"n/a",0,1)</f>
        <v>Vended Repair</v>
      </c>
    </row>
    <row r="1055" spans="1:16" x14ac:dyDescent="0.45">
      <c r="A1055" t="s">
        <v>5403</v>
      </c>
      <c r="B1055" t="s">
        <v>5421</v>
      </c>
      <c r="C1055" t="s">
        <v>5515</v>
      </c>
      <c r="D1055" t="s">
        <v>862</v>
      </c>
      <c r="E1055" t="s">
        <v>6461</v>
      </c>
      <c r="F1055" t="s">
        <v>13460</v>
      </c>
      <c r="G1055" t="s">
        <v>13481</v>
      </c>
      <c r="H1055" t="s">
        <v>13482</v>
      </c>
      <c r="I1055" t="s">
        <v>6479</v>
      </c>
      <c r="J1055" t="s">
        <v>13463</v>
      </c>
      <c r="K1055">
        <v>5</v>
      </c>
      <c r="L1055" t="s">
        <v>13580</v>
      </c>
      <c r="M1055" t="s">
        <v>13505</v>
      </c>
      <c r="N1055" t="str">
        <f>_xlfn.XLOOKUP(C:C,'Resource Table'!A:A,'Resource Table'!B:B,"NOT FOUND",0,1)</f>
        <v>Brittany Williams</v>
      </c>
      <c r="O1055" t="str">
        <f>_xlfn.XLOOKUP(N:N,'Resource Table'!B:B,'Resource Table'!C:C,"n/a",0,1)</f>
        <v>bwilliams5@ameritfleet.com</v>
      </c>
      <c r="P1055" t="str">
        <f>_xlfn.XLOOKUP(N:N,'Resource Table'!B:B,'Resource Table'!D:D,"n/a",0,1)</f>
        <v>Vended Repair</v>
      </c>
    </row>
    <row r="1056" spans="1:16" x14ac:dyDescent="0.45">
      <c r="A1056" t="s">
        <v>5403</v>
      </c>
      <c r="B1056" t="s">
        <v>5421</v>
      </c>
      <c r="C1056" t="s">
        <v>5515</v>
      </c>
      <c r="D1056" t="s">
        <v>1384</v>
      </c>
      <c r="E1056" t="s">
        <v>6461</v>
      </c>
      <c r="F1056" t="s">
        <v>13460</v>
      </c>
      <c r="G1056" t="s">
        <v>13481</v>
      </c>
      <c r="H1056" t="s">
        <v>13482</v>
      </c>
      <c r="I1056" t="s">
        <v>29</v>
      </c>
      <c r="J1056" t="s">
        <v>13486</v>
      </c>
      <c r="K1056">
        <v>3</v>
      </c>
      <c r="L1056" t="s">
        <v>13489</v>
      </c>
      <c r="M1056" t="s">
        <v>13505</v>
      </c>
      <c r="N1056" t="str">
        <f>_xlfn.XLOOKUP(C:C,'Resource Table'!A:A,'Resource Table'!B:B,"NOT FOUND",0,1)</f>
        <v>Brittany Williams</v>
      </c>
      <c r="O1056" t="str">
        <f>_xlfn.XLOOKUP(N:N,'Resource Table'!B:B,'Resource Table'!C:C,"n/a",0,1)</f>
        <v>bwilliams5@ameritfleet.com</v>
      </c>
      <c r="P1056" t="str">
        <f>_xlfn.XLOOKUP(N:N,'Resource Table'!B:B,'Resource Table'!D:D,"n/a",0,1)</f>
        <v>Vended Repair</v>
      </c>
    </row>
    <row r="1057" spans="1:16" x14ac:dyDescent="0.45">
      <c r="A1057" t="s">
        <v>5403</v>
      </c>
      <c r="B1057" t="s">
        <v>5421</v>
      </c>
      <c r="C1057" t="s">
        <v>5515</v>
      </c>
      <c r="D1057" t="s">
        <v>2840</v>
      </c>
      <c r="E1057" t="s">
        <v>6461</v>
      </c>
      <c r="F1057" t="s">
        <v>13460</v>
      </c>
      <c r="G1057" t="s">
        <v>13481</v>
      </c>
      <c r="H1057" t="s">
        <v>13522</v>
      </c>
      <c r="I1057" t="s">
        <v>6479</v>
      </c>
      <c r="J1057" t="s">
        <v>13463</v>
      </c>
      <c r="K1057">
        <v>3</v>
      </c>
      <c r="L1057" t="s">
        <v>13544</v>
      </c>
      <c r="M1057" t="s">
        <v>13591</v>
      </c>
      <c r="N1057" t="str">
        <f>_xlfn.XLOOKUP(C:C,'Resource Table'!A:A,'Resource Table'!B:B,"NOT FOUND",0,1)</f>
        <v>Brittany Williams</v>
      </c>
      <c r="O1057" t="str">
        <f>_xlfn.XLOOKUP(N:N,'Resource Table'!B:B,'Resource Table'!C:C,"n/a",0,1)</f>
        <v>bwilliams5@ameritfleet.com</v>
      </c>
      <c r="P1057" t="str">
        <f>_xlfn.XLOOKUP(N:N,'Resource Table'!B:B,'Resource Table'!D:D,"n/a",0,1)</f>
        <v>Vended Repair</v>
      </c>
    </row>
    <row r="1058" spans="1:16" x14ac:dyDescent="0.45">
      <c r="A1058" t="s">
        <v>5403</v>
      </c>
      <c r="B1058" t="s">
        <v>5421</v>
      </c>
      <c r="C1058" t="s">
        <v>5515</v>
      </c>
      <c r="D1058" t="s">
        <v>1196</v>
      </c>
      <c r="E1058" t="s">
        <v>6461</v>
      </c>
      <c r="F1058" t="s">
        <v>13460</v>
      </c>
      <c r="G1058" t="s">
        <v>13481</v>
      </c>
      <c r="H1058" t="s">
        <v>13482</v>
      </c>
      <c r="I1058" t="s">
        <v>6479</v>
      </c>
      <c r="J1058" t="s">
        <v>13463</v>
      </c>
      <c r="K1058">
        <v>2</v>
      </c>
      <c r="L1058" t="s">
        <v>13512</v>
      </c>
      <c r="M1058" t="s">
        <v>13505</v>
      </c>
      <c r="N1058" t="str">
        <f>_xlfn.XLOOKUP(C:C,'Resource Table'!A:A,'Resource Table'!B:B,"NOT FOUND",0,1)</f>
        <v>Brittany Williams</v>
      </c>
      <c r="O1058" t="str">
        <f>_xlfn.XLOOKUP(N:N,'Resource Table'!B:B,'Resource Table'!C:C,"n/a",0,1)</f>
        <v>bwilliams5@ameritfleet.com</v>
      </c>
      <c r="P1058" t="str">
        <f>_xlfn.XLOOKUP(N:N,'Resource Table'!B:B,'Resource Table'!D:D,"n/a",0,1)</f>
        <v>Vended Repair</v>
      </c>
    </row>
    <row r="1059" spans="1:16" x14ac:dyDescent="0.45">
      <c r="A1059" t="s">
        <v>5403</v>
      </c>
      <c r="B1059" t="s">
        <v>5421</v>
      </c>
      <c r="C1059" t="s">
        <v>5515</v>
      </c>
      <c r="D1059" t="s">
        <v>1863</v>
      </c>
      <c r="E1059" t="s">
        <v>6451</v>
      </c>
      <c r="F1059" t="s">
        <v>13473</v>
      </c>
      <c r="G1059" t="s">
        <v>13474</v>
      </c>
      <c r="H1059" t="s">
        <v>13475</v>
      </c>
      <c r="I1059" t="s">
        <v>29</v>
      </c>
      <c r="J1059" t="s">
        <v>13463</v>
      </c>
      <c r="K1059">
        <v>2</v>
      </c>
      <c r="L1059" t="s">
        <v>13548</v>
      </c>
      <c r="M1059" t="s">
        <v>13468</v>
      </c>
      <c r="N1059" t="str">
        <f>_xlfn.XLOOKUP(C:C,'Resource Table'!A:A,'Resource Table'!B:B,"NOT FOUND",0,1)</f>
        <v>Brittany Williams</v>
      </c>
      <c r="O1059" t="str">
        <f>_xlfn.XLOOKUP(N:N,'Resource Table'!B:B,'Resource Table'!C:C,"n/a",0,1)</f>
        <v>bwilliams5@ameritfleet.com</v>
      </c>
      <c r="P1059" t="str">
        <f>_xlfn.XLOOKUP(N:N,'Resource Table'!B:B,'Resource Table'!D:D,"n/a",0,1)</f>
        <v>Vended Repair</v>
      </c>
    </row>
    <row r="1060" spans="1:16" x14ac:dyDescent="0.45">
      <c r="A1060" t="s">
        <v>5403</v>
      </c>
      <c r="B1060" t="s">
        <v>5421</v>
      </c>
      <c r="C1060" t="s">
        <v>5515</v>
      </c>
      <c r="D1060" t="s">
        <v>1577</v>
      </c>
      <c r="E1060" t="s">
        <v>6461</v>
      </c>
      <c r="F1060" t="s">
        <v>13460</v>
      </c>
      <c r="G1060" t="s">
        <v>13481</v>
      </c>
      <c r="H1060" t="s">
        <v>13522</v>
      </c>
      <c r="I1060" t="s">
        <v>6479</v>
      </c>
      <c r="J1060" t="s">
        <v>13486</v>
      </c>
      <c r="K1060">
        <v>3</v>
      </c>
      <c r="L1060" t="s">
        <v>13512</v>
      </c>
      <c r="M1060" t="s">
        <v>13505</v>
      </c>
      <c r="N1060" t="str">
        <f>_xlfn.XLOOKUP(C:C,'Resource Table'!A:A,'Resource Table'!B:B,"NOT FOUND",0,1)</f>
        <v>Brittany Williams</v>
      </c>
      <c r="O1060" t="str">
        <f>_xlfn.XLOOKUP(N:N,'Resource Table'!B:B,'Resource Table'!C:C,"n/a",0,1)</f>
        <v>bwilliams5@ameritfleet.com</v>
      </c>
      <c r="P1060" t="str">
        <f>_xlfn.XLOOKUP(N:N,'Resource Table'!B:B,'Resource Table'!D:D,"n/a",0,1)</f>
        <v>Vended Repair</v>
      </c>
    </row>
    <row r="1061" spans="1:16" x14ac:dyDescent="0.45">
      <c r="A1061" t="s">
        <v>5431</v>
      </c>
      <c r="B1061" t="s">
        <v>5431</v>
      </c>
      <c r="C1061" t="s">
        <v>5669</v>
      </c>
      <c r="D1061" t="s">
        <v>5715</v>
      </c>
      <c r="E1061" t="s">
        <v>6451</v>
      </c>
      <c r="F1061" t="s">
        <v>13473</v>
      </c>
      <c r="G1061" t="s">
        <v>13474</v>
      </c>
      <c r="H1061" t="s">
        <v>13492</v>
      </c>
      <c r="I1061" t="s">
        <v>6479</v>
      </c>
      <c r="J1061" t="s">
        <v>13463</v>
      </c>
      <c r="K1061">
        <v>4</v>
      </c>
      <c r="L1061" t="s">
        <v>13520</v>
      </c>
      <c r="M1061" t="s">
        <v>13505</v>
      </c>
      <c r="N1061" t="str">
        <f>_xlfn.XLOOKUP(C:C,'Resource Table'!A:A,'Resource Table'!B:B,"NOT FOUND",0,1)</f>
        <v>Brittany Williams</v>
      </c>
      <c r="O1061" t="str">
        <f>_xlfn.XLOOKUP(N:N,'Resource Table'!B:B,'Resource Table'!C:C,"n/a",0,1)</f>
        <v>bwilliams5@ameritfleet.com</v>
      </c>
      <c r="P1061" t="str">
        <f>_xlfn.XLOOKUP(N:N,'Resource Table'!B:B,'Resource Table'!D:D,"n/a",0,1)</f>
        <v>Vended Repair</v>
      </c>
    </row>
    <row r="1062" spans="1:16" x14ac:dyDescent="0.45">
      <c r="A1062" t="s">
        <v>5431</v>
      </c>
      <c r="B1062" t="s">
        <v>5431</v>
      </c>
      <c r="C1062" t="s">
        <v>5669</v>
      </c>
      <c r="D1062" t="s">
        <v>2332</v>
      </c>
      <c r="E1062" t="s">
        <v>6451</v>
      </c>
      <c r="F1062" t="s">
        <v>13460</v>
      </c>
      <c r="G1062" t="s">
        <v>13461</v>
      </c>
      <c r="H1062" t="s">
        <v>13596</v>
      </c>
      <c r="I1062" t="s">
        <v>6479</v>
      </c>
      <c r="J1062" t="s">
        <v>13463</v>
      </c>
      <c r="K1062">
        <v>5</v>
      </c>
      <c r="L1062" t="s">
        <v>13530</v>
      </c>
      <c r="M1062" t="s">
        <v>13505</v>
      </c>
      <c r="N1062" t="str">
        <f>_xlfn.XLOOKUP(C:C,'Resource Table'!A:A,'Resource Table'!B:B,"NOT FOUND",0,1)</f>
        <v>Brittany Williams</v>
      </c>
      <c r="O1062" t="str">
        <f>_xlfn.XLOOKUP(N:N,'Resource Table'!B:B,'Resource Table'!C:C,"n/a",0,1)</f>
        <v>bwilliams5@ameritfleet.com</v>
      </c>
      <c r="P1062" t="str">
        <f>_xlfn.XLOOKUP(N:N,'Resource Table'!B:B,'Resource Table'!D:D,"n/a",0,1)</f>
        <v>Vended Repair</v>
      </c>
    </row>
    <row r="1063" spans="1:16" x14ac:dyDescent="0.45">
      <c r="A1063" t="s">
        <v>5431</v>
      </c>
      <c r="B1063" t="s">
        <v>5431</v>
      </c>
      <c r="C1063" t="s">
        <v>5669</v>
      </c>
      <c r="D1063" t="s">
        <v>1976</v>
      </c>
      <c r="E1063" t="s">
        <v>6451</v>
      </c>
      <c r="F1063" t="s">
        <v>13460</v>
      </c>
      <c r="G1063" t="s">
        <v>13476</v>
      </c>
      <c r="H1063" t="s">
        <v>13477</v>
      </c>
      <c r="I1063" t="s">
        <v>6479</v>
      </c>
      <c r="J1063" t="s">
        <v>13463</v>
      </c>
      <c r="K1063">
        <v>0</v>
      </c>
      <c r="L1063" t="s">
        <v>20</v>
      </c>
      <c r="M1063" t="s">
        <v>20</v>
      </c>
      <c r="N1063" t="str">
        <f>_xlfn.XLOOKUP(C:C,'Resource Table'!A:A,'Resource Table'!B:B,"NOT FOUND",0,1)</f>
        <v>Brittany Williams</v>
      </c>
      <c r="O1063" t="str">
        <f>_xlfn.XLOOKUP(N:N,'Resource Table'!B:B,'Resource Table'!C:C,"n/a",0,1)</f>
        <v>bwilliams5@ameritfleet.com</v>
      </c>
      <c r="P1063" t="str">
        <f>_xlfn.XLOOKUP(N:N,'Resource Table'!B:B,'Resource Table'!D:D,"n/a",0,1)</f>
        <v>Vended Repair</v>
      </c>
    </row>
    <row r="1064" spans="1:16" x14ac:dyDescent="0.45">
      <c r="A1064" t="s">
        <v>5431</v>
      </c>
      <c r="B1064" t="s">
        <v>5431</v>
      </c>
      <c r="C1064" t="s">
        <v>5669</v>
      </c>
      <c r="D1064" t="s">
        <v>6433</v>
      </c>
      <c r="E1064" t="s">
        <v>6451</v>
      </c>
      <c r="F1064" t="s">
        <v>13460</v>
      </c>
      <c r="G1064" t="s">
        <v>13461</v>
      </c>
      <c r="H1064" t="s">
        <v>13488</v>
      </c>
      <c r="I1064" t="s">
        <v>6479</v>
      </c>
      <c r="J1064" t="s">
        <v>13463</v>
      </c>
      <c r="K1064">
        <v>3</v>
      </c>
      <c r="L1064" t="s">
        <v>13542</v>
      </c>
      <c r="M1064" t="s">
        <v>13505</v>
      </c>
      <c r="N1064" t="str">
        <f>_xlfn.XLOOKUP(C:C,'Resource Table'!A:A,'Resource Table'!B:B,"NOT FOUND",0,1)</f>
        <v>Brittany Williams</v>
      </c>
      <c r="O1064" t="str">
        <f>_xlfn.XLOOKUP(N:N,'Resource Table'!B:B,'Resource Table'!C:C,"n/a",0,1)</f>
        <v>bwilliams5@ameritfleet.com</v>
      </c>
      <c r="P1064" t="str">
        <f>_xlfn.XLOOKUP(N:N,'Resource Table'!B:B,'Resource Table'!D:D,"n/a",0,1)</f>
        <v>Vended Repair</v>
      </c>
    </row>
    <row r="1065" spans="1:16" x14ac:dyDescent="0.45">
      <c r="A1065" t="s">
        <v>5443</v>
      </c>
      <c r="B1065" t="s">
        <v>5524</v>
      </c>
      <c r="C1065" t="s">
        <v>5607</v>
      </c>
      <c r="D1065" t="s">
        <v>4190</v>
      </c>
      <c r="E1065" t="s">
        <v>6451</v>
      </c>
      <c r="F1065" t="s">
        <v>13460</v>
      </c>
      <c r="G1065" t="s">
        <v>13461</v>
      </c>
      <c r="H1065" t="s">
        <v>13471</v>
      </c>
      <c r="I1065" t="s">
        <v>6479</v>
      </c>
      <c r="J1065" t="s">
        <v>13463</v>
      </c>
      <c r="K1065">
        <v>1</v>
      </c>
      <c r="L1065" t="s">
        <v>13472</v>
      </c>
      <c r="M1065" t="s">
        <v>20</v>
      </c>
      <c r="N1065" t="str">
        <f>_xlfn.XLOOKUP(C:C,'Resource Table'!A:A,'Resource Table'!B:B,"NOT FOUND",0,1)</f>
        <v>Hollie Francis</v>
      </c>
      <c r="O1065" t="str">
        <f>_xlfn.XLOOKUP(N:N,'Resource Table'!B:B,'Resource Table'!C:C,"n/a",0,1)</f>
        <v>hfrancis@ameritfleet.com</v>
      </c>
      <c r="P1065" t="str">
        <f>_xlfn.XLOOKUP(N:N,'Resource Table'!B:B,'Resource Table'!D:D,"n/a",0,1)</f>
        <v>Vended Repair</v>
      </c>
    </row>
    <row r="1066" spans="1:16" x14ac:dyDescent="0.45">
      <c r="A1066" t="s">
        <v>5443</v>
      </c>
      <c r="B1066" t="s">
        <v>5524</v>
      </c>
      <c r="C1066" t="s">
        <v>5607</v>
      </c>
      <c r="D1066" t="s">
        <v>5988</v>
      </c>
      <c r="E1066" t="s">
        <v>6461</v>
      </c>
      <c r="F1066" t="s">
        <v>13460</v>
      </c>
      <c r="G1066" t="s">
        <v>13481</v>
      </c>
      <c r="H1066" t="s">
        <v>13482</v>
      </c>
      <c r="I1066" t="s">
        <v>6479</v>
      </c>
      <c r="J1066" t="s">
        <v>13486</v>
      </c>
      <c r="K1066">
        <v>2</v>
      </c>
      <c r="L1066" t="s">
        <v>13507</v>
      </c>
      <c r="M1066" t="s">
        <v>13505</v>
      </c>
      <c r="N1066" t="str">
        <f>_xlfn.XLOOKUP(C:C,'Resource Table'!A:A,'Resource Table'!B:B,"NOT FOUND",0,1)</f>
        <v>Hollie Francis</v>
      </c>
      <c r="O1066" t="str">
        <f>_xlfn.XLOOKUP(N:N,'Resource Table'!B:B,'Resource Table'!C:C,"n/a",0,1)</f>
        <v>hfrancis@ameritfleet.com</v>
      </c>
      <c r="P1066" t="str">
        <f>_xlfn.XLOOKUP(N:N,'Resource Table'!B:B,'Resource Table'!D:D,"n/a",0,1)</f>
        <v>Vended Repair</v>
      </c>
    </row>
    <row r="1067" spans="1:16" x14ac:dyDescent="0.45">
      <c r="A1067" t="s">
        <v>5443</v>
      </c>
      <c r="B1067" t="s">
        <v>5524</v>
      </c>
      <c r="C1067" t="s">
        <v>5607</v>
      </c>
      <c r="D1067" t="s">
        <v>6067</v>
      </c>
      <c r="E1067" t="s">
        <v>6461</v>
      </c>
      <c r="F1067" t="s">
        <v>13460</v>
      </c>
      <c r="G1067" t="s">
        <v>13481</v>
      </c>
      <c r="H1067" t="s">
        <v>13511</v>
      </c>
      <c r="I1067" t="s">
        <v>6479</v>
      </c>
      <c r="J1067" t="s">
        <v>13486</v>
      </c>
      <c r="K1067">
        <v>1</v>
      </c>
      <c r="L1067" t="s">
        <v>13487</v>
      </c>
      <c r="M1067" t="s">
        <v>20</v>
      </c>
      <c r="N1067" t="str">
        <f>_xlfn.XLOOKUP(C:C,'Resource Table'!A:A,'Resource Table'!B:B,"NOT FOUND",0,1)</f>
        <v>Hollie Francis</v>
      </c>
      <c r="O1067" t="str">
        <f>_xlfn.XLOOKUP(N:N,'Resource Table'!B:B,'Resource Table'!C:C,"n/a",0,1)</f>
        <v>hfrancis@ameritfleet.com</v>
      </c>
      <c r="P1067" t="str">
        <f>_xlfn.XLOOKUP(N:N,'Resource Table'!B:B,'Resource Table'!D:D,"n/a",0,1)</f>
        <v>Vended Repair</v>
      </c>
    </row>
    <row r="1068" spans="1:16" x14ac:dyDescent="0.45">
      <c r="A1068" t="s">
        <v>5443</v>
      </c>
      <c r="B1068" t="s">
        <v>5524</v>
      </c>
      <c r="C1068" t="s">
        <v>5607</v>
      </c>
      <c r="D1068" t="s">
        <v>664</v>
      </c>
      <c r="E1068" t="s">
        <v>6451</v>
      </c>
      <c r="F1068" t="s">
        <v>13460</v>
      </c>
      <c r="G1068" t="s">
        <v>13461</v>
      </c>
      <c r="H1068" t="s">
        <v>13467</v>
      </c>
      <c r="I1068" t="s">
        <v>29</v>
      </c>
      <c r="J1068" t="s">
        <v>13463</v>
      </c>
      <c r="K1068">
        <v>1</v>
      </c>
      <c r="L1068" t="s">
        <v>13483</v>
      </c>
      <c r="M1068" t="s">
        <v>13513</v>
      </c>
      <c r="N1068" t="str">
        <f>_xlfn.XLOOKUP(C:C,'Resource Table'!A:A,'Resource Table'!B:B,"NOT FOUND",0,1)</f>
        <v>Hollie Francis</v>
      </c>
      <c r="O1068" t="str">
        <f>_xlfn.XLOOKUP(N:N,'Resource Table'!B:B,'Resource Table'!C:C,"n/a",0,1)</f>
        <v>hfrancis@ameritfleet.com</v>
      </c>
      <c r="P1068" t="str">
        <f>_xlfn.XLOOKUP(N:N,'Resource Table'!B:B,'Resource Table'!D:D,"n/a",0,1)</f>
        <v>Vended Repair</v>
      </c>
    </row>
    <row r="1069" spans="1:16" x14ac:dyDescent="0.45">
      <c r="A1069" t="s">
        <v>5443</v>
      </c>
      <c r="B1069" t="s">
        <v>5524</v>
      </c>
      <c r="C1069" t="s">
        <v>5607</v>
      </c>
      <c r="D1069" t="s">
        <v>672</v>
      </c>
      <c r="E1069" t="s">
        <v>6451</v>
      </c>
      <c r="F1069" t="s">
        <v>13460</v>
      </c>
      <c r="G1069" t="s">
        <v>13461</v>
      </c>
      <c r="H1069" t="s">
        <v>13465</v>
      </c>
      <c r="I1069" t="s">
        <v>29</v>
      </c>
      <c r="J1069" t="s">
        <v>13463</v>
      </c>
      <c r="K1069">
        <v>1</v>
      </c>
      <c r="L1069" t="s">
        <v>13493</v>
      </c>
      <c r="M1069" t="s">
        <v>13591</v>
      </c>
      <c r="N1069" t="str">
        <f>_xlfn.XLOOKUP(C:C,'Resource Table'!A:A,'Resource Table'!B:B,"NOT FOUND",0,1)</f>
        <v>Hollie Francis</v>
      </c>
      <c r="O1069" t="str">
        <f>_xlfn.XLOOKUP(N:N,'Resource Table'!B:B,'Resource Table'!C:C,"n/a",0,1)</f>
        <v>hfrancis@ameritfleet.com</v>
      </c>
      <c r="P1069" t="str">
        <f>_xlfn.XLOOKUP(N:N,'Resource Table'!B:B,'Resource Table'!D:D,"n/a",0,1)</f>
        <v>Vended Repair</v>
      </c>
    </row>
    <row r="1070" spans="1:16" x14ac:dyDescent="0.45">
      <c r="A1070" t="s">
        <v>5407</v>
      </c>
      <c r="B1070" t="s">
        <v>5408</v>
      </c>
      <c r="C1070" t="s">
        <v>5409</v>
      </c>
      <c r="D1070" t="s">
        <v>5778</v>
      </c>
      <c r="E1070" t="s">
        <v>6451</v>
      </c>
      <c r="F1070" t="s">
        <v>13473</v>
      </c>
      <c r="G1070" t="s">
        <v>13474</v>
      </c>
      <c r="H1070" t="s">
        <v>13521</v>
      </c>
      <c r="I1070" t="s">
        <v>6479</v>
      </c>
      <c r="J1070" t="s">
        <v>13463</v>
      </c>
      <c r="K1070">
        <v>0</v>
      </c>
      <c r="L1070" t="s">
        <v>20</v>
      </c>
      <c r="M1070" t="s">
        <v>20</v>
      </c>
      <c r="N1070" t="str">
        <f>_xlfn.XLOOKUP(C:C,'Resource Table'!A:A,'Resource Table'!B:B,"NOT FOUND",0,1)</f>
        <v>James Hopkins</v>
      </c>
      <c r="O1070" t="str">
        <f>_xlfn.XLOOKUP(N:N,'Resource Table'!B:B,'Resource Table'!C:C,"n/a",0,1)</f>
        <v>jhopkins5@ameritfleet.com</v>
      </c>
      <c r="P1070" t="str">
        <f>_xlfn.XLOOKUP(N:N,'Resource Table'!B:B,'Resource Table'!D:D,"n/a",0,1)</f>
        <v>Vended Repair</v>
      </c>
    </row>
    <row r="1071" spans="1:16" x14ac:dyDescent="0.45">
      <c r="A1071" t="s">
        <v>5407</v>
      </c>
      <c r="B1071" t="s">
        <v>5408</v>
      </c>
      <c r="C1071" t="s">
        <v>5409</v>
      </c>
      <c r="D1071" t="s">
        <v>3967</v>
      </c>
      <c r="E1071" t="s">
        <v>6461</v>
      </c>
      <c r="F1071" t="s">
        <v>13460</v>
      </c>
      <c r="G1071" t="s">
        <v>13481</v>
      </c>
      <c r="H1071" t="s">
        <v>13482</v>
      </c>
      <c r="I1071" t="s">
        <v>6479</v>
      </c>
      <c r="J1071" t="s">
        <v>13463</v>
      </c>
      <c r="K1071">
        <v>0</v>
      </c>
      <c r="L1071" t="s">
        <v>20</v>
      </c>
      <c r="M1071" t="s">
        <v>20</v>
      </c>
      <c r="N1071" t="str">
        <f>_xlfn.XLOOKUP(C:C,'Resource Table'!A:A,'Resource Table'!B:B,"NOT FOUND",0,1)</f>
        <v>James Hopkins</v>
      </c>
      <c r="O1071" t="str">
        <f>_xlfn.XLOOKUP(N:N,'Resource Table'!B:B,'Resource Table'!C:C,"n/a",0,1)</f>
        <v>jhopkins5@ameritfleet.com</v>
      </c>
      <c r="P1071" t="str">
        <f>_xlfn.XLOOKUP(N:N,'Resource Table'!B:B,'Resource Table'!D:D,"n/a",0,1)</f>
        <v>Vended Repair</v>
      </c>
    </row>
    <row r="1072" spans="1:16" x14ac:dyDescent="0.45">
      <c r="A1072" t="s">
        <v>5407</v>
      </c>
      <c r="B1072" t="s">
        <v>5408</v>
      </c>
      <c r="C1072" t="s">
        <v>5409</v>
      </c>
      <c r="D1072" t="s">
        <v>537</v>
      </c>
      <c r="E1072" t="s">
        <v>6451</v>
      </c>
      <c r="F1072" t="s">
        <v>13473</v>
      </c>
      <c r="G1072" t="s">
        <v>13474</v>
      </c>
      <c r="H1072" t="s">
        <v>13521</v>
      </c>
      <c r="I1072" t="s">
        <v>29</v>
      </c>
      <c r="J1072" t="s">
        <v>13463</v>
      </c>
      <c r="K1072">
        <v>1</v>
      </c>
      <c r="L1072" t="s">
        <v>13472</v>
      </c>
      <c r="M1072" t="s">
        <v>13484</v>
      </c>
      <c r="N1072" t="str">
        <f>_xlfn.XLOOKUP(C:C,'Resource Table'!A:A,'Resource Table'!B:B,"NOT FOUND",0,1)</f>
        <v>James Hopkins</v>
      </c>
      <c r="O1072" t="str">
        <f>_xlfn.XLOOKUP(N:N,'Resource Table'!B:B,'Resource Table'!C:C,"n/a",0,1)</f>
        <v>jhopkins5@ameritfleet.com</v>
      </c>
      <c r="P1072" t="str">
        <f>_xlfn.XLOOKUP(N:N,'Resource Table'!B:B,'Resource Table'!D:D,"n/a",0,1)</f>
        <v>Vended Repair</v>
      </c>
    </row>
    <row r="1073" spans="1:16" x14ac:dyDescent="0.45">
      <c r="A1073" t="s">
        <v>5407</v>
      </c>
      <c r="B1073" t="s">
        <v>5408</v>
      </c>
      <c r="C1073" t="s">
        <v>5409</v>
      </c>
      <c r="D1073" t="s">
        <v>2999</v>
      </c>
      <c r="E1073" t="s">
        <v>6451</v>
      </c>
      <c r="F1073" t="s">
        <v>13460</v>
      </c>
      <c r="G1073" t="s">
        <v>13476</v>
      </c>
      <c r="H1073" t="s">
        <v>13478</v>
      </c>
      <c r="I1073" t="s">
        <v>6479</v>
      </c>
      <c r="J1073" t="s">
        <v>13463</v>
      </c>
      <c r="K1073">
        <v>3</v>
      </c>
      <c r="L1073" t="s">
        <v>13529</v>
      </c>
      <c r="M1073" t="s">
        <v>13513</v>
      </c>
      <c r="N1073" t="str">
        <f>_xlfn.XLOOKUP(C:C,'Resource Table'!A:A,'Resource Table'!B:B,"NOT FOUND",0,1)</f>
        <v>James Hopkins</v>
      </c>
      <c r="O1073" t="str">
        <f>_xlfn.XLOOKUP(N:N,'Resource Table'!B:B,'Resource Table'!C:C,"n/a",0,1)</f>
        <v>jhopkins5@ameritfleet.com</v>
      </c>
      <c r="P1073" t="str">
        <f>_xlfn.XLOOKUP(N:N,'Resource Table'!B:B,'Resource Table'!D:D,"n/a",0,1)</f>
        <v>Vended Repair</v>
      </c>
    </row>
    <row r="1074" spans="1:16" x14ac:dyDescent="0.45">
      <c r="A1074" t="s">
        <v>5407</v>
      </c>
      <c r="B1074" t="s">
        <v>5408</v>
      </c>
      <c r="C1074" t="s">
        <v>5409</v>
      </c>
      <c r="D1074" t="s">
        <v>860</v>
      </c>
      <c r="E1074" t="s">
        <v>6451</v>
      </c>
      <c r="F1074" t="s">
        <v>13460</v>
      </c>
      <c r="G1074" t="s">
        <v>13476</v>
      </c>
      <c r="H1074" t="s">
        <v>13477</v>
      </c>
      <c r="I1074" t="s">
        <v>29</v>
      </c>
      <c r="J1074" t="s">
        <v>13463</v>
      </c>
      <c r="K1074">
        <v>3</v>
      </c>
      <c r="L1074" t="s">
        <v>13520</v>
      </c>
      <c r="M1074" t="s">
        <v>13537</v>
      </c>
      <c r="N1074" t="str">
        <f>_xlfn.XLOOKUP(C:C,'Resource Table'!A:A,'Resource Table'!B:B,"NOT FOUND",0,1)</f>
        <v>James Hopkins</v>
      </c>
      <c r="O1074" t="str">
        <f>_xlfn.XLOOKUP(N:N,'Resource Table'!B:B,'Resource Table'!C:C,"n/a",0,1)</f>
        <v>jhopkins5@ameritfleet.com</v>
      </c>
      <c r="P1074" t="str">
        <f>_xlfn.XLOOKUP(N:N,'Resource Table'!B:B,'Resource Table'!D:D,"n/a",0,1)</f>
        <v>Vended Repair</v>
      </c>
    </row>
    <row r="1075" spans="1:16" x14ac:dyDescent="0.45">
      <c r="A1075" t="s">
        <v>5407</v>
      </c>
      <c r="B1075" t="s">
        <v>5408</v>
      </c>
      <c r="C1075" t="s">
        <v>5409</v>
      </c>
      <c r="D1075" t="s">
        <v>5237</v>
      </c>
      <c r="E1075" t="s">
        <v>6461</v>
      </c>
      <c r="F1075" t="s">
        <v>13460</v>
      </c>
      <c r="G1075" t="s">
        <v>13481</v>
      </c>
      <c r="H1075" t="s">
        <v>13482</v>
      </c>
      <c r="I1075" t="s">
        <v>6479</v>
      </c>
      <c r="J1075" t="s">
        <v>13463</v>
      </c>
      <c r="K1075">
        <v>1</v>
      </c>
      <c r="L1075" t="s">
        <v>13472</v>
      </c>
      <c r="M1075" t="s">
        <v>13591</v>
      </c>
      <c r="N1075" t="str">
        <f>_xlfn.XLOOKUP(C:C,'Resource Table'!A:A,'Resource Table'!B:B,"NOT FOUND",0,1)</f>
        <v>James Hopkins</v>
      </c>
      <c r="O1075" t="str">
        <f>_xlfn.XLOOKUP(N:N,'Resource Table'!B:B,'Resource Table'!C:C,"n/a",0,1)</f>
        <v>jhopkins5@ameritfleet.com</v>
      </c>
      <c r="P1075" t="str">
        <f>_xlfn.XLOOKUP(N:N,'Resource Table'!B:B,'Resource Table'!D:D,"n/a",0,1)</f>
        <v>Vended Repair</v>
      </c>
    </row>
    <row r="1076" spans="1:16" x14ac:dyDescent="0.45">
      <c r="A1076" t="s">
        <v>5407</v>
      </c>
      <c r="B1076" t="s">
        <v>5408</v>
      </c>
      <c r="C1076" t="s">
        <v>5409</v>
      </c>
      <c r="D1076" t="s">
        <v>2772</v>
      </c>
      <c r="E1076" t="s">
        <v>6461</v>
      </c>
      <c r="F1076" t="s">
        <v>13460</v>
      </c>
      <c r="G1076" t="s">
        <v>13538</v>
      </c>
      <c r="H1076" t="s">
        <v>13539</v>
      </c>
      <c r="I1076" t="s">
        <v>6479</v>
      </c>
      <c r="J1076" t="s">
        <v>13463</v>
      </c>
      <c r="K1076">
        <v>1</v>
      </c>
      <c r="L1076" t="s">
        <v>13468</v>
      </c>
      <c r="M1076" t="s">
        <v>20</v>
      </c>
      <c r="N1076" t="str">
        <f>_xlfn.XLOOKUP(C:C,'Resource Table'!A:A,'Resource Table'!B:B,"NOT FOUND",0,1)</f>
        <v>James Hopkins</v>
      </c>
      <c r="O1076" t="str">
        <f>_xlfn.XLOOKUP(N:N,'Resource Table'!B:B,'Resource Table'!C:C,"n/a",0,1)</f>
        <v>jhopkins5@ameritfleet.com</v>
      </c>
      <c r="P1076" t="str">
        <f>_xlfn.XLOOKUP(N:N,'Resource Table'!B:B,'Resource Table'!D:D,"n/a",0,1)</f>
        <v>Vended Repair</v>
      </c>
    </row>
    <row r="1077" spans="1:16" x14ac:dyDescent="0.45">
      <c r="A1077" t="s">
        <v>5407</v>
      </c>
      <c r="B1077" t="s">
        <v>5408</v>
      </c>
      <c r="C1077" t="s">
        <v>5409</v>
      </c>
      <c r="D1077" t="s">
        <v>4025</v>
      </c>
      <c r="E1077" t="s">
        <v>6451</v>
      </c>
      <c r="F1077" t="s">
        <v>13473</v>
      </c>
      <c r="G1077" t="s">
        <v>13474</v>
      </c>
      <c r="H1077" t="s">
        <v>13492</v>
      </c>
      <c r="I1077" t="s">
        <v>6479</v>
      </c>
      <c r="J1077" t="s">
        <v>13463</v>
      </c>
      <c r="K1077">
        <v>2</v>
      </c>
      <c r="L1077" t="s">
        <v>13468</v>
      </c>
      <c r="M1077" t="s">
        <v>20</v>
      </c>
      <c r="N1077" t="str">
        <f>_xlfn.XLOOKUP(C:C,'Resource Table'!A:A,'Resource Table'!B:B,"NOT FOUND",0,1)</f>
        <v>James Hopkins</v>
      </c>
      <c r="O1077" t="str">
        <f>_xlfn.XLOOKUP(N:N,'Resource Table'!B:B,'Resource Table'!C:C,"n/a",0,1)</f>
        <v>jhopkins5@ameritfleet.com</v>
      </c>
      <c r="P1077" t="str">
        <f>_xlfn.XLOOKUP(N:N,'Resource Table'!B:B,'Resource Table'!D:D,"n/a",0,1)</f>
        <v>Vended Repair</v>
      </c>
    </row>
    <row r="1078" spans="1:16" x14ac:dyDescent="0.45">
      <c r="A1078" t="s">
        <v>5407</v>
      </c>
      <c r="B1078" t="s">
        <v>5408</v>
      </c>
      <c r="C1078" t="s">
        <v>5409</v>
      </c>
      <c r="D1078" t="s">
        <v>799</v>
      </c>
      <c r="E1078" t="s">
        <v>6461</v>
      </c>
      <c r="F1078" t="s">
        <v>13460</v>
      </c>
      <c r="G1078" t="s">
        <v>13481</v>
      </c>
      <c r="H1078" t="s">
        <v>13482</v>
      </c>
      <c r="I1078" t="s">
        <v>6479</v>
      </c>
      <c r="J1078" t="s">
        <v>13463</v>
      </c>
      <c r="K1078">
        <v>1</v>
      </c>
      <c r="L1078" t="s">
        <v>13536</v>
      </c>
      <c r="M1078" t="s">
        <v>13468</v>
      </c>
      <c r="N1078" t="str">
        <f>_xlfn.XLOOKUP(C:C,'Resource Table'!A:A,'Resource Table'!B:B,"NOT FOUND",0,1)</f>
        <v>James Hopkins</v>
      </c>
      <c r="O1078" t="str">
        <f>_xlfn.XLOOKUP(N:N,'Resource Table'!B:B,'Resource Table'!C:C,"n/a",0,1)</f>
        <v>jhopkins5@ameritfleet.com</v>
      </c>
      <c r="P1078" t="str">
        <f>_xlfn.XLOOKUP(N:N,'Resource Table'!B:B,'Resource Table'!D:D,"n/a",0,1)</f>
        <v>Vended Repair</v>
      </c>
    </row>
    <row r="1079" spans="1:16" x14ac:dyDescent="0.45">
      <c r="A1079" t="s">
        <v>5407</v>
      </c>
      <c r="B1079" t="s">
        <v>5408</v>
      </c>
      <c r="C1079" t="s">
        <v>5588</v>
      </c>
      <c r="D1079" t="s">
        <v>6079</v>
      </c>
      <c r="E1079" t="s">
        <v>6461</v>
      </c>
      <c r="F1079" t="s">
        <v>13460</v>
      </c>
      <c r="G1079" t="s">
        <v>13481</v>
      </c>
      <c r="H1079" t="s">
        <v>13518</v>
      </c>
      <c r="I1079" t="s">
        <v>6479</v>
      </c>
      <c r="J1079" t="s">
        <v>13463</v>
      </c>
      <c r="K1079">
        <v>0</v>
      </c>
      <c r="L1079" t="s">
        <v>20</v>
      </c>
      <c r="M1079" t="s">
        <v>20</v>
      </c>
      <c r="N1079" t="str">
        <f>_xlfn.XLOOKUP(C:C,'Resource Table'!A:A,'Resource Table'!B:B,"NOT FOUND",0,1)</f>
        <v>Dedicated</v>
      </c>
      <c r="O1079" t="str">
        <f>_xlfn.XLOOKUP(N:N,'Resource Table'!B:B,'Resource Table'!C:C,"n/a",0,1)</f>
        <v>AFS Dedicated Tech</v>
      </c>
      <c r="P1079" t="str">
        <f>_xlfn.XLOOKUP(N:N,'Resource Table'!B:B,'Resource Table'!D:D,"n/a",0,1)</f>
        <v>Dedicated</v>
      </c>
    </row>
    <row r="1080" spans="1:16" x14ac:dyDescent="0.45">
      <c r="A1080" t="s">
        <v>5407</v>
      </c>
      <c r="B1080" t="s">
        <v>5408</v>
      </c>
      <c r="C1080" t="s">
        <v>5588</v>
      </c>
      <c r="D1080" t="s">
        <v>6211</v>
      </c>
      <c r="E1080" t="s">
        <v>6451</v>
      </c>
      <c r="F1080" t="s">
        <v>13460</v>
      </c>
      <c r="G1080" t="s">
        <v>13476</v>
      </c>
      <c r="H1080" t="s">
        <v>13531</v>
      </c>
      <c r="I1080" t="s">
        <v>6479</v>
      </c>
      <c r="J1080" t="s">
        <v>13463</v>
      </c>
      <c r="K1080">
        <v>0</v>
      </c>
      <c r="L1080" t="s">
        <v>20</v>
      </c>
      <c r="M1080" t="s">
        <v>20</v>
      </c>
      <c r="N1080" t="str">
        <f>_xlfn.XLOOKUP(C:C,'Resource Table'!A:A,'Resource Table'!B:B,"NOT FOUND",0,1)</f>
        <v>Dedicated</v>
      </c>
      <c r="O1080" t="str">
        <f>_xlfn.XLOOKUP(N:N,'Resource Table'!B:B,'Resource Table'!C:C,"n/a",0,1)</f>
        <v>AFS Dedicated Tech</v>
      </c>
      <c r="P1080" t="str">
        <f>_xlfn.XLOOKUP(N:N,'Resource Table'!B:B,'Resource Table'!D:D,"n/a",0,1)</f>
        <v>Dedicated</v>
      </c>
    </row>
    <row r="1081" spans="1:16" x14ac:dyDescent="0.45">
      <c r="A1081" t="s">
        <v>5407</v>
      </c>
      <c r="B1081" t="s">
        <v>5408</v>
      </c>
      <c r="C1081" t="s">
        <v>5588</v>
      </c>
      <c r="D1081" t="s">
        <v>5589</v>
      </c>
      <c r="E1081" t="s">
        <v>6451</v>
      </c>
      <c r="F1081" t="s">
        <v>13460</v>
      </c>
      <c r="G1081" t="s">
        <v>13476</v>
      </c>
      <c r="H1081" t="s">
        <v>13477</v>
      </c>
      <c r="I1081" t="s">
        <v>29</v>
      </c>
      <c r="J1081" t="s">
        <v>13463</v>
      </c>
      <c r="K1081">
        <v>2</v>
      </c>
      <c r="L1081" t="s">
        <v>13470</v>
      </c>
      <c r="M1081" t="s">
        <v>13491</v>
      </c>
      <c r="N1081" t="str">
        <f>_xlfn.XLOOKUP(C:C,'Resource Table'!A:A,'Resource Table'!B:B,"NOT FOUND",0,1)</f>
        <v>Dedicated</v>
      </c>
      <c r="O1081" t="str">
        <f>_xlfn.XLOOKUP(N:N,'Resource Table'!B:B,'Resource Table'!C:C,"n/a",0,1)</f>
        <v>AFS Dedicated Tech</v>
      </c>
      <c r="P1081" t="str">
        <f>_xlfn.XLOOKUP(N:N,'Resource Table'!B:B,'Resource Table'!D:D,"n/a",0,1)</f>
        <v>Dedicated</v>
      </c>
    </row>
    <row r="1082" spans="1:16" x14ac:dyDescent="0.45">
      <c r="A1082" t="s">
        <v>5407</v>
      </c>
      <c r="B1082" t="s">
        <v>5408</v>
      </c>
      <c r="C1082" t="s">
        <v>5588</v>
      </c>
      <c r="D1082" t="s">
        <v>6080</v>
      </c>
      <c r="E1082" t="s">
        <v>6461</v>
      </c>
      <c r="F1082" t="s">
        <v>13460</v>
      </c>
      <c r="G1082" t="s">
        <v>13481</v>
      </c>
      <c r="H1082" t="s">
        <v>13518</v>
      </c>
      <c r="I1082" t="s">
        <v>6479</v>
      </c>
      <c r="J1082" t="s">
        <v>13463</v>
      </c>
      <c r="K1082">
        <v>0</v>
      </c>
      <c r="L1082" t="s">
        <v>20</v>
      </c>
      <c r="M1082" t="s">
        <v>20</v>
      </c>
      <c r="N1082" t="str">
        <f>_xlfn.XLOOKUP(C:C,'Resource Table'!A:A,'Resource Table'!B:B,"NOT FOUND",0,1)</f>
        <v>Dedicated</v>
      </c>
      <c r="O1082" t="str">
        <f>_xlfn.XLOOKUP(N:N,'Resource Table'!B:B,'Resource Table'!C:C,"n/a",0,1)</f>
        <v>AFS Dedicated Tech</v>
      </c>
      <c r="P1082" t="str">
        <f>_xlfn.XLOOKUP(N:N,'Resource Table'!B:B,'Resource Table'!D:D,"n/a",0,1)</f>
        <v>Dedicated</v>
      </c>
    </row>
    <row r="1083" spans="1:16" x14ac:dyDescent="0.45">
      <c r="A1083" t="s">
        <v>5407</v>
      </c>
      <c r="B1083" t="s">
        <v>5408</v>
      </c>
      <c r="C1083" t="s">
        <v>5588</v>
      </c>
      <c r="D1083" t="s">
        <v>6210</v>
      </c>
      <c r="E1083" t="s">
        <v>6451</v>
      </c>
      <c r="F1083" t="s">
        <v>13460</v>
      </c>
      <c r="G1083" t="s">
        <v>13476</v>
      </c>
      <c r="H1083" t="s">
        <v>13531</v>
      </c>
      <c r="I1083" t="s">
        <v>6479</v>
      </c>
      <c r="J1083" t="s">
        <v>13463</v>
      </c>
      <c r="K1083">
        <v>2</v>
      </c>
      <c r="L1083" t="s">
        <v>13544</v>
      </c>
      <c r="M1083" t="s">
        <v>20</v>
      </c>
      <c r="N1083" t="str">
        <f>_xlfn.XLOOKUP(C:C,'Resource Table'!A:A,'Resource Table'!B:B,"NOT FOUND",0,1)</f>
        <v>Dedicated</v>
      </c>
      <c r="O1083" t="str">
        <f>_xlfn.XLOOKUP(N:N,'Resource Table'!B:B,'Resource Table'!C:C,"n/a",0,1)</f>
        <v>AFS Dedicated Tech</v>
      </c>
      <c r="P1083" t="str">
        <f>_xlfn.XLOOKUP(N:N,'Resource Table'!B:B,'Resource Table'!D:D,"n/a",0,1)</f>
        <v>Dedicated</v>
      </c>
    </row>
    <row r="1084" spans="1:16" x14ac:dyDescent="0.45">
      <c r="A1084" t="s">
        <v>5407</v>
      </c>
      <c r="B1084" t="s">
        <v>5408</v>
      </c>
      <c r="C1084" t="s">
        <v>5588</v>
      </c>
      <c r="D1084" t="s">
        <v>6081</v>
      </c>
      <c r="E1084" t="s">
        <v>6461</v>
      </c>
      <c r="F1084" t="s">
        <v>13460</v>
      </c>
      <c r="G1084" t="s">
        <v>13481</v>
      </c>
      <c r="H1084" t="s">
        <v>13518</v>
      </c>
      <c r="I1084" t="s">
        <v>29</v>
      </c>
      <c r="J1084" t="s">
        <v>13463</v>
      </c>
      <c r="K1084">
        <v>3</v>
      </c>
      <c r="L1084" t="s">
        <v>13493</v>
      </c>
      <c r="M1084" t="s">
        <v>20</v>
      </c>
      <c r="N1084" t="str">
        <f>_xlfn.XLOOKUP(C:C,'Resource Table'!A:A,'Resource Table'!B:B,"NOT FOUND",0,1)</f>
        <v>Dedicated</v>
      </c>
      <c r="O1084" t="str">
        <f>_xlfn.XLOOKUP(N:N,'Resource Table'!B:B,'Resource Table'!C:C,"n/a",0,1)</f>
        <v>AFS Dedicated Tech</v>
      </c>
      <c r="P1084" t="str">
        <f>_xlfn.XLOOKUP(N:N,'Resource Table'!B:B,'Resource Table'!D:D,"n/a",0,1)</f>
        <v>Dedicated</v>
      </c>
    </row>
    <row r="1085" spans="1:16" x14ac:dyDescent="0.45">
      <c r="A1085" t="s">
        <v>5407</v>
      </c>
      <c r="B1085" t="s">
        <v>5408</v>
      </c>
      <c r="C1085" t="s">
        <v>5588</v>
      </c>
      <c r="D1085" t="s">
        <v>5840</v>
      </c>
      <c r="E1085" t="s">
        <v>6451</v>
      </c>
      <c r="F1085" t="s">
        <v>13473</v>
      </c>
      <c r="G1085" t="s">
        <v>13474</v>
      </c>
      <c r="H1085" t="s">
        <v>13475</v>
      </c>
      <c r="I1085" t="s">
        <v>6479</v>
      </c>
      <c r="J1085" t="s">
        <v>13463</v>
      </c>
      <c r="K1085">
        <v>0</v>
      </c>
      <c r="L1085" t="s">
        <v>20</v>
      </c>
      <c r="M1085" t="s">
        <v>20</v>
      </c>
      <c r="N1085" t="str">
        <f>_xlfn.XLOOKUP(C:C,'Resource Table'!A:A,'Resource Table'!B:B,"NOT FOUND",0,1)</f>
        <v>Dedicated</v>
      </c>
      <c r="O1085" t="str">
        <f>_xlfn.XLOOKUP(N:N,'Resource Table'!B:B,'Resource Table'!C:C,"n/a",0,1)</f>
        <v>AFS Dedicated Tech</v>
      </c>
      <c r="P1085" t="str">
        <f>_xlfn.XLOOKUP(N:N,'Resource Table'!B:B,'Resource Table'!D:D,"n/a",0,1)</f>
        <v>Dedicated</v>
      </c>
    </row>
    <row r="1086" spans="1:16" x14ac:dyDescent="0.45">
      <c r="A1086" t="s">
        <v>5407</v>
      </c>
      <c r="B1086" t="s">
        <v>5408</v>
      </c>
      <c r="C1086" t="s">
        <v>5588</v>
      </c>
      <c r="D1086" t="s">
        <v>6250</v>
      </c>
      <c r="E1086" t="s">
        <v>6451</v>
      </c>
      <c r="F1086" t="s">
        <v>13460</v>
      </c>
      <c r="G1086" t="s">
        <v>13476</v>
      </c>
      <c r="H1086" t="s">
        <v>13477</v>
      </c>
      <c r="I1086" t="s">
        <v>6479</v>
      </c>
      <c r="J1086" t="s">
        <v>13463</v>
      </c>
      <c r="K1086">
        <v>0</v>
      </c>
      <c r="L1086" t="s">
        <v>20</v>
      </c>
      <c r="M1086" t="s">
        <v>20</v>
      </c>
      <c r="N1086" t="str">
        <f>_xlfn.XLOOKUP(C:C,'Resource Table'!A:A,'Resource Table'!B:B,"NOT FOUND",0,1)</f>
        <v>Dedicated</v>
      </c>
      <c r="O1086" t="str">
        <f>_xlfn.XLOOKUP(N:N,'Resource Table'!B:B,'Resource Table'!C:C,"n/a",0,1)</f>
        <v>AFS Dedicated Tech</v>
      </c>
      <c r="P1086" t="str">
        <f>_xlfn.XLOOKUP(N:N,'Resource Table'!B:B,'Resource Table'!D:D,"n/a",0,1)</f>
        <v>Dedicated</v>
      </c>
    </row>
    <row r="1087" spans="1:16" x14ac:dyDescent="0.45">
      <c r="A1087" t="s">
        <v>5407</v>
      </c>
      <c r="B1087" t="s">
        <v>5408</v>
      </c>
      <c r="C1087" t="s">
        <v>5588</v>
      </c>
      <c r="D1087" t="s">
        <v>6064</v>
      </c>
      <c r="E1087" t="s">
        <v>6461</v>
      </c>
      <c r="F1087" t="s">
        <v>13460</v>
      </c>
      <c r="G1087" t="s">
        <v>13481</v>
      </c>
      <c r="H1087" t="s">
        <v>13511</v>
      </c>
      <c r="I1087" t="s">
        <v>6479</v>
      </c>
      <c r="J1087" t="s">
        <v>13463</v>
      </c>
      <c r="K1087">
        <v>0</v>
      </c>
      <c r="L1087" t="s">
        <v>20</v>
      </c>
      <c r="M1087" t="s">
        <v>20</v>
      </c>
      <c r="N1087" t="str">
        <f>_xlfn.XLOOKUP(C:C,'Resource Table'!A:A,'Resource Table'!B:B,"NOT FOUND",0,1)</f>
        <v>Dedicated</v>
      </c>
      <c r="O1087" t="str">
        <f>_xlfn.XLOOKUP(N:N,'Resource Table'!B:B,'Resource Table'!C:C,"n/a",0,1)</f>
        <v>AFS Dedicated Tech</v>
      </c>
      <c r="P1087" t="str">
        <f>_xlfn.XLOOKUP(N:N,'Resource Table'!B:B,'Resource Table'!D:D,"n/a",0,1)</f>
        <v>Dedicated</v>
      </c>
    </row>
    <row r="1088" spans="1:16" x14ac:dyDescent="0.45">
      <c r="A1088" t="s">
        <v>5407</v>
      </c>
      <c r="B1088" t="s">
        <v>5408</v>
      </c>
      <c r="C1088" t="s">
        <v>5588</v>
      </c>
      <c r="D1088" t="s">
        <v>6078</v>
      </c>
      <c r="E1088" t="s">
        <v>6461</v>
      </c>
      <c r="F1088" t="s">
        <v>13460</v>
      </c>
      <c r="G1088" t="s">
        <v>13481</v>
      </c>
      <c r="H1088" t="s">
        <v>13518</v>
      </c>
      <c r="I1088" t="s">
        <v>6479</v>
      </c>
      <c r="J1088" t="s">
        <v>13463</v>
      </c>
      <c r="K1088">
        <v>0</v>
      </c>
      <c r="L1088" t="s">
        <v>20</v>
      </c>
      <c r="M1088" t="s">
        <v>20</v>
      </c>
      <c r="N1088" t="str">
        <f>_xlfn.XLOOKUP(C:C,'Resource Table'!A:A,'Resource Table'!B:B,"NOT FOUND",0,1)</f>
        <v>Dedicated</v>
      </c>
      <c r="O1088" t="str">
        <f>_xlfn.XLOOKUP(N:N,'Resource Table'!B:B,'Resource Table'!C:C,"n/a",0,1)</f>
        <v>AFS Dedicated Tech</v>
      </c>
      <c r="P1088" t="str">
        <f>_xlfn.XLOOKUP(N:N,'Resource Table'!B:B,'Resource Table'!D:D,"n/a",0,1)</f>
        <v>Dedicated</v>
      </c>
    </row>
    <row r="1089" spans="1:16" x14ac:dyDescent="0.45">
      <c r="A1089" t="s">
        <v>5407</v>
      </c>
      <c r="B1089" t="s">
        <v>5408</v>
      </c>
      <c r="C1089" t="s">
        <v>5588</v>
      </c>
      <c r="D1089" t="s">
        <v>5438</v>
      </c>
      <c r="E1089" t="s">
        <v>6451</v>
      </c>
      <c r="F1089" t="s">
        <v>13473</v>
      </c>
      <c r="G1089" t="s">
        <v>13474</v>
      </c>
      <c r="H1089" t="s">
        <v>13492</v>
      </c>
      <c r="I1089" t="s">
        <v>29</v>
      </c>
      <c r="J1089" t="s">
        <v>13463</v>
      </c>
      <c r="K1089">
        <v>3</v>
      </c>
      <c r="L1089" t="s">
        <v>13542</v>
      </c>
      <c r="M1089" t="s">
        <v>13505</v>
      </c>
      <c r="N1089" t="str">
        <f>_xlfn.XLOOKUP(C:C,'Resource Table'!A:A,'Resource Table'!B:B,"NOT FOUND",0,1)</f>
        <v>Dedicated</v>
      </c>
      <c r="O1089" t="str">
        <f>_xlfn.XLOOKUP(N:N,'Resource Table'!B:B,'Resource Table'!C:C,"n/a",0,1)</f>
        <v>AFS Dedicated Tech</v>
      </c>
      <c r="P1089" t="str">
        <f>_xlfn.XLOOKUP(N:N,'Resource Table'!B:B,'Resource Table'!D:D,"n/a",0,1)</f>
        <v>Dedicated</v>
      </c>
    </row>
    <row r="1090" spans="1:16" x14ac:dyDescent="0.45">
      <c r="A1090" t="s">
        <v>5407</v>
      </c>
      <c r="B1090" t="s">
        <v>5408</v>
      </c>
      <c r="C1090" t="s">
        <v>5588</v>
      </c>
      <c r="D1090" t="s">
        <v>6248</v>
      </c>
      <c r="E1090" t="s">
        <v>6451</v>
      </c>
      <c r="F1090" t="s">
        <v>13460</v>
      </c>
      <c r="G1090" t="s">
        <v>13476</v>
      </c>
      <c r="H1090" t="s">
        <v>13477</v>
      </c>
      <c r="I1090" t="s">
        <v>6479</v>
      </c>
      <c r="J1090" t="s">
        <v>13463</v>
      </c>
      <c r="K1090">
        <v>1</v>
      </c>
      <c r="L1090" t="s">
        <v>13512</v>
      </c>
      <c r="M1090" t="s">
        <v>20</v>
      </c>
      <c r="N1090" t="str">
        <f>_xlfn.XLOOKUP(C:C,'Resource Table'!A:A,'Resource Table'!B:B,"NOT FOUND",0,1)</f>
        <v>Dedicated</v>
      </c>
      <c r="O1090" t="str">
        <f>_xlfn.XLOOKUP(N:N,'Resource Table'!B:B,'Resource Table'!C:C,"n/a",0,1)</f>
        <v>AFS Dedicated Tech</v>
      </c>
      <c r="P1090" t="str">
        <f>_xlfn.XLOOKUP(N:N,'Resource Table'!B:B,'Resource Table'!D:D,"n/a",0,1)</f>
        <v>Dedicated</v>
      </c>
    </row>
    <row r="1091" spans="1:16" x14ac:dyDescent="0.45">
      <c r="A1091" t="s">
        <v>5407</v>
      </c>
      <c r="B1091" t="s">
        <v>5408</v>
      </c>
      <c r="C1091" t="s">
        <v>5588</v>
      </c>
      <c r="D1091" t="s">
        <v>6273</v>
      </c>
      <c r="E1091" t="s">
        <v>6451</v>
      </c>
      <c r="F1091" t="s">
        <v>13460</v>
      </c>
      <c r="G1091" t="s">
        <v>13461</v>
      </c>
      <c r="H1091" t="s">
        <v>13465</v>
      </c>
      <c r="I1091" t="s">
        <v>6479</v>
      </c>
      <c r="J1091" t="s">
        <v>13463</v>
      </c>
      <c r="K1091">
        <v>0</v>
      </c>
      <c r="L1091" t="s">
        <v>20</v>
      </c>
      <c r="M1091" t="s">
        <v>20</v>
      </c>
      <c r="N1091" t="str">
        <f>_xlfn.XLOOKUP(C:C,'Resource Table'!A:A,'Resource Table'!B:B,"NOT FOUND",0,1)</f>
        <v>Dedicated</v>
      </c>
      <c r="O1091" t="str">
        <f>_xlfn.XLOOKUP(N:N,'Resource Table'!B:B,'Resource Table'!C:C,"n/a",0,1)</f>
        <v>AFS Dedicated Tech</v>
      </c>
      <c r="P1091" t="str">
        <f>_xlfn.XLOOKUP(N:N,'Resource Table'!B:B,'Resource Table'!D:D,"n/a",0,1)</f>
        <v>Dedicated</v>
      </c>
    </row>
    <row r="1092" spans="1:16" x14ac:dyDescent="0.45">
      <c r="A1092" t="s">
        <v>5407</v>
      </c>
      <c r="B1092" t="s">
        <v>5408</v>
      </c>
      <c r="C1092" t="s">
        <v>5588</v>
      </c>
      <c r="D1092" t="s">
        <v>5761</v>
      </c>
      <c r="E1092" t="s">
        <v>6451</v>
      </c>
      <c r="F1092" t="s">
        <v>13473</v>
      </c>
      <c r="G1092" t="s">
        <v>13474</v>
      </c>
      <c r="H1092" t="s">
        <v>13517</v>
      </c>
      <c r="I1092" t="s">
        <v>6479</v>
      </c>
      <c r="J1092" t="s">
        <v>13463</v>
      </c>
      <c r="K1092">
        <v>1</v>
      </c>
      <c r="L1092" t="s">
        <v>13489</v>
      </c>
      <c r="M1092" t="s">
        <v>13508</v>
      </c>
      <c r="N1092" t="str">
        <f>_xlfn.XLOOKUP(C:C,'Resource Table'!A:A,'Resource Table'!B:B,"NOT FOUND",0,1)</f>
        <v>Dedicated</v>
      </c>
      <c r="O1092" t="str">
        <f>_xlfn.XLOOKUP(N:N,'Resource Table'!B:B,'Resource Table'!C:C,"n/a",0,1)</f>
        <v>AFS Dedicated Tech</v>
      </c>
      <c r="P1092" t="str">
        <f>_xlfn.XLOOKUP(N:N,'Resource Table'!B:B,'Resource Table'!D:D,"n/a",0,1)</f>
        <v>Dedicated</v>
      </c>
    </row>
    <row r="1093" spans="1:16" x14ac:dyDescent="0.45">
      <c r="A1093" t="s">
        <v>5407</v>
      </c>
      <c r="B1093" t="s">
        <v>5408</v>
      </c>
      <c r="C1093" t="s">
        <v>5588</v>
      </c>
      <c r="D1093" t="s">
        <v>4485</v>
      </c>
      <c r="E1093" t="s">
        <v>6461</v>
      </c>
      <c r="F1093" t="s">
        <v>13460</v>
      </c>
      <c r="G1093" t="s">
        <v>13481</v>
      </c>
      <c r="H1093" t="s">
        <v>13482</v>
      </c>
      <c r="I1093" t="s">
        <v>6479</v>
      </c>
      <c r="J1093" t="s">
        <v>13463</v>
      </c>
      <c r="K1093">
        <v>2</v>
      </c>
      <c r="L1093" t="s">
        <v>13507</v>
      </c>
      <c r="M1093" t="s">
        <v>20</v>
      </c>
      <c r="N1093" t="str">
        <f>_xlfn.XLOOKUP(C:C,'Resource Table'!A:A,'Resource Table'!B:B,"NOT FOUND",0,1)</f>
        <v>Dedicated</v>
      </c>
      <c r="O1093" t="str">
        <f>_xlfn.XLOOKUP(N:N,'Resource Table'!B:B,'Resource Table'!C:C,"n/a",0,1)</f>
        <v>AFS Dedicated Tech</v>
      </c>
      <c r="P1093" t="str">
        <f>_xlfn.XLOOKUP(N:N,'Resource Table'!B:B,'Resource Table'!D:D,"n/a",0,1)</f>
        <v>Dedicated</v>
      </c>
    </row>
    <row r="1094" spans="1:16" x14ac:dyDescent="0.45">
      <c r="A1094" t="s">
        <v>5407</v>
      </c>
      <c r="B1094" t="s">
        <v>5408</v>
      </c>
      <c r="C1094" t="s">
        <v>5504</v>
      </c>
      <c r="D1094" t="s">
        <v>6212</v>
      </c>
      <c r="E1094" t="s">
        <v>6451</v>
      </c>
      <c r="F1094" t="s">
        <v>13460</v>
      </c>
      <c r="G1094" t="s">
        <v>13476</v>
      </c>
      <c r="H1094" t="s">
        <v>13531</v>
      </c>
      <c r="I1094" t="s">
        <v>6479</v>
      </c>
      <c r="J1094" t="s">
        <v>13463</v>
      </c>
      <c r="K1094">
        <v>1</v>
      </c>
      <c r="L1094" t="s">
        <v>13537</v>
      </c>
      <c r="M1094" t="s">
        <v>13545</v>
      </c>
      <c r="N1094" t="str">
        <f>_xlfn.XLOOKUP(C:C,'Resource Table'!A:A,'Resource Table'!B:B,"NOT FOUND",0,1)</f>
        <v>Dedicated</v>
      </c>
      <c r="O1094" t="str">
        <f>_xlfn.XLOOKUP(N:N,'Resource Table'!B:B,'Resource Table'!C:C,"n/a",0,1)</f>
        <v>AFS Dedicated Tech</v>
      </c>
      <c r="P1094" t="str">
        <f>_xlfn.XLOOKUP(N:N,'Resource Table'!B:B,'Resource Table'!D:D,"n/a",0,1)</f>
        <v>Dedicated</v>
      </c>
    </row>
    <row r="1095" spans="1:16" x14ac:dyDescent="0.45">
      <c r="A1095" t="s">
        <v>5407</v>
      </c>
      <c r="B1095" t="s">
        <v>5408</v>
      </c>
      <c r="C1095" t="s">
        <v>5504</v>
      </c>
      <c r="D1095" t="s">
        <v>5076</v>
      </c>
      <c r="E1095" t="s">
        <v>6451</v>
      </c>
      <c r="F1095" t="s">
        <v>13473</v>
      </c>
      <c r="G1095" t="s">
        <v>13474</v>
      </c>
      <c r="H1095" t="s">
        <v>13521</v>
      </c>
      <c r="I1095" t="s">
        <v>6479</v>
      </c>
      <c r="J1095" t="s">
        <v>13463</v>
      </c>
      <c r="K1095">
        <v>0</v>
      </c>
      <c r="L1095" t="s">
        <v>20</v>
      </c>
      <c r="M1095" t="s">
        <v>20</v>
      </c>
      <c r="N1095" t="str">
        <f>_xlfn.XLOOKUP(C:C,'Resource Table'!A:A,'Resource Table'!B:B,"NOT FOUND",0,1)</f>
        <v>Dedicated</v>
      </c>
      <c r="O1095" t="str">
        <f>_xlfn.XLOOKUP(N:N,'Resource Table'!B:B,'Resource Table'!C:C,"n/a",0,1)</f>
        <v>AFS Dedicated Tech</v>
      </c>
      <c r="P1095" t="str">
        <f>_xlfn.XLOOKUP(N:N,'Resource Table'!B:B,'Resource Table'!D:D,"n/a",0,1)</f>
        <v>Dedicated</v>
      </c>
    </row>
    <row r="1096" spans="1:16" x14ac:dyDescent="0.45">
      <c r="A1096" t="s">
        <v>5407</v>
      </c>
      <c r="B1096" t="s">
        <v>5408</v>
      </c>
      <c r="C1096" t="s">
        <v>5504</v>
      </c>
      <c r="D1096" t="s">
        <v>5885</v>
      </c>
      <c r="E1096" t="s">
        <v>6451</v>
      </c>
      <c r="F1096" t="s">
        <v>13473</v>
      </c>
      <c r="G1096" t="s">
        <v>13474</v>
      </c>
      <c r="H1096" t="s">
        <v>13475</v>
      </c>
      <c r="I1096" t="s">
        <v>6479</v>
      </c>
      <c r="J1096" t="s">
        <v>13463</v>
      </c>
      <c r="K1096">
        <v>0</v>
      </c>
      <c r="L1096" t="s">
        <v>20</v>
      </c>
      <c r="M1096" t="s">
        <v>20</v>
      </c>
      <c r="N1096" t="str">
        <f>_xlfn.XLOOKUP(C:C,'Resource Table'!A:A,'Resource Table'!B:B,"NOT FOUND",0,1)</f>
        <v>Dedicated</v>
      </c>
      <c r="O1096" t="str">
        <f>_xlfn.XLOOKUP(N:N,'Resource Table'!B:B,'Resource Table'!C:C,"n/a",0,1)</f>
        <v>AFS Dedicated Tech</v>
      </c>
      <c r="P1096" t="str">
        <f>_xlfn.XLOOKUP(N:N,'Resource Table'!B:B,'Resource Table'!D:D,"n/a",0,1)</f>
        <v>Dedicated</v>
      </c>
    </row>
    <row r="1097" spans="1:16" x14ac:dyDescent="0.45">
      <c r="A1097" t="s">
        <v>5407</v>
      </c>
      <c r="B1097" t="s">
        <v>5408</v>
      </c>
      <c r="C1097" t="s">
        <v>5504</v>
      </c>
      <c r="D1097" t="s">
        <v>5505</v>
      </c>
      <c r="E1097" t="s">
        <v>6451</v>
      </c>
      <c r="F1097" t="s">
        <v>13473</v>
      </c>
      <c r="G1097" t="s">
        <v>13474</v>
      </c>
      <c r="H1097" t="s">
        <v>13521</v>
      </c>
      <c r="I1097" t="s">
        <v>29</v>
      </c>
      <c r="J1097" t="s">
        <v>13463</v>
      </c>
      <c r="K1097">
        <v>1</v>
      </c>
      <c r="L1097" t="s">
        <v>13536</v>
      </c>
      <c r="M1097" t="s">
        <v>13493</v>
      </c>
      <c r="N1097" t="str">
        <f>_xlfn.XLOOKUP(C:C,'Resource Table'!A:A,'Resource Table'!B:B,"NOT FOUND",0,1)</f>
        <v>Dedicated</v>
      </c>
      <c r="O1097" t="str">
        <f>_xlfn.XLOOKUP(N:N,'Resource Table'!B:B,'Resource Table'!C:C,"n/a",0,1)</f>
        <v>AFS Dedicated Tech</v>
      </c>
      <c r="P1097" t="str">
        <f>_xlfn.XLOOKUP(N:N,'Resource Table'!B:B,'Resource Table'!D:D,"n/a",0,1)</f>
        <v>Dedicated</v>
      </c>
    </row>
    <row r="1098" spans="1:16" x14ac:dyDescent="0.45">
      <c r="A1098" t="s">
        <v>5407</v>
      </c>
      <c r="B1098" t="s">
        <v>5408</v>
      </c>
      <c r="C1098" t="s">
        <v>5504</v>
      </c>
      <c r="D1098" t="s">
        <v>6436</v>
      </c>
      <c r="E1098" t="s">
        <v>6451</v>
      </c>
      <c r="F1098" t="s">
        <v>13460</v>
      </c>
      <c r="G1098" t="s">
        <v>13461</v>
      </c>
      <c r="H1098" t="s">
        <v>13488</v>
      </c>
      <c r="I1098" t="s">
        <v>6479</v>
      </c>
      <c r="J1098" t="s">
        <v>13463</v>
      </c>
      <c r="K1098">
        <v>0</v>
      </c>
      <c r="L1098" t="s">
        <v>20</v>
      </c>
      <c r="M1098" t="s">
        <v>20</v>
      </c>
      <c r="N1098" t="str">
        <f>_xlfn.XLOOKUP(C:C,'Resource Table'!A:A,'Resource Table'!B:B,"NOT FOUND",0,1)</f>
        <v>Dedicated</v>
      </c>
      <c r="O1098" t="str">
        <f>_xlfn.XLOOKUP(N:N,'Resource Table'!B:B,'Resource Table'!C:C,"n/a",0,1)</f>
        <v>AFS Dedicated Tech</v>
      </c>
      <c r="P1098" t="str">
        <f>_xlfn.XLOOKUP(N:N,'Resource Table'!B:B,'Resource Table'!D:D,"n/a",0,1)</f>
        <v>Dedicated</v>
      </c>
    </row>
    <row r="1099" spans="1:16" x14ac:dyDescent="0.45">
      <c r="A1099" t="s">
        <v>5407</v>
      </c>
      <c r="B1099" t="s">
        <v>5408</v>
      </c>
      <c r="C1099" t="s">
        <v>5504</v>
      </c>
      <c r="D1099" t="s">
        <v>6203</v>
      </c>
      <c r="E1099" t="s">
        <v>6451</v>
      </c>
      <c r="F1099" t="s">
        <v>13460</v>
      </c>
      <c r="G1099" t="s">
        <v>13476</v>
      </c>
      <c r="H1099" t="s">
        <v>13531</v>
      </c>
      <c r="I1099" t="s">
        <v>6479</v>
      </c>
      <c r="J1099" t="s">
        <v>13463</v>
      </c>
      <c r="K1099">
        <v>2</v>
      </c>
      <c r="L1099" t="s">
        <v>13503</v>
      </c>
      <c r="M1099" t="s">
        <v>13493</v>
      </c>
      <c r="N1099" t="str">
        <f>_xlfn.XLOOKUP(C:C,'Resource Table'!A:A,'Resource Table'!B:B,"NOT FOUND",0,1)</f>
        <v>Dedicated</v>
      </c>
      <c r="O1099" t="str">
        <f>_xlfn.XLOOKUP(N:N,'Resource Table'!B:B,'Resource Table'!C:C,"n/a",0,1)</f>
        <v>AFS Dedicated Tech</v>
      </c>
      <c r="P1099" t="str">
        <f>_xlfn.XLOOKUP(N:N,'Resource Table'!B:B,'Resource Table'!D:D,"n/a",0,1)</f>
        <v>Dedicated</v>
      </c>
    </row>
    <row r="1100" spans="1:16" x14ac:dyDescent="0.45">
      <c r="A1100" t="s">
        <v>5407</v>
      </c>
      <c r="B1100" t="s">
        <v>5408</v>
      </c>
      <c r="C1100" t="s">
        <v>5504</v>
      </c>
      <c r="D1100" t="s">
        <v>6234</v>
      </c>
      <c r="E1100" t="s">
        <v>6451</v>
      </c>
      <c r="F1100" t="s">
        <v>13460</v>
      </c>
      <c r="G1100" t="s">
        <v>13476</v>
      </c>
      <c r="H1100" t="s">
        <v>13477</v>
      </c>
      <c r="I1100" t="s">
        <v>29</v>
      </c>
      <c r="J1100" t="s">
        <v>13463</v>
      </c>
      <c r="K1100">
        <v>1</v>
      </c>
      <c r="L1100" t="s">
        <v>13544</v>
      </c>
      <c r="M1100" t="s">
        <v>13468</v>
      </c>
      <c r="N1100" t="str">
        <f>_xlfn.XLOOKUP(C:C,'Resource Table'!A:A,'Resource Table'!B:B,"NOT FOUND",0,1)</f>
        <v>Dedicated</v>
      </c>
      <c r="O1100" t="str">
        <f>_xlfn.XLOOKUP(N:N,'Resource Table'!B:B,'Resource Table'!C:C,"n/a",0,1)</f>
        <v>AFS Dedicated Tech</v>
      </c>
      <c r="P1100" t="str">
        <f>_xlfn.XLOOKUP(N:N,'Resource Table'!B:B,'Resource Table'!D:D,"n/a",0,1)</f>
        <v>Dedicated</v>
      </c>
    </row>
    <row r="1101" spans="1:16" x14ac:dyDescent="0.45">
      <c r="A1101" t="s">
        <v>5407</v>
      </c>
      <c r="B1101" t="s">
        <v>5408</v>
      </c>
      <c r="C1101" t="s">
        <v>5504</v>
      </c>
      <c r="D1101" t="s">
        <v>6249</v>
      </c>
      <c r="E1101" t="s">
        <v>6451</v>
      </c>
      <c r="F1101" t="s">
        <v>13460</v>
      </c>
      <c r="G1101" t="s">
        <v>13476</v>
      </c>
      <c r="H1101" t="s">
        <v>13477</v>
      </c>
      <c r="I1101" t="s">
        <v>6479</v>
      </c>
      <c r="J1101" t="s">
        <v>13463</v>
      </c>
      <c r="K1101">
        <v>0</v>
      </c>
      <c r="L1101" t="s">
        <v>20</v>
      </c>
      <c r="M1101" t="s">
        <v>20</v>
      </c>
      <c r="N1101" t="str">
        <f>_xlfn.XLOOKUP(C:C,'Resource Table'!A:A,'Resource Table'!B:B,"NOT FOUND",0,1)</f>
        <v>Dedicated</v>
      </c>
      <c r="O1101" t="str">
        <f>_xlfn.XLOOKUP(N:N,'Resource Table'!B:B,'Resource Table'!C:C,"n/a",0,1)</f>
        <v>AFS Dedicated Tech</v>
      </c>
      <c r="P1101" t="str">
        <f>_xlfn.XLOOKUP(N:N,'Resource Table'!B:B,'Resource Table'!D:D,"n/a",0,1)</f>
        <v>Dedicated</v>
      </c>
    </row>
    <row r="1102" spans="1:16" x14ac:dyDescent="0.45">
      <c r="A1102" t="s">
        <v>5407</v>
      </c>
      <c r="B1102" t="s">
        <v>5408</v>
      </c>
      <c r="C1102" t="s">
        <v>5504</v>
      </c>
      <c r="D1102" t="s">
        <v>6434</v>
      </c>
      <c r="E1102" t="s">
        <v>6451</v>
      </c>
      <c r="F1102" t="s">
        <v>13460</v>
      </c>
      <c r="G1102" t="s">
        <v>13461</v>
      </c>
      <c r="H1102" t="s">
        <v>13488</v>
      </c>
      <c r="I1102" t="s">
        <v>6479</v>
      </c>
      <c r="J1102" t="s">
        <v>13463</v>
      </c>
      <c r="K1102">
        <v>0</v>
      </c>
      <c r="L1102" t="s">
        <v>20</v>
      </c>
      <c r="M1102" t="s">
        <v>20</v>
      </c>
      <c r="N1102" t="str">
        <f>_xlfn.XLOOKUP(C:C,'Resource Table'!A:A,'Resource Table'!B:B,"NOT FOUND",0,1)</f>
        <v>Dedicated</v>
      </c>
      <c r="O1102" t="str">
        <f>_xlfn.XLOOKUP(N:N,'Resource Table'!B:B,'Resource Table'!C:C,"n/a",0,1)</f>
        <v>AFS Dedicated Tech</v>
      </c>
      <c r="P1102" t="str">
        <f>_xlfn.XLOOKUP(N:N,'Resource Table'!B:B,'Resource Table'!D:D,"n/a",0,1)</f>
        <v>Dedicated</v>
      </c>
    </row>
    <row r="1103" spans="1:16" x14ac:dyDescent="0.45">
      <c r="A1103" t="s">
        <v>5407</v>
      </c>
      <c r="B1103" t="s">
        <v>5408</v>
      </c>
      <c r="C1103" t="s">
        <v>5504</v>
      </c>
      <c r="D1103" t="s">
        <v>5591</v>
      </c>
      <c r="E1103" t="s">
        <v>6451</v>
      </c>
      <c r="F1103" t="s">
        <v>13460</v>
      </c>
      <c r="G1103" t="s">
        <v>13476</v>
      </c>
      <c r="H1103" t="s">
        <v>13477</v>
      </c>
      <c r="I1103" t="s">
        <v>6479</v>
      </c>
      <c r="J1103" t="s">
        <v>13463</v>
      </c>
      <c r="K1103">
        <v>0</v>
      </c>
      <c r="L1103" t="s">
        <v>20</v>
      </c>
      <c r="M1103" t="s">
        <v>20</v>
      </c>
      <c r="N1103" t="str">
        <f>_xlfn.XLOOKUP(C:C,'Resource Table'!A:A,'Resource Table'!B:B,"NOT FOUND",0,1)</f>
        <v>Dedicated</v>
      </c>
      <c r="O1103" t="str">
        <f>_xlfn.XLOOKUP(N:N,'Resource Table'!B:B,'Resource Table'!C:C,"n/a",0,1)</f>
        <v>AFS Dedicated Tech</v>
      </c>
      <c r="P1103" t="str">
        <f>_xlfn.XLOOKUP(N:N,'Resource Table'!B:B,'Resource Table'!D:D,"n/a",0,1)</f>
        <v>Dedicated</v>
      </c>
    </row>
    <row r="1104" spans="1:16" x14ac:dyDescent="0.45">
      <c r="A1104" t="s">
        <v>5407</v>
      </c>
      <c r="B1104" t="s">
        <v>5408</v>
      </c>
      <c r="C1104" t="s">
        <v>5504</v>
      </c>
      <c r="D1104" t="s">
        <v>6429</v>
      </c>
      <c r="E1104" t="s">
        <v>6451</v>
      </c>
      <c r="F1104" t="s">
        <v>13460</v>
      </c>
      <c r="G1104" t="s">
        <v>13461</v>
      </c>
      <c r="H1104" t="s">
        <v>13467</v>
      </c>
      <c r="I1104" t="s">
        <v>6479</v>
      </c>
      <c r="J1104" t="s">
        <v>13463</v>
      </c>
      <c r="K1104">
        <v>1</v>
      </c>
      <c r="L1104" t="s">
        <v>13480</v>
      </c>
      <c r="M1104" t="s">
        <v>13505</v>
      </c>
      <c r="N1104" t="str">
        <f>_xlfn.XLOOKUP(C:C,'Resource Table'!A:A,'Resource Table'!B:B,"NOT FOUND",0,1)</f>
        <v>Dedicated</v>
      </c>
      <c r="O1104" t="str">
        <f>_xlfn.XLOOKUP(N:N,'Resource Table'!B:B,'Resource Table'!C:C,"n/a",0,1)</f>
        <v>AFS Dedicated Tech</v>
      </c>
      <c r="P1104" t="str">
        <f>_xlfn.XLOOKUP(N:N,'Resource Table'!B:B,'Resource Table'!D:D,"n/a",0,1)</f>
        <v>Dedicated</v>
      </c>
    </row>
    <row r="1105" spans="1:16" x14ac:dyDescent="0.45">
      <c r="A1105" t="s">
        <v>5407</v>
      </c>
      <c r="B1105" t="s">
        <v>5408</v>
      </c>
      <c r="C1105" t="s">
        <v>5504</v>
      </c>
      <c r="D1105" t="s">
        <v>5797</v>
      </c>
      <c r="E1105" t="s">
        <v>6451</v>
      </c>
      <c r="F1105" t="s">
        <v>13473</v>
      </c>
      <c r="G1105" t="s">
        <v>13474</v>
      </c>
      <c r="H1105" t="s">
        <v>13521</v>
      </c>
      <c r="I1105" t="s">
        <v>6479</v>
      </c>
      <c r="J1105" t="s">
        <v>13463</v>
      </c>
      <c r="K1105">
        <v>0</v>
      </c>
      <c r="L1105" t="s">
        <v>20</v>
      </c>
      <c r="M1105" t="s">
        <v>20</v>
      </c>
      <c r="N1105" t="str">
        <f>_xlfn.XLOOKUP(C:C,'Resource Table'!A:A,'Resource Table'!B:B,"NOT FOUND",0,1)</f>
        <v>Dedicated</v>
      </c>
      <c r="O1105" t="str">
        <f>_xlfn.XLOOKUP(N:N,'Resource Table'!B:B,'Resource Table'!C:C,"n/a",0,1)</f>
        <v>AFS Dedicated Tech</v>
      </c>
      <c r="P1105" t="str">
        <f>_xlfn.XLOOKUP(N:N,'Resource Table'!B:B,'Resource Table'!D:D,"n/a",0,1)</f>
        <v>Dedicated</v>
      </c>
    </row>
    <row r="1106" spans="1:16" x14ac:dyDescent="0.45">
      <c r="A1106" t="s">
        <v>5407</v>
      </c>
      <c r="B1106" t="s">
        <v>5408</v>
      </c>
      <c r="C1106" t="s">
        <v>5504</v>
      </c>
      <c r="D1106" t="s">
        <v>6216</v>
      </c>
      <c r="E1106" t="s">
        <v>6451</v>
      </c>
      <c r="F1106" t="s">
        <v>13460</v>
      </c>
      <c r="G1106" t="s">
        <v>13476</v>
      </c>
      <c r="H1106" t="s">
        <v>13531</v>
      </c>
      <c r="I1106" t="s">
        <v>6479</v>
      </c>
      <c r="J1106" t="s">
        <v>13463</v>
      </c>
      <c r="K1106">
        <v>0</v>
      </c>
      <c r="L1106" t="s">
        <v>20</v>
      </c>
      <c r="M1106" t="s">
        <v>20</v>
      </c>
      <c r="N1106" t="str">
        <f>_xlfn.XLOOKUP(C:C,'Resource Table'!A:A,'Resource Table'!B:B,"NOT FOUND",0,1)</f>
        <v>Dedicated</v>
      </c>
      <c r="O1106" t="str">
        <f>_xlfn.XLOOKUP(N:N,'Resource Table'!B:B,'Resource Table'!C:C,"n/a",0,1)</f>
        <v>AFS Dedicated Tech</v>
      </c>
      <c r="P1106" t="str">
        <f>_xlfn.XLOOKUP(N:N,'Resource Table'!B:B,'Resource Table'!D:D,"n/a",0,1)</f>
        <v>Dedicated</v>
      </c>
    </row>
    <row r="1107" spans="1:16" x14ac:dyDescent="0.45">
      <c r="A1107" t="s">
        <v>5407</v>
      </c>
      <c r="B1107" t="s">
        <v>5408</v>
      </c>
      <c r="C1107" t="s">
        <v>5504</v>
      </c>
      <c r="D1107" t="s">
        <v>6437</v>
      </c>
      <c r="E1107" t="s">
        <v>6451</v>
      </c>
      <c r="F1107" t="s">
        <v>13460</v>
      </c>
      <c r="G1107" t="s">
        <v>13461</v>
      </c>
      <c r="H1107" t="s">
        <v>13488</v>
      </c>
      <c r="I1107" t="s">
        <v>6479</v>
      </c>
      <c r="J1107" t="s">
        <v>13463</v>
      </c>
      <c r="K1107">
        <v>2</v>
      </c>
      <c r="L1107" t="s">
        <v>13561</v>
      </c>
      <c r="M1107" t="s">
        <v>13505</v>
      </c>
      <c r="N1107" t="str">
        <f>_xlfn.XLOOKUP(C:C,'Resource Table'!A:A,'Resource Table'!B:B,"NOT FOUND",0,1)</f>
        <v>Dedicated</v>
      </c>
      <c r="O1107" t="str">
        <f>_xlfn.XLOOKUP(N:N,'Resource Table'!B:B,'Resource Table'!C:C,"n/a",0,1)</f>
        <v>AFS Dedicated Tech</v>
      </c>
      <c r="P1107" t="str">
        <f>_xlfn.XLOOKUP(N:N,'Resource Table'!B:B,'Resource Table'!D:D,"n/a",0,1)</f>
        <v>Dedicated</v>
      </c>
    </row>
    <row r="1108" spans="1:16" x14ac:dyDescent="0.45">
      <c r="A1108" t="s">
        <v>5407</v>
      </c>
      <c r="B1108" t="s">
        <v>5408</v>
      </c>
      <c r="C1108" t="s">
        <v>5504</v>
      </c>
      <c r="D1108" t="s">
        <v>5682</v>
      </c>
      <c r="E1108" t="s">
        <v>6451</v>
      </c>
      <c r="F1108" t="s">
        <v>13473</v>
      </c>
      <c r="G1108" t="s">
        <v>13474</v>
      </c>
      <c r="H1108" t="s">
        <v>13492</v>
      </c>
      <c r="I1108" t="s">
        <v>6479</v>
      </c>
      <c r="J1108" t="s">
        <v>13463</v>
      </c>
      <c r="K1108">
        <v>0</v>
      </c>
      <c r="L1108" t="s">
        <v>20</v>
      </c>
      <c r="M1108" t="s">
        <v>20</v>
      </c>
      <c r="N1108" t="str">
        <f>_xlfn.XLOOKUP(C:C,'Resource Table'!A:A,'Resource Table'!B:B,"NOT FOUND",0,1)</f>
        <v>Dedicated</v>
      </c>
      <c r="O1108" t="str">
        <f>_xlfn.XLOOKUP(N:N,'Resource Table'!B:B,'Resource Table'!C:C,"n/a",0,1)</f>
        <v>AFS Dedicated Tech</v>
      </c>
      <c r="P1108" t="str">
        <f>_xlfn.XLOOKUP(N:N,'Resource Table'!B:B,'Resource Table'!D:D,"n/a",0,1)</f>
        <v>Dedicated</v>
      </c>
    </row>
    <row r="1109" spans="1:16" x14ac:dyDescent="0.45">
      <c r="A1109" t="s">
        <v>5407</v>
      </c>
      <c r="B1109" t="s">
        <v>5408</v>
      </c>
      <c r="C1109" t="s">
        <v>5504</v>
      </c>
      <c r="D1109" t="s">
        <v>6241</v>
      </c>
      <c r="E1109" t="s">
        <v>6451</v>
      </c>
      <c r="F1109" t="s">
        <v>13460</v>
      </c>
      <c r="G1109" t="s">
        <v>13476</v>
      </c>
      <c r="H1109" t="s">
        <v>13477</v>
      </c>
      <c r="I1109" t="s">
        <v>6479</v>
      </c>
      <c r="J1109" t="s">
        <v>13463</v>
      </c>
      <c r="K1109">
        <v>2</v>
      </c>
      <c r="L1109" t="s">
        <v>13537</v>
      </c>
      <c r="M1109" t="s">
        <v>13484</v>
      </c>
      <c r="N1109" t="str">
        <f>_xlfn.XLOOKUP(C:C,'Resource Table'!A:A,'Resource Table'!B:B,"NOT FOUND",0,1)</f>
        <v>Dedicated</v>
      </c>
      <c r="O1109" t="str">
        <f>_xlfn.XLOOKUP(N:N,'Resource Table'!B:B,'Resource Table'!C:C,"n/a",0,1)</f>
        <v>AFS Dedicated Tech</v>
      </c>
      <c r="P1109" t="str">
        <f>_xlfn.XLOOKUP(N:N,'Resource Table'!B:B,'Resource Table'!D:D,"n/a",0,1)</f>
        <v>Dedicated</v>
      </c>
    </row>
    <row r="1110" spans="1:16" x14ac:dyDescent="0.45">
      <c r="A1110" t="s">
        <v>5407</v>
      </c>
      <c r="B1110" t="s">
        <v>5408</v>
      </c>
      <c r="C1110" t="s">
        <v>5504</v>
      </c>
      <c r="D1110" t="s">
        <v>6243</v>
      </c>
      <c r="E1110" t="s">
        <v>6451</v>
      </c>
      <c r="F1110" t="s">
        <v>13460</v>
      </c>
      <c r="G1110" t="s">
        <v>13476</v>
      </c>
      <c r="H1110" t="s">
        <v>13477</v>
      </c>
      <c r="I1110" t="s">
        <v>29</v>
      </c>
      <c r="J1110" t="s">
        <v>13463</v>
      </c>
      <c r="K1110">
        <v>1</v>
      </c>
      <c r="L1110" t="s">
        <v>13480</v>
      </c>
      <c r="M1110" t="s">
        <v>20</v>
      </c>
      <c r="N1110" t="str">
        <f>_xlfn.XLOOKUP(C:C,'Resource Table'!A:A,'Resource Table'!B:B,"NOT FOUND",0,1)</f>
        <v>Dedicated</v>
      </c>
      <c r="O1110" t="str">
        <f>_xlfn.XLOOKUP(N:N,'Resource Table'!B:B,'Resource Table'!C:C,"n/a",0,1)</f>
        <v>AFS Dedicated Tech</v>
      </c>
      <c r="P1110" t="str">
        <f>_xlfn.XLOOKUP(N:N,'Resource Table'!B:B,'Resource Table'!D:D,"n/a",0,1)</f>
        <v>Dedicated</v>
      </c>
    </row>
    <row r="1111" spans="1:16" x14ac:dyDescent="0.45">
      <c r="A1111" t="s">
        <v>5407</v>
      </c>
      <c r="B1111" t="s">
        <v>5408</v>
      </c>
      <c r="C1111" t="s">
        <v>5504</v>
      </c>
      <c r="D1111" t="s">
        <v>5683</v>
      </c>
      <c r="E1111" t="s">
        <v>6451</v>
      </c>
      <c r="F1111" t="s">
        <v>13473</v>
      </c>
      <c r="G1111" t="s">
        <v>13474</v>
      </c>
      <c r="H1111" t="s">
        <v>13492</v>
      </c>
      <c r="I1111" t="s">
        <v>6479</v>
      </c>
      <c r="J1111" t="s">
        <v>13463</v>
      </c>
      <c r="K1111">
        <v>0</v>
      </c>
      <c r="L1111" t="s">
        <v>20</v>
      </c>
      <c r="M1111" t="s">
        <v>20</v>
      </c>
      <c r="N1111" t="str">
        <f>_xlfn.XLOOKUP(C:C,'Resource Table'!A:A,'Resource Table'!B:B,"NOT FOUND",0,1)</f>
        <v>Dedicated</v>
      </c>
      <c r="O1111" t="str">
        <f>_xlfn.XLOOKUP(N:N,'Resource Table'!B:B,'Resource Table'!C:C,"n/a",0,1)</f>
        <v>AFS Dedicated Tech</v>
      </c>
      <c r="P1111" t="str">
        <f>_xlfn.XLOOKUP(N:N,'Resource Table'!B:B,'Resource Table'!D:D,"n/a",0,1)</f>
        <v>Dedicated</v>
      </c>
    </row>
    <row r="1112" spans="1:16" x14ac:dyDescent="0.45">
      <c r="A1112" t="s">
        <v>5407</v>
      </c>
      <c r="B1112" t="s">
        <v>5408</v>
      </c>
      <c r="C1112" t="s">
        <v>5504</v>
      </c>
      <c r="D1112" t="s">
        <v>13096</v>
      </c>
      <c r="E1112" t="s">
        <v>6451</v>
      </c>
      <c r="F1112" t="s">
        <v>13460</v>
      </c>
      <c r="G1112" t="s">
        <v>13461</v>
      </c>
      <c r="H1112" t="s">
        <v>13488</v>
      </c>
      <c r="I1112" t="s">
        <v>6479</v>
      </c>
      <c r="J1112" t="s">
        <v>13463</v>
      </c>
      <c r="K1112">
        <v>0</v>
      </c>
      <c r="L1112" t="s">
        <v>20</v>
      </c>
      <c r="M1112" t="s">
        <v>20</v>
      </c>
      <c r="N1112" t="str">
        <f>_xlfn.XLOOKUP(C:C,'Resource Table'!A:A,'Resource Table'!B:B,"NOT FOUND",0,1)</f>
        <v>Dedicated</v>
      </c>
      <c r="O1112" t="str">
        <f>_xlfn.XLOOKUP(N:N,'Resource Table'!B:B,'Resource Table'!C:C,"n/a",0,1)</f>
        <v>AFS Dedicated Tech</v>
      </c>
      <c r="P1112" t="str">
        <f>_xlfn.XLOOKUP(N:N,'Resource Table'!B:B,'Resource Table'!D:D,"n/a",0,1)</f>
        <v>Dedicated</v>
      </c>
    </row>
    <row r="1113" spans="1:16" x14ac:dyDescent="0.45">
      <c r="A1113" t="s">
        <v>5407</v>
      </c>
      <c r="B1113" t="s">
        <v>5408</v>
      </c>
      <c r="C1113" t="s">
        <v>5504</v>
      </c>
      <c r="D1113" t="s">
        <v>5637</v>
      </c>
      <c r="E1113" t="s">
        <v>6451</v>
      </c>
      <c r="F1113" t="s">
        <v>13460</v>
      </c>
      <c r="G1113" t="s">
        <v>13461</v>
      </c>
      <c r="H1113" t="s">
        <v>13488</v>
      </c>
      <c r="I1113" t="s">
        <v>6479</v>
      </c>
      <c r="J1113" t="s">
        <v>13463</v>
      </c>
      <c r="K1113">
        <v>0</v>
      </c>
      <c r="L1113" t="s">
        <v>20</v>
      </c>
      <c r="M1113" t="s">
        <v>20</v>
      </c>
      <c r="N1113" t="str">
        <f>_xlfn.XLOOKUP(C:C,'Resource Table'!A:A,'Resource Table'!B:B,"NOT FOUND",0,1)</f>
        <v>Dedicated</v>
      </c>
      <c r="O1113" t="str">
        <f>_xlfn.XLOOKUP(N:N,'Resource Table'!B:B,'Resource Table'!C:C,"n/a",0,1)</f>
        <v>AFS Dedicated Tech</v>
      </c>
      <c r="P1113" t="str">
        <f>_xlfn.XLOOKUP(N:N,'Resource Table'!B:B,'Resource Table'!D:D,"n/a",0,1)</f>
        <v>Dedicated</v>
      </c>
    </row>
    <row r="1114" spans="1:16" x14ac:dyDescent="0.45">
      <c r="A1114" t="s">
        <v>5407</v>
      </c>
      <c r="B1114" t="s">
        <v>5408</v>
      </c>
      <c r="C1114" t="s">
        <v>5504</v>
      </c>
      <c r="D1114" t="s">
        <v>6247</v>
      </c>
      <c r="E1114" t="s">
        <v>6451</v>
      </c>
      <c r="F1114" t="s">
        <v>13460</v>
      </c>
      <c r="G1114" t="s">
        <v>13476</v>
      </c>
      <c r="H1114" t="s">
        <v>13477</v>
      </c>
      <c r="I1114" t="s">
        <v>6479</v>
      </c>
      <c r="J1114" t="s">
        <v>13463</v>
      </c>
      <c r="K1114">
        <v>2</v>
      </c>
      <c r="L1114" t="s">
        <v>13468</v>
      </c>
      <c r="M1114" t="s">
        <v>13484</v>
      </c>
      <c r="N1114" t="str">
        <f>_xlfn.XLOOKUP(C:C,'Resource Table'!A:A,'Resource Table'!B:B,"NOT FOUND",0,1)</f>
        <v>Dedicated</v>
      </c>
      <c r="O1114" t="str">
        <f>_xlfn.XLOOKUP(N:N,'Resource Table'!B:B,'Resource Table'!C:C,"n/a",0,1)</f>
        <v>AFS Dedicated Tech</v>
      </c>
      <c r="P1114" t="str">
        <f>_xlfn.XLOOKUP(N:N,'Resource Table'!B:B,'Resource Table'!D:D,"n/a",0,1)</f>
        <v>Dedicated</v>
      </c>
    </row>
    <row r="1115" spans="1:16" x14ac:dyDescent="0.45">
      <c r="A1115" t="s">
        <v>5407</v>
      </c>
      <c r="B1115" t="s">
        <v>5408</v>
      </c>
      <c r="C1115" t="s">
        <v>5504</v>
      </c>
      <c r="D1115" t="s">
        <v>6221</v>
      </c>
      <c r="E1115" t="s">
        <v>6451</v>
      </c>
      <c r="F1115" t="s">
        <v>13460</v>
      </c>
      <c r="G1115" t="s">
        <v>13476</v>
      </c>
      <c r="H1115" t="s">
        <v>13477</v>
      </c>
      <c r="I1115" t="s">
        <v>29</v>
      </c>
      <c r="J1115" t="s">
        <v>13463</v>
      </c>
      <c r="K1115">
        <v>1</v>
      </c>
      <c r="L1115" t="s">
        <v>13507</v>
      </c>
      <c r="M1115" t="s">
        <v>13493</v>
      </c>
      <c r="N1115" t="str">
        <f>_xlfn.XLOOKUP(C:C,'Resource Table'!A:A,'Resource Table'!B:B,"NOT FOUND",0,1)</f>
        <v>Dedicated</v>
      </c>
      <c r="O1115" t="str">
        <f>_xlfn.XLOOKUP(N:N,'Resource Table'!B:B,'Resource Table'!C:C,"n/a",0,1)</f>
        <v>AFS Dedicated Tech</v>
      </c>
      <c r="P1115" t="str">
        <f>_xlfn.XLOOKUP(N:N,'Resource Table'!B:B,'Resource Table'!D:D,"n/a",0,1)</f>
        <v>Dedicated</v>
      </c>
    </row>
    <row r="1116" spans="1:16" x14ac:dyDescent="0.45">
      <c r="A1116" t="s">
        <v>5407</v>
      </c>
      <c r="B1116" t="s">
        <v>5408</v>
      </c>
      <c r="C1116" t="s">
        <v>5504</v>
      </c>
      <c r="D1116" t="s">
        <v>6435</v>
      </c>
      <c r="E1116" t="s">
        <v>6451</v>
      </c>
      <c r="F1116" t="s">
        <v>13460</v>
      </c>
      <c r="G1116" t="s">
        <v>13461</v>
      </c>
      <c r="H1116" t="s">
        <v>13488</v>
      </c>
      <c r="I1116" t="s">
        <v>6479</v>
      </c>
      <c r="J1116" t="s">
        <v>13463</v>
      </c>
      <c r="K1116">
        <v>1</v>
      </c>
      <c r="L1116" t="s">
        <v>13537</v>
      </c>
      <c r="M1116" t="s">
        <v>13480</v>
      </c>
      <c r="N1116" t="str">
        <f>_xlfn.XLOOKUP(C:C,'Resource Table'!A:A,'Resource Table'!B:B,"NOT FOUND",0,1)</f>
        <v>Dedicated</v>
      </c>
      <c r="O1116" t="str">
        <f>_xlfn.XLOOKUP(N:N,'Resource Table'!B:B,'Resource Table'!C:C,"n/a",0,1)</f>
        <v>AFS Dedicated Tech</v>
      </c>
      <c r="P1116" t="str">
        <f>_xlfn.XLOOKUP(N:N,'Resource Table'!B:B,'Resource Table'!D:D,"n/a",0,1)</f>
        <v>Dedicated</v>
      </c>
    </row>
    <row r="1117" spans="1:16" x14ac:dyDescent="0.45">
      <c r="A1117" t="s">
        <v>5407</v>
      </c>
      <c r="B1117" t="s">
        <v>5408</v>
      </c>
      <c r="C1117" t="s">
        <v>5504</v>
      </c>
      <c r="D1117" t="s">
        <v>6256</v>
      </c>
      <c r="E1117" t="s">
        <v>6451</v>
      </c>
      <c r="F1117" t="s">
        <v>13460</v>
      </c>
      <c r="G1117" t="s">
        <v>13476</v>
      </c>
      <c r="H1117" t="s">
        <v>13477</v>
      </c>
      <c r="I1117" t="s">
        <v>6479</v>
      </c>
      <c r="J1117" t="s">
        <v>13463</v>
      </c>
      <c r="K1117">
        <v>0</v>
      </c>
      <c r="L1117" t="s">
        <v>20</v>
      </c>
      <c r="M1117" t="s">
        <v>20</v>
      </c>
      <c r="N1117" t="str">
        <f>_xlfn.XLOOKUP(C:C,'Resource Table'!A:A,'Resource Table'!B:B,"NOT FOUND",0,1)</f>
        <v>Dedicated</v>
      </c>
      <c r="O1117" t="str">
        <f>_xlfn.XLOOKUP(N:N,'Resource Table'!B:B,'Resource Table'!C:C,"n/a",0,1)</f>
        <v>AFS Dedicated Tech</v>
      </c>
      <c r="P1117" t="str">
        <f>_xlfn.XLOOKUP(N:N,'Resource Table'!B:B,'Resource Table'!D:D,"n/a",0,1)</f>
        <v>Dedicated</v>
      </c>
    </row>
    <row r="1118" spans="1:16" x14ac:dyDescent="0.45">
      <c r="A1118" t="s">
        <v>5407</v>
      </c>
      <c r="B1118" t="s">
        <v>5408</v>
      </c>
      <c r="C1118" t="s">
        <v>5504</v>
      </c>
      <c r="D1118" t="s">
        <v>6426</v>
      </c>
      <c r="E1118" t="s">
        <v>6451</v>
      </c>
      <c r="F1118" t="s">
        <v>13460</v>
      </c>
      <c r="G1118" t="s">
        <v>13461</v>
      </c>
      <c r="H1118" t="s">
        <v>13462</v>
      </c>
      <c r="I1118" t="s">
        <v>6479</v>
      </c>
      <c r="J1118" t="s">
        <v>13463</v>
      </c>
      <c r="K1118">
        <v>0</v>
      </c>
      <c r="L1118" t="s">
        <v>20</v>
      </c>
      <c r="M1118" t="s">
        <v>20</v>
      </c>
      <c r="N1118" t="str">
        <f>_xlfn.XLOOKUP(C:C,'Resource Table'!A:A,'Resource Table'!B:B,"NOT FOUND",0,1)</f>
        <v>Dedicated</v>
      </c>
      <c r="O1118" t="str">
        <f>_xlfn.XLOOKUP(N:N,'Resource Table'!B:B,'Resource Table'!C:C,"n/a",0,1)</f>
        <v>AFS Dedicated Tech</v>
      </c>
      <c r="P1118" t="str">
        <f>_xlfn.XLOOKUP(N:N,'Resource Table'!B:B,'Resource Table'!D:D,"n/a",0,1)</f>
        <v>Dedicated</v>
      </c>
    </row>
    <row r="1119" spans="1:16" x14ac:dyDescent="0.45">
      <c r="A1119" t="s">
        <v>5407</v>
      </c>
      <c r="B1119" t="s">
        <v>5408</v>
      </c>
      <c r="C1119" t="s">
        <v>5504</v>
      </c>
      <c r="D1119" t="s">
        <v>5887</v>
      </c>
      <c r="E1119" t="s">
        <v>6451</v>
      </c>
      <c r="F1119" t="s">
        <v>13473</v>
      </c>
      <c r="G1119" t="s">
        <v>13474</v>
      </c>
      <c r="H1119" t="s">
        <v>13475</v>
      </c>
      <c r="I1119" t="s">
        <v>6479</v>
      </c>
      <c r="J1119" t="s">
        <v>13463</v>
      </c>
      <c r="K1119">
        <v>0</v>
      </c>
      <c r="L1119" t="s">
        <v>20</v>
      </c>
      <c r="M1119" t="s">
        <v>20</v>
      </c>
      <c r="N1119" t="str">
        <f>_xlfn.XLOOKUP(C:C,'Resource Table'!A:A,'Resource Table'!B:B,"NOT FOUND",0,1)</f>
        <v>Dedicated</v>
      </c>
      <c r="O1119" t="str">
        <f>_xlfn.XLOOKUP(N:N,'Resource Table'!B:B,'Resource Table'!C:C,"n/a",0,1)</f>
        <v>AFS Dedicated Tech</v>
      </c>
      <c r="P1119" t="str">
        <f>_xlfn.XLOOKUP(N:N,'Resource Table'!B:B,'Resource Table'!D:D,"n/a",0,1)</f>
        <v>Dedicated</v>
      </c>
    </row>
    <row r="1120" spans="1:16" x14ac:dyDescent="0.45">
      <c r="A1120" t="s">
        <v>5407</v>
      </c>
      <c r="B1120" t="s">
        <v>5408</v>
      </c>
      <c r="C1120" t="s">
        <v>5504</v>
      </c>
      <c r="D1120" t="s">
        <v>6428</v>
      </c>
      <c r="E1120" t="s">
        <v>6451</v>
      </c>
      <c r="F1120" t="s">
        <v>13460</v>
      </c>
      <c r="G1120" t="s">
        <v>13461</v>
      </c>
      <c r="H1120" t="s">
        <v>13467</v>
      </c>
      <c r="I1120" t="s">
        <v>6479</v>
      </c>
      <c r="J1120" t="s">
        <v>13463</v>
      </c>
      <c r="K1120">
        <v>0</v>
      </c>
      <c r="L1120" t="s">
        <v>20</v>
      </c>
      <c r="M1120" t="s">
        <v>20</v>
      </c>
      <c r="N1120" t="str">
        <f>_xlfn.XLOOKUP(C:C,'Resource Table'!A:A,'Resource Table'!B:B,"NOT FOUND",0,1)</f>
        <v>Dedicated</v>
      </c>
      <c r="O1120" t="str">
        <f>_xlfn.XLOOKUP(N:N,'Resource Table'!B:B,'Resource Table'!C:C,"n/a",0,1)</f>
        <v>AFS Dedicated Tech</v>
      </c>
      <c r="P1120" t="str">
        <f>_xlfn.XLOOKUP(N:N,'Resource Table'!B:B,'Resource Table'!D:D,"n/a",0,1)</f>
        <v>Dedicated</v>
      </c>
    </row>
    <row r="1121" spans="1:16" x14ac:dyDescent="0.45">
      <c r="A1121" t="s">
        <v>5407</v>
      </c>
      <c r="B1121" t="s">
        <v>5408</v>
      </c>
      <c r="C1121" t="s">
        <v>5504</v>
      </c>
      <c r="D1121" t="s">
        <v>6214</v>
      </c>
      <c r="E1121" t="s">
        <v>6451</v>
      </c>
      <c r="F1121" t="s">
        <v>13460</v>
      </c>
      <c r="G1121" t="s">
        <v>13476</v>
      </c>
      <c r="H1121" t="s">
        <v>13531</v>
      </c>
      <c r="I1121" t="s">
        <v>6479</v>
      </c>
      <c r="J1121" t="s">
        <v>13463</v>
      </c>
      <c r="K1121">
        <v>0</v>
      </c>
      <c r="L1121" t="s">
        <v>20</v>
      </c>
      <c r="M1121" t="s">
        <v>20</v>
      </c>
      <c r="N1121" t="str">
        <f>_xlfn.XLOOKUP(C:C,'Resource Table'!A:A,'Resource Table'!B:B,"NOT FOUND",0,1)</f>
        <v>Dedicated</v>
      </c>
      <c r="O1121" t="str">
        <f>_xlfn.XLOOKUP(N:N,'Resource Table'!B:B,'Resource Table'!C:C,"n/a",0,1)</f>
        <v>AFS Dedicated Tech</v>
      </c>
      <c r="P1121" t="str">
        <f>_xlfn.XLOOKUP(N:N,'Resource Table'!B:B,'Resource Table'!D:D,"n/a",0,1)</f>
        <v>Dedicated</v>
      </c>
    </row>
    <row r="1122" spans="1:16" x14ac:dyDescent="0.45">
      <c r="A1122" t="s">
        <v>5407</v>
      </c>
      <c r="B1122" t="s">
        <v>5408</v>
      </c>
      <c r="C1122" t="s">
        <v>5504</v>
      </c>
      <c r="D1122" t="s">
        <v>5764</v>
      </c>
      <c r="E1122" t="s">
        <v>6451</v>
      </c>
      <c r="F1122" t="s">
        <v>13473</v>
      </c>
      <c r="G1122" t="s">
        <v>13474</v>
      </c>
      <c r="H1122" t="s">
        <v>13517</v>
      </c>
      <c r="I1122" t="s">
        <v>6479</v>
      </c>
      <c r="J1122" t="s">
        <v>13463</v>
      </c>
      <c r="K1122">
        <v>0</v>
      </c>
      <c r="L1122" t="s">
        <v>20</v>
      </c>
      <c r="M1122" t="s">
        <v>20</v>
      </c>
      <c r="N1122" t="str">
        <f>_xlfn.XLOOKUP(C:C,'Resource Table'!A:A,'Resource Table'!B:B,"NOT FOUND",0,1)</f>
        <v>Dedicated</v>
      </c>
      <c r="O1122" t="str">
        <f>_xlfn.XLOOKUP(N:N,'Resource Table'!B:B,'Resource Table'!C:C,"n/a",0,1)</f>
        <v>AFS Dedicated Tech</v>
      </c>
      <c r="P1122" t="str">
        <f>_xlfn.XLOOKUP(N:N,'Resource Table'!B:B,'Resource Table'!D:D,"n/a",0,1)</f>
        <v>Dedicated</v>
      </c>
    </row>
    <row r="1123" spans="1:16" x14ac:dyDescent="0.45">
      <c r="A1123" t="s">
        <v>5407</v>
      </c>
      <c r="B1123" t="s">
        <v>5408</v>
      </c>
      <c r="C1123" t="s">
        <v>5504</v>
      </c>
      <c r="D1123" t="s">
        <v>5638</v>
      </c>
      <c r="E1123" t="s">
        <v>6451</v>
      </c>
      <c r="F1123" t="s">
        <v>13460</v>
      </c>
      <c r="G1123" t="s">
        <v>13461</v>
      </c>
      <c r="H1123" t="s">
        <v>13488</v>
      </c>
      <c r="I1123" t="s">
        <v>29</v>
      </c>
      <c r="J1123" t="s">
        <v>13463</v>
      </c>
      <c r="K1123">
        <v>1</v>
      </c>
      <c r="L1123" t="s">
        <v>13536</v>
      </c>
      <c r="M1123" t="s">
        <v>13493</v>
      </c>
      <c r="N1123" t="str">
        <f>_xlfn.XLOOKUP(C:C,'Resource Table'!A:A,'Resource Table'!B:B,"NOT FOUND",0,1)</f>
        <v>Dedicated</v>
      </c>
      <c r="O1123" t="str">
        <f>_xlfn.XLOOKUP(N:N,'Resource Table'!B:B,'Resource Table'!C:C,"n/a",0,1)</f>
        <v>AFS Dedicated Tech</v>
      </c>
      <c r="P1123" t="str">
        <f>_xlfn.XLOOKUP(N:N,'Resource Table'!B:B,'Resource Table'!D:D,"n/a",0,1)</f>
        <v>Dedicated</v>
      </c>
    </row>
    <row r="1124" spans="1:16" x14ac:dyDescent="0.45">
      <c r="A1124" t="s">
        <v>5407</v>
      </c>
      <c r="B1124" t="s">
        <v>5408</v>
      </c>
      <c r="C1124" t="s">
        <v>5504</v>
      </c>
      <c r="D1124" t="s">
        <v>5821</v>
      </c>
      <c r="E1124" t="s">
        <v>6451</v>
      </c>
      <c r="F1124" t="s">
        <v>13473</v>
      </c>
      <c r="G1124" t="s">
        <v>13474</v>
      </c>
      <c r="H1124" t="s">
        <v>13475</v>
      </c>
      <c r="I1124" t="s">
        <v>6479</v>
      </c>
      <c r="J1124" t="s">
        <v>13463</v>
      </c>
      <c r="K1124">
        <v>1</v>
      </c>
      <c r="L1124" t="s">
        <v>13537</v>
      </c>
      <c r="M1124" t="s">
        <v>13545</v>
      </c>
      <c r="N1124" t="str">
        <f>_xlfn.XLOOKUP(C:C,'Resource Table'!A:A,'Resource Table'!B:B,"NOT FOUND",0,1)</f>
        <v>Dedicated</v>
      </c>
      <c r="O1124" t="str">
        <f>_xlfn.XLOOKUP(N:N,'Resource Table'!B:B,'Resource Table'!C:C,"n/a",0,1)</f>
        <v>AFS Dedicated Tech</v>
      </c>
      <c r="P1124" t="str">
        <f>_xlfn.XLOOKUP(N:N,'Resource Table'!B:B,'Resource Table'!D:D,"n/a",0,1)</f>
        <v>Dedicated</v>
      </c>
    </row>
    <row r="1125" spans="1:16" x14ac:dyDescent="0.45">
      <c r="A1125" t="s">
        <v>5407</v>
      </c>
      <c r="B1125" t="s">
        <v>5408</v>
      </c>
      <c r="C1125" t="s">
        <v>5504</v>
      </c>
      <c r="D1125" t="s">
        <v>5841</v>
      </c>
      <c r="E1125" t="s">
        <v>6451</v>
      </c>
      <c r="F1125" t="s">
        <v>13473</v>
      </c>
      <c r="G1125" t="s">
        <v>13474</v>
      </c>
      <c r="H1125" t="s">
        <v>13475</v>
      </c>
      <c r="I1125" t="s">
        <v>6479</v>
      </c>
      <c r="J1125" t="s">
        <v>13463</v>
      </c>
      <c r="K1125">
        <v>2</v>
      </c>
      <c r="L1125" t="s">
        <v>13561</v>
      </c>
      <c r="M1125" t="s">
        <v>13505</v>
      </c>
      <c r="N1125" t="str">
        <f>_xlfn.XLOOKUP(C:C,'Resource Table'!A:A,'Resource Table'!B:B,"NOT FOUND",0,1)</f>
        <v>Dedicated</v>
      </c>
      <c r="O1125" t="str">
        <f>_xlfn.XLOOKUP(N:N,'Resource Table'!B:B,'Resource Table'!C:C,"n/a",0,1)</f>
        <v>AFS Dedicated Tech</v>
      </c>
      <c r="P1125" t="str">
        <f>_xlfn.XLOOKUP(N:N,'Resource Table'!B:B,'Resource Table'!D:D,"n/a",0,1)</f>
        <v>Dedicated</v>
      </c>
    </row>
    <row r="1126" spans="1:16" x14ac:dyDescent="0.45">
      <c r="A1126" t="s">
        <v>5407</v>
      </c>
      <c r="B1126" t="s">
        <v>5408</v>
      </c>
      <c r="C1126" t="s">
        <v>5504</v>
      </c>
      <c r="D1126" t="s">
        <v>6427</v>
      </c>
      <c r="E1126" t="s">
        <v>6451</v>
      </c>
      <c r="F1126" t="s">
        <v>13460</v>
      </c>
      <c r="G1126" t="s">
        <v>13461</v>
      </c>
      <c r="H1126" t="s">
        <v>13467</v>
      </c>
      <c r="I1126" t="s">
        <v>6479</v>
      </c>
      <c r="J1126" t="s">
        <v>13463</v>
      </c>
      <c r="K1126">
        <v>1</v>
      </c>
      <c r="L1126" t="s">
        <v>13480</v>
      </c>
      <c r="M1126" t="s">
        <v>20</v>
      </c>
      <c r="N1126" t="str">
        <f>_xlfn.XLOOKUP(C:C,'Resource Table'!A:A,'Resource Table'!B:B,"NOT FOUND",0,1)</f>
        <v>Dedicated</v>
      </c>
      <c r="O1126" t="str">
        <f>_xlfn.XLOOKUP(N:N,'Resource Table'!B:B,'Resource Table'!C:C,"n/a",0,1)</f>
        <v>AFS Dedicated Tech</v>
      </c>
      <c r="P1126" t="str">
        <f>_xlfn.XLOOKUP(N:N,'Resource Table'!B:B,'Resource Table'!D:D,"n/a",0,1)</f>
        <v>Dedicated</v>
      </c>
    </row>
    <row r="1127" spans="1:16" x14ac:dyDescent="0.45">
      <c r="A1127" t="s">
        <v>5407</v>
      </c>
      <c r="B1127" t="s">
        <v>5408</v>
      </c>
      <c r="C1127" t="s">
        <v>5504</v>
      </c>
      <c r="D1127" t="s">
        <v>6215</v>
      </c>
      <c r="E1127" t="s">
        <v>6451</v>
      </c>
      <c r="F1127" t="s">
        <v>13460</v>
      </c>
      <c r="G1127" t="s">
        <v>13476</v>
      </c>
      <c r="H1127" t="s">
        <v>13531</v>
      </c>
      <c r="I1127" t="s">
        <v>6479</v>
      </c>
      <c r="J1127" t="s">
        <v>13463</v>
      </c>
      <c r="K1127">
        <v>1</v>
      </c>
      <c r="L1127" t="s">
        <v>13512</v>
      </c>
      <c r="M1127" t="s">
        <v>13493</v>
      </c>
      <c r="N1127" t="str">
        <f>_xlfn.XLOOKUP(C:C,'Resource Table'!A:A,'Resource Table'!B:B,"NOT FOUND",0,1)</f>
        <v>Dedicated</v>
      </c>
      <c r="O1127" t="str">
        <f>_xlfn.XLOOKUP(N:N,'Resource Table'!B:B,'Resource Table'!C:C,"n/a",0,1)</f>
        <v>AFS Dedicated Tech</v>
      </c>
      <c r="P1127" t="str">
        <f>_xlfn.XLOOKUP(N:N,'Resource Table'!B:B,'Resource Table'!D:D,"n/a",0,1)</f>
        <v>Dedicated</v>
      </c>
    </row>
    <row r="1128" spans="1:16" x14ac:dyDescent="0.45">
      <c r="A1128" t="s">
        <v>5407</v>
      </c>
      <c r="B1128" t="s">
        <v>5408</v>
      </c>
      <c r="C1128" t="s">
        <v>5504</v>
      </c>
      <c r="D1128" t="s">
        <v>6167</v>
      </c>
      <c r="E1128" t="s">
        <v>6461</v>
      </c>
      <c r="F1128" t="s">
        <v>13460</v>
      </c>
      <c r="G1128" t="s">
        <v>13509</v>
      </c>
      <c r="H1128" t="s">
        <v>13510</v>
      </c>
      <c r="I1128" t="s">
        <v>6479</v>
      </c>
      <c r="J1128" t="s">
        <v>13463</v>
      </c>
      <c r="K1128">
        <v>0</v>
      </c>
      <c r="L1128" t="s">
        <v>20</v>
      </c>
      <c r="M1128" t="s">
        <v>20</v>
      </c>
      <c r="N1128" t="str">
        <f>_xlfn.XLOOKUP(C:C,'Resource Table'!A:A,'Resource Table'!B:B,"NOT FOUND",0,1)</f>
        <v>Dedicated</v>
      </c>
      <c r="O1128" t="str">
        <f>_xlfn.XLOOKUP(N:N,'Resource Table'!B:B,'Resource Table'!C:C,"n/a",0,1)</f>
        <v>AFS Dedicated Tech</v>
      </c>
      <c r="P1128" t="str">
        <f>_xlfn.XLOOKUP(N:N,'Resource Table'!B:B,'Resource Table'!D:D,"n/a",0,1)</f>
        <v>Dedicated</v>
      </c>
    </row>
    <row r="1129" spans="1:16" x14ac:dyDescent="0.45">
      <c r="A1129" t="s">
        <v>5407</v>
      </c>
      <c r="B1129" t="s">
        <v>5408</v>
      </c>
      <c r="C1129" t="s">
        <v>5504</v>
      </c>
      <c r="D1129" t="s">
        <v>6166</v>
      </c>
      <c r="E1129" t="s">
        <v>6461</v>
      </c>
      <c r="F1129" t="s">
        <v>13460</v>
      </c>
      <c r="G1129" t="s">
        <v>13509</v>
      </c>
      <c r="H1129" t="s">
        <v>13510</v>
      </c>
      <c r="I1129" t="s">
        <v>6479</v>
      </c>
      <c r="J1129" t="s">
        <v>13463</v>
      </c>
      <c r="K1129">
        <v>0</v>
      </c>
      <c r="L1129" t="s">
        <v>20</v>
      </c>
      <c r="M1129" t="s">
        <v>20</v>
      </c>
      <c r="N1129" t="str">
        <f>_xlfn.XLOOKUP(C:C,'Resource Table'!A:A,'Resource Table'!B:B,"NOT FOUND",0,1)</f>
        <v>Dedicated</v>
      </c>
      <c r="O1129" t="str">
        <f>_xlfn.XLOOKUP(N:N,'Resource Table'!B:B,'Resource Table'!C:C,"n/a",0,1)</f>
        <v>AFS Dedicated Tech</v>
      </c>
      <c r="P1129" t="str">
        <f>_xlfn.XLOOKUP(N:N,'Resource Table'!B:B,'Resource Table'!D:D,"n/a",0,1)</f>
        <v>Dedicated</v>
      </c>
    </row>
    <row r="1130" spans="1:16" x14ac:dyDescent="0.45">
      <c r="A1130" t="s">
        <v>5407</v>
      </c>
      <c r="B1130" t="s">
        <v>5408</v>
      </c>
      <c r="C1130" t="s">
        <v>5504</v>
      </c>
      <c r="D1130" t="s">
        <v>6165</v>
      </c>
      <c r="E1130" t="s">
        <v>6461</v>
      </c>
      <c r="F1130" t="s">
        <v>13460</v>
      </c>
      <c r="G1130" t="s">
        <v>13509</v>
      </c>
      <c r="H1130" t="s">
        <v>13510</v>
      </c>
      <c r="I1130" t="s">
        <v>6479</v>
      </c>
      <c r="J1130" t="s">
        <v>13463</v>
      </c>
      <c r="K1130">
        <v>0</v>
      </c>
      <c r="L1130" t="s">
        <v>20</v>
      </c>
      <c r="M1130" t="s">
        <v>20</v>
      </c>
      <c r="N1130" t="str">
        <f>_xlfn.XLOOKUP(C:C,'Resource Table'!A:A,'Resource Table'!B:B,"NOT FOUND",0,1)</f>
        <v>Dedicated</v>
      </c>
      <c r="O1130" t="str">
        <f>_xlfn.XLOOKUP(N:N,'Resource Table'!B:B,'Resource Table'!C:C,"n/a",0,1)</f>
        <v>AFS Dedicated Tech</v>
      </c>
      <c r="P1130" t="str">
        <f>_xlfn.XLOOKUP(N:N,'Resource Table'!B:B,'Resource Table'!D:D,"n/a",0,1)</f>
        <v>Dedicated</v>
      </c>
    </row>
    <row r="1131" spans="1:16" x14ac:dyDescent="0.45">
      <c r="A1131" t="s">
        <v>5407</v>
      </c>
      <c r="B1131" t="s">
        <v>5408</v>
      </c>
      <c r="C1131" t="s">
        <v>5504</v>
      </c>
      <c r="D1131" t="s">
        <v>6164</v>
      </c>
      <c r="E1131" t="s">
        <v>6461</v>
      </c>
      <c r="F1131" t="s">
        <v>13460</v>
      </c>
      <c r="G1131" t="s">
        <v>13509</v>
      </c>
      <c r="H1131" t="s">
        <v>13510</v>
      </c>
      <c r="I1131" t="s">
        <v>6479</v>
      </c>
      <c r="J1131" t="s">
        <v>13463</v>
      </c>
      <c r="K1131">
        <v>0</v>
      </c>
      <c r="L1131" t="s">
        <v>20</v>
      </c>
      <c r="M1131" t="s">
        <v>20</v>
      </c>
      <c r="N1131" t="str">
        <f>_xlfn.XLOOKUP(C:C,'Resource Table'!A:A,'Resource Table'!B:B,"NOT FOUND",0,1)</f>
        <v>Dedicated</v>
      </c>
      <c r="O1131" t="str">
        <f>_xlfn.XLOOKUP(N:N,'Resource Table'!B:B,'Resource Table'!C:C,"n/a",0,1)</f>
        <v>AFS Dedicated Tech</v>
      </c>
      <c r="P1131" t="str">
        <f>_xlfn.XLOOKUP(N:N,'Resource Table'!B:B,'Resource Table'!D:D,"n/a",0,1)</f>
        <v>Dedicated</v>
      </c>
    </row>
    <row r="1132" spans="1:16" x14ac:dyDescent="0.45">
      <c r="A1132" t="s">
        <v>5407</v>
      </c>
      <c r="B1132" t="s">
        <v>5408</v>
      </c>
      <c r="C1132" t="s">
        <v>5465</v>
      </c>
      <c r="D1132" t="s">
        <v>6060</v>
      </c>
      <c r="E1132" t="s">
        <v>6461</v>
      </c>
      <c r="F1132" t="s">
        <v>13460</v>
      </c>
      <c r="G1132" t="s">
        <v>13481</v>
      </c>
      <c r="H1132" t="s">
        <v>13511</v>
      </c>
      <c r="I1132" t="s">
        <v>6479</v>
      </c>
      <c r="J1132" t="s">
        <v>13463</v>
      </c>
      <c r="K1132">
        <v>1</v>
      </c>
      <c r="L1132" t="s">
        <v>13472</v>
      </c>
      <c r="M1132" t="s">
        <v>13505</v>
      </c>
      <c r="N1132" t="str">
        <f>_xlfn.XLOOKUP(C:C,'Resource Table'!A:A,'Resource Table'!B:B,"NOT FOUND",0,1)</f>
        <v>James Hopkins</v>
      </c>
      <c r="O1132" t="str">
        <f>_xlfn.XLOOKUP(N:N,'Resource Table'!B:B,'Resource Table'!C:C,"n/a",0,1)</f>
        <v>jhopkins5@ameritfleet.com</v>
      </c>
      <c r="P1132" t="str">
        <f>_xlfn.XLOOKUP(N:N,'Resource Table'!B:B,'Resource Table'!D:D,"n/a",0,1)</f>
        <v>Vended Repair</v>
      </c>
    </row>
    <row r="1133" spans="1:16" x14ac:dyDescent="0.45">
      <c r="A1133" t="s">
        <v>5407</v>
      </c>
      <c r="B1133" t="s">
        <v>5408</v>
      </c>
      <c r="C1133" t="s">
        <v>5465</v>
      </c>
      <c r="D1133" t="s">
        <v>7629</v>
      </c>
      <c r="E1133" t="s">
        <v>6451</v>
      </c>
      <c r="F1133" t="s">
        <v>13460</v>
      </c>
      <c r="G1133" t="s">
        <v>13461</v>
      </c>
      <c r="H1133" t="s">
        <v>13488</v>
      </c>
      <c r="I1133" t="s">
        <v>6479</v>
      </c>
      <c r="J1133" t="s">
        <v>13463</v>
      </c>
      <c r="K1133">
        <v>1</v>
      </c>
      <c r="L1133" t="s">
        <v>13542</v>
      </c>
      <c r="M1133" t="s">
        <v>13505</v>
      </c>
      <c r="N1133" t="str">
        <f>_xlfn.XLOOKUP(C:C,'Resource Table'!A:A,'Resource Table'!B:B,"NOT FOUND",0,1)</f>
        <v>James Hopkins</v>
      </c>
      <c r="O1133" t="str">
        <f>_xlfn.XLOOKUP(N:N,'Resource Table'!B:B,'Resource Table'!C:C,"n/a",0,1)</f>
        <v>jhopkins5@ameritfleet.com</v>
      </c>
      <c r="P1133" t="str">
        <f>_xlfn.XLOOKUP(N:N,'Resource Table'!B:B,'Resource Table'!D:D,"n/a",0,1)</f>
        <v>Vended Repair</v>
      </c>
    </row>
    <row r="1134" spans="1:16" x14ac:dyDescent="0.45">
      <c r="A1134" t="s">
        <v>5407</v>
      </c>
      <c r="B1134" t="s">
        <v>5408</v>
      </c>
      <c r="C1134" t="s">
        <v>5465</v>
      </c>
      <c r="D1134" t="s">
        <v>3391</v>
      </c>
      <c r="E1134" t="s">
        <v>6451</v>
      </c>
      <c r="F1134" t="s">
        <v>13473</v>
      </c>
      <c r="G1134" t="s">
        <v>13474</v>
      </c>
      <c r="H1134" t="s">
        <v>13475</v>
      </c>
      <c r="I1134" t="s">
        <v>29</v>
      </c>
      <c r="J1134" t="s">
        <v>13463</v>
      </c>
      <c r="K1134">
        <v>2</v>
      </c>
      <c r="L1134" t="s">
        <v>13489</v>
      </c>
      <c r="M1134" t="s">
        <v>13610</v>
      </c>
      <c r="N1134" t="str">
        <f>_xlfn.XLOOKUP(C:C,'Resource Table'!A:A,'Resource Table'!B:B,"NOT FOUND",0,1)</f>
        <v>James Hopkins</v>
      </c>
      <c r="O1134" t="str">
        <f>_xlfn.XLOOKUP(N:N,'Resource Table'!B:B,'Resource Table'!C:C,"n/a",0,1)</f>
        <v>jhopkins5@ameritfleet.com</v>
      </c>
      <c r="P1134" t="str">
        <f>_xlfn.XLOOKUP(N:N,'Resource Table'!B:B,'Resource Table'!D:D,"n/a",0,1)</f>
        <v>Vended Repair</v>
      </c>
    </row>
    <row r="1135" spans="1:16" x14ac:dyDescent="0.45">
      <c r="A1135" t="s">
        <v>5407</v>
      </c>
      <c r="B1135" t="s">
        <v>5408</v>
      </c>
      <c r="C1135" t="s">
        <v>5465</v>
      </c>
      <c r="D1135" t="s">
        <v>2227</v>
      </c>
      <c r="E1135" t="s">
        <v>6451</v>
      </c>
      <c r="F1135" t="s">
        <v>13473</v>
      </c>
      <c r="G1135" t="s">
        <v>13474</v>
      </c>
      <c r="H1135" t="s">
        <v>13517</v>
      </c>
      <c r="I1135" t="s">
        <v>29</v>
      </c>
      <c r="J1135" t="s">
        <v>13463</v>
      </c>
      <c r="K1135">
        <v>3</v>
      </c>
      <c r="L1135" t="s">
        <v>13472</v>
      </c>
      <c r="M1135" t="s">
        <v>13545</v>
      </c>
      <c r="N1135" t="str">
        <f>_xlfn.XLOOKUP(C:C,'Resource Table'!A:A,'Resource Table'!B:B,"NOT FOUND",0,1)</f>
        <v>James Hopkins</v>
      </c>
      <c r="O1135" t="str">
        <f>_xlfn.XLOOKUP(N:N,'Resource Table'!B:B,'Resource Table'!C:C,"n/a",0,1)</f>
        <v>jhopkins5@ameritfleet.com</v>
      </c>
      <c r="P1135" t="str">
        <f>_xlfn.XLOOKUP(N:N,'Resource Table'!B:B,'Resource Table'!D:D,"n/a",0,1)</f>
        <v>Vended Repair</v>
      </c>
    </row>
    <row r="1136" spans="1:16" x14ac:dyDescent="0.45">
      <c r="A1136" t="s">
        <v>5407</v>
      </c>
      <c r="B1136" t="s">
        <v>5408</v>
      </c>
      <c r="C1136" t="s">
        <v>5490</v>
      </c>
      <c r="D1136" t="s">
        <v>3021</v>
      </c>
      <c r="E1136" t="s">
        <v>6451</v>
      </c>
      <c r="F1136" t="s">
        <v>13473</v>
      </c>
      <c r="G1136" t="s">
        <v>13474</v>
      </c>
      <c r="H1136" t="s">
        <v>13492</v>
      </c>
      <c r="I1136" t="s">
        <v>29</v>
      </c>
      <c r="J1136" t="s">
        <v>13463</v>
      </c>
      <c r="K1136">
        <v>3</v>
      </c>
      <c r="L1136" t="s">
        <v>13524</v>
      </c>
      <c r="M1136" t="s">
        <v>13566</v>
      </c>
      <c r="N1136" t="str">
        <f>_xlfn.XLOOKUP(C:C,'Resource Table'!A:A,'Resource Table'!B:B,"NOT FOUND",0,1)</f>
        <v>James Hopkins</v>
      </c>
      <c r="O1136" t="str">
        <f>_xlfn.XLOOKUP(N:N,'Resource Table'!B:B,'Resource Table'!C:C,"n/a",0,1)</f>
        <v>jhopkins5@ameritfleet.com</v>
      </c>
      <c r="P1136" t="str">
        <f>_xlfn.XLOOKUP(N:N,'Resource Table'!B:B,'Resource Table'!D:D,"n/a",0,1)</f>
        <v>Vended Repair</v>
      </c>
    </row>
    <row r="1137" spans="1:16" x14ac:dyDescent="0.45">
      <c r="A1137" t="s">
        <v>5407</v>
      </c>
      <c r="B1137" t="s">
        <v>5408</v>
      </c>
      <c r="C1137" t="s">
        <v>5490</v>
      </c>
      <c r="D1137" t="s">
        <v>6063</v>
      </c>
      <c r="E1137" t="s">
        <v>6461</v>
      </c>
      <c r="F1137" t="s">
        <v>13460</v>
      </c>
      <c r="G1137" t="s">
        <v>13481</v>
      </c>
      <c r="H1137" t="s">
        <v>13511</v>
      </c>
      <c r="I1137" t="s">
        <v>6479</v>
      </c>
      <c r="J1137" t="s">
        <v>13463</v>
      </c>
      <c r="K1137">
        <v>2</v>
      </c>
      <c r="L1137" t="s">
        <v>13520</v>
      </c>
      <c r="M1137" t="s">
        <v>13537</v>
      </c>
      <c r="N1137" t="str">
        <f>_xlfn.XLOOKUP(C:C,'Resource Table'!A:A,'Resource Table'!B:B,"NOT FOUND",0,1)</f>
        <v>James Hopkins</v>
      </c>
      <c r="O1137" t="str">
        <f>_xlfn.XLOOKUP(N:N,'Resource Table'!B:B,'Resource Table'!C:C,"n/a",0,1)</f>
        <v>jhopkins5@ameritfleet.com</v>
      </c>
      <c r="P1137" t="str">
        <f>_xlfn.XLOOKUP(N:N,'Resource Table'!B:B,'Resource Table'!D:D,"n/a",0,1)</f>
        <v>Vended Repair</v>
      </c>
    </row>
    <row r="1138" spans="1:16" x14ac:dyDescent="0.45">
      <c r="A1138" t="s">
        <v>5407</v>
      </c>
      <c r="B1138" t="s">
        <v>5408</v>
      </c>
      <c r="C1138" t="s">
        <v>5490</v>
      </c>
      <c r="D1138" t="s">
        <v>3921</v>
      </c>
      <c r="E1138" t="s">
        <v>6461</v>
      </c>
      <c r="F1138" t="s">
        <v>13460</v>
      </c>
      <c r="G1138" t="s">
        <v>13481</v>
      </c>
      <c r="H1138" t="s">
        <v>13482</v>
      </c>
      <c r="I1138" t="s">
        <v>6479</v>
      </c>
      <c r="J1138" t="s">
        <v>13463</v>
      </c>
      <c r="K1138">
        <v>0</v>
      </c>
      <c r="L1138" t="s">
        <v>20</v>
      </c>
      <c r="M1138" t="s">
        <v>20</v>
      </c>
      <c r="N1138" t="str">
        <f>_xlfn.XLOOKUP(C:C,'Resource Table'!A:A,'Resource Table'!B:B,"NOT FOUND",0,1)</f>
        <v>James Hopkins</v>
      </c>
      <c r="O1138" t="str">
        <f>_xlfn.XLOOKUP(N:N,'Resource Table'!B:B,'Resource Table'!C:C,"n/a",0,1)</f>
        <v>jhopkins5@ameritfleet.com</v>
      </c>
      <c r="P1138" t="str">
        <f>_xlfn.XLOOKUP(N:N,'Resource Table'!B:B,'Resource Table'!D:D,"n/a",0,1)</f>
        <v>Vended Repair</v>
      </c>
    </row>
    <row r="1139" spans="1:16" x14ac:dyDescent="0.45">
      <c r="A1139" t="s">
        <v>5407</v>
      </c>
      <c r="B1139" t="s">
        <v>5408</v>
      </c>
      <c r="C1139" t="s">
        <v>5490</v>
      </c>
      <c r="D1139" t="s">
        <v>5965</v>
      </c>
      <c r="E1139" t="s">
        <v>6461</v>
      </c>
      <c r="F1139" t="s">
        <v>13460</v>
      </c>
      <c r="G1139" t="s">
        <v>13481</v>
      </c>
      <c r="H1139" t="s">
        <v>13482</v>
      </c>
      <c r="I1139" t="s">
        <v>6479</v>
      </c>
      <c r="J1139" t="s">
        <v>13463</v>
      </c>
      <c r="K1139">
        <v>1</v>
      </c>
      <c r="L1139" t="s">
        <v>13466</v>
      </c>
      <c r="M1139" t="s">
        <v>13493</v>
      </c>
      <c r="N1139" t="str">
        <f>_xlfn.XLOOKUP(C:C,'Resource Table'!A:A,'Resource Table'!B:B,"NOT FOUND",0,1)</f>
        <v>James Hopkins</v>
      </c>
      <c r="O1139" t="str">
        <f>_xlfn.XLOOKUP(N:N,'Resource Table'!B:B,'Resource Table'!C:C,"n/a",0,1)</f>
        <v>jhopkins5@ameritfleet.com</v>
      </c>
      <c r="P1139" t="str">
        <f>_xlfn.XLOOKUP(N:N,'Resource Table'!B:B,'Resource Table'!D:D,"n/a",0,1)</f>
        <v>Vended Repair</v>
      </c>
    </row>
    <row r="1140" spans="1:16" x14ac:dyDescent="0.45">
      <c r="A1140" t="s">
        <v>5407</v>
      </c>
      <c r="B1140" t="s">
        <v>5408</v>
      </c>
      <c r="C1140" t="s">
        <v>5490</v>
      </c>
      <c r="D1140" t="s">
        <v>5695</v>
      </c>
      <c r="E1140" t="s">
        <v>6451</v>
      </c>
      <c r="F1140" t="s">
        <v>13473</v>
      </c>
      <c r="G1140" t="s">
        <v>13474</v>
      </c>
      <c r="H1140" t="s">
        <v>13492</v>
      </c>
      <c r="I1140" t="s">
        <v>6479</v>
      </c>
      <c r="J1140" t="s">
        <v>13463</v>
      </c>
      <c r="K1140">
        <v>3</v>
      </c>
      <c r="L1140" t="s">
        <v>13503</v>
      </c>
      <c r="M1140" t="s">
        <v>13505</v>
      </c>
      <c r="N1140" t="str">
        <f>_xlfn.XLOOKUP(C:C,'Resource Table'!A:A,'Resource Table'!B:B,"NOT FOUND",0,1)</f>
        <v>James Hopkins</v>
      </c>
      <c r="O1140" t="str">
        <f>_xlfn.XLOOKUP(N:N,'Resource Table'!B:B,'Resource Table'!C:C,"n/a",0,1)</f>
        <v>jhopkins5@ameritfleet.com</v>
      </c>
      <c r="P1140" t="str">
        <f>_xlfn.XLOOKUP(N:N,'Resource Table'!B:B,'Resource Table'!D:D,"n/a",0,1)</f>
        <v>Vended Repair</v>
      </c>
    </row>
    <row r="1141" spans="1:16" x14ac:dyDescent="0.45">
      <c r="A1141" t="s">
        <v>5407</v>
      </c>
      <c r="B1141" t="s">
        <v>5408</v>
      </c>
      <c r="C1141" t="s">
        <v>5490</v>
      </c>
      <c r="D1141" t="s">
        <v>4099</v>
      </c>
      <c r="E1141" t="s">
        <v>6461</v>
      </c>
      <c r="F1141" t="s">
        <v>13460</v>
      </c>
      <c r="G1141" t="s">
        <v>13481</v>
      </c>
      <c r="H1141" t="s">
        <v>13482</v>
      </c>
      <c r="I1141" t="s">
        <v>6479</v>
      </c>
      <c r="J1141" t="s">
        <v>13463</v>
      </c>
      <c r="K1141">
        <v>1</v>
      </c>
      <c r="L1141" t="s">
        <v>13503</v>
      </c>
      <c r="M1141" t="s">
        <v>13468</v>
      </c>
      <c r="N1141" t="str">
        <f>_xlfn.XLOOKUP(C:C,'Resource Table'!A:A,'Resource Table'!B:B,"NOT FOUND",0,1)</f>
        <v>James Hopkins</v>
      </c>
      <c r="O1141" t="str">
        <f>_xlfn.XLOOKUP(N:N,'Resource Table'!B:B,'Resource Table'!C:C,"n/a",0,1)</f>
        <v>jhopkins5@ameritfleet.com</v>
      </c>
      <c r="P1141" t="str">
        <f>_xlfn.XLOOKUP(N:N,'Resource Table'!B:B,'Resource Table'!D:D,"n/a",0,1)</f>
        <v>Vended Repair</v>
      </c>
    </row>
    <row r="1142" spans="1:16" x14ac:dyDescent="0.45">
      <c r="A1142" t="s">
        <v>5407</v>
      </c>
      <c r="B1142" t="s">
        <v>5408</v>
      </c>
      <c r="C1142" t="s">
        <v>5490</v>
      </c>
      <c r="D1142" t="s">
        <v>181</v>
      </c>
      <c r="E1142" t="s">
        <v>6461</v>
      </c>
      <c r="F1142" t="s">
        <v>13460</v>
      </c>
      <c r="G1142" t="s">
        <v>13481</v>
      </c>
      <c r="H1142" t="s">
        <v>13482</v>
      </c>
      <c r="I1142" t="s">
        <v>6479</v>
      </c>
      <c r="J1142" t="s">
        <v>13463</v>
      </c>
      <c r="K1142">
        <v>1</v>
      </c>
      <c r="L1142" t="s">
        <v>13499</v>
      </c>
      <c r="M1142" t="s">
        <v>13505</v>
      </c>
      <c r="N1142" t="str">
        <f>_xlfn.XLOOKUP(C:C,'Resource Table'!A:A,'Resource Table'!B:B,"NOT FOUND",0,1)</f>
        <v>James Hopkins</v>
      </c>
      <c r="O1142" t="str">
        <f>_xlfn.XLOOKUP(N:N,'Resource Table'!B:B,'Resource Table'!C:C,"n/a",0,1)</f>
        <v>jhopkins5@ameritfleet.com</v>
      </c>
      <c r="P1142" t="str">
        <f>_xlfn.XLOOKUP(N:N,'Resource Table'!B:B,'Resource Table'!D:D,"n/a",0,1)</f>
        <v>Vended Repair</v>
      </c>
    </row>
    <row r="1143" spans="1:16" x14ac:dyDescent="0.45">
      <c r="A1143" t="s">
        <v>5407</v>
      </c>
      <c r="B1143" t="s">
        <v>5408</v>
      </c>
      <c r="C1143" t="s">
        <v>5490</v>
      </c>
      <c r="D1143" t="s">
        <v>4000</v>
      </c>
      <c r="E1143" t="s">
        <v>6451</v>
      </c>
      <c r="F1143" t="s">
        <v>13460</v>
      </c>
      <c r="G1143" t="s">
        <v>13461</v>
      </c>
      <c r="H1143" t="s">
        <v>13465</v>
      </c>
      <c r="I1143" t="s">
        <v>29</v>
      </c>
      <c r="J1143" t="s">
        <v>13463</v>
      </c>
      <c r="K1143">
        <v>3</v>
      </c>
      <c r="L1143" t="s">
        <v>13470</v>
      </c>
      <c r="M1143" t="s">
        <v>13493</v>
      </c>
      <c r="N1143" t="str">
        <f>_xlfn.XLOOKUP(C:C,'Resource Table'!A:A,'Resource Table'!B:B,"NOT FOUND",0,1)</f>
        <v>James Hopkins</v>
      </c>
      <c r="O1143" t="str">
        <f>_xlfn.XLOOKUP(N:N,'Resource Table'!B:B,'Resource Table'!C:C,"n/a",0,1)</f>
        <v>jhopkins5@ameritfleet.com</v>
      </c>
      <c r="P1143" t="str">
        <f>_xlfn.XLOOKUP(N:N,'Resource Table'!B:B,'Resource Table'!D:D,"n/a",0,1)</f>
        <v>Vended Repair</v>
      </c>
    </row>
    <row r="1144" spans="1:16" x14ac:dyDescent="0.45">
      <c r="A1144" t="s">
        <v>5407</v>
      </c>
      <c r="B1144" t="s">
        <v>5408</v>
      </c>
      <c r="C1144" t="s">
        <v>5490</v>
      </c>
      <c r="D1144" t="s">
        <v>937</v>
      </c>
      <c r="E1144" t="s">
        <v>6451</v>
      </c>
      <c r="F1144" t="s">
        <v>13473</v>
      </c>
      <c r="G1144" t="s">
        <v>13474</v>
      </c>
      <c r="H1144" t="s">
        <v>13475</v>
      </c>
      <c r="I1144" t="s">
        <v>6479</v>
      </c>
      <c r="J1144" t="s">
        <v>13463</v>
      </c>
      <c r="K1144">
        <v>0</v>
      </c>
      <c r="L1144" t="s">
        <v>20</v>
      </c>
      <c r="M1144" t="s">
        <v>20</v>
      </c>
      <c r="N1144" t="str">
        <f>_xlfn.XLOOKUP(C:C,'Resource Table'!A:A,'Resource Table'!B:B,"NOT FOUND",0,1)</f>
        <v>James Hopkins</v>
      </c>
      <c r="O1144" t="str">
        <f>_xlfn.XLOOKUP(N:N,'Resource Table'!B:B,'Resource Table'!C:C,"n/a",0,1)</f>
        <v>jhopkins5@ameritfleet.com</v>
      </c>
      <c r="P1144" t="str">
        <f>_xlfn.XLOOKUP(N:N,'Resource Table'!B:B,'Resource Table'!D:D,"n/a",0,1)</f>
        <v>Vended Repair</v>
      </c>
    </row>
    <row r="1145" spans="1:16" x14ac:dyDescent="0.45">
      <c r="A1145" t="s">
        <v>5407</v>
      </c>
      <c r="B1145" t="s">
        <v>5408</v>
      </c>
      <c r="C1145" t="s">
        <v>5490</v>
      </c>
      <c r="D1145" t="s">
        <v>106</v>
      </c>
      <c r="E1145" t="s">
        <v>6451</v>
      </c>
      <c r="F1145" t="s">
        <v>13473</v>
      </c>
      <c r="G1145" t="s">
        <v>13474</v>
      </c>
      <c r="H1145" t="s">
        <v>13517</v>
      </c>
      <c r="I1145" t="s">
        <v>6479</v>
      </c>
      <c r="J1145" t="s">
        <v>13463</v>
      </c>
      <c r="K1145">
        <v>2</v>
      </c>
      <c r="L1145" t="s">
        <v>13470</v>
      </c>
      <c r="M1145" t="s">
        <v>13480</v>
      </c>
      <c r="N1145" t="str">
        <f>_xlfn.XLOOKUP(C:C,'Resource Table'!A:A,'Resource Table'!B:B,"NOT FOUND",0,1)</f>
        <v>James Hopkins</v>
      </c>
      <c r="O1145" t="str">
        <f>_xlfn.XLOOKUP(N:N,'Resource Table'!B:B,'Resource Table'!C:C,"n/a",0,1)</f>
        <v>jhopkins5@ameritfleet.com</v>
      </c>
      <c r="P1145" t="str">
        <f>_xlfn.XLOOKUP(N:N,'Resource Table'!B:B,'Resource Table'!D:D,"n/a",0,1)</f>
        <v>Vended Repair</v>
      </c>
    </row>
    <row r="1146" spans="1:16" x14ac:dyDescent="0.45">
      <c r="A1146" t="s">
        <v>5407</v>
      </c>
      <c r="B1146" t="s">
        <v>5408</v>
      </c>
      <c r="C1146" t="s">
        <v>5577</v>
      </c>
      <c r="D1146" t="s">
        <v>2867</v>
      </c>
      <c r="E1146" t="s">
        <v>6451</v>
      </c>
      <c r="F1146" t="s">
        <v>13473</v>
      </c>
      <c r="G1146" t="s">
        <v>13474</v>
      </c>
      <c r="H1146" t="s">
        <v>13521</v>
      </c>
      <c r="I1146" t="s">
        <v>6479</v>
      </c>
      <c r="J1146" t="s">
        <v>13463</v>
      </c>
      <c r="K1146">
        <v>1</v>
      </c>
      <c r="L1146" t="s">
        <v>13469</v>
      </c>
      <c r="M1146" t="s">
        <v>13505</v>
      </c>
      <c r="N1146" t="str">
        <f>_xlfn.XLOOKUP(C:C,'Resource Table'!A:A,'Resource Table'!B:B,"NOT FOUND",0,1)</f>
        <v>James Hopkins</v>
      </c>
      <c r="O1146" t="str">
        <f>_xlfn.XLOOKUP(N:N,'Resource Table'!B:B,'Resource Table'!C:C,"n/a",0,1)</f>
        <v>jhopkins5@ameritfleet.com</v>
      </c>
      <c r="P1146" t="str">
        <f>_xlfn.XLOOKUP(N:N,'Resource Table'!B:B,'Resource Table'!D:D,"n/a",0,1)</f>
        <v>Vended Repair</v>
      </c>
    </row>
    <row r="1147" spans="1:16" x14ac:dyDescent="0.45">
      <c r="A1147" t="s">
        <v>5407</v>
      </c>
      <c r="B1147" t="s">
        <v>5408</v>
      </c>
      <c r="C1147" t="s">
        <v>5577</v>
      </c>
      <c r="D1147" t="s">
        <v>4177</v>
      </c>
      <c r="E1147" t="s">
        <v>6451</v>
      </c>
      <c r="F1147" t="s">
        <v>13460</v>
      </c>
      <c r="G1147" t="s">
        <v>13476</v>
      </c>
      <c r="H1147" t="s">
        <v>13477</v>
      </c>
      <c r="I1147" t="s">
        <v>6479</v>
      </c>
      <c r="J1147" t="s">
        <v>13463</v>
      </c>
      <c r="K1147">
        <v>1</v>
      </c>
      <c r="L1147" t="s">
        <v>13469</v>
      </c>
      <c r="M1147" t="s">
        <v>13505</v>
      </c>
      <c r="N1147" t="str">
        <f>_xlfn.XLOOKUP(C:C,'Resource Table'!A:A,'Resource Table'!B:B,"NOT FOUND",0,1)</f>
        <v>James Hopkins</v>
      </c>
      <c r="O1147" t="str">
        <f>_xlfn.XLOOKUP(N:N,'Resource Table'!B:B,'Resource Table'!C:C,"n/a",0,1)</f>
        <v>jhopkins5@ameritfleet.com</v>
      </c>
      <c r="P1147" t="str">
        <f>_xlfn.XLOOKUP(N:N,'Resource Table'!B:B,'Resource Table'!D:D,"n/a",0,1)</f>
        <v>Vended Repair</v>
      </c>
    </row>
    <row r="1148" spans="1:16" x14ac:dyDescent="0.45">
      <c r="A1148" t="s">
        <v>5407</v>
      </c>
      <c r="B1148" t="s">
        <v>5408</v>
      </c>
      <c r="C1148" t="s">
        <v>5577</v>
      </c>
      <c r="D1148" t="s">
        <v>650</v>
      </c>
      <c r="E1148" t="s">
        <v>6451</v>
      </c>
      <c r="F1148" t="s">
        <v>13460</v>
      </c>
      <c r="G1148" t="s">
        <v>13461</v>
      </c>
      <c r="H1148" t="s">
        <v>13467</v>
      </c>
      <c r="I1148" t="s">
        <v>6479</v>
      </c>
      <c r="J1148" t="s">
        <v>13463</v>
      </c>
      <c r="K1148">
        <v>2</v>
      </c>
      <c r="L1148" t="s">
        <v>13499</v>
      </c>
      <c r="M1148" t="s">
        <v>13556</v>
      </c>
      <c r="N1148" t="str">
        <f>_xlfn.XLOOKUP(C:C,'Resource Table'!A:A,'Resource Table'!B:B,"NOT FOUND",0,1)</f>
        <v>James Hopkins</v>
      </c>
      <c r="O1148" t="str">
        <f>_xlfn.XLOOKUP(N:N,'Resource Table'!B:B,'Resource Table'!C:C,"n/a",0,1)</f>
        <v>jhopkins5@ameritfleet.com</v>
      </c>
      <c r="P1148" t="str">
        <f>_xlfn.XLOOKUP(N:N,'Resource Table'!B:B,'Resource Table'!D:D,"n/a",0,1)</f>
        <v>Vended Repair</v>
      </c>
    </row>
    <row r="1149" spans="1:16" x14ac:dyDescent="0.45">
      <c r="A1149" t="s">
        <v>5407</v>
      </c>
      <c r="B1149" t="s">
        <v>5408</v>
      </c>
      <c r="C1149" t="s">
        <v>5577</v>
      </c>
      <c r="D1149" t="s">
        <v>6445</v>
      </c>
      <c r="E1149" t="s">
        <v>6451</v>
      </c>
      <c r="F1149" t="s">
        <v>13514</v>
      </c>
      <c r="G1149" t="s">
        <v>13573</v>
      </c>
      <c r="H1149" t="s">
        <v>13611</v>
      </c>
      <c r="I1149" t="s">
        <v>6479</v>
      </c>
      <c r="J1149" t="s">
        <v>13463</v>
      </c>
      <c r="K1149">
        <v>1</v>
      </c>
      <c r="L1149" t="s">
        <v>13469</v>
      </c>
      <c r="M1149" t="s">
        <v>13505</v>
      </c>
      <c r="N1149" t="str">
        <f>_xlfn.XLOOKUP(C:C,'Resource Table'!A:A,'Resource Table'!B:B,"NOT FOUND",0,1)</f>
        <v>James Hopkins</v>
      </c>
      <c r="O1149" t="str">
        <f>_xlfn.XLOOKUP(N:N,'Resource Table'!B:B,'Resource Table'!C:C,"n/a",0,1)</f>
        <v>jhopkins5@ameritfleet.com</v>
      </c>
      <c r="P1149" t="str">
        <f>_xlfn.XLOOKUP(N:N,'Resource Table'!B:B,'Resource Table'!D:D,"n/a",0,1)</f>
        <v>Vended Repair</v>
      </c>
    </row>
    <row r="1150" spans="1:16" x14ac:dyDescent="0.45">
      <c r="A1150" t="s">
        <v>5407</v>
      </c>
      <c r="B1150" t="s">
        <v>5408</v>
      </c>
      <c r="C1150" t="s">
        <v>5577</v>
      </c>
      <c r="D1150" t="s">
        <v>3272</v>
      </c>
      <c r="E1150" t="s">
        <v>6451</v>
      </c>
      <c r="F1150" t="s">
        <v>13460</v>
      </c>
      <c r="G1150" t="s">
        <v>13461</v>
      </c>
      <c r="H1150" t="s">
        <v>13488</v>
      </c>
      <c r="I1150" t="s">
        <v>29</v>
      </c>
      <c r="J1150" t="s">
        <v>13463</v>
      </c>
      <c r="K1150">
        <v>3</v>
      </c>
      <c r="L1150" t="s">
        <v>13504</v>
      </c>
      <c r="M1150" t="s">
        <v>13513</v>
      </c>
      <c r="N1150" t="str">
        <f>_xlfn.XLOOKUP(C:C,'Resource Table'!A:A,'Resource Table'!B:B,"NOT FOUND",0,1)</f>
        <v>James Hopkins</v>
      </c>
      <c r="O1150" t="str">
        <f>_xlfn.XLOOKUP(N:N,'Resource Table'!B:B,'Resource Table'!C:C,"n/a",0,1)</f>
        <v>jhopkins5@ameritfleet.com</v>
      </c>
      <c r="P1150" t="str">
        <f>_xlfn.XLOOKUP(N:N,'Resource Table'!B:B,'Resource Table'!D:D,"n/a",0,1)</f>
        <v>Vended Repair</v>
      </c>
    </row>
    <row r="1151" spans="1:16" x14ac:dyDescent="0.45">
      <c r="A1151" t="s">
        <v>5407</v>
      </c>
      <c r="B1151" t="s">
        <v>5408</v>
      </c>
      <c r="C1151" t="s">
        <v>5577</v>
      </c>
      <c r="D1151" t="s">
        <v>4811</v>
      </c>
      <c r="E1151" t="s">
        <v>6461</v>
      </c>
      <c r="F1151" t="s">
        <v>13460</v>
      </c>
      <c r="G1151" t="s">
        <v>13481</v>
      </c>
      <c r="H1151" t="s">
        <v>13511</v>
      </c>
      <c r="I1151" t="s">
        <v>6479</v>
      </c>
      <c r="J1151" t="s">
        <v>13463</v>
      </c>
      <c r="K1151">
        <v>2</v>
      </c>
      <c r="L1151" t="s">
        <v>13469</v>
      </c>
      <c r="M1151" t="s">
        <v>13505</v>
      </c>
      <c r="N1151" t="str">
        <f>_xlfn.XLOOKUP(C:C,'Resource Table'!A:A,'Resource Table'!B:B,"NOT FOUND",0,1)</f>
        <v>James Hopkins</v>
      </c>
      <c r="O1151" t="str">
        <f>_xlfn.XLOOKUP(N:N,'Resource Table'!B:B,'Resource Table'!C:C,"n/a",0,1)</f>
        <v>jhopkins5@ameritfleet.com</v>
      </c>
      <c r="P1151" t="str">
        <f>_xlfn.XLOOKUP(N:N,'Resource Table'!B:B,'Resource Table'!D:D,"n/a",0,1)</f>
        <v>Vended Repair</v>
      </c>
    </row>
    <row r="1152" spans="1:16" x14ac:dyDescent="0.45">
      <c r="A1152" t="s">
        <v>5407</v>
      </c>
      <c r="B1152" t="s">
        <v>5408</v>
      </c>
      <c r="C1152" t="s">
        <v>5577</v>
      </c>
      <c r="D1152" t="s">
        <v>241</v>
      </c>
      <c r="E1152" t="s">
        <v>6451</v>
      </c>
      <c r="F1152" t="s">
        <v>13460</v>
      </c>
      <c r="G1152" t="s">
        <v>13476</v>
      </c>
      <c r="H1152" t="s">
        <v>13477</v>
      </c>
      <c r="I1152" t="s">
        <v>29</v>
      </c>
      <c r="J1152" t="s">
        <v>13463</v>
      </c>
      <c r="K1152">
        <v>2</v>
      </c>
      <c r="L1152" t="s">
        <v>13499</v>
      </c>
      <c r="M1152" t="s">
        <v>13505</v>
      </c>
      <c r="N1152" t="str">
        <f>_xlfn.XLOOKUP(C:C,'Resource Table'!A:A,'Resource Table'!B:B,"NOT FOUND",0,1)</f>
        <v>James Hopkins</v>
      </c>
      <c r="O1152" t="str">
        <f>_xlfn.XLOOKUP(N:N,'Resource Table'!B:B,'Resource Table'!C:C,"n/a",0,1)</f>
        <v>jhopkins5@ameritfleet.com</v>
      </c>
      <c r="P1152" t="str">
        <f>_xlfn.XLOOKUP(N:N,'Resource Table'!B:B,'Resource Table'!D:D,"n/a",0,1)</f>
        <v>Vended Repair</v>
      </c>
    </row>
    <row r="1153" spans="1:16" x14ac:dyDescent="0.45">
      <c r="A1153" t="s">
        <v>5407</v>
      </c>
      <c r="B1153" t="s">
        <v>5408</v>
      </c>
      <c r="C1153" t="s">
        <v>5577</v>
      </c>
      <c r="D1153" t="s">
        <v>2011</v>
      </c>
      <c r="E1153" t="s">
        <v>6451</v>
      </c>
      <c r="F1153" t="s">
        <v>13460</v>
      </c>
      <c r="G1153" t="s">
        <v>13476</v>
      </c>
      <c r="H1153" t="s">
        <v>13531</v>
      </c>
      <c r="I1153" t="s">
        <v>6479</v>
      </c>
      <c r="J1153" t="s">
        <v>13463</v>
      </c>
      <c r="K1153">
        <v>3</v>
      </c>
      <c r="L1153" t="s">
        <v>13543</v>
      </c>
      <c r="M1153" t="s">
        <v>13556</v>
      </c>
      <c r="N1153" t="str">
        <f>_xlfn.XLOOKUP(C:C,'Resource Table'!A:A,'Resource Table'!B:B,"NOT FOUND",0,1)</f>
        <v>James Hopkins</v>
      </c>
      <c r="O1153" t="str">
        <f>_xlfn.XLOOKUP(N:N,'Resource Table'!B:B,'Resource Table'!C:C,"n/a",0,1)</f>
        <v>jhopkins5@ameritfleet.com</v>
      </c>
      <c r="P1153" t="str">
        <f>_xlfn.XLOOKUP(N:N,'Resource Table'!B:B,'Resource Table'!D:D,"n/a",0,1)</f>
        <v>Vended Repair</v>
      </c>
    </row>
    <row r="1154" spans="1:16" x14ac:dyDescent="0.45">
      <c r="A1154" t="s">
        <v>5407</v>
      </c>
      <c r="B1154" t="s">
        <v>5408</v>
      </c>
      <c r="C1154" t="s">
        <v>5437</v>
      </c>
      <c r="D1154" t="s">
        <v>2892</v>
      </c>
      <c r="E1154" t="s">
        <v>6461</v>
      </c>
      <c r="F1154" t="s">
        <v>13460</v>
      </c>
      <c r="G1154" t="s">
        <v>13481</v>
      </c>
      <c r="H1154" t="s">
        <v>13511</v>
      </c>
      <c r="I1154" t="s">
        <v>6479</v>
      </c>
      <c r="J1154" t="s">
        <v>13463</v>
      </c>
      <c r="K1154">
        <v>1</v>
      </c>
      <c r="L1154" t="s">
        <v>13464</v>
      </c>
      <c r="M1154" t="s">
        <v>13556</v>
      </c>
      <c r="N1154" t="str">
        <f>_xlfn.XLOOKUP(C:C,'Resource Table'!A:A,'Resource Table'!B:B,"NOT FOUND",0,1)</f>
        <v>James Hopkins</v>
      </c>
      <c r="O1154" t="str">
        <f>_xlfn.XLOOKUP(N:N,'Resource Table'!B:B,'Resource Table'!C:C,"n/a",0,1)</f>
        <v>jhopkins5@ameritfleet.com</v>
      </c>
      <c r="P1154" t="str">
        <f>_xlfn.XLOOKUP(N:N,'Resource Table'!B:B,'Resource Table'!D:D,"n/a",0,1)</f>
        <v>Vended Repair</v>
      </c>
    </row>
    <row r="1155" spans="1:16" x14ac:dyDescent="0.45">
      <c r="A1155" t="s">
        <v>5407</v>
      </c>
      <c r="B1155" t="s">
        <v>5408</v>
      </c>
      <c r="C1155" t="s">
        <v>5437</v>
      </c>
      <c r="D1155" t="s">
        <v>2853</v>
      </c>
      <c r="E1155" t="s">
        <v>6451</v>
      </c>
      <c r="F1155" t="s">
        <v>13460</v>
      </c>
      <c r="G1155" t="s">
        <v>13476</v>
      </c>
      <c r="H1155" t="s">
        <v>13533</v>
      </c>
      <c r="I1155" t="s">
        <v>6479</v>
      </c>
      <c r="J1155" t="s">
        <v>13463</v>
      </c>
      <c r="K1155">
        <v>6</v>
      </c>
      <c r="L1155" t="s">
        <v>13499</v>
      </c>
      <c r="M1155" t="s">
        <v>13570</v>
      </c>
      <c r="N1155" t="str">
        <f>_xlfn.XLOOKUP(C:C,'Resource Table'!A:A,'Resource Table'!B:B,"NOT FOUND",0,1)</f>
        <v>James Hopkins</v>
      </c>
      <c r="O1155" t="str">
        <f>_xlfn.XLOOKUP(N:N,'Resource Table'!B:B,'Resource Table'!C:C,"n/a",0,1)</f>
        <v>jhopkins5@ameritfleet.com</v>
      </c>
      <c r="P1155" t="str">
        <f>_xlfn.XLOOKUP(N:N,'Resource Table'!B:B,'Resource Table'!D:D,"n/a",0,1)</f>
        <v>Vended Repair</v>
      </c>
    </row>
    <row r="1156" spans="1:16" x14ac:dyDescent="0.45">
      <c r="A1156" t="s">
        <v>5407</v>
      </c>
      <c r="B1156" t="s">
        <v>5408</v>
      </c>
      <c r="C1156" t="s">
        <v>5437</v>
      </c>
      <c r="D1156" t="s">
        <v>1045</v>
      </c>
      <c r="E1156" t="s">
        <v>6461</v>
      </c>
      <c r="F1156" t="s">
        <v>13460</v>
      </c>
      <c r="G1156" t="s">
        <v>13481</v>
      </c>
      <c r="H1156" t="s">
        <v>13482</v>
      </c>
      <c r="I1156" t="s">
        <v>29</v>
      </c>
      <c r="J1156" t="s">
        <v>13463</v>
      </c>
      <c r="K1156">
        <v>4</v>
      </c>
      <c r="L1156" t="s">
        <v>13499</v>
      </c>
      <c r="M1156" t="s">
        <v>13570</v>
      </c>
      <c r="N1156" t="str">
        <f>_xlfn.XLOOKUP(C:C,'Resource Table'!A:A,'Resource Table'!B:B,"NOT FOUND",0,1)</f>
        <v>James Hopkins</v>
      </c>
      <c r="O1156" t="str">
        <f>_xlfn.XLOOKUP(N:N,'Resource Table'!B:B,'Resource Table'!C:C,"n/a",0,1)</f>
        <v>jhopkins5@ameritfleet.com</v>
      </c>
      <c r="P1156" t="str">
        <f>_xlfn.XLOOKUP(N:N,'Resource Table'!B:B,'Resource Table'!D:D,"n/a",0,1)</f>
        <v>Vended Repair</v>
      </c>
    </row>
    <row r="1157" spans="1:16" x14ac:dyDescent="0.45">
      <c r="A1157" t="s">
        <v>5407</v>
      </c>
      <c r="B1157" t="s">
        <v>5408</v>
      </c>
      <c r="C1157" t="s">
        <v>5437</v>
      </c>
      <c r="D1157" t="s">
        <v>1585</v>
      </c>
      <c r="E1157" t="s">
        <v>6451</v>
      </c>
      <c r="F1157" t="s">
        <v>13460</v>
      </c>
      <c r="G1157" t="s">
        <v>13592</v>
      </c>
      <c r="H1157" t="s">
        <v>13594</v>
      </c>
      <c r="I1157" t="s">
        <v>6479</v>
      </c>
      <c r="J1157" t="s">
        <v>13463</v>
      </c>
      <c r="K1157">
        <v>0</v>
      </c>
      <c r="L1157" t="s">
        <v>20</v>
      </c>
      <c r="M1157" t="s">
        <v>20</v>
      </c>
      <c r="N1157" t="str">
        <f>_xlfn.XLOOKUP(C:C,'Resource Table'!A:A,'Resource Table'!B:B,"NOT FOUND",0,1)</f>
        <v>James Hopkins</v>
      </c>
      <c r="O1157" t="str">
        <f>_xlfn.XLOOKUP(N:N,'Resource Table'!B:B,'Resource Table'!C:C,"n/a",0,1)</f>
        <v>jhopkins5@ameritfleet.com</v>
      </c>
      <c r="P1157" t="str">
        <f>_xlfn.XLOOKUP(N:N,'Resource Table'!B:B,'Resource Table'!D:D,"n/a",0,1)</f>
        <v>Vended Repair</v>
      </c>
    </row>
    <row r="1158" spans="1:16" x14ac:dyDescent="0.45">
      <c r="A1158" t="s">
        <v>5407</v>
      </c>
      <c r="B1158" t="s">
        <v>5408</v>
      </c>
      <c r="C1158" t="s">
        <v>5437</v>
      </c>
      <c r="D1158" t="s">
        <v>3318</v>
      </c>
      <c r="E1158" t="s">
        <v>6451</v>
      </c>
      <c r="F1158" t="s">
        <v>13473</v>
      </c>
      <c r="G1158" t="s">
        <v>13474</v>
      </c>
      <c r="H1158" t="s">
        <v>13521</v>
      </c>
      <c r="I1158" t="s">
        <v>6479</v>
      </c>
      <c r="J1158" t="s">
        <v>13463</v>
      </c>
      <c r="K1158">
        <v>2</v>
      </c>
      <c r="L1158" t="s">
        <v>13542</v>
      </c>
      <c r="M1158" t="s">
        <v>13556</v>
      </c>
      <c r="N1158" t="str">
        <f>_xlfn.XLOOKUP(C:C,'Resource Table'!A:A,'Resource Table'!B:B,"NOT FOUND",0,1)</f>
        <v>James Hopkins</v>
      </c>
      <c r="O1158" t="str">
        <f>_xlfn.XLOOKUP(N:N,'Resource Table'!B:B,'Resource Table'!C:C,"n/a",0,1)</f>
        <v>jhopkins5@ameritfleet.com</v>
      </c>
      <c r="P1158" t="str">
        <f>_xlfn.XLOOKUP(N:N,'Resource Table'!B:B,'Resource Table'!D:D,"n/a",0,1)</f>
        <v>Vended Repair</v>
      </c>
    </row>
    <row r="1159" spans="1:16" x14ac:dyDescent="0.45">
      <c r="A1159" t="s">
        <v>5407</v>
      </c>
      <c r="B1159" t="s">
        <v>5408</v>
      </c>
      <c r="C1159" t="s">
        <v>5437</v>
      </c>
      <c r="D1159" t="s">
        <v>2955</v>
      </c>
      <c r="E1159" t="s">
        <v>6451</v>
      </c>
      <c r="F1159" t="s">
        <v>13460</v>
      </c>
      <c r="G1159" t="s">
        <v>13461</v>
      </c>
      <c r="H1159" t="s">
        <v>13471</v>
      </c>
      <c r="I1159" t="s">
        <v>6479</v>
      </c>
      <c r="J1159" t="s">
        <v>13463</v>
      </c>
      <c r="K1159">
        <v>2</v>
      </c>
      <c r="L1159" t="s">
        <v>13542</v>
      </c>
      <c r="M1159" t="s">
        <v>13556</v>
      </c>
      <c r="N1159" t="str">
        <f>_xlfn.XLOOKUP(C:C,'Resource Table'!A:A,'Resource Table'!B:B,"NOT FOUND",0,1)</f>
        <v>James Hopkins</v>
      </c>
      <c r="O1159" t="str">
        <f>_xlfn.XLOOKUP(N:N,'Resource Table'!B:B,'Resource Table'!C:C,"n/a",0,1)</f>
        <v>jhopkins5@ameritfleet.com</v>
      </c>
      <c r="P1159" t="str">
        <f>_xlfn.XLOOKUP(N:N,'Resource Table'!B:B,'Resource Table'!D:D,"n/a",0,1)</f>
        <v>Vended Repair</v>
      </c>
    </row>
    <row r="1160" spans="1:16" x14ac:dyDescent="0.45">
      <c r="A1160" t="s">
        <v>5407</v>
      </c>
      <c r="B1160" t="s">
        <v>5408</v>
      </c>
      <c r="C1160" t="s">
        <v>5437</v>
      </c>
      <c r="D1160" t="s">
        <v>13097</v>
      </c>
      <c r="E1160" t="s">
        <v>6451</v>
      </c>
      <c r="F1160" t="s">
        <v>13460</v>
      </c>
      <c r="G1160" t="s">
        <v>13509</v>
      </c>
      <c r="H1160" t="s">
        <v>13612</v>
      </c>
      <c r="I1160" t="s">
        <v>6479</v>
      </c>
      <c r="J1160" t="s">
        <v>13463</v>
      </c>
      <c r="K1160">
        <v>0</v>
      </c>
      <c r="L1160" t="s">
        <v>20</v>
      </c>
      <c r="M1160" t="s">
        <v>20</v>
      </c>
      <c r="N1160" t="str">
        <f>_xlfn.XLOOKUP(C:C,'Resource Table'!A:A,'Resource Table'!B:B,"NOT FOUND",0,1)</f>
        <v>James Hopkins</v>
      </c>
      <c r="O1160" t="str">
        <f>_xlfn.XLOOKUP(N:N,'Resource Table'!B:B,'Resource Table'!C:C,"n/a",0,1)</f>
        <v>jhopkins5@ameritfleet.com</v>
      </c>
      <c r="P1160" t="str">
        <f>_xlfn.XLOOKUP(N:N,'Resource Table'!B:B,'Resource Table'!D:D,"n/a",0,1)</f>
        <v>Vended Repair</v>
      </c>
    </row>
    <row r="1161" spans="1:16" x14ac:dyDescent="0.45">
      <c r="A1161" t="s">
        <v>5407</v>
      </c>
      <c r="B1161" t="s">
        <v>5408</v>
      </c>
      <c r="C1161" t="s">
        <v>5548</v>
      </c>
      <c r="D1161" t="s">
        <v>6008</v>
      </c>
      <c r="E1161" t="s">
        <v>6461</v>
      </c>
      <c r="F1161" t="s">
        <v>13460</v>
      </c>
      <c r="G1161" t="s">
        <v>13481</v>
      </c>
      <c r="H1161" t="s">
        <v>13522</v>
      </c>
      <c r="I1161" t="s">
        <v>6479</v>
      </c>
      <c r="J1161" t="s">
        <v>13463</v>
      </c>
      <c r="K1161">
        <v>0</v>
      </c>
      <c r="L1161" t="s">
        <v>20</v>
      </c>
      <c r="M1161" t="s">
        <v>20</v>
      </c>
      <c r="N1161" t="str">
        <f>_xlfn.XLOOKUP(C:C,'Resource Table'!A:A,'Resource Table'!B:B,"NOT FOUND",0,1)</f>
        <v>Dedicated</v>
      </c>
      <c r="O1161" t="str">
        <f>_xlfn.XLOOKUP(N:N,'Resource Table'!B:B,'Resource Table'!C:C,"n/a",0,1)</f>
        <v>AFS Dedicated Tech</v>
      </c>
      <c r="P1161" t="str">
        <f>_xlfn.XLOOKUP(N:N,'Resource Table'!B:B,'Resource Table'!D:D,"n/a",0,1)</f>
        <v>Dedicated</v>
      </c>
    </row>
    <row r="1162" spans="1:16" x14ac:dyDescent="0.45">
      <c r="A1162" t="s">
        <v>5407</v>
      </c>
      <c r="B1162" t="s">
        <v>5408</v>
      </c>
      <c r="C1162" t="s">
        <v>5548</v>
      </c>
      <c r="D1162" t="s">
        <v>5970</v>
      </c>
      <c r="E1162" t="s">
        <v>6461</v>
      </c>
      <c r="F1162" t="s">
        <v>13460</v>
      </c>
      <c r="G1162" t="s">
        <v>13481</v>
      </c>
      <c r="H1162" t="s">
        <v>13482</v>
      </c>
      <c r="I1162" t="s">
        <v>6479</v>
      </c>
      <c r="J1162" t="s">
        <v>13463</v>
      </c>
      <c r="K1162">
        <v>1</v>
      </c>
      <c r="L1162" t="s">
        <v>13468</v>
      </c>
      <c r="M1162" t="s">
        <v>20</v>
      </c>
      <c r="N1162" t="str">
        <f>_xlfn.XLOOKUP(C:C,'Resource Table'!A:A,'Resource Table'!B:B,"NOT FOUND",0,1)</f>
        <v>Dedicated</v>
      </c>
      <c r="O1162" t="str">
        <f>_xlfn.XLOOKUP(N:N,'Resource Table'!B:B,'Resource Table'!C:C,"n/a",0,1)</f>
        <v>AFS Dedicated Tech</v>
      </c>
      <c r="P1162" t="str">
        <f>_xlfn.XLOOKUP(N:N,'Resource Table'!B:B,'Resource Table'!D:D,"n/a",0,1)</f>
        <v>Dedicated</v>
      </c>
    </row>
    <row r="1163" spans="1:16" x14ac:dyDescent="0.45">
      <c r="A1163" t="s">
        <v>5407</v>
      </c>
      <c r="B1163" t="s">
        <v>5408</v>
      </c>
      <c r="C1163" t="s">
        <v>5548</v>
      </c>
      <c r="D1163" t="s">
        <v>6105</v>
      </c>
      <c r="E1163" t="s">
        <v>6461</v>
      </c>
      <c r="F1163" t="s">
        <v>13460</v>
      </c>
      <c r="G1163" t="s">
        <v>13481</v>
      </c>
      <c r="H1163" t="s">
        <v>13518</v>
      </c>
      <c r="I1163" t="s">
        <v>6479</v>
      </c>
      <c r="J1163" t="s">
        <v>13463</v>
      </c>
      <c r="K1163">
        <v>0</v>
      </c>
      <c r="L1163" t="s">
        <v>20</v>
      </c>
      <c r="M1163" t="s">
        <v>20</v>
      </c>
      <c r="N1163" t="str">
        <f>_xlfn.XLOOKUP(C:C,'Resource Table'!A:A,'Resource Table'!B:B,"NOT FOUND",0,1)</f>
        <v>Dedicated</v>
      </c>
      <c r="O1163" t="str">
        <f>_xlfn.XLOOKUP(N:N,'Resource Table'!B:B,'Resource Table'!C:C,"n/a",0,1)</f>
        <v>AFS Dedicated Tech</v>
      </c>
      <c r="P1163" t="str">
        <f>_xlfn.XLOOKUP(N:N,'Resource Table'!B:B,'Resource Table'!D:D,"n/a",0,1)</f>
        <v>Dedicated</v>
      </c>
    </row>
    <row r="1164" spans="1:16" x14ac:dyDescent="0.45">
      <c r="A1164" t="s">
        <v>5407</v>
      </c>
      <c r="B1164" t="s">
        <v>5408</v>
      </c>
      <c r="C1164" t="s">
        <v>5548</v>
      </c>
      <c r="D1164" t="s">
        <v>5884</v>
      </c>
      <c r="E1164" t="s">
        <v>6451</v>
      </c>
      <c r="F1164" t="s">
        <v>13473</v>
      </c>
      <c r="G1164" t="s">
        <v>13474</v>
      </c>
      <c r="H1164" t="s">
        <v>13475</v>
      </c>
      <c r="I1164" t="s">
        <v>6479</v>
      </c>
      <c r="J1164" t="s">
        <v>13463</v>
      </c>
      <c r="K1164">
        <v>3</v>
      </c>
      <c r="L1164" t="s">
        <v>13520</v>
      </c>
      <c r="M1164" t="s">
        <v>13505</v>
      </c>
      <c r="N1164" t="str">
        <f>_xlfn.XLOOKUP(C:C,'Resource Table'!A:A,'Resource Table'!B:B,"NOT FOUND",0,1)</f>
        <v>Dedicated</v>
      </c>
      <c r="O1164" t="str">
        <f>_xlfn.XLOOKUP(N:N,'Resource Table'!B:B,'Resource Table'!C:C,"n/a",0,1)</f>
        <v>AFS Dedicated Tech</v>
      </c>
      <c r="P1164" t="str">
        <f>_xlfn.XLOOKUP(N:N,'Resource Table'!B:B,'Resource Table'!D:D,"n/a",0,1)</f>
        <v>Dedicated</v>
      </c>
    </row>
    <row r="1165" spans="1:16" x14ac:dyDescent="0.45">
      <c r="A1165" t="s">
        <v>5407</v>
      </c>
      <c r="B1165" t="s">
        <v>5408</v>
      </c>
      <c r="C1165" t="s">
        <v>5548</v>
      </c>
      <c r="D1165" t="s">
        <v>2721</v>
      </c>
      <c r="E1165" t="s">
        <v>6451</v>
      </c>
      <c r="F1165" t="s">
        <v>13514</v>
      </c>
      <c r="G1165" t="s">
        <v>13515</v>
      </c>
      <c r="H1165" t="s">
        <v>13516</v>
      </c>
      <c r="I1165" t="s">
        <v>6479</v>
      </c>
      <c r="J1165" t="s">
        <v>13463</v>
      </c>
      <c r="K1165">
        <v>1</v>
      </c>
      <c r="L1165" t="s">
        <v>13532</v>
      </c>
      <c r="M1165" t="s">
        <v>13505</v>
      </c>
      <c r="N1165" t="str">
        <f>_xlfn.XLOOKUP(C:C,'Resource Table'!A:A,'Resource Table'!B:B,"NOT FOUND",0,1)</f>
        <v>Dedicated</v>
      </c>
      <c r="O1165" t="str">
        <f>_xlfn.XLOOKUP(N:N,'Resource Table'!B:B,'Resource Table'!C:C,"n/a",0,1)</f>
        <v>AFS Dedicated Tech</v>
      </c>
      <c r="P1165" t="str">
        <f>_xlfn.XLOOKUP(N:N,'Resource Table'!B:B,'Resource Table'!D:D,"n/a",0,1)</f>
        <v>Dedicated</v>
      </c>
    </row>
    <row r="1166" spans="1:16" x14ac:dyDescent="0.45">
      <c r="A1166" t="s">
        <v>5407</v>
      </c>
      <c r="B1166" t="s">
        <v>5408</v>
      </c>
      <c r="C1166" t="s">
        <v>5548</v>
      </c>
      <c r="D1166" t="s">
        <v>5969</v>
      </c>
      <c r="E1166" t="s">
        <v>6461</v>
      </c>
      <c r="F1166" t="s">
        <v>13460</v>
      </c>
      <c r="G1166" t="s">
        <v>13481</v>
      </c>
      <c r="H1166" t="s">
        <v>13482</v>
      </c>
      <c r="I1166" t="s">
        <v>6479</v>
      </c>
      <c r="J1166" t="s">
        <v>13463</v>
      </c>
      <c r="K1166">
        <v>0</v>
      </c>
      <c r="L1166" t="s">
        <v>20</v>
      </c>
      <c r="M1166" t="s">
        <v>20</v>
      </c>
      <c r="N1166" t="str">
        <f>_xlfn.XLOOKUP(C:C,'Resource Table'!A:A,'Resource Table'!B:B,"NOT FOUND",0,1)</f>
        <v>Dedicated</v>
      </c>
      <c r="O1166" t="str">
        <f>_xlfn.XLOOKUP(N:N,'Resource Table'!B:B,'Resource Table'!C:C,"n/a",0,1)</f>
        <v>AFS Dedicated Tech</v>
      </c>
      <c r="P1166" t="str">
        <f>_xlfn.XLOOKUP(N:N,'Resource Table'!B:B,'Resource Table'!D:D,"n/a",0,1)</f>
        <v>Dedicated</v>
      </c>
    </row>
    <row r="1167" spans="1:16" x14ac:dyDescent="0.45">
      <c r="A1167" t="s">
        <v>5407</v>
      </c>
      <c r="B1167" t="s">
        <v>5408</v>
      </c>
      <c r="C1167" t="s">
        <v>5548</v>
      </c>
      <c r="D1167" t="s">
        <v>4222</v>
      </c>
      <c r="E1167" t="s">
        <v>6451</v>
      </c>
      <c r="F1167" t="s">
        <v>13473</v>
      </c>
      <c r="G1167" t="s">
        <v>13474</v>
      </c>
      <c r="H1167" t="s">
        <v>13521</v>
      </c>
      <c r="I1167" t="s">
        <v>6479</v>
      </c>
      <c r="J1167" t="s">
        <v>13463</v>
      </c>
      <c r="K1167">
        <v>0</v>
      </c>
      <c r="L1167" t="s">
        <v>20</v>
      </c>
      <c r="M1167" t="s">
        <v>20</v>
      </c>
      <c r="N1167" t="str">
        <f>_xlfn.XLOOKUP(C:C,'Resource Table'!A:A,'Resource Table'!B:B,"NOT FOUND",0,1)</f>
        <v>Dedicated</v>
      </c>
      <c r="O1167" t="str">
        <f>_xlfn.XLOOKUP(N:N,'Resource Table'!B:B,'Resource Table'!C:C,"n/a",0,1)</f>
        <v>AFS Dedicated Tech</v>
      </c>
      <c r="P1167" t="str">
        <f>_xlfn.XLOOKUP(N:N,'Resource Table'!B:B,'Resource Table'!D:D,"n/a",0,1)</f>
        <v>Dedicated</v>
      </c>
    </row>
    <row r="1168" spans="1:16" x14ac:dyDescent="0.45">
      <c r="A1168" t="s">
        <v>5407</v>
      </c>
      <c r="B1168" t="s">
        <v>5408</v>
      </c>
      <c r="C1168" t="s">
        <v>5548</v>
      </c>
      <c r="D1168" t="s">
        <v>6061</v>
      </c>
      <c r="E1168" t="s">
        <v>6461</v>
      </c>
      <c r="F1168" t="s">
        <v>13460</v>
      </c>
      <c r="G1168" t="s">
        <v>13481</v>
      </c>
      <c r="H1168" t="s">
        <v>13511</v>
      </c>
      <c r="I1168" t="s">
        <v>6479</v>
      </c>
      <c r="J1168" t="s">
        <v>13463</v>
      </c>
      <c r="K1168">
        <v>0</v>
      </c>
      <c r="L1168" t="s">
        <v>20</v>
      </c>
      <c r="M1168" t="s">
        <v>20</v>
      </c>
      <c r="N1168" t="str">
        <f>_xlfn.XLOOKUP(C:C,'Resource Table'!A:A,'Resource Table'!B:B,"NOT FOUND",0,1)</f>
        <v>Dedicated</v>
      </c>
      <c r="O1168" t="str">
        <f>_xlfn.XLOOKUP(N:N,'Resource Table'!B:B,'Resource Table'!C:C,"n/a",0,1)</f>
        <v>AFS Dedicated Tech</v>
      </c>
      <c r="P1168" t="str">
        <f>_xlfn.XLOOKUP(N:N,'Resource Table'!B:B,'Resource Table'!D:D,"n/a",0,1)</f>
        <v>Dedicated</v>
      </c>
    </row>
    <row r="1169" spans="1:16" x14ac:dyDescent="0.45">
      <c r="A1169" t="s">
        <v>5407</v>
      </c>
      <c r="B1169" t="s">
        <v>5408</v>
      </c>
      <c r="C1169" t="s">
        <v>5548</v>
      </c>
      <c r="D1169" t="s">
        <v>6227</v>
      </c>
      <c r="E1169" t="s">
        <v>6451</v>
      </c>
      <c r="F1169" t="s">
        <v>13460</v>
      </c>
      <c r="G1169" t="s">
        <v>13476</v>
      </c>
      <c r="H1169" t="s">
        <v>13477</v>
      </c>
      <c r="I1169" t="s">
        <v>6479</v>
      </c>
      <c r="J1169" t="s">
        <v>13463</v>
      </c>
      <c r="K1169">
        <v>0</v>
      </c>
      <c r="L1169" t="s">
        <v>20</v>
      </c>
      <c r="M1169" t="s">
        <v>20</v>
      </c>
      <c r="N1169" t="str">
        <f>_xlfn.XLOOKUP(C:C,'Resource Table'!A:A,'Resource Table'!B:B,"NOT FOUND",0,1)</f>
        <v>Dedicated</v>
      </c>
      <c r="O1169" t="str">
        <f>_xlfn.XLOOKUP(N:N,'Resource Table'!B:B,'Resource Table'!C:C,"n/a",0,1)</f>
        <v>AFS Dedicated Tech</v>
      </c>
      <c r="P1169" t="str">
        <f>_xlfn.XLOOKUP(N:N,'Resource Table'!B:B,'Resource Table'!D:D,"n/a",0,1)</f>
        <v>Dedicated</v>
      </c>
    </row>
    <row r="1170" spans="1:16" x14ac:dyDescent="0.45">
      <c r="A1170" t="s">
        <v>5407</v>
      </c>
      <c r="B1170" t="s">
        <v>5408</v>
      </c>
      <c r="C1170" t="s">
        <v>5548</v>
      </c>
      <c r="D1170" t="s">
        <v>5967</v>
      </c>
      <c r="E1170" t="s">
        <v>6461</v>
      </c>
      <c r="F1170" t="s">
        <v>13460</v>
      </c>
      <c r="G1170" t="s">
        <v>13481</v>
      </c>
      <c r="H1170" t="s">
        <v>13482</v>
      </c>
      <c r="I1170" t="s">
        <v>6479</v>
      </c>
      <c r="J1170" t="s">
        <v>13463</v>
      </c>
      <c r="K1170">
        <v>0</v>
      </c>
      <c r="L1170" t="s">
        <v>20</v>
      </c>
      <c r="M1170" t="s">
        <v>20</v>
      </c>
      <c r="N1170" t="str">
        <f>_xlfn.XLOOKUP(C:C,'Resource Table'!A:A,'Resource Table'!B:B,"NOT FOUND",0,1)</f>
        <v>Dedicated</v>
      </c>
      <c r="O1170" t="str">
        <f>_xlfn.XLOOKUP(N:N,'Resource Table'!B:B,'Resource Table'!C:C,"n/a",0,1)</f>
        <v>AFS Dedicated Tech</v>
      </c>
      <c r="P1170" t="str">
        <f>_xlfn.XLOOKUP(N:N,'Resource Table'!B:B,'Resource Table'!D:D,"n/a",0,1)</f>
        <v>Dedicated</v>
      </c>
    </row>
    <row r="1171" spans="1:16" x14ac:dyDescent="0.45">
      <c r="A1171" t="s">
        <v>5407</v>
      </c>
      <c r="B1171" t="s">
        <v>5408</v>
      </c>
      <c r="C1171" t="s">
        <v>5548</v>
      </c>
      <c r="D1171" t="s">
        <v>6446</v>
      </c>
      <c r="E1171" t="s">
        <v>6451</v>
      </c>
      <c r="F1171" t="s">
        <v>13460</v>
      </c>
      <c r="G1171" t="s">
        <v>13550</v>
      </c>
      <c r="H1171" t="s">
        <v>13613</v>
      </c>
      <c r="I1171" t="s">
        <v>6479</v>
      </c>
      <c r="J1171" t="s">
        <v>13463</v>
      </c>
      <c r="K1171">
        <v>1</v>
      </c>
      <c r="L1171" t="s">
        <v>13505</v>
      </c>
      <c r="M1171" t="s">
        <v>20</v>
      </c>
      <c r="N1171" t="str">
        <f>_xlfn.XLOOKUP(C:C,'Resource Table'!A:A,'Resource Table'!B:B,"NOT FOUND",0,1)</f>
        <v>Dedicated</v>
      </c>
      <c r="O1171" t="str">
        <f>_xlfn.XLOOKUP(N:N,'Resource Table'!B:B,'Resource Table'!C:C,"n/a",0,1)</f>
        <v>AFS Dedicated Tech</v>
      </c>
      <c r="P1171" t="str">
        <f>_xlfn.XLOOKUP(N:N,'Resource Table'!B:B,'Resource Table'!D:D,"n/a",0,1)</f>
        <v>Dedicated</v>
      </c>
    </row>
    <row r="1172" spans="1:16" x14ac:dyDescent="0.45">
      <c r="A1172" t="s">
        <v>5407</v>
      </c>
      <c r="B1172" t="s">
        <v>5408</v>
      </c>
      <c r="C1172" t="s">
        <v>5548</v>
      </c>
      <c r="D1172" t="s">
        <v>6242</v>
      </c>
      <c r="E1172" t="s">
        <v>6451</v>
      </c>
      <c r="F1172" t="s">
        <v>13460</v>
      </c>
      <c r="G1172" t="s">
        <v>13476</v>
      </c>
      <c r="H1172" t="s">
        <v>13477</v>
      </c>
      <c r="I1172" t="s">
        <v>6479</v>
      </c>
      <c r="J1172" t="s">
        <v>13463</v>
      </c>
      <c r="K1172">
        <v>0</v>
      </c>
      <c r="L1172" t="s">
        <v>20</v>
      </c>
      <c r="M1172" t="s">
        <v>20</v>
      </c>
      <c r="N1172" t="str">
        <f>_xlfn.XLOOKUP(C:C,'Resource Table'!A:A,'Resource Table'!B:B,"NOT FOUND",0,1)</f>
        <v>Dedicated</v>
      </c>
      <c r="O1172" t="str">
        <f>_xlfn.XLOOKUP(N:N,'Resource Table'!B:B,'Resource Table'!C:C,"n/a",0,1)</f>
        <v>AFS Dedicated Tech</v>
      </c>
      <c r="P1172" t="str">
        <f>_xlfn.XLOOKUP(N:N,'Resource Table'!B:B,'Resource Table'!D:D,"n/a",0,1)</f>
        <v>Dedicated</v>
      </c>
    </row>
    <row r="1173" spans="1:16" x14ac:dyDescent="0.45">
      <c r="A1173" t="s">
        <v>5407</v>
      </c>
      <c r="B1173" t="s">
        <v>5408</v>
      </c>
      <c r="C1173" t="s">
        <v>5548</v>
      </c>
      <c r="D1173" t="s">
        <v>5966</v>
      </c>
      <c r="E1173" t="s">
        <v>6461</v>
      </c>
      <c r="F1173" t="s">
        <v>13460</v>
      </c>
      <c r="G1173" t="s">
        <v>13481</v>
      </c>
      <c r="H1173" t="s">
        <v>13482</v>
      </c>
      <c r="I1173" t="s">
        <v>6479</v>
      </c>
      <c r="J1173" t="s">
        <v>13463</v>
      </c>
      <c r="K1173">
        <v>0</v>
      </c>
      <c r="L1173" t="s">
        <v>20</v>
      </c>
      <c r="M1173" t="s">
        <v>20</v>
      </c>
      <c r="N1173" t="str">
        <f>_xlfn.XLOOKUP(C:C,'Resource Table'!A:A,'Resource Table'!B:B,"NOT FOUND",0,1)</f>
        <v>Dedicated</v>
      </c>
      <c r="O1173" t="str">
        <f>_xlfn.XLOOKUP(N:N,'Resource Table'!B:B,'Resource Table'!C:C,"n/a",0,1)</f>
        <v>AFS Dedicated Tech</v>
      </c>
      <c r="P1173" t="str">
        <f>_xlfn.XLOOKUP(N:N,'Resource Table'!B:B,'Resource Table'!D:D,"n/a",0,1)</f>
        <v>Dedicated</v>
      </c>
    </row>
    <row r="1174" spans="1:16" x14ac:dyDescent="0.45">
      <c r="A1174" t="s">
        <v>5407</v>
      </c>
      <c r="B1174" t="s">
        <v>5408</v>
      </c>
      <c r="C1174" t="s">
        <v>5548</v>
      </c>
      <c r="D1174" t="s">
        <v>6106</v>
      </c>
      <c r="E1174" t="s">
        <v>6461</v>
      </c>
      <c r="F1174" t="s">
        <v>13460</v>
      </c>
      <c r="G1174" t="s">
        <v>13481</v>
      </c>
      <c r="H1174" t="s">
        <v>13518</v>
      </c>
      <c r="I1174" t="s">
        <v>6479</v>
      </c>
      <c r="J1174" t="s">
        <v>13463</v>
      </c>
      <c r="K1174">
        <v>0</v>
      </c>
      <c r="L1174" t="s">
        <v>20</v>
      </c>
      <c r="M1174" t="s">
        <v>20</v>
      </c>
      <c r="N1174" t="str">
        <f>_xlfn.XLOOKUP(C:C,'Resource Table'!A:A,'Resource Table'!B:B,"NOT FOUND",0,1)</f>
        <v>Dedicated</v>
      </c>
      <c r="O1174" t="str">
        <f>_xlfn.XLOOKUP(N:N,'Resource Table'!B:B,'Resource Table'!C:C,"n/a",0,1)</f>
        <v>AFS Dedicated Tech</v>
      </c>
      <c r="P1174" t="str">
        <f>_xlfn.XLOOKUP(N:N,'Resource Table'!B:B,'Resource Table'!D:D,"n/a",0,1)</f>
        <v>Dedicated</v>
      </c>
    </row>
    <row r="1175" spans="1:16" x14ac:dyDescent="0.45">
      <c r="A1175" t="s">
        <v>5407</v>
      </c>
      <c r="B1175" t="s">
        <v>5408</v>
      </c>
      <c r="C1175" t="s">
        <v>5548</v>
      </c>
      <c r="D1175" t="s">
        <v>5663</v>
      </c>
      <c r="E1175" t="s">
        <v>6451</v>
      </c>
      <c r="F1175" t="s">
        <v>13460</v>
      </c>
      <c r="G1175" t="s">
        <v>13476</v>
      </c>
      <c r="H1175" t="s">
        <v>13478</v>
      </c>
      <c r="I1175" t="s">
        <v>6479</v>
      </c>
      <c r="J1175" t="s">
        <v>13463</v>
      </c>
      <c r="K1175">
        <v>0</v>
      </c>
      <c r="L1175" t="s">
        <v>20</v>
      </c>
      <c r="M1175" t="s">
        <v>20</v>
      </c>
      <c r="N1175" t="str">
        <f>_xlfn.XLOOKUP(C:C,'Resource Table'!A:A,'Resource Table'!B:B,"NOT FOUND",0,1)</f>
        <v>Dedicated</v>
      </c>
      <c r="O1175" t="str">
        <f>_xlfn.XLOOKUP(N:N,'Resource Table'!B:B,'Resource Table'!C:C,"n/a",0,1)</f>
        <v>AFS Dedicated Tech</v>
      </c>
      <c r="P1175" t="str">
        <f>_xlfn.XLOOKUP(N:N,'Resource Table'!B:B,'Resource Table'!D:D,"n/a",0,1)</f>
        <v>Dedicated</v>
      </c>
    </row>
    <row r="1176" spans="1:16" x14ac:dyDescent="0.45">
      <c r="A1176" t="s">
        <v>5407</v>
      </c>
      <c r="B1176" t="s">
        <v>5408</v>
      </c>
      <c r="C1176" t="s">
        <v>5548</v>
      </c>
      <c r="D1176" t="s">
        <v>5883</v>
      </c>
      <c r="E1176" t="s">
        <v>6451</v>
      </c>
      <c r="F1176" t="s">
        <v>13473</v>
      </c>
      <c r="G1176" t="s">
        <v>13474</v>
      </c>
      <c r="H1176" t="s">
        <v>13475</v>
      </c>
      <c r="I1176" t="s">
        <v>6479</v>
      </c>
      <c r="J1176" t="s">
        <v>13463</v>
      </c>
      <c r="K1176">
        <v>0</v>
      </c>
      <c r="L1176" t="s">
        <v>20</v>
      </c>
      <c r="M1176" t="s">
        <v>20</v>
      </c>
      <c r="N1176" t="str">
        <f>_xlfn.XLOOKUP(C:C,'Resource Table'!A:A,'Resource Table'!B:B,"NOT FOUND",0,1)</f>
        <v>Dedicated</v>
      </c>
      <c r="O1176" t="str">
        <f>_xlfn.XLOOKUP(N:N,'Resource Table'!B:B,'Resource Table'!C:C,"n/a",0,1)</f>
        <v>AFS Dedicated Tech</v>
      </c>
      <c r="P1176" t="str">
        <f>_xlfn.XLOOKUP(N:N,'Resource Table'!B:B,'Resource Table'!D:D,"n/a",0,1)</f>
        <v>Dedicated</v>
      </c>
    </row>
    <row r="1177" spans="1:16" x14ac:dyDescent="0.45">
      <c r="A1177" t="s">
        <v>5407</v>
      </c>
      <c r="B1177" t="s">
        <v>5408</v>
      </c>
      <c r="C1177" t="s">
        <v>5548</v>
      </c>
      <c r="D1177" t="s">
        <v>5839</v>
      </c>
      <c r="E1177" t="s">
        <v>6451</v>
      </c>
      <c r="F1177" t="s">
        <v>13473</v>
      </c>
      <c r="G1177" t="s">
        <v>13474</v>
      </c>
      <c r="H1177" t="s">
        <v>13475</v>
      </c>
      <c r="I1177" t="s">
        <v>6479</v>
      </c>
      <c r="J1177" t="s">
        <v>13463</v>
      </c>
      <c r="K1177">
        <v>0</v>
      </c>
      <c r="L1177" t="s">
        <v>20</v>
      </c>
      <c r="M1177" t="s">
        <v>20</v>
      </c>
      <c r="N1177" t="str">
        <f>_xlfn.XLOOKUP(C:C,'Resource Table'!A:A,'Resource Table'!B:B,"NOT FOUND",0,1)</f>
        <v>Dedicated</v>
      </c>
      <c r="O1177" t="str">
        <f>_xlfn.XLOOKUP(N:N,'Resource Table'!B:B,'Resource Table'!C:C,"n/a",0,1)</f>
        <v>AFS Dedicated Tech</v>
      </c>
      <c r="P1177" t="str">
        <f>_xlfn.XLOOKUP(N:N,'Resource Table'!B:B,'Resource Table'!D:D,"n/a",0,1)</f>
        <v>Dedicated</v>
      </c>
    </row>
    <row r="1178" spans="1:16" x14ac:dyDescent="0.45">
      <c r="A1178" t="s">
        <v>5407</v>
      </c>
      <c r="B1178" t="s">
        <v>5408</v>
      </c>
      <c r="C1178" t="s">
        <v>5548</v>
      </c>
      <c r="D1178" t="s">
        <v>6302</v>
      </c>
      <c r="E1178" t="s">
        <v>6451</v>
      </c>
      <c r="F1178" t="s">
        <v>13460</v>
      </c>
      <c r="G1178" t="s">
        <v>13461</v>
      </c>
      <c r="H1178" t="s">
        <v>13462</v>
      </c>
      <c r="I1178" t="s">
        <v>29</v>
      </c>
      <c r="J1178" t="s">
        <v>13463</v>
      </c>
      <c r="K1178">
        <v>1</v>
      </c>
      <c r="L1178" t="s">
        <v>13480</v>
      </c>
      <c r="M1178" t="s">
        <v>20</v>
      </c>
      <c r="N1178" t="str">
        <f>_xlfn.XLOOKUP(C:C,'Resource Table'!A:A,'Resource Table'!B:B,"NOT FOUND",0,1)</f>
        <v>Dedicated</v>
      </c>
      <c r="O1178" t="str">
        <f>_xlfn.XLOOKUP(N:N,'Resource Table'!B:B,'Resource Table'!C:C,"n/a",0,1)</f>
        <v>AFS Dedicated Tech</v>
      </c>
      <c r="P1178" t="str">
        <f>_xlfn.XLOOKUP(N:N,'Resource Table'!B:B,'Resource Table'!D:D,"n/a",0,1)</f>
        <v>Dedicated</v>
      </c>
    </row>
    <row r="1179" spans="1:16" x14ac:dyDescent="0.45">
      <c r="A1179" t="s">
        <v>5407</v>
      </c>
      <c r="B1179" t="s">
        <v>5408</v>
      </c>
      <c r="C1179" t="s">
        <v>5548</v>
      </c>
      <c r="D1179" t="s">
        <v>5968</v>
      </c>
      <c r="E1179" t="s">
        <v>6461</v>
      </c>
      <c r="F1179" t="s">
        <v>13460</v>
      </c>
      <c r="G1179" t="s">
        <v>13481</v>
      </c>
      <c r="H1179" t="s">
        <v>13482</v>
      </c>
      <c r="I1179" t="s">
        <v>6479</v>
      </c>
      <c r="J1179" t="s">
        <v>13463</v>
      </c>
      <c r="K1179">
        <v>0</v>
      </c>
      <c r="L1179" t="s">
        <v>20</v>
      </c>
      <c r="M1179" t="s">
        <v>20</v>
      </c>
      <c r="N1179" t="str">
        <f>_xlfn.XLOOKUP(C:C,'Resource Table'!A:A,'Resource Table'!B:B,"NOT FOUND",0,1)</f>
        <v>Dedicated</v>
      </c>
      <c r="O1179" t="str">
        <f>_xlfn.XLOOKUP(N:N,'Resource Table'!B:B,'Resource Table'!C:C,"n/a",0,1)</f>
        <v>AFS Dedicated Tech</v>
      </c>
      <c r="P1179" t="str">
        <f>_xlfn.XLOOKUP(N:N,'Resource Table'!B:B,'Resource Table'!D:D,"n/a",0,1)</f>
        <v>Dedicated</v>
      </c>
    </row>
    <row r="1180" spans="1:16" x14ac:dyDescent="0.45">
      <c r="A1180" t="s">
        <v>5407</v>
      </c>
      <c r="B1180" t="s">
        <v>5408</v>
      </c>
      <c r="C1180" t="s">
        <v>5548</v>
      </c>
      <c r="D1180" t="s">
        <v>5842</v>
      </c>
      <c r="E1180" t="s">
        <v>6451</v>
      </c>
      <c r="F1180" t="s">
        <v>13473</v>
      </c>
      <c r="G1180" t="s">
        <v>13474</v>
      </c>
      <c r="H1180" t="s">
        <v>13475</v>
      </c>
      <c r="I1180" t="s">
        <v>6479</v>
      </c>
      <c r="J1180" t="s">
        <v>13463</v>
      </c>
      <c r="K1180">
        <v>0</v>
      </c>
      <c r="L1180" t="s">
        <v>20</v>
      </c>
      <c r="M1180" t="s">
        <v>20</v>
      </c>
      <c r="N1180" t="str">
        <f>_xlfn.XLOOKUP(C:C,'Resource Table'!A:A,'Resource Table'!B:B,"NOT FOUND",0,1)</f>
        <v>Dedicated</v>
      </c>
      <c r="O1180" t="str">
        <f>_xlfn.XLOOKUP(N:N,'Resource Table'!B:B,'Resource Table'!C:C,"n/a",0,1)</f>
        <v>AFS Dedicated Tech</v>
      </c>
      <c r="P1180" t="str">
        <f>_xlfn.XLOOKUP(N:N,'Resource Table'!B:B,'Resource Table'!D:D,"n/a",0,1)</f>
        <v>Dedicated</v>
      </c>
    </row>
    <row r="1181" spans="1:16" x14ac:dyDescent="0.45">
      <c r="A1181" t="s">
        <v>5407</v>
      </c>
      <c r="B1181" t="s">
        <v>5408</v>
      </c>
      <c r="C1181" t="s">
        <v>5548</v>
      </c>
      <c r="D1181" t="s">
        <v>6009</v>
      </c>
      <c r="E1181" t="s">
        <v>6461</v>
      </c>
      <c r="F1181" t="s">
        <v>13460</v>
      </c>
      <c r="G1181" t="s">
        <v>13481</v>
      </c>
      <c r="H1181" t="s">
        <v>13522</v>
      </c>
      <c r="I1181" t="s">
        <v>6479</v>
      </c>
      <c r="J1181" t="s">
        <v>13463</v>
      </c>
      <c r="K1181">
        <v>1</v>
      </c>
      <c r="L1181" t="s">
        <v>13468</v>
      </c>
      <c r="M1181" t="s">
        <v>20</v>
      </c>
      <c r="N1181" t="str">
        <f>_xlfn.XLOOKUP(C:C,'Resource Table'!A:A,'Resource Table'!B:B,"NOT FOUND",0,1)</f>
        <v>Dedicated</v>
      </c>
      <c r="O1181" t="str">
        <f>_xlfn.XLOOKUP(N:N,'Resource Table'!B:B,'Resource Table'!C:C,"n/a",0,1)</f>
        <v>AFS Dedicated Tech</v>
      </c>
      <c r="P1181" t="str">
        <f>_xlfn.XLOOKUP(N:N,'Resource Table'!B:B,'Resource Table'!D:D,"n/a",0,1)</f>
        <v>Dedicated</v>
      </c>
    </row>
    <row r="1182" spans="1:16" x14ac:dyDescent="0.45">
      <c r="A1182" t="s">
        <v>5407</v>
      </c>
      <c r="B1182" t="s">
        <v>5408</v>
      </c>
      <c r="C1182" t="s">
        <v>5548</v>
      </c>
      <c r="D1182" t="s">
        <v>5954</v>
      </c>
      <c r="E1182" t="s">
        <v>6461</v>
      </c>
      <c r="F1182" t="s">
        <v>13460</v>
      </c>
      <c r="G1182" t="s">
        <v>13481</v>
      </c>
      <c r="H1182" t="s">
        <v>13482</v>
      </c>
      <c r="I1182" t="s">
        <v>6479</v>
      </c>
      <c r="J1182" t="s">
        <v>13463</v>
      </c>
      <c r="K1182">
        <v>0</v>
      </c>
      <c r="L1182" t="s">
        <v>20</v>
      </c>
      <c r="M1182" t="s">
        <v>20</v>
      </c>
      <c r="N1182" t="str">
        <f>_xlfn.XLOOKUP(C:C,'Resource Table'!A:A,'Resource Table'!B:B,"NOT FOUND",0,1)</f>
        <v>Dedicated</v>
      </c>
      <c r="O1182" t="str">
        <f>_xlfn.XLOOKUP(N:N,'Resource Table'!B:B,'Resource Table'!C:C,"n/a",0,1)</f>
        <v>AFS Dedicated Tech</v>
      </c>
      <c r="P1182" t="str">
        <f>_xlfn.XLOOKUP(N:N,'Resource Table'!B:B,'Resource Table'!D:D,"n/a",0,1)</f>
        <v>Dedicated</v>
      </c>
    </row>
    <row r="1183" spans="1:16" x14ac:dyDescent="0.45">
      <c r="A1183" t="s">
        <v>5407</v>
      </c>
      <c r="B1183" t="s">
        <v>5408</v>
      </c>
      <c r="C1183" t="s">
        <v>5548</v>
      </c>
      <c r="D1183" t="s">
        <v>5953</v>
      </c>
      <c r="E1183" t="s">
        <v>6461</v>
      </c>
      <c r="F1183" t="s">
        <v>13460</v>
      </c>
      <c r="G1183" t="s">
        <v>13481</v>
      </c>
      <c r="H1183" t="s">
        <v>13482</v>
      </c>
      <c r="I1183" t="s">
        <v>6479</v>
      </c>
      <c r="J1183" t="s">
        <v>13463</v>
      </c>
      <c r="K1183">
        <v>0</v>
      </c>
      <c r="L1183" t="s">
        <v>20</v>
      </c>
      <c r="M1183" t="s">
        <v>20</v>
      </c>
      <c r="N1183" t="str">
        <f>_xlfn.XLOOKUP(C:C,'Resource Table'!A:A,'Resource Table'!B:B,"NOT FOUND",0,1)</f>
        <v>Dedicated</v>
      </c>
      <c r="O1183" t="str">
        <f>_xlfn.XLOOKUP(N:N,'Resource Table'!B:B,'Resource Table'!C:C,"n/a",0,1)</f>
        <v>AFS Dedicated Tech</v>
      </c>
      <c r="P1183" t="str">
        <f>_xlfn.XLOOKUP(N:N,'Resource Table'!B:B,'Resource Table'!D:D,"n/a",0,1)</f>
        <v>Dedicated</v>
      </c>
    </row>
    <row r="1184" spans="1:16" x14ac:dyDescent="0.45">
      <c r="A1184" t="s">
        <v>5407</v>
      </c>
      <c r="B1184" t="s">
        <v>5408</v>
      </c>
      <c r="C1184" t="s">
        <v>5548</v>
      </c>
      <c r="D1184" t="s">
        <v>5838</v>
      </c>
      <c r="E1184" t="s">
        <v>6451</v>
      </c>
      <c r="F1184" t="s">
        <v>13473</v>
      </c>
      <c r="G1184" t="s">
        <v>13474</v>
      </c>
      <c r="H1184" t="s">
        <v>13475</v>
      </c>
      <c r="I1184" t="s">
        <v>6479</v>
      </c>
      <c r="J1184" t="s">
        <v>13463</v>
      </c>
      <c r="K1184">
        <v>0</v>
      </c>
      <c r="L1184" t="s">
        <v>20</v>
      </c>
      <c r="M1184" t="s">
        <v>20</v>
      </c>
      <c r="N1184" t="str">
        <f>_xlfn.XLOOKUP(C:C,'Resource Table'!A:A,'Resource Table'!B:B,"NOT FOUND",0,1)</f>
        <v>Dedicated</v>
      </c>
      <c r="O1184" t="str">
        <f>_xlfn.XLOOKUP(N:N,'Resource Table'!B:B,'Resource Table'!C:C,"n/a",0,1)</f>
        <v>AFS Dedicated Tech</v>
      </c>
      <c r="P1184" t="str">
        <f>_xlfn.XLOOKUP(N:N,'Resource Table'!B:B,'Resource Table'!D:D,"n/a",0,1)</f>
        <v>Dedicated</v>
      </c>
    </row>
    <row r="1185" spans="1:16" x14ac:dyDescent="0.45">
      <c r="A1185" t="s">
        <v>5407</v>
      </c>
      <c r="B1185" t="s">
        <v>5408</v>
      </c>
      <c r="C1185" t="s">
        <v>5548</v>
      </c>
      <c r="D1185" t="s">
        <v>6282</v>
      </c>
      <c r="E1185" t="s">
        <v>6451</v>
      </c>
      <c r="F1185" t="s">
        <v>13460</v>
      </c>
      <c r="G1185" t="s">
        <v>13461</v>
      </c>
      <c r="H1185" t="s">
        <v>13465</v>
      </c>
      <c r="I1185" t="s">
        <v>6479</v>
      </c>
      <c r="J1185" t="s">
        <v>13463</v>
      </c>
      <c r="K1185">
        <v>1</v>
      </c>
      <c r="L1185" t="s">
        <v>13489</v>
      </c>
      <c r="M1185" t="s">
        <v>20</v>
      </c>
      <c r="N1185" t="str">
        <f>_xlfn.XLOOKUP(C:C,'Resource Table'!A:A,'Resource Table'!B:B,"NOT FOUND",0,1)</f>
        <v>Dedicated</v>
      </c>
      <c r="O1185" t="str">
        <f>_xlfn.XLOOKUP(N:N,'Resource Table'!B:B,'Resource Table'!C:C,"n/a",0,1)</f>
        <v>AFS Dedicated Tech</v>
      </c>
      <c r="P1185" t="str">
        <f>_xlfn.XLOOKUP(N:N,'Resource Table'!B:B,'Resource Table'!D:D,"n/a",0,1)</f>
        <v>Dedicated</v>
      </c>
    </row>
    <row r="1186" spans="1:16" x14ac:dyDescent="0.45">
      <c r="A1186" t="s">
        <v>5407</v>
      </c>
      <c r="B1186" t="s">
        <v>5408</v>
      </c>
      <c r="C1186" t="s">
        <v>5548</v>
      </c>
      <c r="D1186" t="s">
        <v>688</v>
      </c>
      <c r="E1186" t="s">
        <v>6462</v>
      </c>
      <c r="F1186" t="s">
        <v>13460</v>
      </c>
      <c r="G1186" t="s">
        <v>13481</v>
      </c>
      <c r="H1186" t="s">
        <v>13490</v>
      </c>
      <c r="I1186" t="s">
        <v>29</v>
      </c>
      <c r="J1186" t="s">
        <v>13463</v>
      </c>
      <c r="K1186">
        <v>4</v>
      </c>
      <c r="L1186" t="s">
        <v>13552</v>
      </c>
      <c r="M1186" t="s">
        <v>13505</v>
      </c>
      <c r="N1186" t="str">
        <f>_xlfn.XLOOKUP(C:C,'Resource Table'!A:A,'Resource Table'!B:B,"NOT FOUND",0,1)</f>
        <v>Dedicated</v>
      </c>
      <c r="O1186" t="str">
        <f>_xlfn.XLOOKUP(N:N,'Resource Table'!B:B,'Resource Table'!C:C,"n/a",0,1)</f>
        <v>AFS Dedicated Tech</v>
      </c>
      <c r="P1186" t="str">
        <f>_xlfn.XLOOKUP(N:N,'Resource Table'!B:B,'Resource Table'!D:D,"n/a",0,1)</f>
        <v>Dedicated</v>
      </c>
    </row>
    <row r="1187" spans="1:16" x14ac:dyDescent="0.45">
      <c r="A1187" t="s">
        <v>5407</v>
      </c>
      <c r="B1187" t="s">
        <v>5408</v>
      </c>
      <c r="C1187" t="s">
        <v>5548</v>
      </c>
      <c r="D1187" t="s">
        <v>6062</v>
      </c>
      <c r="E1187" t="s">
        <v>6461</v>
      </c>
      <c r="F1187" t="s">
        <v>13460</v>
      </c>
      <c r="G1187" t="s">
        <v>13481</v>
      </c>
      <c r="H1187" t="s">
        <v>13511</v>
      </c>
      <c r="I1187" t="s">
        <v>6479</v>
      </c>
      <c r="J1187" t="s">
        <v>13463</v>
      </c>
      <c r="K1187">
        <v>0</v>
      </c>
      <c r="L1187" t="s">
        <v>20</v>
      </c>
      <c r="M1187" t="s">
        <v>20</v>
      </c>
      <c r="N1187" t="str">
        <f>_xlfn.XLOOKUP(C:C,'Resource Table'!A:A,'Resource Table'!B:B,"NOT FOUND",0,1)</f>
        <v>Dedicated</v>
      </c>
      <c r="O1187" t="str">
        <f>_xlfn.XLOOKUP(N:N,'Resource Table'!B:B,'Resource Table'!C:C,"n/a",0,1)</f>
        <v>AFS Dedicated Tech</v>
      </c>
      <c r="P1187" t="str">
        <f>_xlfn.XLOOKUP(N:N,'Resource Table'!B:B,'Resource Table'!D:D,"n/a",0,1)</f>
        <v>Dedicated</v>
      </c>
    </row>
    <row r="1188" spans="1:16" x14ac:dyDescent="0.45">
      <c r="A1188" t="s">
        <v>5407</v>
      </c>
      <c r="B1188" t="s">
        <v>5408</v>
      </c>
      <c r="C1188" t="s">
        <v>5548</v>
      </c>
      <c r="D1188" t="s">
        <v>5640</v>
      </c>
      <c r="E1188" t="s">
        <v>6451</v>
      </c>
      <c r="F1188" t="s">
        <v>13460</v>
      </c>
      <c r="G1188" t="s">
        <v>13538</v>
      </c>
      <c r="H1188" t="s">
        <v>13614</v>
      </c>
      <c r="I1188" t="s">
        <v>29</v>
      </c>
      <c r="J1188" t="s">
        <v>13463</v>
      </c>
      <c r="K1188">
        <v>1</v>
      </c>
      <c r="L1188" t="s">
        <v>13519</v>
      </c>
      <c r="M1188" t="s">
        <v>13595</v>
      </c>
      <c r="N1188" t="str">
        <f>_xlfn.XLOOKUP(C:C,'Resource Table'!A:A,'Resource Table'!B:B,"NOT FOUND",0,1)</f>
        <v>Dedicated</v>
      </c>
      <c r="O1188" t="str">
        <f>_xlfn.XLOOKUP(N:N,'Resource Table'!B:B,'Resource Table'!C:C,"n/a",0,1)</f>
        <v>AFS Dedicated Tech</v>
      </c>
      <c r="P1188" t="str">
        <f>_xlfn.XLOOKUP(N:N,'Resource Table'!B:B,'Resource Table'!D:D,"n/a",0,1)</f>
        <v>Dedicated</v>
      </c>
    </row>
    <row r="1189" spans="1:16" x14ac:dyDescent="0.45">
      <c r="A1189" t="s">
        <v>5407</v>
      </c>
      <c r="B1189" t="s">
        <v>5408</v>
      </c>
      <c r="C1189" t="s">
        <v>5548</v>
      </c>
      <c r="D1189" t="s">
        <v>5856</v>
      </c>
      <c r="E1189" t="s">
        <v>6451</v>
      </c>
      <c r="F1189" t="s">
        <v>13473</v>
      </c>
      <c r="G1189" t="s">
        <v>13474</v>
      </c>
      <c r="H1189" t="s">
        <v>13475</v>
      </c>
      <c r="I1189" t="s">
        <v>6479</v>
      </c>
      <c r="J1189" t="s">
        <v>13463</v>
      </c>
      <c r="K1189">
        <v>0</v>
      </c>
      <c r="L1189" t="s">
        <v>20</v>
      </c>
      <c r="M1189" t="s">
        <v>20</v>
      </c>
      <c r="N1189" t="str">
        <f>_xlfn.XLOOKUP(C:C,'Resource Table'!A:A,'Resource Table'!B:B,"NOT FOUND",0,1)</f>
        <v>Dedicated</v>
      </c>
      <c r="O1189" t="str">
        <f>_xlfn.XLOOKUP(N:N,'Resource Table'!B:B,'Resource Table'!C:C,"n/a",0,1)</f>
        <v>AFS Dedicated Tech</v>
      </c>
      <c r="P1189" t="str">
        <f>_xlfn.XLOOKUP(N:N,'Resource Table'!B:B,'Resource Table'!D:D,"n/a",0,1)</f>
        <v>Dedicated</v>
      </c>
    </row>
    <row r="1190" spans="1:16" x14ac:dyDescent="0.45">
      <c r="A1190" t="s">
        <v>5407</v>
      </c>
      <c r="B1190" t="s">
        <v>5408</v>
      </c>
      <c r="C1190" t="s">
        <v>5548</v>
      </c>
      <c r="D1190" t="s">
        <v>5773</v>
      </c>
      <c r="E1190" t="s">
        <v>6451</v>
      </c>
      <c r="F1190" t="s">
        <v>13473</v>
      </c>
      <c r="G1190" t="s">
        <v>13474</v>
      </c>
      <c r="H1190" t="s">
        <v>13521</v>
      </c>
      <c r="I1190" t="s">
        <v>6479</v>
      </c>
      <c r="J1190" t="s">
        <v>13463</v>
      </c>
      <c r="K1190">
        <v>0</v>
      </c>
      <c r="L1190" t="s">
        <v>20</v>
      </c>
      <c r="M1190" t="s">
        <v>20</v>
      </c>
      <c r="N1190" t="str">
        <f>_xlfn.XLOOKUP(C:C,'Resource Table'!A:A,'Resource Table'!B:B,"NOT FOUND",0,1)</f>
        <v>Dedicated</v>
      </c>
      <c r="O1190" t="str">
        <f>_xlfn.XLOOKUP(N:N,'Resource Table'!B:B,'Resource Table'!C:C,"n/a",0,1)</f>
        <v>AFS Dedicated Tech</v>
      </c>
      <c r="P1190" t="str">
        <f>_xlfn.XLOOKUP(N:N,'Resource Table'!B:B,'Resource Table'!D:D,"n/a",0,1)</f>
        <v>Dedicated</v>
      </c>
    </row>
    <row r="1191" spans="1:16" x14ac:dyDescent="0.45">
      <c r="A1191" t="s">
        <v>5407</v>
      </c>
      <c r="B1191" t="s">
        <v>5408</v>
      </c>
      <c r="C1191" t="s">
        <v>5548</v>
      </c>
      <c r="D1191" t="s">
        <v>6447</v>
      </c>
      <c r="E1191" t="s">
        <v>6451</v>
      </c>
      <c r="F1191" t="s">
        <v>13460</v>
      </c>
      <c r="G1191" t="s">
        <v>13481</v>
      </c>
      <c r="H1191" t="s">
        <v>13615</v>
      </c>
      <c r="I1191" t="s">
        <v>6479</v>
      </c>
      <c r="J1191" t="s">
        <v>13463</v>
      </c>
      <c r="K1191">
        <v>0</v>
      </c>
      <c r="L1191" t="s">
        <v>20</v>
      </c>
      <c r="M1191" t="s">
        <v>20</v>
      </c>
      <c r="N1191" t="str">
        <f>_xlfn.XLOOKUP(C:C,'Resource Table'!A:A,'Resource Table'!B:B,"NOT FOUND",0,1)</f>
        <v>Dedicated</v>
      </c>
      <c r="O1191" t="str">
        <f>_xlfn.XLOOKUP(N:N,'Resource Table'!B:B,'Resource Table'!C:C,"n/a",0,1)</f>
        <v>AFS Dedicated Tech</v>
      </c>
      <c r="P1191" t="str">
        <f>_xlfn.XLOOKUP(N:N,'Resource Table'!B:B,'Resource Table'!D:D,"n/a",0,1)</f>
        <v>Dedicated</v>
      </c>
    </row>
    <row r="1192" spans="1:16" x14ac:dyDescent="0.45">
      <c r="A1192" t="s">
        <v>5407</v>
      </c>
      <c r="B1192" t="s">
        <v>5408</v>
      </c>
      <c r="C1192" t="s">
        <v>5548</v>
      </c>
      <c r="D1192" t="s">
        <v>6448</v>
      </c>
      <c r="E1192" t="s">
        <v>6451</v>
      </c>
      <c r="F1192" t="s">
        <v>13460</v>
      </c>
      <c r="G1192" t="s">
        <v>13538</v>
      </c>
      <c r="H1192" t="s">
        <v>13614</v>
      </c>
      <c r="I1192" t="s">
        <v>6479</v>
      </c>
      <c r="J1192" t="s">
        <v>13463</v>
      </c>
      <c r="K1192">
        <v>0</v>
      </c>
      <c r="L1192" t="s">
        <v>20</v>
      </c>
      <c r="M1192" t="s">
        <v>20</v>
      </c>
      <c r="N1192" t="str">
        <f>_xlfn.XLOOKUP(C:C,'Resource Table'!A:A,'Resource Table'!B:B,"NOT FOUND",0,1)</f>
        <v>Dedicated</v>
      </c>
      <c r="O1192" t="str">
        <f>_xlfn.XLOOKUP(N:N,'Resource Table'!B:B,'Resource Table'!C:C,"n/a",0,1)</f>
        <v>AFS Dedicated Tech</v>
      </c>
      <c r="P1192" t="str">
        <f>_xlfn.XLOOKUP(N:N,'Resource Table'!B:B,'Resource Table'!D:D,"n/a",0,1)</f>
        <v>Dedicated</v>
      </c>
    </row>
    <row r="1193" spans="1:16" x14ac:dyDescent="0.45">
      <c r="A1193" t="s">
        <v>5407</v>
      </c>
      <c r="B1193" t="s">
        <v>5408</v>
      </c>
      <c r="C1193" t="s">
        <v>5548</v>
      </c>
      <c r="D1193" t="s">
        <v>6381</v>
      </c>
      <c r="E1193" t="s">
        <v>6461</v>
      </c>
      <c r="F1193" t="s">
        <v>13460</v>
      </c>
      <c r="G1193" t="s">
        <v>13461</v>
      </c>
      <c r="H1193" t="s">
        <v>13471</v>
      </c>
      <c r="I1193" t="s">
        <v>6479</v>
      </c>
      <c r="J1193" t="s">
        <v>13463</v>
      </c>
      <c r="K1193">
        <v>0</v>
      </c>
      <c r="L1193" t="s">
        <v>20</v>
      </c>
      <c r="M1193" t="s">
        <v>20</v>
      </c>
      <c r="N1193" t="str">
        <f>_xlfn.XLOOKUP(C:C,'Resource Table'!A:A,'Resource Table'!B:B,"NOT FOUND",0,1)</f>
        <v>Dedicated</v>
      </c>
      <c r="O1193" t="str">
        <f>_xlfn.XLOOKUP(N:N,'Resource Table'!B:B,'Resource Table'!C:C,"n/a",0,1)</f>
        <v>AFS Dedicated Tech</v>
      </c>
      <c r="P1193" t="str">
        <f>_xlfn.XLOOKUP(N:N,'Resource Table'!B:B,'Resource Table'!D:D,"n/a",0,1)</f>
        <v>Dedicated</v>
      </c>
    </row>
    <row r="1194" spans="1:16" x14ac:dyDescent="0.45">
      <c r="A1194" t="s">
        <v>5407</v>
      </c>
      <c r="B1194" t="s">
        <v>5408</v>
      </c>
      <c r="C1194" t="s">
        <v>5548</v>
      </c>
      <c r="D1194" t="s">
        <v>5888</v>
      </c>
      <c r="E1194" t="s">
        <v>6451</v>
      </c>
      <c r="F1194" t="s">
        <v>13473</v>
      </c>
      <c r="G1194" t="s">
        <v>13474</v>
      </c>
      <c r="H1194" t="s">
        <v>13475</v>
      </c>
      <c r="I1194" t="s">
        <v>6479</v>
      </c>
      <c r="J1194" t="s">
        <v>13463</v>
      </c>
      <c r="K1194">
        <v>0</v>
      </c>
      <c r="L1194" t="s">
        <v>20</v>
      </c>
      <c r="M1194" t="s">
        <v>20</v>
      </c>
      <c r="N1194" t="str">
        <f>_xlfn.XLOOKUP(C:C,'Resource Table'!A:A,'Resource Table'!B:B,"NOT FOUND",0,1)</f>
        <v>Dedicated</v>
      </c>
      <c r="O1194" t="str">
        <f>_xlfn.XLOOKUP(N:N,'Resource Table'!B:B,'Resource Table'!C:C,"n/a",0,1)</f>
        <v>AFS Dedicated Tech</v>
      </c>
      <c r="P1194" t="str">
        <f>_xlfn.XLOOKUP(N:N,'Resource Table'!B:B,'Resource Table'!D:D,"n/a",0,1)</f>
        <v>Dedicated</v>
      </c>
    </row>
    <row r="1195" spans="1:16" x14ac:dyDescent="0.45">
      <c r="A1195" t="s">
        <v>5407</v>
      </c>
      <c r="B1195" t="s">
        <v>5408</v>
      </c>
      <c r="C1195" t="s">
        <v>5548</v>
      </c>
      <c r="D1195" t="s">
        <v>5823</v>
      </c>
      <c r="E1195" t="s">
        <v>6451</v>
      </c>
      <c r="F1195" t="s">
        <v>13473</v>
      </c>
      <c r="G1195" t="s">
        <v>13474</v>
      </c>
      <c r="H1195" t="s">
        <v>13475</v>
      </c>
      <c r="I1195" t="s">
        <v>6479</v>
      </c>
      <c r="J1195" t="s">
        <v>13463</v>
      </c>
      <c r="K1195">
        <v>0</v>
      </c>
      <c r="L1195" t="s">
        <v>20</v>
      </c>
      <c r="M1195" t="s">
        <v>20</v>
      </c>
      <c r="N1195" t="str">
        <f>_xlfn.XLOOKUP(C:C,'Resource Table'!A:A,'Resource Table'!B:B,"NOT FOUND",0,1)</f>
        <v>Dedicated</v>
      </c>
      <c r="O1195" t="str">
        <f>_xlfn.XLOOKUP(N:N,'Resource Table'!B:B,'Resource Table'!C:C,"n/a",0,1)</f>
        <v>AFS Dedicated Tech</v>
      </c>
      <c r="P1195" t="str">
        <f>_xlfn.XLOOKUP(N:N,'Resource Table'!B:B,'Resource Table'!D:D,"n/a",0,1)</f>
        <v>Dedicated</v>
      </c>
    </row>
    <row r="1196" spans="1:16" x14ac:dyDescent="0.45">
      <c r="A1196" t="s">
        <v>5407</v>
      </c>
      <c r="B1196" t="s">
        <v>5408</v>
      </c>
      <c r="C1196" t="s">
        <v>5548</v>
      </c>
      <c r="D1196" t="s">
        <v>5886</v>
      </c>
      <c r="E1196" t="s">
        <v>6451</v>
      </c>
      <c r="F1196" t="s">
        <v>13473</v>
      </c>
      <c r="G1196" t="s">
        <v>13474</v>
      </c>
      <c r="H1196" t="s">
        <v>13475</v>
      </c>
      <c r="I1196" t="s">
        <v>6479</v>
      </c>
      <c r="J1196" t="s">
        <v>13463</v>
      </c>
      <c r="K1196">
        <v>0</v>
      </c>
      <c r="L1196" t="s">
        <v>20</v>
      </c>
      <c r="M1196" t="s">
        <v>20</v>
      </c>
      <c r="N1196" t="str">
        <f>_xlfn.XLOOKUP(C:C,'Resource Table'!A:A,'Resource Table'!B:B,"NOT FOUND",0,1)</f>
        <v>Dedicated</v>
      </c>
      <c r="O1196" t="str">
        <f>_xlfn.XLOOKUP(N:N,'Resource Table'!B:B,'Resource Table'!C:C,"n/a",0,1)</f>
        <v>AFS Dedicated Tech</v>
      </c>
      <c r="P1196" t="str">
        <f>_xlfn.XLOOKUP(N:N,'Resource Table'!B:B,'Resource Table'!D:D,"n/a",0,1)</f>
        <v>Dedicated</v>
      </c>
    </row>
    <row r="1197" spans="1:16" x14ac:dyDescent="0.45">
      <c r="A1197" t="s">
        <v>5407</v>
      </c>
      <c r="B1197" t="s">
        <v>5408</v>
      </c>
      <c r="C1197" t="s">
        <v>5548</v>
      </c>
      <c r="D1197" t="s">
        <v>6160</v>
      </c>
      <c r="E1197" t="s">
        <v>6461</v>
      </c>
      <c r="F1197" t="s">
        <v>13460</v>
      </c>
      <c r="G1197" t="s">
        <v>13509</v>
      </c>
      <c r="H1197" t="s">
        <v>13510</v>
      </c>
      <c r="I1197" t="s">
        <v>6479</v>
      </c>
      <c r="J1197" t="s">
        <v>13463</v>
      </c>
      <c r="K1197">
        <v>0</v>
      </c>
      <c r="L1197" t="s">
        <v>20</v>
      </c>
      <c r="M1197" t="s">
        <v>20</v>
      </c>
      <c r="N1197" t="str">
        <f>_xlfn.XLOOKUP(C:C,'Resource Table'!A:A,'Resource Table'!B:B,"NOT FOUND",0,1)</f>
        <v>Dedicated</v>
      </c>
      <c r="O1197" t="str">
        <f>_xlfn.XLOOKUP(N:N,'Resource Table'!B:B,'Resource Table'!C:C,"n/a",0,1)</f>
        <v>AFS Dedicated Tech</v>
      </c>
      <c r="P1197" t="str">
        <f>_xlfn.XLOOKUP(N:N,'Resource Table'!B:B,'Resource Table'!D:D,"n/a",0,1)</f>
        <v>Dedicated</v>
      </c>
    </row>
    <row r="1198" spans="1:16" x14ac:dyDescent="0.45">
      <c r="A1198" t="s">
        <v>5407</v>
      </c>
      <c r="B1198" t="s">
        <v>5408</v>
      </c>
      <c r="C1198" t="s">
        <v>5548</v>
      </c>
      <c r="D1198" t="s">
        <v>6161</v>
      </c>
      <c r="E1198" t="s">
        <v>6461</v>
      </c>
      <c r="F1198" t="s">
        <v>13460</v>
      </c>
      <c r="G1198" t="s">
        <v>13509</v>
      </c>
      <c r="H1198" t="s">
        <v>13510</v>
      </c>
      <c r="I1198" t="s">
        <v>6479</v>
      </c>
      <c r="J1198" t="s">
        <v>13463</v>
      </c>
      <c r="K1198">
        <v>0</v>
      </c>
      <c r="L1198" t="s">
        <v>20</v>
      </c>
      <c r="M1198" t="s">
        <v>20</v>
      </c>
      <c r="N1198" t="str">
        <f>_xlfn.XLOOKUP(C:C,'Resource Table'!A:A,'Resource Table'!B:B,"NOT FOUND",0,1)</f>
        <v>Dedicated</v>
      </c>
      <c r="O1198" t="str">
        <f>_xlfn.XLOOKUP(N:N,'Resource Table'!B:B,'Resource Table'!C:C,"n/a",0,1)</f>
        <v>AFS Dedicated Tech</v>
      </c>
      <c r="P1198" t="str">
        <f>_xlfn.XLOOKUP(N:N,'Resource Table'!B:B,'Resource Table'!D:D,"n/a",0,1)</f>
        <v>Dedicated</v>
      </c>
    </row>
    <row r="1199" spans="1:16" x14ac:dyDescent="0.45">
      <c r="A1199" t="s">
        <v>5407</v>
      </c>
      <c r="B1199" t="s">
        <v>5408</v>
      </c>
      <c r="C1199" t="s">
        <v>5548</v>
      </c>
      <c r="D1199" t="s">
        <v>6162</v>
      </c>
      <c r="E1199" t="s">
        <v>6461</v>
      </c>
      <c r="F1199" t="s">
        <v>13460</v>
      </c>
      <c r="G1199" t="s">
        <v>13509</v>
      </c>
      <c r="H1199" t="s">
        <v>13510</v>
      </c>
      <c r="I1199" t="s">
        <v>6479</v>
      </c>
      <c r="J1199" t="s">
        <v>13463</v>
      </c>
      <c r="K1199">
        <v>0</v>
      </c>
      <c r="L1199" t="s">
        <v>20</v>
      </c>
      <c r="M1199" t="s">
        <v>20</v>
      </c>
      <c r="N1199" t="str">
        <f>_xlfn.XLOOKUP(C:C,'Resource Table'!A:A,'Resource Table'!B:B,"NOT FOUND",0,1)</f>
        <v>Dedicated</v>
      </c>
      <c r="O1199" t="str">
        <f>_xlfn.XLOOKUP(N:N,'Resource Table'!B:B,'Resource Table'!C:C,"n/a",0,1)</f>
        <v>AFS Dedicated Tech</v>
      </c>
      <c r="P1199" t="str">
        <f>_xlfn.XLOOKUP(N:N,'Resource Table'!B:B,'Resource Table'!D:D,"n/a",0,1)</f>
        <v>Dedicated</v>
      </c>
    </row>
    <row r="1200" spans="1:16" x14ac:dyDescent="0.45">
      <c r="A1200" t="s">
        <v>5407</v>
      </c>
      <c r="B1200" t="s">
        <v>5408</v>
      </c>
      <c r="C1200" t="s">
        <v>5548</v>
      </c>
      <c r="D1200" t="s">
        <v>6163</v>
      </c>
      <c r="E1200" t="s">
        <v>6461</v>
      </c>
      <c r="F1200" t="s">
        <v>13460</v>
      </c>
      <c r="G1200" t="s">
        <v>13509</v>
      </c>
      <c r="H1200" t="s">
        <v>13510</v>
      </c>
      <c r="I1200" t="s">
        <v>6479</v>
      </c>
      <c r="J1200" t="s">
        <v>13463</v>
      </c>
      <c r="K1200">
        <v>0</v>
      </c>
      <c r="L1200" t="s">
        <v>20</v>
      </c>
      <c r="M1200" t="s">
        <v>20</v>
      </c>
      <c r="N1200" t="str">
        <f>_xlfn.XLOOKUP(C:C,'Resource Table'!A:A,'Resource Table'!B:B,"NOT FOUND",0,1)</f>
        <v>Dedicated</v>
      </c>
      <c r="O1200" t="str">
        <f>_xlfn.XLOOKUP(N:N,'Resource Table'!B:B,'Resource Table'!C:C,"n/a",0,1)</f>
        <v>AFS Dedicated Tech</v>
      </c>
      <c r="P1200" t="str">
        <f>_xlfn.XLOOKUP(N:N,'Resource Table'!B:B,'Resource Table'!D:D,"n/a",0,1)</f>
        <v>Dedicated</v>
      </c>
    </row>
    <row r="1201" spans="1:16" x14ac:dyDescent="0.45">
      <c r="A1201" t="s">
        <v>5399</v>
      </c>
      <c r="B1201" t="s">
        <v>5410</v>
      </c>
      <c r="C1201" t="s">
        <v>5533</v>
      </c>
      <c r="D1201" t="s">
        <v>2177</v>
      </c>
      <c r="E1201" t="s">
        <v>6451</v>
      </c>
      <c r="F1201" t="s">
        <v>13460</v>
      </c>
      <c r="G1201" t="s">
        <v>13461</v>
      </c>
      <c r="H1201" t="s">
        <v>13471</v>
      </c>
      <c r="I1201" t="s">
        <v>6479</v>
      </c>
      <c r="J1201" t="s">
        <v>13463</v>
      </c>
      <c r="K1201">
        <v>3</v>
      </c>
      <c r="L1201" t="s">
        <v>13529</v>
      </c>
      <c r="M1201" t="s">
        <v>13513</v>
      </c>
      <c r="N1201" t="str">
        <f>_xlfn.XLOOKUP(C:C,'Resource Table'!A:A,'Resource Table'!B:B,"NOT FOUND",0,1)</f>
        <v>Ralph Mann</v>
      </c>
      <c r="O1201" t="str">
        <f>_xlfn.XLOOKUP(N:N,'Resource Table'!B:B,'Resource Table'!C:C,"n/a",0,1)</f>
        <v>rmann@ameritfleet.com</v>
      </c>
      <c r="P1201" t="str">
        <f>_xlfn.XLOOKUP(N:N,'Resource Table'!B:B,'Resource Table'!D:D,"n/a",0,1)</f>
        <v>Vended Repair</v>
      </c>
    </row>
    <row r="1202" spans="1:16" x14ac:dyDescent="0.45">
      <c r="A1202" t="s">
        <v>5399</v>
      </c>
      <c r="B1202" t="s">
        <v>5410</v>
      </c>
      <c r="C1202" t="s">
        <v>5533</v>
      </c>
      <c r="D1202" t="s">
        <v>213</v>
      </c>
      <c r="E1202" t="s">
        <v>6461</v>
      </c>
      <c r="F1202" t="s">
        <v>13460</v>
      </c>
      <c r="G1202" t="s">
        <v>13481</v>
      </c>
      <c r="H1202" t="s">
        <v>13490</v>
      </c>
      <c r="I1202" t="s">
        <v>6479</v>
      </c>
      <c r="J1202" t="s">
        <v>13486</v>
      </c>
      <c r="K1202">
        <v>3</v>
      </c>
      <c r="L1202" t="s">
        <v>13491</v>
      </c>
      <c r="M1202" t="s">
        <v>13508</v>
      </c>
      <c r="N1202" t="str">
        <f>_xlfn.XLOOKUP(C:C,'Resource Table'!A:A,'Resource Table'!B:B,"NOT FOUND",0,1)</f>
        <v>Ralph Mann</v>
      </c>
      <c r="O1202" t="str">
        <f>_xlfn.XLOOKUP(N:N,'Resource Table'!B:B,'Resource Table'!C:C,"n/a",0,1)</f>
        <v>rmann@ameritfleet.com</v>
      </c>
      <c r="P1202" t="str">
        <f>_xlfn.XLOOKUP(N:N,'Resource Table'!B:B,'Resource Table'!D:D,"n/a",0,1)</f>
        <v>Vended Repair</v>
      </c>
    </row>
    <row r="1203" spans="1:16" x14ac:dyDescent="0.45">
      <c r="A1203" t="s">
        <v>5399</v>
      </c>
      <c r="B1203" t="s">
        <v>5410</v>
      </c>
      <c r="C1203" t="s">
        <v>5533</v>
      </c>
      <c r="D1203" t="s">
        <v>637</v>
      </c>
      <c r="E1203" t="s">
        <v>6461</v>
      </c>
      <c r="F1203" t="s">
        <v>13460</v>
      </c>
      <c r="G1203" t="s">
        <v>13481</v>
      </c>
      <c r="H1203" t="s">
        <v>13482</v>
      </c>
      <c r="I1203" t="s">
        <v>6479</v>
      </c>
      <c r="J1203" t="s">
        <v>13486</v>
      </c>
      <c r="K1203">
        <v>4</v>
      </c>
      <c r="L1203" t="s">
        <v>13528</v>
      </c>
      <c r="M1203" t="s">
        <v>13513</v>
      </c>
      <c r="N1203" t="str">
        <f>_xlfn.XLOOKUP(C:C,'Resource Table'!A:A,'Resource Table'!B:B,"NOT FOUND",0,1)</f>
        <v>Ralph Mann</v>
      </c>
      <c r="O1203" t="str">
        <f>_xlfn.XLOOKUP(N:N,'Resource Table'!B:B,'Resource Table'!C:C,"n/a",0,1)</f>
        <v>rmann@ameritfleet.com</v>
      </c>
      <c r="P1203" t="str">
        <f>_xlfn.XLOOKUP(N:N,'Resource Table'!B:B,'Resource Table'!D:D,"n/a",0,1)</f>
        <v>Vended Repair</v>
      </c>
    </row>
    <row r="1204" spans="1:16" x14ac:dyDescent="0.45">
      <c r="A1204" t="s">
        <v>5399</v>
      </c>
      <c r="B1204" t="s">
        <v>5410</v>
      </c>
      <c r="C1204" t="s">
        <v>5533</v>
      </c>
      <c r="D1204" t="s">
        <v>724</v>
      </c>
      <c r="E1204" t="s">
        <v>6462</v>
      </c>
      <c r="F1204" t="s">
        <v>13460</v>
      </c>
      <c r="G1204" t="s">
        <v>13481</v>
      </c>
      <c r="H1204" t="s">
        <v>13490</v>
      </c>
      <c r="I1204" t="s">
        <v>6479</v>
      </c>
      <c r="J1204" t="s">
        <v>13463</v>
      </c>
      <c r="K1204">
        <v>2</v>
      </c>
      <c r="L1204" t="s">
        <v>13466</v>
      </c>
      <c r="M1204" t="s">
        <v>13505</v>
      </c>
      <c r="N1204" t="str">
        <f>_xlfn.XLOOKUP(C:C,'Resource Table'!A:A,'Resource Table'!B:B,"NOT FOUND",0,1)</f>
        <v>Ralph Mann</v>
      </c>
      <c r="O1204" t="str">
        <f>_xlfn.XLOOKUP(N:N,'Resource Table'!B:B,'Resource Table'!C:C,"n/a",0,1)</f>
        <v>rmann@ameritfleet.com</v>
      </c>
      <c r="P1204" t="str">
        <f>_xlfn.XLOOKUP(N:N,'Resource Table'!B:B,'Resource Table'!D:D,"n/a",0,1)</f>
        <v>Vended Repair</v>
      </c>
    </row>
    <row r="1205" spans="1:16" x14ac:dyDescent="0.45">
      <c r="A1205" t="s">
        <v>5399</v>
      </c>
      <c r="B1205" t="s">
        <v>5410</v>
      </c>
      <c r="C1205" t="s">
        <v>5533</v>
      </c>
      <c r="D1205" t="s">
        <v>1403</v>
      </c>
      <c r="E1205" t="s">
        <v>6461</v>
      </c>
      <c r="F1205" t="s">
        <v>13460</v>
      </c>
      <c r="G1205" t="s">
        <v>13481</v>
      </c>
      <c r="H1205" t="s">
        <v>13518</v>
      </c>
      <c r="I1205" t="s">
        <v>6479</v>
      </c>
      <c r="J1205" t="s">
        <v>13463</v>
      </c>
      <c r="K1205">
        <v>1</v>
      </c>
      <c r="L1205" t="s">
        <v>13466</v>
      </c>
      <c r="M1205" t="s">
        <v>13493</v>
      </c>
      <c r="N1205" t="str">
        <f>_xlfn.XLOOKUP(C:C,'Resource Table'!A:A,'Resource Table'!B:B,"NOT FOUND",0,1)</f>
        <v>Ralph Mann</v>
      </c>
      <c r="O1205" t="str">
        <f>_xlfn.XLOOKUP(N:N,'Resource Table'!B:B,'Resource Table'!C:C,"n/a",0,1)</f>
        <v>rmann@ameritfleet.com</v>
      </c>
      <c r="P1205" t="str">
        <f>_xlfn.XLOOKUP(N:N,'Resource Table'!B:B,'Resource Table'!D:D,"n/a",0,1)</f>
        <v>Vended Repair</v>
      </c>
    </row>
    <row r="1206" spans="1:16" x14ac:dyDescent="0.45">
      <c r="A1206" t="s">
        <v>5399</v>
      </c>
      <c r="B1206" t="s">
        <v>5410</v>
      </c>
      <c r="C1206" t="s">
        <v>5533</v>
      </c>
      <c r="D1206" t="s">
        <v>2467</v>
      </c>
      <c r="E1206" t="s">
        <v>6461</v>
      </c>
      <c r="F1206" t="s">
        <v>13460</v>
      </c>
      <c r="G1206" t="s">
        <v>13481</v>
      </c>
      <c r="H1206" t="s">
        <v>13482</v>
      </c>
      <c r="I1206" t="s">
        <v>6479</v>
      </c>
      <c r="J1206" t="s">
        <v>13486</v>
      </c>
      <c r="K1206">
        <v>3</v>
      </c>
      <c r="L1206" t="s">
        <v>13507</v>
      </c>
      <c r="M1206" t="s">
        <v>13591</v>
      </c>
      <c r="N1206" t="str">
        <f>_xlfn.XLOOKUP(C:C,'Resource Table'!A:A,'Resource Table'!B:B,"NOT FOUND",0,1)</f>
        <v>Ralph Mann</v>
      </c>
      <c r="O1206" t="str">
        <f>_xlfn.XLOOKUP(N:N,'Resource Table'!B:B,'Resource Table'!C:C,"n/a",0,1)</f>
        <v>rmann@ameritfleet.com</v>
      </c>
      <c r="P1206" t="str">
        <f>_xlfn.XLOOKUP(N:N,'Resource Table'!B:B,'Resource Table'!D:D,"n/a",0,1)</f>
        <v>Vended Repair</v>
      </c>
    </row>
    <row r="1207" spans="1:16" x14ac:dyDescent="0.45">
      <c r="A1207" t="s">
        <v>5399</v>
      </c>
      <c r="B1207" t="s">
        <v>5410</v>
      </c>
      <c r="C1207" t="s">
        <v>5533</v>
      </c>
      <c r="D1207" t="s">
        <v>5643</v>
      </c>
      <c r="E1207" t="s">
        <v>6451</v>
      </c>
      <c r="F1207" t="s">
        <v>13460</v>
      </c>
      <c r="G1207" t="s">
        <v>13476</v>
      </c>
      <c r="H1207" t="s">
        <v>13478</v>
      </c>
      <c r="I1207" t="s">
        <v>29</v>
      </c>
      <c r="J1207" t="s">
        <v>13463</v>
      </c>
      <c r="K1207">
        <v>2</v>
      </c>
      <c r="L1207" t="s">
        <v>13520</v>
      </c>
      <c r="M1207" t="s">
        <v>13513</v>
      </c>
      <c r="N1207" t="str">
        <f>_xlfn.XLOOKUP(C:C,'Resource Table'!A:A,'Resource Table'!B:B,"NOT FOUND",0,1)</f>
        <v>Ralph Mann</v>
      </c>
      <c r="O1207" t="str">
        <f>_xlfn.XLOOKUP(N:N,'Resource Table'!B:B,'Resource Table'!C:C,"n/a",0,1)</f>
        <v>rmann@ameritfleet.com</v>
      </c>
      <c r="P1207" t="str">
        <f>_xlfn.XLOOKUP(N:N,'Resource Table'!B:B,'Resource Table'!D:D,"n/a",0,1)</f>
        <v>Vended Repair</v>
      </c>
    </row>
    <row r="1208" spans="1:16" x14ac:dyDescent="0.45">
      <c r="A1208" t="s">
        <v>5399</v>
      </c>
      <c r="B1208" t="s">
        <v>5410</v>
      </c>
      <c r="C1208" t="s">
        <v>5533</v>
      </c>
      <c r="D1208" t="s">
        <v>2114</v>
      </c>
      <c r="E1208" t="s">
        <v>6451</v>
      </c>
      <c r="F1208" t="s">
        <v>13473</v>
      </c>
      <c r="G1208" t="s">
        <v>13474</v>
      </c>
      <c r="H1208" t="s">
        <v>13492</v>
      </c>
      <c r="I1208" t="s">
        <v>6479</v>
      </c>
      <c r="J1208" t="s">
        <v>13463</v>
      </c>
      <c r="K1208">
        <v>2</v>
      </c>
      <c r="L1208" t="s">
        <v>13466</v>
      </c>
      <c r="M1208" t="s">
        <v>13505</v>
      </c>
      <c r="N1208" t="str">
        <f>_xlfn.XLOOKUP(C:C,'Resource Table'!A:A,'Resource Table'!B:B,"NOT FOUND",0,1)</f>
        <v>Ralph Mann</v>
      </c>
      <c r="O1208" t="str">
        <f>_xlfn.XLOOKUP(N:N,'Resource Table'!B:B,'Resource Table'!C:C,"n/a",0,1)</f>
        <v>rmann@ameritfleet.com</v>
      </c>
      <c r="P1208" t="str">
        <f>_xlfn.XLOOKUP(N:N,'Resource Table'!B:B,'Resource Table'!D:D,"n/a",0,1)</f>
        <v>Vended Repair</v>
      </c>
    </row>
    <row r="1209" spans="1:16" x14ac:dyDescent="0.45">
      <c r="A1209" t="s">
        <v>5399</v>
      </c>
      <c r="B1209" t="s">
        <v>5410</v>
      </c>
      <c r="C1209" t="s">
        <v>5533</v>
      </c>
      <c r="D1209" t="s">
        <v>2025</v>
      </c>
      <c r="E1209" t="s">
        <v>6461</v>
      </c>
      <c r="F1209" t="s">
        <v>13460</v>
      </c>
      <c r="G1209" t="s">
        <v>13481</v>
      </c>
      <c r="H1209" t="s">
        <v>13522</v>
      </c>
      <c r="I1209" t="s">
        <v>6479</v>
      </c>
      <c r="J1209" t="s">
        <v>13486</v>
      </c>
      <c r="K1209">
        <v>2</v>
      </c>
      <c r="L1209" t="s">
        <v>13489</v>
      </c>
      <c r="M1209" t="s">
        <v>13466</v>
      </c>
      <c r="N1209" t="str">
        <f>_xlfn.XLOOKUP(C:C,'Resource Table'!A:A,'Resource Table'!B:B,"NOT FOUND",0,1)</f>
        <v>Ralph Mann</v>
      </c>
      <c r="O1209" t="str">
        <f>_xlfn.XLOOKUP(N:N,'Resource Table'!B:B,'Resource Table'!C:C,"n/a",0,1)</f>
        <v>rmann@ameritfleet.com</v>
      </c>
      <c r="P1209" t="str">
        <f>_xlfn.XLOOKUP(N:N,'Resource Table'!B:B,'Resource Table'!D:D,"n/a",0,1)</f>
        <v>Vended Repair</v>
      </c>
    </row>
    <row r="1210" spans="1:16" x14ac:dyDescent="0.45">
      <c r="A1210" t="s">
        <v>5399</v>
      </c>
      <c r="B1210" t="s">
        <v>5410</v>
      </c>
      <c r="C1210" t="s">
        <v>5533</v>
      </c>
      <c r="D1210" t="s">
        <v>1909</v>
      </c>
      <c r="E1210" t="s">
        <v>6451</v>
      </c>
      <c r="F1210" t="s">
        <v>13460</v>
      </c>
      <c r="G1210" t="s">
        <v>13461</v>
      </c>
      <c r="H1210" t="s">
        <v>13471</v>
      </c>
      <c r="I1210" t="s">
        <v>6479</v>
      </c>
      <c r="J1210" t="s">
        <v>13463</v>
      </c>
      <c r="K1210">
        <v>6</v>
      </c>
      <c r="L1210" t="s">
        <v>13528</v>
      </c>
      <c r="M1210" t="s">
        <v>13513</v>
      </c>
      <c r="N1210" t="str">
        <f>_xlfn.XLOOKUP(C:C,'Resource Table'!A:A,'Resource Table'!B:B,"NOT FOUND",0,1)</f>
        <v>Ralph Mann</v>
      </c>
      <c r="O1210" t="str">
        <f>_xlfn.XLOOKUP(N:N,'Resource Table'!B:B,'Resource Table'!C:C,"n/a",0,1)</f>
        <v>rmann@ameritfleet.com</v>
      </c>
      <c r="P1210" t="str">
        <f>_xlfn.XLOOKUP(N:N,'Resource Table'!B:B,'Resource Table'!D:D,"n/a",0,1)</f>
        <v>Vended Repair</v>
      </c>
    </row>
    <row r="1211" spans="1:16" x14ac:dyDescent="0.45">
      <c r="A1211" t="s">
        <v>5399</v>
      </c>
      <c r="B1211" t="s">
        <v>5410</v>
      </c>
      <c r="C1211" t="s">
        <v>5533</v>
      </c>
      <c r="D1211" t="s">
        <v>305</v>
      </c>
      <c r="E1211" t="s">
        <v>6451</v>
      </c>
      <c r="F1211" t="s">
        <v>13473</v>
      </c>
      <c r="G1211" t="s">
        <v>13474</v>
      </c>
      <c r="H1211" t="s">
        <v>13475</v>
      </c>
      <c r="I1211" t="s">
        <v>6479</v>
      </c>
      <c r="J1211" t="s">
        <v>13463</v>
      </c>
      <c r="K1211">
        <v>3</v>
      </c>
      <c r="L1211" t="s">
        <v>13607</v>
      </c>
      <c r="M1211" t="s">
        <v>13505</v>
      </c>
      <c r="N1211" t="str">
        <f>_xlfn.XLOOKUP(C:C,'Resource Table'!A:A,'Resource Table'!B:B,"NOT FOUND",0,1)</f>
        <v>Ralph Mann</v>
      </c>
      <c r="O1211" t="str">
        <f>_xlfn.XLOOKUP(N:N,'Resource Table'!B:B,'Resource Table'!C:C,"n/a",0,1)</f>
        <v>rmann@ameritfleet.com</v>
      </c>
      <c r="P1211" t="str">
        <f>_xlfn.XLOOKUP(N:N,'Resource Table'!B:B,'Resource Table'!D:D,"n/a",0,1)</f>
        <v>Vended Repair</v>
      </c>
    </row>
    <row r="1212" spans="1:16" x14ac:dyDescent="0.45">
      <c r="A1212" t="s">
        <v>5399</v>
      </c>
      <c r="B1212" t="s">
        <v>5410</v>
      </c>
      <c r="C1212" t="s">
        <v>5533</v>
      </c>
      <c r="D1212" t="s">
        <v>1361</v>
      </c>
      <c r="E1212" t="s">
        <v>6461</v>
      </c>
      <c r="F1212" t="s">
        <v>13460</v>
      </c>
      <c r="G1212" t="s">
        <v>13481</v>
      </c>
      <c r="H1212" t="s">
        <v>13518</v>
      </c>
      <c r="I1212" t="s">
        <v>6479</v>
      </c>
      <c r="J1212" t="s">
        <v>13463</v>
      </c>
      <c r="K1212">
        <v>1</v>
      </c>
      <c r="L1212" t="s">
        <v>13466</v>
      </c>
      <c r="M1212" t="s">
        <v>13468</v>
      </c>
      <c r="N1212" t="str">
        <f>_xlfn.XLOOKUP(C:C,'Resource Table'!A:A,'Resource Table'!B:B,"NOT FOUND",0,1)</f>
        <v>Ralph Mann</v>
      </c>
      <c r="O1212" t="str">
        <f>_xlfn.XLOOKUP(N:N,'Resource Table'!B:B,'Resource Table'!C:C,"n/a",0,1)</f>
        <v>rmann@ameritfleet.com</v>
      </c>
      <c r="P1212" t="str">
        <f>_xlfn.XLOOKUP(N:N,'Resource Table'!B:B,'Resource Table'!D:D,"n/a",0,1)</f>
        <v>Vended Repair</v>
      </c>
    </row>
    <row r="1213" spans="1:16" x14ac:dyDescent="0.45">
      <c r="A1213" t="s">
        <v>5399</v>
      </c>
      <c r="B1213" t="s">
        <v>5410</v>
      </c>
      <c r="C1213" t="s">
        <v>5533</v>
      </c>
      <c r="D1213" t="s">
        <v>2444</v>
      </c>
      <c r="E1213" t="s">
        <v>6462</v>
      </c>
      <c r="F1213" t="s">
        <v>13460</v>
      </c>
      <c r="G1213" t="s">
        <v>13481</v>
      </c>
      <c r="H1213" t="s">
        <v>13490</v>
      </c>
      <c r="I1213" t="s">
        <v>6479</v>
      </c>
      <c r="J1213" t="s">
        <v>13463</v>
      </c>
      <c r="K1213">
        <v>2</v>
      </c>
      <c r="L1213" t="s">
        <v>13536</v>
      </c>
      <c r="M1213" t="s">
        <v>13536</v>
      </c>
      <c r="N1213" t="str">
        <f>_xlfn.XLOOKUP(C:C,'Resource Table'!A:A,'Resource Table'!B:B,"NOT FOUND",0,1)</f>
        <v>Ralph Mann</v>
      </c>
      <c r="O1213" t="str">
        <f>_xlfn.XLOOKUP(N:N,'Resource Table'!B:B,'Resource Table'!C:C,"n/a",0,1)</f>
        <v>rmann@ameritfleet.com</v>
      </c>
      <c r="P1213" t="str">
        <f>_xlfn.XLOOKUP(N:N,'Resource Table'!B:B,'Resource Table'!D:D,"n/a",0,1)</f>
        <v>Vended Repair</v>
      </c>
    </row>
    <row r="1214" spans="1:16" x14ac:dyDescent="0.45">
      <c r="A1214" t="s">
        <v>5399</v>
      </c>
      <c r="B1214" t="s">
        <v>5410</v>
      </c>
      <c r="C1214" t="s">
        <v>5533</v>
      </c>
      <c r="D1214" t="s">
        <v>655</v>
      </c>
      <c r="E1214" t="s">
        <v>6461</v>
      </c>
      <c r="F1214" t="s">
        <v>13460</v>
      </c>
      <c r="G1214" t="s">
        <v>13481</v>
      </c>
      <c r="H1214" t="s">
        <v>13482</v>
      </c>
      <c r="I1214" t="s">
        <v>6479</v>
      </c>
      <c r="J1214" t="s">
        <v>13486</v>
      </c>
      <c r="K1214">
        <v>3</v>
      </c>
      <c r="L1214" t="s">
        <v>13466</v>
      </c>
      <c r="M1214" t="s">
        <v>13468</v>
      </c>
      <c r="N1214" t="str">
        <f>_xlfn.XLOOKUP(C:C,'Resource Table'!A:A,'Resource Table'!B:B,"NOT FOUND",0,1)</f>
        <v>Ralph Mann</v>
      </c>
      <c r="O1214" t="str">
        <f>_xlfn.XLOOKUP(N:N,'Resource Table'!B:B,'Resource Table'!C:C,"n/a",0,1)</f>
        <v>rmann@ameritfleet.com</v>
      </c>
      <c r="P1214" t="str">
        <f>_xlfn.XLOOKUP(N:N,'Resource Table'!B:B,'Resource Table'!D:D,"n/a",0,1)</f>
        <v>Vended Repair</v>
      </c>
    </row>
    <row r="1215" spans="1:16" x14ac:dyDescent="0.45">
      <c r="A1215" t="s">
        <v>5399</v>
      </c>
      <c r="B1215" t="s">
        <v>5410</v>
      </c>
      <c r="C1215" t="s">
        <v>5533</v>
      </c>
      <c r="D1215" t="s">
        <v>293</v>
      </c>
      <c r="E1215" t="s">
        <v>6461</v>
      </c>
      <c r="F1215" t="s">
        <v>13460</v>
      </c>
      <c r="G1215" t="s">
        <v>13481</v>
      </c>
      <c r="H1215" t="s">
        <v>13518</v>
      </c>
      <c r="I1215" t="s">
        <v>29</v>
      </c>
      <c r="J1215" t="s">
        <v>13486</v>
      </c>
      <c r="K1215">
        <v>3</v>
      </c>
      <c r="L1215" t="s">
        <v>13489</v>
      </c>
      <c r="M1215" t="s">
        <v>13508</v>
      </c>
      <c r="N1215" t="str">
        <f>_xlfn.XLOOKUP(C:C,'Resource Table'!A:A,'Resource Table'!B:B,"NOT FOUND",0,1)</f>
        <v>Ralph Mann</v>
      </c>
      <c r="O1215" t="str">
        <f>_xlfn.XLOOKUP(N:N,'Resource Table'!B:B,'Resource Table'!C:C,"n/a",0,1)</f>
        <v>rmann@ameritfleet.com</v>
      </c>
      <c r="P1215" t="str">
        <f>_xlfn.XLOOKUP(N:N,'Resource Table'!B:B,'Resource Table'!D:D,"n/a",0,1)</f>
        <v>Vended Repair</v>
      </c>
    </row>
    <row r="1216" spans="1:16" x14ac:dyDescent="0.45">
      <c r="A1216" t="s">
        <v>5399</v>
      </c>
      <c r="B1216" t="s">
        <v>5410</v>
      </c>
      <c r="C1216" t="s">
        <v>5533</v>
      </c>
      <c r="D1216" t="s">
        <v>551</v>
      </c>
      <c r="E1216" t="s">
        <v>6461</v>
      </c>
      <c r="F1216" t="s">
        <v>13460</v>
      </c>
      <c r="G1216" t="s">
        <v>13481</v>
      </c>
      <c r="H1216" t="s">
        <v>13482</v>
      </c>
      <c r="I1216" t="s">
        <v>6479</v>
      </c>
      <c r="J1216" t="s">
        <v>13486</v>
      </c>
      <c r="K1216">
        <v>4</v>
      </c>
      <c r="L1216" t="s">
        <v>13479</v>
      </c>
      <c r="M1216" t="s">
        <v>13505</v>
      </c>
      <c r="N1216" t="str">
        <f>_xlfn.XLOOKUP(C:C,'Resource Table'!A:A,'Resource Table'!B:B,"NOT FOUND",0,1)</f>
        <v>Ralph Mann</v>
      </c>
      <c r="O1216" t="str">
        <f>_xlfn.XLOOKUP(N:N,'Resource Table'!B:B,'Resource Table'!C:C,"n/a",0,1)</f>
        <v>rmann@ameritfleet.com</v>
      </c>
      <c r="P1216" t="str">
        <f>_xlfn.XLOOKUP(N:N,'Resource Table'!B:B,'Resource Table'!D:D,"n/a",0,1)</f>
        <v>Vended Repair</v>
      </c>
    </row>
    <row r="1217" spans="1:16" x14ac:dyDescent="0.45">
      <c r="A1217" t="s">
        <v>5399</v>
      </c>
      <c r="B1217" t="s">
        <v>5410</v>
      </c>
      <c r="C1217" t="s">
        <v>5533</v>
      </c>
      <c r="D1217" t="s">
        <v>1198</v>
      </c>
      <c r="E1217" t="s">
        <v>6451</v>
      </c>
      <c r="F1217" t="s">
        <v>13473</v>
      </c>
      <c r="G1217" t="s">
        <v>13474</v>
      </c>
      <c r="H1217" t="s">
        <v>13475</v>
      </c>
      <c r="I1217" t="s">
        <v>29</v>
      </c>
      <c r="J1217" t="s">
        <v>13463</v>
      </c>
      <c r="K1217">
        <v>2</v>
      </c>
      <c r="L1217" t="s">
        <v>13466</v>
      </c>
      <c r="M1217" t="s">
        <v>13505</v>
      </c>
      <c r="N1217" t="str">
        <f>_xlfn.XLOOKUP(C:C,'Resource Table'!A:A,'Resource Table'!B:B,"NOT FOUND",0,1)</f>
        <v>Ralph Mann</v>
      </c>
      <c r="O1217" t="str">
        <f>_xlfn.XLOOKUP(N:N,'Resource Table'!B:B,'Resource Table'!C:C,"n/a",0,1)</f>
        <v>rmann@ameritfleet.com</v>
      </c>
      <c r="P1217" t="str">
        <f>_xlfn.XLOOKUP(N:N,'Resource Table'!B:B,'Resource Table'!D:D,"n/a",0,1)</f>
        <v>Vended Repair</v>
      </c>
    </row>
    <row r="1218" spans="1:16" x14ac:dyDescent="0.45">
      <c r="A1218" t="s">
        <v>5399</v>
      </c>
      <c r="B1218" t="s">
        <v>5410</v>
      </c>
      <c r="C1218" t="s">
        <v>5533</v>
      </c>
      <c r="D1218" t="s">
        <v>1054</v>
      </c>
      <c r="E1218" t="s">
        <v>6461</v>
      </c>
      <c r="F1218" t="s">
        <v>13460</v>
      </c>
      <c r="G1218" t="s">
        <v>13481</v>
      </c>
      <c r="H1218" t="s">
        <v>13518</v>
      </c>
      <c r="I1218" t="s">
        <v>6479</v>
      </c>
      <c r="J1218" t="s">
        <v>13463</v>
      </c>
      <c r="K1218">
        <v>2</v>
      </c>
      <c r="L1218" t="s">
        <v>13466</v>
      </c>
      <c r="M1218" t="s">
        <v>13493</v>
      </c>
      <c r="N1218" t="str">
        <f>_xlfn.XLOOKUP(C:C,'Resource Table'!A:A,'Resource Table'!B:B,"NOT FOUND",0,1)</f>
        <v>Ralph Mann</v>
      </c>
      <c r="O1218" t="str">
        <f>_xlfn.XLOOKUP(N:N,'Resource Table'!B:B,'Resource Table'!C:C,"n/a",0,1)</f>
        <v>rmann@ameritfleet.com</v>
      </c>
      <c r="P1218" t="str">
        <f>_xlfn.XLOOKUP(N:N,'Resource Table'!B:B,'Resource Table'!D:D,"n/a",0,1)</f>
        <v>Vended Repair</v>
      </c>
    </row>
    <row r="1219" spans="1:16" x14ac:dyDescent="0.45">
      <c r="A1219" t="s">
        <v>5399</v>
      </c>
      <c r="B1219" t="s">
        <v>5410</v>
      </c>
      <c r="C1219" t="s">
        <v>5411</v>
      </c>
      <c r="D1219" t="s">
        <v>1009</v>
      </c>
      <c r="E1219" t="s">
        <v>6461</v>
      </c>
      <c r="F1219" t="s">
        <v>13460</v>
      </c>
      <c r="G1219" t="s">
        <v>13481</v>
      </c>
      <c r="H1219" t="s">
        <v>13482</v>
      </c>
      <c r="I1219" t="s">
        <v>6479</v>
      </c>
      <c r="J1219" t="s">
        <v>13486</v>
      </c>
      <c r="K1219">
        <v>2</v>
      </c>
      <c r="L1219" t="s">
        <v>13543</v>
      </c>
      <c r="M1219" t="s">
        <v>13540</v>
      </c>
      <c r="N1219" t="str">
        <f>_xlfn.XLOOKUP(C:C,'Resource Table'!A:A,'Resource Table'!B:B,"NOT FOUND",0,1)</f>
        <v>Ralph Mann</v>
      </c>
      <c r="O1219" t="str">
        <f>_xlfn.XLOOKUP(N:N,'Resource Table'!B:B,'Resource Table'!C:C,"n/a",0,1)</f>
        <v>rmann@ameritfleet.com</v>
      </c>
      <c r="P1219" t="str">
        <f>_xlfn.XLOOKUP(N:N,'Resource Table'!B:B,'Resource Table'!D:D,"n/a",0,1)</f>
        <v>Vended Repair</v>
      </c>
    </row>
    <row r="1220" spans="1:16" x14ac:dyDescent="0.45">
      <c r="A1220" t="s">
        <v>5399</v>
      </c>
      <c r="B1220" t="s">
        <v>5410</v>
      </c>
      <c r="C1220" t="s">
        <v>5411</v>
      </c>
      <c r="D1220" t="s">
        <v>337</v>
      </c>
      <c r="E1220" t="s">
        <v>6451</v>
      </c>
      <c r="F1220" t="s">
        <v>13460</v>
      </c>
      <c r="G1220" t="s">
        <v>13476</v>
      </c>
      <c r="H1220" t="s">
        <v>13478</v>
      </c>
      <c r="I1220" t="s">
        <v>29</v>
      </c>
      <c r="J1220" t="s">
        <v>13463</v>
      </c>
      <c r="K1220">
        <v>4</v>
      </c>
      <c r="L1220" t="s">
        <v>13548</v>
      </c>
      <c r="M1220" t="s">
        <v>13545</v>
      </c>
      <c r="N1220" t="str">
        <f>_xlfn.XLOOKUP(C:C,'Resource Table'!A:A,'Resource Table'!B:B,"NOT FOUND",0,1)</f>
        <v>Ralph Mann</v>
      </c>
      <c r="O1220" t="str">
        <f>_xlfn.XLOOKUP(N:N,'Resource Table'!B:B,'Resource Table'!C:C,"n/a",0,1)</f>
        <v>rmann@ameritfleet.com</v>
      </c>
      <c r="P1220" t="str">
        <f>_xlfn.XLOOKUP(N:N,'Resource Table'!B:B,'Resource Table'!D:D,"n/a",0,1)</f>
        <v>Vended Repair</v>
      </c>
    </row>
    <row r="1221" spans="1:16" x14ac:dyDescent="0.45">
      <c r="A1221" t="s">
        <v>5399</v>
      </c>
      <c r="B1221" t="s">
        <v>5410</v>
      </c>
      <c r="C1221" t="s">
        <v>5411</v>
      </c>
      <c r="D1221" t="s">
        <v>657</v>
      </c>
      <c r="E1221" t="s">
        <v>6461</v>
      </c>
      <c r="F1221" t="s">
        <v>13460</v>
      </c>
      <c r="G1221" t="s">
        <v>13481</v>
      </c>
      <c r="H1221" t="s">
        <v>13482</v>
      </c>
      <c r="I1221" t="s">
        <v>6479</v>
      </c>
      <c r="J1221" t="s">
        <v>13486</v>
      </c>
      <c r="K1221">
        <v>2</v>
      </c>
      <c r="L1221" t="s">
        <v>13530</v>
      </c>
      <c r="M1221" t="s">
        <v>13507</v>
      </c>
      <c r="N1221" t="str">
        <f>_xlfn.XLOOKUP(C:C,'Resource Table'!A:A,'Resource Table'!B:B,"NOT FOUND",0,1)</f>
        <v>Ralph Mann</v>
      </c>
      <c r="O1221" t="str">
        <f>_xlfn.XLOOKUP(N:N,'Resource Table'!B:B,'Resource Table'!C:C,"n/a",0,1)</f>
        <v>rmann@ameritfleet.com</v>
      </c>
      <c r="P1221" t="str">
        <f>_xlfn.XLOOKUP(N:N,'Resource Table'!B:B,'Resource Table'!D:D,"n/a",0,1)</f>
        <v>Vended Repair</v>
      </c>
    </row>
    <row r="1222" spans="1:16" x14ac:dyDescent="0.45">
      <c r="A1222" t="s">
        <v>5399</v>
      </c>
      <c r="B1222" t="s">
        <v>5410</v>
      </c>
      <c r="C1222" t="s">
        <v>5411</v>
      </c>
      <c r="D1222" t="s">
        <v>1051</v>
      </c>
      <c r="E1222" t="s">
        <v>6451</v>
      </c>
      <c r="F1222" t="s">
        <v>13525</v>
      </c>
      <c r="G1222" t="s">
        <v>13597</v>
      </c>
      <c r="H1222" t="s">
        <v>13616</v>
      </c>
      <c r="I1222" t="s">
        <v>6479</v>
      </c>
      <c r="J1222" t="s">
        <v>13463</v>
      </c>
      <c r="K1222">
        <v>4</v>
      </c>
      <c r="L1222" t="s">
        <v>13534</v>
      </c>
      <c r="M1222" t="s">
        <v>13491</v>
      </c>
      <c r="N1222" t="str">
        <f>_xlfn.XLOOKUP(C:C,'Resource Table'!A:A,'Resource Table'!B:B,"NOT FOUND",0,1)</f>
        <v>Ralph Mann</v>
      </c>
      <c r="O1222" t="str">
        <f>_xlfn.XLOOKUP(N:N,'Resource Table'!B:B,'Resource Table'!C:C,"n/a",0,1)</f>
        <v>rmann@ameritfleet.com</v>
      </c>
      <c r="P1222" t="str">
        <f>_xlfn.XLOOKUP(N:N,'Resource Table'!B:B,'Resource Table'!D:D,"n/a",0,1)</f>
        <v>Vended Repair</v>
      </c>
    </row>
    <row r="1223" spans="1:16" x14ac:dyDescent="0.45">
      <c r="A1223" t="s">
        <v>5399</v>
      </c>
      <c r="B1223" t="s">
        <v>5410</v>
      </c>
      <c r="C1223" t="s">
        <v>5411</v>
      </c>
      <c r="D1223" t="s">
        <v>957</v>
      </c>
      <c r="E1223" t="s">
        <v>6462</v>
      </c>
      <c r="F1223" t="s">
        <v>13460</v>
      </c>
      <c r="G1223" t="s">
        <v>13481</v>
      </c>
      <c r="H1223" t="s">
        <v>13482</v>
      </c>
      <c r="I1223" t="s">
        <v>6479</v>
      </c>
      <c r="J1223" t="s">
        <v>13486</v>
      </c>
      <c r="K1223">
        <v>1</v>
      </c>
      <c r="L1223" t="s">
        <v>13468</v>
      </c>
      <c r="M1223" t="s">
        <v>20</v>
      </c>
      <c r="N1223" t="str">
        <f>_xlfn.XLOOKUP(C:C,'Resource Table'!A:A,'Resource Table'!B:B,"NOT FOUND",0,1)</f>
        <v>Ralph Mann</v>
      </c>
      <c r="O1223" t="str">
        <f>_xlfn.XLOOKUP(N:N,'Resource Table'!B:B,'Resource Table'!C:C,"n/a",0,1)</f>
        <v>rmann@ameritfleet.com</v>
      </c>
      <c r="P1223" t="str">
        <f>_xlfn.XLOOKUP(N:N,'Resource Table'!B:B,'Resource Table'!D:D,"n/a",0,1)</f>
        <v>Vended Repair</v>
      </c>
    </row>
    <row r="1224" spans="1:16" x14ac:dyDescent="0.45">
      <c r="A1224" t="s">
        <v>5399</v>
      </c>
      <c r="B1224" t="s">
        <v>5410</v>
      </c>
      <c r="C1224" t="s">
        <v>5619</v>
      </c>
      <c r="D1224" t="s">
        <v>1469</v>
      </c>
      <c r="E1224" t="s">
        <v>6451</v>
      </c>
      <c r="F1224" t="s">
        <v>13460</v>
      </c>
      <c r="G1224" t="s">
        <v>13461</v>
      </c>
      <c r="H1224" t="s">
        <v>13471</v>
      </c>
      <c r="I1224" t="s">
        <v>6479</v>
      </c>
      <c r="J1224" t="s">
        <v>13463</v>
      </c>
      <c r="K1224">
        <v>4</v>
      </c>
      <c r="L1224" t="s">
        <v>13466</v>
      </c>
      <c r="M1224" t="s">
        <v>13513</v>
      </c>
      <c r="N1224" t="str">
        <f>_xlfn.XLOOKUP(C:C,'Resource Table'!A:A,'Resource Table'!B:B,"NOT FOUND",0,1)</f>
        <v>Ralph Mann</v>
      </c>
      <c r="O1224" t="str">
        <f>_xlfn.XLOOKUP(N:N,'Resource Table'!B:B,'Resource Table'!C:C,"n/a",0,1)</f>
        <v>rmann@ameritfleet.com</v>
      </c>
      <c r="P1224" t="str">
        <f>_xlfn.XLOOKUP(N:N,'Resource Table'!B:B,'Resource Table'!D:D,"n/a",0,1)</f>
        <v>Vended Repair</v>
      </c>
    </row>
    <row r="1225" spans="1:16" x14ac:dyDescent="0.45">
      <c r="A1225" t="s">
        <v>5399</v>
      </c>
      <c r="B1225" t="s">
        <v>5410</v>
      </c>
      <c r="C1225" t="s">
        <v>5619</v>
      </c>
      <c r="D1225" t="s">
        <v>3294</v>
      </c>
      <c r="E1225" t="s">
        <v>6451</v>
      </c>
      <c r="F1225" t="s">
        <v>13460</v>
      </c>
      <c r="G1225" t="s">
        <v>13461</v>
      </c>
      <c r="H1225" t="s">
        <v>13471</v>
      </c>
      <c r="I1225" t="s">
        <v>6479</v>
      </c>
      <c r="J1225" t="s">
        <v>13463</v>
      </c>
      <c r="K1225">
        <v>0</v>
      </c>
      <c r="L1225" t="s">
        <v>20</v>
      </c>
      <c r="M1225" t="s">
        <v>20</v>
      </c>
      <c r="N1225" t="str">
        <f>_xlfn.XLOOKUP(C:C,'Resource Table'!A:A,'Resource Table'!B:B,"NOT FOUND",0,1)</f>
        <v>Ralph Mann</v>
      </c>
      <c r="O1225" t="str">
        <f>_xlfn.XLOOKUP(N:N,'Resource Table'!B:B,'Resource Table'!C:C,"n/a",0,1)</f>
        <v>rmann@ameritfleet.com</v>
      </c>
      <c r="P1225" t="str">
        <f>_xlfn.XLOOKUP(N:N,'Resource Table'!B:B,'Resource Table'!D:D,"n/a",0,1)</f>
        <v>Vended Repair</v>
      </c>
    </row>
    <row r="1226" spans="1:16" x14ac:dyDescent="0.45">
      <c r="A1226" t="s">
        <v>5399</v>
      </c>
      <c r="B1226" t="s">
        <v>5410</v>
      </c>
      <c r="C1226" t="s">
        <v>5619</v>
      </c>
      <c r="D1226" t="s">
        <v>2148</v>
      </c>
      <c r="E1226" t="s">
        <v>6451</v>
      </c>
      <c r="F1226" t="s">
        <v>13473</v>
      </c>
      <c r="G1226" t="s">
        <v>13474</v>
      </c>
      <c r="H1226" t="s">
        <v>13475</v>
      </c>
      <c r="I1226" t="s">
        <v>6479</v>
      </c>
      <c r="J1226" t="s">
        <v>13463</v>
      </c>
      <c r="K1226">
        <v>1</v>
      </c>
      <c r="L1226" t="s">
        <v>13512</v>
      </c>
      <c r="M1226" t="s">
        <v>13507</v>
      </c>
      <c r="N1226" t="str">
        <f>_xlfn.XLOOKUP(C:C,'Resource Table'!A:A,'Resource Table'!B:B,"NOT FOUND",0,1)</f>
        <v>Ralph Mann</v>
      </c>
      <c r="O1226" t="str">
        <f>_xlfn.XLOOKUP(N:N,'Resource Table'!B:B,'Resource Table'!C:C,"n/a",0,1)</f>
        <v>rmann@ameritfleet.com</v>
      </c>
      <c r="P1226" t="str">
        <f>_xlfn.XLOOKUP(N:N,'Resource Table'!B:B,'Resource Table'!D:D,"n/a",0,1)</f>
        <v>Vended Repair</v>
      </c>
    </row>
    <row r="1227" spans="1:16" x14ac:dyDescent="0.45">
      <c r="A1227" t="s">
        <v>5399</v>
      </c>
      <c r="B1227" t="s">
        <v>5410</v>
      </c>
      <c r="C1227" t="s">
        <v>5619</v>
      </c>
      <c r="D1227" t="s">
        <v>4317</v>
      </c>
      <c r="E1227" t="s">
        <v>6451</v>
      </c>
      <c r="F1227" t="s">
        <v>13460</v>
      </c>
      <c r="G1227" t="s">
        <v>13461</v>
      </c>
      <c r="H1227" t="s">
        <v>13465</v>
      </c>
      <c r="I1227" t="s">
        <v>6479</v>
      </c>
      <c r="J1227" t="s">
        <v>13463</v>
      </c>
      <c r="K1227">
        <v>2</v>
      </c>
      <c r="L1227" t="s">
        <v>13503</v>
      </c>
      <c r="M1227" t="s">
        <v>13505</v>
      </c>
      <c r="N1227" t="str">
        <f>_xlfn.XLOOKUP(C:C,'Resource Table'!A:A,'Resource Table'!B:B,"NOT FOUND",0,1)</f>
        <v>Ralph Mann</v>
      </c>
      <c r="O1227" t="str">
        <f>_xlfn.XLOOKUP(N:N,'Resource Table'!B:B,'Resource Table'!C:C,"n/a",0,1)</f>
        <v>rmann@ameritfleet.com</v>
      </c>
      <c r="P1227" t="str">
        <f>_xlfn.XLOOKUP(N:N,'Resource Table'!B:B,'Resource Table'!D:D,"n/a",0,1)</f>
        <v>Vended Repair</v>
      </c>
    </row>
    <row r="1228" spans="1:16" x14ac:dyDescent="0.45">
      <c r="A1228" t="s">
        <v>5399</v>
      </c>
      <c r="B1228" t="s">
        <v>5410</v>
      </c>
      <c r="C1228" t="s">
        <v>5619</v>
      </c>
      <c r="D1228" t="s">
        <v>2154</v>
      </c>
      <c r="E1228" t="s">
        <v>6451</v>
      </c>
      <c r="F1228" t="s">
        <v>13473</v>
      </c>
      <c r="G1228" t="s">
        <v>13474</v>
      </c>
      <c r="H1228" t="s">
        <v>13475</v>
      </c>
      <c r="I1228" t="s">
        <v>6479</v>
      </c>
      <c r="J1228" t="s">
        <v>13463</v>
      </c>
      <c r="K1228">
        <v>1</v>
      </c>
      <c r="L1228" t="s">
        <v>13548</v>
      </c>
      <c r="M1228" t="s">
        <v>13548</v>
      </c>
      <c r="N1228" t="str">
        <f>_xlfn.XLOOKUP(C:C,'Resource Table'!A:A,'Resource Table'!B:B,"NOT FOUND",0,1)</f>
        <v>Ralph Mann</v>
      </c>
      <c r="O1228" t="str">
        <f>_xlfn.XLOOKUP(N:N,'Resource Table'!B:B,'Resource Table'!C:C,"n/a",0,1)</f>
        <v>rmann@ameritfleet.com</v>
      </c>
      <c r="P1228" t="str">
        <f>_xlfn.XLOOKUP(N:N,'Resource Table'!B:B,'Resource Table'!D:D,"n/a",0,1)</f>
        <v>Vended Repair</v>
      </c>
    </row>
    <row r="1229" spans="1:16" x14ac:dyDescent="0.45">
      <c r="A1229" t="s">
        <v>5399</v>
      </c>
      <c r="B1229" t="s">
        <v>5410</v>
      </c>
      <c r="C1229" t="s">
        <v>5619</v>
      </c>
      <c r="D1229" t="s">
        <v>1333</v>
      </c>
      <c r="E1229" t="s">
        <v>6451</v>
      </c>
      <c r="F1229" t="s">
        <v>13473</v>
      </c>
      <c r="G1229" t="s">
        <v>13474</v>
      </c>
      <c r="H1229" t="s">
        <v>13521</v>
      </c>
      <c r="I1229" t="s">
        <v>6479</v>
      </c>
      <c r="J1229" t="s">
        <v>13463</v>
      </c>
      <c r="K1229">
        <v>1</v>
      </c>
      <c r="L1229" t="s">
        <v>13512</v>
      </c>
      <c r="M1229" t="s">
        <v>13507</v>
      </c>
      <c r="N1229" t="str">
        <f>_xlfn.XLOOKUP(C:C,'Resource Table'!A:A,'Resource Table'!B:B,"NOT FOUND",0,1)</f>
        <v>Ralph Mann</v>
      </c>
      <c r="O1229" t="str">
        <f>_xlfn.XLOOKUP(N:N,'Resource Table'!B:B,'Resource Table'!C:C,"n/a",0,1)</f>
        <v>rmann@ameritfleet.com</v>
      </c>
      <c r="P1229" t="str">
        <f>_xlfn.XLOOKUP(N:N,'Resource Table'!B:B,'Resource Table'!D:D,"n/a",0,1)</f>
        <v>Vended Repair</v>
      </c>
    </row>
    <row r="1230" spans="1:16" x14ac:dyDescent="0.45">
      <c r="A1230" t="s">
        <v>5399</v>
      </c>
      <c r="B1230" t="s">
        <v>5410</v>
      </c>
      <c r="C1230" t="s">
        <v>5619</v>
      </c>
      <c r="D1230" t="s">
        <v>1931</v>
      </c>
      <c r="E1230" t="s">
        <v>6461</v>
      </c>
      <c r="F1230" t="s">
        <v>13460</v>
      </c>
      <c r="G1230" t="s">
        <v>13538</v>
      </c>
      <c r="H1230" t="s">
        <v>13539</v>
      </c>
      <c r="I1230" t="s">
        <v>6479</v>
      </c>
      <c r="J1230" t="s">
        <v>13486</v>
      </c>
      <c r="K1230">
        <v>4</v>
      </c>
      <c r="L1230" t="s">
        <v>13512</v>
      </c>
      <c r="M1230" t="s">
        <v>13513</v>
      </c>
      <c r="N1230" t="str">
        <f>_xlfn.XLOOKUP(C:C,'Resource Table'!A:A,'Resource Table'!B:B,"NOT FOUND",0,1)</f>
        <v>Ralph Mann</v>
      </c>
      <c r="O1230" t="str">
        <f>_xlfn.XLOOKUP(N:N,'Resource Table'!B:B,'Resource Table'!C:C,"n/a",0,1)</f>
        <v>rmann@ameritfleet.com</v>
      </c>
      <c r="P1230" t="str">
        <f>_xlfn.XLOOKUP(N:N,'Resource Table'!B:B,'Resource Table'!D:D,"n/a",0,1)</f>
        <v>Vended Repair</v>
      </c>
    </row>
    <row r="1231" spans="1:16" x14ac:dyDescent="0.45">
      <c r="A1231" t="s">
        <v>5399</v>
      </c>
      <c r="B1231" t="s">
        <v>5410</v>
      </c>
      <c r="C1231" t="s">
        <v>5619</v>
      </c>
      <c r="D1231" t="s">
        <v>1630</v>
      </c>
      <c r="E1231" t="s">
        <v>6451</v>
      </c>
      <c r="F1231" t="s">
        <v>13460</v>
      </c>
      <c r="G1231" t="s">
        <v>13461</v>
      </c>
      <c r="H1231" t="s">
        <v>13471</v>
      </c>
      <c r="I1231" t="s">
        <v>6479</v>
      </c>
      <c r="J1231" t="s">
        <v>13463</v>
      </c>
      <c r="K1231">
        <v>2</v>
      </c>
      <c r="L1231" t="s">
        <v>13528</v>
      </c>
      <c r="M1231" t="s">
        <v>13505</v>
      </c>
      <c r="N1231" t="str">
        <f>_xlfn.XLOOKUP(C:C,'Resource Table'!A:A,'Resource Table'!B:B,"NOT FOUND",0,1)</f>
        <v>Ralph Mann</v>
      </c>
      <c r="O1231" t="str">
        <f>_xlfn.XLOOKUP(N:N,'Resource Table'!B:B,'Resource Table'!C:C,"n/a",0,1)</f>
        <v>rmann@ameritfleet.com</v>
      </c>
      <c r="P1231" t="str">
        <f>_xlfn.XLOOKUP(N:N,'Resource Table'!B:B,'Resource Table'!D:D,"n/a",0,1)</f>
        <v>Vended Repair</v>
      </c>
    </row>
    <row r="1232" spans="1:16" x14ac:dyDescent="0.45">
      <c r="A1232" t="s">
        <v>5399</v>
      </c>
      <c r="B1232" t="s">
        <v>5410</v>
      </c>
      <c r="C1232" t="s">
        <v>5619</v>
      </c>
      <c r="D1232" t="s">
        <v>1064</v>
      </c>
      <c r="E1232" t="s">
        <v>6451</v>
      </c>
      <c r="F1232" t="s">
        <v>13460</v>
      </c>
      <c r="G1232" t="s">
        <v>13461</v>
      </c>
      <c r="H1232" t="s">
        <v>13465</v>
      </c>
      <c r="I1232" t="s">
        <v>6479</v>
      </c>
      <c r="J1232" t="s">
        <v>13463</v>
      </c>
      <c r="K1232">
        <v>1</v>
      </c>
      <c r="L1232" t="s">
        <v>13493</v>
      </c>
      <c r="M1232" t="s">
        <v>13505</v>
      </c>
      <c r="N1232" t="str">
        <f>_xlfn.XLOOKUP(C:C,'Resource Table'!A:A,'Resource Table'!B:B,"NOT FOUND",0,1)</f>
        <v>Ralph Mann</v>
      </c>
      <c r="O1232" t="str">
        <f>_xlfn.XLOOKUP(N:N,'Resource Table'!B:B,'Resource Table'!C:C,"n/a",0,1)</f>
        <v>rmann@ameritfleet.com</v>
      </c>
      <c r="P1232" t="str">
        <f>_xlfn.XLOOKUP(N:N,'Resource Table'!B:B,'Resource Table'!D:D,"n/a",0,1)</f>
        <v>Vended Repair</v>
      </c>
    </row>
    <row r="1233" spans="1:16" x14ac:dyDescent="0.45">
      <c r="A1233" t="s">
        <v>5399</v>
      </c>
      <c r="B1233" t="s">
        <v>5410</v>
      </c>
      <c r="C1233" t="s">
        <v>5619</v>
      </c>
      <c r="D1233" t="s">
        <v>381</v>
      </c>
      <c r="E1233" t="s">
        <v>6451</v>
      </c>
      <c r="F1233" t="s">
        <v>13460</v>
      </c>
      <c r="G1233" t="s">
        <v>13461</v>
      </c>
      <c r="H1233" t="s">
        <v>13471</v>
      </c>
      <c r="I1233" t="s">
        <v>6479</v>
      </c>
      <c r="J1233" t="s">
        <v>13463</v>
      </c>
      <c r="K1233">
        <v>2</v>
      </c>
      <c r="L1233" t="s">
        <v>13493</v>
      </c>
      <c r="M1233" t="s">
        <v>13505</v>
      </c>
      <c r="N1233" t="str">
        <f>_xlfn.XLOOKUP(C:C,'Resource Table'!A:A,'Resource Table'!B:B,"NOT FOUND",0,1)</f>
        <v>Ralph Mann</v>
      </c>
      <c r="O1233" t="str">
        <f>_xlfn.XLOOKUP(N:N,'Resource Table'!B:B,'Resource Table'!C:C,"n/a",0,1)</f>
        <v>rmann@ameritfleet.com</v>
      </c>
      <c r="P1233" t="str">
        <f>_xlfn.XLOOKUP(N:N,'Resource Table'!B:B,'Resource Table'!D:D,"n/a",0,1)</f>
        <v>Vended Repair</v>
      </c>
    </row>
    <row r="1234" spans="1:16" x14ac:dyDescent="0.45">
      <c r="A1234" t="s">
        <v>5399</v>
      </c>
      <c r="B1234" t="s">
        <v>5410</v>
      </c>
      <c r="C1234" t="s">
        <v>5611</v>
      </c>
      <c r="D1234" t="s">
        <v>3788</v>
      </c>
      <c r="E1234" t="s">
        <v>6461</v>
      </c>
      <c r="F1234" t="s">
        <v>13460</v>
      </c>
      <c r="G1234" t="s">
        <v>13481</v>
      </c>
      <c r="H1234" t="s">
        <v>13568</v>
      </c>
      <c r="I1234" t="s">
        <v>6479</v>
      </c>
      <c r="J1234" t="s">
        <v>13463</v>
      </c>
      <c r="K1234">
        <v>1</v>
      </c>
      <c r="L1234" t="s">
        <v>13534</v>
      </c>
      <c r="M1234" t="s">
        <v>13534</v>
      </c>
      <c r="N1234" t="str">
        <f>_xlfn.XLOOKUP(C:C,'Resource Table'!A:A,'Resource Table'!B:B,"NOT FOUND",0,1)</f>
        <v>Ralph Mann</v>
      </c>
      <c r="O1234" t="str">
        <f>_xlfn.XLOOKUP(N:N,'Resource Table'!B:B,'Resource Table'!C:C,"n/a",0,1)</f>
        <v>rmann@ameritfleet.com</v>
      </c>
      <c r="P1234" t="str">
        <f>_xlfn.XLOOKUP(N:N,'Resource Table'!B:B,'Resource Table'!D:D,"n/a",0,1)</f>
        <v>Vended Repair</v>
      </c>
    </row>
    <row r="1235" spans="1:16" x14ac:dyDescent="0.45">
      <c r="A1235" t="s">
        <v>5399</v>
      </c>
      <c r="B1235" t="s">
        <v>5410</v>
      </c>
      <c r="C1235" t="s">
        <v>5611</v>
      </c>
      <c r="D1235" t="s">
        <v>971</v>
      </c>
      <c r="E1235" t="s">
        <v>6451</v>
      </c>
      <c r="F1235" t="s">
        <v>13460</v>
      </c>
      <c r="G1235" t="s">
        <v>13461</v>
      </c>
      <c r="H1235" t="s">
        <v>13462</v>
      </c>
      <c r="I1235" t="s">
        <v>6479</v>
      </c>
      <c r="J1235" t="s">
        <v>13463</v>
      </c>
      <c r="K1235">
        <v>1</v>
      </c>
      <c r="L1235" t="s">
        <v>13528</v>
      </c>
      <c r="M1235" t="s">
        <v>13505</v>
      </c>
      <c r="N1235" t="str">
        <f>_xlfn.XLOOKUP(C:C,'Resource Table'!A:A,'Resource Table'!B:B,"NOT FOUND",0,1)</f>
        <v>Ralph Mann</v>
      </c>
      <c r="O1235" t="str">
        <f>_xlfn.XLOOKUP(N:N,'Resource Table'!B:B,'Resource Table'!C:C,"n/a",0,1)</f>
        <v>rmann@ameritfleet.com</v>
      </c>
      <c r="P1235" t="str">
        <f>_xlfn.XLOOKUP(N:N,'Resource Table'!B:B,'Resource Table'!D:D,"n/a",0,1)</f>
        <v>Vended Repair</v>
      </c>
    </row>
    <row r="1236" spans="1:16" x14ac:dyDescent="0.45">
      <c r="A1236" t="s">
        <v>5399</v>
      </c>
      <c r="B1236" t="s">
        <v>5410</v>
      </c>
      <c r="C1236" t="s">
        <v>5611</v>
      </c>
      <c r="D1236" t="s">
        <v>4460</v>
      </c>
      <c r="E1236" t="s">
        <v>6461</v>
      </c>
      <c r="F1236" t="s">
        <v>13460</v>
      </c>
      <c r="G1236" t="s">
        <v>13481</v>
      </c>
      <c r="H1236" t="s">
        <v>13482</v>
      </c>
      <c r="I1236" t="s">
        <v>6479</v>
      </c>
      <c r="J1236" t="s">
        <v>13463</v>
      </c>
      <c r="K1236">
        <v>2</v>
      </c>
      <c r="L1236" t="s">
        <v>13472</v>
      </c>
      <c r="M1236" t="s">
        <v>13505</v>
      </c>
      <c r="N1236" t="str">
        <f>_xlfn.XLOOKUP(C:C,'Resource Table'!A:A,'Resource Table'!B:B,"NOT FOUND",0,1)</f>
        <v>Ralph Mann</v>
      </c>
      <c r="O1236" t="str">
        <f>_xlfn.XLOOKUP(N:N,'Resource Table'!B:B,'Resource Table'!C:C,"n/a",0,1)</f>
        <v>rmann@ameritfleet.com</v>
      </c>
      <c r="P1236" t="str">
        <f>_xlfn.XLOOKUP(N:N,'Resource Table'!B:B,'Resource Table'!D:D,"n/a",0,1)</f>
        <v>Vended Repair</v>
      </c>
    </row>
    <row r="1237" spans="1:16" x14ac:dyDescent="0.45">
      <c r="A1237" t="s">
        <v>5399</v>
      </c>
      <c r="B1237" t="s">
        <v>5410</v>
      </c>
      <c r="C1237" t="s">
        <v>5611</v>
      </c>
      <c r="D1237" t="s">
        <v>717</v>
      </c>
      <c r="E1237" t="s">
        <v>6451</v>
      </c>
      <c r="F1237" t="s">
        <v>13460</v>
      </c>
      <c r="G1237" t="s">
        <v>13461</v>
      </c>
      <c r="H1237" t="s">
        <v>13465</v>
      </c>
      <c r="I1237" t="s">
        <v>6479</v>
      </c>
      <c r="J1237" t="s">
        <v>13463</v>
      </c>
      <c r="K1237">
        <v>1</v>
      </c>
      <c r="L1237" t="s">
        <v>13534</v>
      </c>
      <c r="M1237" t="s">
        <v>13534</v>
      </c>
      <c r="N1237" t="str">
        <f>_xlfn.XLOOKUP(C:C,'Resource Table'!A:A,'Resource Table'!B:B,"NOT FOUND",0,1)</f>
        <v>Ralph Mann</v>
      </c>
      <c r="O1237" t="str">
        <f>_xlfn.XLOOKUP(N:N,'Resource Table'!B:B,'Resource Table'!C:C,"n/a",0,1)</f>
        <v>rmann@ameritfleet.com</v>
      </c>
      <c r="P1237" t="str">
        <f>_xlfn.XLOOKUP(N:N,'Resource Table'!B:B,'Resource Table'!D:D,"n/a",0,1)</f>
        <v>Vended Repair</v>
      </c>
    </row>
    <row r="1238" spans="1:16" x14ac:dyDescent="0.45">
      <c r="A1238" t="s">
        <v>5399</v>
      </c>
      <c r="B1238" t="s">
        <v>5410</v>
      </c>
      <c r="C1238" t="s">
        <v>5611</v>
      </c>
      <c r="D1238" t="s">
        <v>3975</v>
      </c>
      <c r="E1238" t="s">
        <v>6451</v>
      </c>
      <c r="F1238" t="s">
        <v>13473</v>
      </c>
      <c r="G1238" t="s">
        <v>13474</v>
      </c>
      <c r="H1238" t="s">
        <v>13475</v>
      </c>
      <c r="I1238" t="s">
        <v>6479</v>
      </c>
      <c r="J1238" t="s">
        <v>13463</v>
      </c>
      <c r="K1238">
        <v>1</v>
      </c>
      <c r="L1238" t="s">
        <v>13472</v>
      </c>
      <c r="M1238" t="s">
        <v>13505</v>
      </c>
      <c r="N1238" t="str">
        <f>_xlfn.XLOOKUP(C:C,'Resource Table'!A:A,'Resource Table'!B:B,"NOT FOUND",0,1)</f>
        <v>Ralph Mann</v>
      </c>
      <c r="O1238" t="str">
        <f>_xlfn.XLOOKUP(N:N,'Resource Table'!B:B,'Resource Table'!C:C,"n/a",0,1)</f>
        <v>rmann@ameritfleet.com</v>
      </c>
      <c r="P1238" t="str">
        <f>_xlfn.XLOOKUP(N:N,'Resource Table'!B:B,'Resource Table'!D:D,"n/a",0,1)</f>
        <v>Vended Repair</v>
      </c>
    </row>
    <row r="1239" spans="1:16" x14ac:dyDescent="0.45">
      <c r="A1239" t="s">
        <v>5399</v>
      </c>
      <c r="B1239" t="s">
        <v>5410</v>
      </c>
      <c r="C1239" t="s">
        <v>5611</v>
      </c>
      <c r="D1239" t="s">
        <v>985</v>
      </c>
      <c r="E1239" t="s">
        <v>6461</v>
      </c>
      <c r="F1239" t="s">
        <v>13460</v>
      </c>
      <c r="G1239" t="s">
        <v>13481</v>
      </c>
      <c r="H1239" t="s">
        <v>13482</v>
      </c>
      <c r="I1239" t="s">
        <v>6479</v>
      </c>
      <c r="J1239" t="s">
        <v>13463</v>
      </c>
      <c r="K1239">
        <v>0</v>
      </c>
      <c r="L1239" t="s">
        <v>20</v>
      </c>
      <c r="M1239" t="s">
        <v>20</v>
      </c>
      <c r="N1239" t="str">
        <f>_xlfn.XLOOKUP(C:C,'Resource Table'!A:A,'Resource Table'!B:B,"NOT FOUND",0,1)</f>
        <v>Ralph Mann</v>
      </c>
      <c r="O1239" t="str">
        <f>_xlfn.XLOOKUP(N:N,'Resource Table'!B:B,'Resource Table'!C:C,"n/a",0,1)</f>
        <v>rmann@ameritfleet.com</v>
      </c>
      <c r="P1239" t="str">
        <f>_xlfn.XLOOKUP(N:N,'Resource Table'!B:B,'Resource Table'!D:D,"n/a",0,1)</f>
        <v>Vended Repair</v>
      </c>
    </row>
    <row r="1240" spans="1:16" x14ac:dyDescent="0.45">
      <c r="A1240" t="s">
        <v>5399</v>
      </c>
      <c r="B1240" t="s">
        <v>5410</v>
      </c>
      <c r="C1240" t="s">
        <v>5468</v>
      </c>
      <c r="D1240" t="s">
        <v>5736</v>
      </c>
      <c r="E1240" t="s">
        <v>6451</v>
      </c>
      <c r="F1240" t="s">
        <v>13473</v>
      </c>
      <c r="G1240" t="s">
        <v>13474</v>
      </c>
      <c r="H1240" t="s">
        <v>13517</v>
      </c>
      <c r="I1240" t="s">
        <v>6479</v>
      </c>
      <c r="J1240" t="s">
        <v>13463</v>
      </c>
      <c r="K1240">
        <v>1</v>
      </c>
      <c r="L1240" t="s">
        <v>13524</v>
      </c>
      <c r="M1240" t="s">
        <v>20</v>
      </c>
      <c r="N1240" t="str">
        <f>_xlfn.XLOOKUP(C:C,'Resource Table'!A:A,'Resource Table'!B:B,"NOT FOUND",0,1)</f>
        <v>Ralph Mann</v>
      </c>
      <c r="O1240" t="str">
        <f>_xlfn.XLOOKUP(N:N,'Resource Table'!B:B,'Resource Table'!C:C,"n/a",0,1)</f>
        <v>rmann@ameritfleet.com</v>
      </c>
      <c r="P1240" t="str">
        <f>_xlfn.XLOOKUP(N:N,'Resource Table'!B:B,'Resource Table'!D:D,"n/a",0,1)</f>
        <v>Vended Repair</v>
      </c>
    </row>
    <row r="1241" spans="1:16" x14ac:dyDescent="0.45">
      <c r="A1241" t="s">
        <v>5399</v>
      </c>
      <c r="B1241" t="s">
        <v>5410</v>
      </c>
      <c r="C1241" t="s">
        <v>5468</v>
      </c>
      <c r="D1241" t="s">
        <v>208</v>
      </c>
      <c r="E1241" t="s">
        <v>6451</v>
      </c>
      <c r="F1241" t="s">
        <v>13473</v>
      </c>
      <c r="G1241" t="s">
        <v>13474</v>
      </c>
      <c r="H1241" t="s">
        <v>13475</v>
      </c>
      <c r="I1241" t="s">
        <v>29</v>
      </c>
      <c r="J1241" t="s">
        <v>13463</v>
      </c>
      <c r="K1241">
        <v>2</v>
      </c>
      <c r="L1241" t="s">
        <v>13542</v>
      </c>
      <c r="M1241" t="s">
        <v>13537</v>
      </c>
      <c r="N1241" t="str">
        <f>_xlfn.XLOOKUP(C:C,'Resource Table'!A:A,'Resource Table'!B:B,"NOT FOUND",0,1)</f>
        <v>Ralph Mann</v>
      </c>
      <c r="O1241" t="str">
        <f>_xlfn.XLOOKUP(N:N,'Resource Table'!B:B,'Resource Table'!C:C,"n/a",0,1)</f>
        <v>rmann@ameritfleet.com</v>
      </c>
      <c r="P1241" t="str">
        <f>_xlfn.XLOOKUP(N:N,'Resource Table'!B:B,'Resource Table'!D:D,"n/a",0,1)</f>
        <v>Vended Repair</v>
      </c>
    </row>
    <row r="1242" spans="1:16" x14ac:dyDescent="0.45">
      <c r="A1242" t="s">
        <v>5399</v>
      </c>
      <c r="B1242" t="s">
        <v>5410</v>
      </c>
      <c r="C1242" t="s">
        <v>5468</v>
      </c>
      <c r="D1242" t="s">
        <v>1104</v>
      </c>
      <c r="E1242" t="s">
        <v>6451</v>
      </c>
      <c r="F1242" t="s">
        <v>13460</v>
      </c>
      <c r="G1242" t="s">
        <v>13476</v>
      </c>
      <c r="H1242" t="s">
        <v>13477</v>
      </c>
      <c r="I1242" t="s">
        <v>6479</v>
      </c>
      <c r="J1242" t="s">
        <v>13463</v>
      </c>
      <c r="K1242">
        <v>2</v>
      </c>
      <c r="L1242" t="s">
        <v>13504</v>
      </c>
      <c r="M1242" t="s">
        <v>13512</v>
      </c>
      <c r="N1242" t="str">
        <f>_xlfn.XLOOKUP(C:C,'Resource Table'!A:A,'Resource Table'!B:B,"NOT FOUND",0,1)</f>
        <v>Ralph Mann</v>
      </c>
      <c r="O1242" t="str">
        <f>_xlfn.XLOOKUP(N:N,'Resource Table'!B:B,'Resource Table'!C:C,"n/a",0,1)</f>
        <v>rmann@ameritfleet.com</v>
      </c>
      <c r="P1242" t="str">
        <f>_xlfn.XLOOKUP(N:N,'Resource Table'!B:B,'Resource Table'!D:D,"n/a",0,1)</f>
        <v>Vended Repair</v>
      </c>
    </row>
    <row r="1243" spans="1:16" x14ac:dyDescent="0.45">
      <c r="A1243" t="s">
        <v>5399</v>
      </c>
      <c r="B1243" t="s">
        <v>5410</v>
      </c>
      <c r="C1243" t="s">
        <v>5468</v>
      </c>
      <c r="D1243" t="s">
        <v>886</v>
      </c>
      <c r="E1243" t="s">
        <v>6451</v>
      </c>
      <c r="F1243" t="s">
        <v>13460</v>
      </c>
      <c r="G1243" t="s">
        <v>13461</v>
      </c>
      <c r="H1243" t="s">
        <v>13471</v>
      </c>
      <c r="I1243" t="s">
        <v>29</v>
      </c>
      <c r="J1243" t="s">
        <v>13463</v>
      </c>
      <c r="K1243">
        <v>2</v>
      </c>
      <c r="L1243" t="s">
        <v>13535</v>
      </c>
      <c r="M1243" t="s">
        <v>13484</v>
      </c>
      <c r="N1243" t="str">
        <f>_xlfn.XLOOKUP(C:C,'Resource Table'!A:A,'Resource Table'!B:B,"NOT FOUND",0,1)</f>
        <v>Ralph Mann</v>
      </c>
      <c r="O1243" t="str">
        <f>_xlfn.XLOOKUP(N:N,'Resource Table'!B:B,'Resource Table'!C:C,"n/a",0,1)</f>
        <v>rmann@ameritfleet.com</v>
      </c>
      <c r="P1243" t="str">
        <f>_xlfn.XLOOKUP(N:N,'Resource Table'!B:B,'Resource Table'!D:D,"n/a",0,1)</f>
        <v>Vended Repair</v>
      </c>
    </row>
    <row r="1244" spans="1:16" x14ac:dyDescent="0.45">
      <c r="A1244" t="s">
        <v>5399</v>
      </c>
      <c r="B1244" t="s">
        <v>5410</v>
      </c>
      <c r="C1244" t="s">
        <v>5468</v>
      </c>
      <c r="D1244" t="s">
        <v>842</v>
      </c>
      <c r="E1244" t="s">
        <v>6451</v>
      </c>
      <c r="F1244" t="s">
        <v>13473</v>
      </c>
      <c r="G1244" t="s">
        <v>13474</v>
      </c>
      <c r="H1244" t="s">
        <v>13517</v>
      </c>
      <c r="I1244" t="s">
        <v>6479</v>
      </c>
      <c r="J1244" t="s">
        <v>13463</v>
      </c>
      <c r="K1244">
        <v>0</v>
      </c>
      <c r="L1244" t="s">
        <v>20</v>
      </c>
      <c r="M1244" t="s">
        <v>20</v>
      </c>
      <c r="N1244" t="str">
        <f>_xlfn.XLOOKUP(C:C,'Resource Table'!A:A,'Resource Table'!B:B,"NOT FOUND",0,1)</f>
        <v>Ralph Mann</v>
      </c>
      <c r="O1244" t="str">
        <f>_xlfn.XLOOKUP(N:N,'Resource Table'!B:B,'Resource Table'!C:C,"n/a",0,1)</f>
        <v>rmann@ameritfleet.com</v>
      </c>
      <c r="P1244" t="str">
        <f>_xlfn.XLOOKUP(N:N,'Resource Table'!B:B,'Resource Table'!D:D,"n/a",0,1)</f>
        <v>Vended Repair</v>
      </c>
    </row>
    <row r="1245" spans="1:16" x14ac:dyDescent="0.45">
      <c r="A1245" t="s">
        <v>5399</v>
      </c>
      <c r="B1245" t="s">
        <v>5410</v>
      </c>
      <c r="C1245" t="s">
        <v>5468</v>
      </c>
      <c r="D1245" t="s">
        <v>4430</v>
      </c>
      <c r="E1245" t="s">
        <v>6461</v>
      </c>
      <c r="F1245" t="s">
        <v>13460</v>
      </c>
      <c r="G1245" t="s">
        <v>13538</v>
      </c>
      <c r="H1245" t="s">
        <v>13539</v>
      </c>
      <c r="I1245" t="s">
        <v>6479</v>
      </c>
      <c r="J1245" t="s">
        <v>13486</v>
      </c>
      <c r="K1245">
        <v>3</v>
      </c>
      <c r="L1245" t="s">
        <v>13524</v>
      </c>
      <c r="M1245" t="s">
        <v>13507</v>
      </c>
      <c r="N1245" t="str">
        <f>_xlfn.XLOOKUP(C:C,'Resource Table'!A:A,'Resource Table'!B:B,"NOT FOUND",0,1)</f>
        <v>Ralph Mann</v>
      </c>
      <c r="O1245" t="str">
        <f>_xlfn.XLOOKUP(N:N,'Resource Table'!B:B,'Resource Table'!C:C,"n/a",0,1)</f>
        <v>rmann@ameritfleet.com</v>
      </c>
      <c r="P1245" t="str">
        <f>_xlfn.XLOOKUP(N:N,'Resource Table'!B:B,'Resource Table'!D:D,"n/a",0,1)</f>
        <v>Vended Repair</v>
      </c>
    </row>
    <row r="1246" spans="1:16" x14ac:dyDescent="0.45">
      <c r="A1246" t="s">
        <v>5399</v>
      </c>
      <c r="B1246" t="s">
        <v>5410</v>
      </c>
      <c r="C1246" t="s">
        <v>5468</v>
      </c>
      <c r="D1246" t="s">
        <v>2648</v>
      </c>
      <c r="E1246" t="s">
        <v>6461</v>
      </c>
      <c r="F1246" t="s">
        <v>13460</v>
      </c>
      <c r="G1246" t="s">
        <v>13481</v>
      </c>
      <c r="H1246" t="s">
        <v>13482</v>
      </c>
      <c r="I1246" t="s">
        <v>6479</v>
      </c>
      <c r="J1246" t="s">
        <v>13486</v>
      </c>
      <c r="K1246">
        <v>4</v>
      </c>
      <c r="L1246" t="s">
        <v>13528</v>
      </c>
      <c r="M1246" t="s">
        <v>13472</v>
      </c>
      <c r="N1246" t="str">
        <f>_xlfn.XLOOKUP(C:C,'Resource Table'!A:A,'Resource Table'!B:B,"NOT FOUND",0,1)</f>
        <v>Ralph Mann</v>
      </c>
      <c r="O1246" t="str">
        <f>_xlfn.XLOOKUP(N:N,'Resource Table'!B:B,'Resource Table'!C:C,"n/a",0,1)</f>
        <v>rmann@ameritfleet.com</v>
      </c>
      <c r="P1246" t="str">
        <f>_xlfn.XLOOKUP(N:N,'Resource Table'!B:B,'Resource Table'!D:D,"n/a",0,1)</f>
        <v>Vended Repair</v>
      </c>
    </row>
    <row r="1247" spans="1:16" x14ac:dyDescent="0.45">
      <c r="A1247" t="s">
        <v>5399</v>
      </c>
      <c r="B1247" t="s">
        <v>5410</v>
      </c>
      <c r="C1247" t="s">
        <v>5468</v>
      </c>
      <c r="D1247" t="s">
        <v>3235</v>
      </c>
      <c r="E1247" t="s">
        <v>6451</v>
      </c>
      <c r="F1247" t="s">
        <v>13473</v>
      </c>
      <c r="G1247" t="s">
        <v>13474</v>
      </c>
      <c r="H1247" t="s">
        <v>13521</v>
      </c>
      <c r="I1247" t="s">
        <v>6479</v>
      </c>
      <c r="J1247" t="s">
        <v>13463</v>
      </c>
      <c r="K1247">
        <v>3</v>
      </c>
      <c r="L1247" t="s">
        <v>13503</v>
      </c>
      <c r="M1247" t="s">
        <v>13505</v>
      </c>
      <c r="N1247" t="str">
        <f>_xlfn.XLOOKUP(C:C,'Resource Table'!A:A,'Resource Table'!B:B,"NOT FOUND",0,1)</f>
        <v>Ralph Mann</v>
      </c>
      <c r="O1247" t="str">
        <f>_xlfn.XLOOKUP(N:N,'Resource Table'!B:B,'Resource Table'!C:C,"n/a",0,1)</f>
        <v>rmann@ameritfleet.com</v>
      </c>
      <c r="P1247" t="str">
        <f>_xlfn.XLOOKUP(N:N,'Resource Table'!B:B,'Resource Table'!D:D,"n/a",0,1)</f>
        <v>Vended Repair</v>
      </c>
    </row>
    <row r="1248" spans="1:16" x14ac:dyDescent="0.45">
      <c r="A1248" t="s">
        <v>5399</v>
      </c>
      <c r="B1248" t="s">
        <v>5410</v>
      </c>
      <c r="C1248" t="s">
        <v>5468</v>
      </c>
      <c r="D1248" t="s">
        <v>175</v>
      </c>
      <c r="E1248" t="s">
        <v>6451</v>
      </c>
      <c r="F1248" t="s">
        <v>13460</v>
      </c>
      <c r="G1248" t="s">
        <v>13476</v>
      </c>
      <c r="H1248" t="s">
        <v>13477</v>
      </c>
      <c r="I1248" t="s">
        <v>6479</v>
      </c>
      <c r="J1248" t="s">
        <v>13463</v>
      </c>
      <c r="K1248">
        <v>2</v>
      </c>
      <c r="L1248" t="s">
        <v>13528</v>
      </c>
      <c r="M1248" t="s">
        <v>13505</v>
      </c>
      <c r="N1248" t="str">
        <f>_xlfn.XLOOKUP(C:C,'Resource Table'!A:A,'Resource Table'!B:B,"NOT FOUND",0,1)</f>
        <v>Ralph Mann</v>
      </c>
      <c r="O1248" t="str">
        <f>_xlfn.XLOOKUP(N:N,'Resource Table'!B:B,'Resource Table'!C:C,"n/a",0,1)</f>
        <v>rmann@ameritfleet.com</v>
      </c>
      <c r="P1248" t="str">
        <f>_xlfn.XLOOKUP(N:N,'Resource Table'!B:B,'Resource Table'!D:D,"n/a",0,1)</f>
        <v>Vended Repair</v>
      </c>
    </row>
    <row r="1249" spans="1:16" x14ac:dyDescent="0.45">
      <c r="A1249" t="s">
        <v>5399</v>
      </c>
      <c r="B1249" t="s">
        <v>5410</v>
      </c>
      <c r="C1249" t="s">
        <v>5468</v>
      </c>
      <c r="D1249" t="s">
        <v>1409</v>
      </c>
      <c r="E1249" t="s">
        <v>6451</v>
      </c>
      <c r="F1249" t="s">
        <v>13525</v>
      </c>
      <c r="G1249" t="s">
        <v>13617</v>
      </c>
      <c r="H1249" t="s">
        <v>13618</v>
      </c>
      <c r="I1249" t="s">
        <v>6479</v>
      </c>
      <c r="J1249" t="s">
        <v>13463</v>
      </c>
      <c r="K1249">
        <v>2</v>
      </c>
      <c r="L1249" t="s">
        <v>13528</v>
      </c>
      <c r="M1249" t="s">
        <v>13505</v>
      </c>
      <c r="N1249" t="str">
        <f>_xlfn.XLOOKUP(C:C,'Resource Table'!A:A,'Resource Table'!B:B,"NOT FOUND",0,1)</f>
        <v>Ralph Mann</v>
      </c>
      <c r="O1249" t="str">
        <f>_xlfn.XLOOKUP(N:N,'Resource Table'!B:B,'Resource Table'!C:C,"n/a",0,1)</f>
        <v>rmann@ameritfleet.com</v>
      </c>
      <c r="P1249" t="str">
        <f>_xlfn.XLOOKUP(N:N,'Resource Table'!B:B,'Resource Table'!D:D,"n/a",0,1)</f>
        <v>Vended Repair</v>
      </c>
    </row>
    <row r="1250" spans="1:16" x14ac:dyDescent="0.45">
      <c r="A1250" t="s">
        <v>5399</v>
      </c>
      <c r="B1250" t="s">
        <v>5410</v>
      </c>
      <c r="C1250" t="s">
        <v>5468</v>
      </c>
      <c r="D1250" t="s">
        <v>352</v>
      </c>
      <c r="E1250" t="s">
        <v>6461</v>
      </c>
      <c r="F1250" t="s">
        <v>13460</v>
      </c>
      <c r="G1250" t="s">
        <v>13481</v>
      </c>
      <c r="H1250" t="s">
        <v>13482</v>
      </c>
      <c r="I1250" t="s">
        <v>6479</v>
      </c>
      <c r="J1250" t="s">
        <v>13486</v>
      </c>
      <c r="K1250">
        <v>5</v>
      </c>
      <c r="L1250" t="s">
        <v>13552</v>
      </c>
      <c r="M1250" t="s">
        <v>13513</v>
      </c>
      <c r="N1250" t="str">
        <f>_xlfn.XLOOKUP(C:C,'Resource Table'!A:A,'Resource Table'!B:B,"NOT FOUND",0,1)</f>
        <v>Ralph Mann</v>
      </c>
      <c r="O1250" t="str">
        <f>_xlfn.XLOOKUP(N:N,'Resource Table'!B:B,'Resource Table'!C:C,"n/a",0,1)</f>
        <v>rmann@ameritfleet.com</v>
      </c>
      <c r="P1250" t="str">
        <f>_xlfn.XLOOKUP(N:N,'Resource Table'!B:B,'Resource Table'!D:D,"n/a",0,1)</f>
        <v>Vended Repair</v>
      </c>
    </row>
    <row r="1251" spans="1:16" x14ac:dyDescent="0.45">
      <c r="A1251" t="s">
        <v>5399</v>
      </c>
      <c r="B1251" t="s">
        <v>5410</v>
      </c>
      <c r="C1251" t="s">
        <v>5468</v>
      </c>
      <c r="D1251" t="s">
        <v>2903</v>
      </c>
      <c r="E1251" t="s">
        <v>6451</v>
      </c>
      <c r="F1251" t="s">
        <v>13460</v>
      </c>
      <c r="G1251" t="s">
        <v>13476</v>
      </c>
      <c r="H1251" t="s">
        <v>13477</v>
      </c>
      <c r="I1251" t="s">
        <v>29</v>
      </c>
      <c r="J1251" t="s">
        <v>13463</v>
      </c>
      <c r="K1251">
        <v>1</v>
      </c>
      <c r="L1251" t="s">
        <v>13528</v>
      </c>
      <c r="M1251" t="s">
        <v>13528</v>
      </c>
      <c r="N1251" t="str">
        <f>_xlfn.XLOOKUP(C:C,'Resource Table'!A:A,'Resource Table'!B:B,"NOT FOUND",0,1)</f>
        <v>Ralph Mann</v>
      </c>
      <c r="O1251" t="str">
        <f>_xlfn.XLOOKUP(N:N,'Resource Table'!B:B,'Resource Table'!C:C,"n/a",0,1)</f>
        <v>rmann@ameritfleet.com</v>
      </c>
      <c r="P1251" t="str">
        <f>_xlfn.XLOOKUP(N:N,'Resource Table'!B:B,'Resource Table'!D:D,"n/a",0,1)</f>
        <v>Vended Repair</v>
      </c>
    </row>
    <row r="1252" spans="1:16" x14ac:dyDescent="0.45">
      <c r="A1252" t="s">
        <v>5399</v>
      </c>
      <c r="B1252" t="s">
        <v>5410</v>
      </c>
      <c r="C1252" t="s">
        <v>5468</v>
      </c>
      <c r="D1252" t="s">
        <v>483</v>
      </c>
      <c r="E1252" t="s">
        <v>6451</v>
      </c>
      <c r="F1252" t="s">
        <v>13460</v>
      </c>
      <c r="G1252" t="s">
        <v>13476</v>
      </c>
      <c r="H1252" t="s">
        <v>13531</v>
      </c>
      <c r="I1252" t="s">
        <v>6479</v>
      </c>
      <c r="J1252" t="s">
        <v>13463</v>
      </c>
      <c r="K1252">
        <v>2</v>
      </c>
      <c r="L1252" t="s">
        <v>13524</v>
      </c>
      <c r="M1252" t="s">
        <v>13581</v>
      </c>
      <c r="N1252" t="str">
        <f>_xlfn.XLOOKUP(C:C,'Resource Table'!A:A,'Resource Table'!B:B,"NOT FOUND",0,1)</f>
        <v>Ralph Mann</v>
      </c>
      <c r="O1252" t="str">
        <f>_xlfn.XLOOKUP(N:N,'Resource Table'!B:B,'Resource Table'!C:C,"n/a",0,1)</f>
        <v>rmann@ameritfleet.com</v>
      </c>
      <c r="P1252" t="str">
        <f>_xlfn.XLOOKUP(N:N,'Resource Table'!B:B,'Resource Table'!D:D,"n/a",0,1)</f>
        <v>Vended Repair</v>
      </c>
    </row>
    <row r="1253" spans="1:16" x14ac:dyDescent="0.45">
      <c r="A1253" t="s">
        <v>5399</v>
      </c>
      <c r="B1253" t="s">
        <v>5410</v>
      </c>
      <c r="C1253" t="s">
        <v>5468</v>
      </c>
      <c r="D1253" t="s">
        <v>1355</v>
      </c>
      <c r="E1253" t="s">
        <v>6461</v>
      </c>
      <c r="F1253" t="s">
        <v>13460</v>
      </c>
      <c r="G1253" t="s">
        <v>13481</v>
      </c>
      <c r="H1253" t="s">
        <v>13482</v>
      </c>
      <c r="I1253" t="s">
        <v>6479</v>
      </c>
      <c r="J1253" t="s">
        <v>13486</v>
      </c>
      <c r="K1253">
        <v>3</v>
      </c>
      <c r="L1253" t="s">
        <v>13529</v>
      </c>
      <c r="M1253" t="s">
        <v>13591</v>
      </c>
      <c r="N1253" t="str">
        <f>_xlfn.XLOOKUP(C:C,'Resource Table'!A:A,'Resource Table'!B:B,"NOT FOUND",0,1)</f>
        <v>Ralph Mann</v>
      </c>
      <c r="O1253" t="str">
        <f>_xlfn.XLOOKUP(N:N,'Resource Table'!B:B,'Resource Table'!C:C,"n/a",0,1)</f>
        <v>rmann@ameritfleet.com</v>
      </c>
      <c r="P1253" t="str">
        <f>_xlfn.XLOOKUP(N:N,'Resource Table'!B:B,'Resource Table'!D:D,"n/a",0,1)</f>
        <v>Vended Repair</v>
      </c>
    </row>
    <row r="1254" spans="1:16" x14ac:dyDescent="0.45">
      <c r="A1254" t="s">
        <v>5399</v>
      </c>
      <c r="B1254" t="s">
        <v>5410</v>
      </c>
      <c r="C1254" t="s">
        <v>5636</v>
      </c>
      <c r="D1254" t="s">
        <v>1036</v>
      </c>
      <c r="E1254" t="s">
        <v>6451</v>
      </c>
      <c r="F1254" t="s">
        <v>13473</v>
      </c>
      <c r="G1254" t="s">
        <v>13474</v>
      </c>
      <c r="H1254" t="s">
        <v>13517</v>
      </c>
      <c r="I1254" t="s">
        <v>6479</v>
      </c>
      <c r="J1254" t="s">
        <v>13463</v>
      </c>
      <c r="K1254">
        <v>0</v>
      </c>
      <c r="L1254" t="s">
        <v>20</v>
      </c>
      <c r="M1254" t="s">
        <v>20</v>
      </c>
      <c r="N1254" t="str">
        <f>_xlfn.XLOOKUP(C:C,'Resource Table'!A:A,'Resource Table'!B:B,"NOT FOUND",0,1)</f>
        <v>Ralph Mann</v>
      </c>
      <c r="O1254" t="str">
        <f>_xlfn.XLOOKUP(N:N,'Resource Table'!B:B,'Resource Table'!C:C,"n/a",0,1)</f>
        <v>rmann@ameritfleet.com</v>
      </c>
      <c r="P1254" t="str">
        <f>_xlfn.XLOOKUP(N:N,'Resource Table'!B:B,'Resource Table'!D:D,"n/a",0,1)</f>
        <v>Vended Repair</v>
      </c>
    </row>
    <row r="1255" spans="1:16" x14ac:dyDescent="0.45">
      <c r="A1255" t="s">
        <v>5399</v>
      </c>
      <c r="B1255" t="s">
        <v>5410</v>
      </c>
      <c r="C1255" t="s">
        <v>5636</v>
      </c>
      <c r="D1255" t="s">
        <v>1949</v>
      </c>
      <c r="E1255" t="s">
        <v>6451</v>
      </c>
      <c r="F1255" t="s">
        <v>13473</v>
      </c>
      <c r="G1255" t="s">
        <v>13474</v>
      </c>
      <c r="H1255" t="s">
        <v>13517</v>
      </c>
      <c r="I1255" t="s">
        <v>6479</v>
      </c>
      <c r="J1255" t="s">
        <v>13463</v>
      </c>
      <c r="K1255">
        <v>2</v>
      </c>
      <c r="L1255" t="s">
        <v>13552</v>
      </c>
      <c r="M1255" t="s">
        <v>13472</v>
      </c>
      <c r="N1255" t="str">
        <f>_xlfn.XLOOKUP(C:C,'Resource Table'!A:A,'Resource Table'!B:B,"NOT FOUND",0,1)</f>
        <v>Ralph Mann</v>
      </c>
      <c r="O1255" t="str">
        <f>_xlfn.XLOOKUP(N:N,'Resource Table'!B:B,'Resource Table'!C:C,"n/a",0,1)</f>
        <v>rmann@ameritfleet.com</v>
      </c>
      <c r="P1255" t="str">
        <f>_xlfn.XLOOKUP(N:N,'Resource Table'!B:B,'Resource Table'!D:D,"n/a",0,1)</f>
        <v>Vended Repair</v>
      </c>
    </row>
    <row r="1256" spans="1:16" x14ac:dyDescent="0.45">
      <c r="A1256" t="s">
        <v>5399</v>
      </c>
      <c r="B1256" t="s">
        <v>5410</v>
      </c>
      <c r="C1256" t="s">
        <v>5636</v>
      </c>
      <c r="D1256" t="s">
        <v>96</v>
      </c>
      <c r="E1256" t="s">
        <v>6451</v>
      </c>
      <c r="F1256" t="s">
        <v>13473</v>
      </c>
      <c r="G1256" t="s">
        <v>13474</v>
      </c>
      <c r="H1256" t="s">
        <v>13475</v>
      </c>
      <c r="I1256" t="s">
        <v>6479</v>
      </c>
      <c r="J1256" t="s">
        <v>13463</v>
      </c>
      <c r="K1256">
        <v>2</v>
      </c>
      <c r="L1256" t="s">
        <v>13504</v>
      </c>
      <c r="M1256" t="s">
        <v>13505</v>
      </c>
      <c r="N1256" t="str">
        <f>_xlfn.XLOOKUP(C:C,'Resource Table'!A:A,'Resource Table'!B:B,"NOT FOUND",0,1)</f>
        <v>Ralph Mann</v>
      </c>
      <c r="O1256" t="str">
        <f>_xlfn.XLOOKUP(N:N,'Resource Table'!B:B,'Resource Table'!C:C,"n/a",0,1)</f>
        <v>rmann@ameritfleet.com</v>
      </c>
      <c r="P1256" t="str">
        <f>_xlfn.XLOOKUP(N:N,'Resource Table'!B:B,'Resource Table'!D:D,"n/a",0,1)</f>
        <v>Vended Repair</v>
      </c>
    </row>
    <row r="1257" spans="1:16" x14ac:dyDescent="0.45">
      <c r="A1257" t="s">
        <v>5399</v>
      </c>
      <c r="B1257" t="s">
        <v>5410</v>
      </c>
      <c r="C1257" t="s">
        <v>5636</v>
      </c>
      <c r="D1257" t="s">
        <v>1533</v>
      </c>
      <c r="E1257" t="s">
        <v>6451</v>
      </c>
      <c r="F1257" t="s">
        <v>13460</v>
      </c>
      <c r="G1257" t="s">
        <v>13476</v>
      </c>
      <c r="H1257" t="s">
        <v>13478</v>
      </c>
      <c r="I1257" t="s">
        <v>6479</v>
      </c>
      <c r="J1257" t="s">
        <v>13463</v>
      </c>
      <c r="K1257">
        <v>0</v>
      </c>
      <c r="L1257" t="s">
        <v>20</v>
      </c>
      <c r="M1257" t="s">
        <v>20</v>
      </c>
      <c r="N1257" t="str">
        <f>_xlfn.XLOOKUP(C:C,'Resource Table'!A:A,'Resource Table'!B:B,"NOT FOUND",0,1)</f>
        <v>Ralph Mann</v>
      </c>
      <c r="O1257" t="str">
        <f>_xlfn.XLOOKUP(N:N,'Resource Table'!B:B,'Resource Table'!C:C,"n/a",0,1)</f>
        <v>rmann@ameritfleet.com</v>
      </c>
      <c r="P1257" t="str">
        <f>_xlfn.XLOOKUP(N:N,'Resource Table'!B:B,'Resource Table'!D:D,"n/a",0,1)</f>
        <v>Vended Repair</v>
      </c>
    </row>
    <row r="1258" spans="1:16" x14ac:dyDescent="0.45">
      <c r="A1258" t="s">
        <v>5399</v>
      </c>
      <c r="B1258" t="s">
        <v>5410</v>
      </c>
      <c r="C1258" t="s">
        <v>5636</v>
      </c>
      <c r="D1258" t="s">
        <v>1755</v>
      </c>
      <c r="E1258" t="s">
        <v>6451</v>
      </c>
      <c r="F1258" t="s">
        <v>13473</v>
      </c>
      <c r="G1258" t="s">
        <v>13474</v>
      </c>
      <c r="H1258" t="s">
        <v>13475</v>
      </c>
      <c r="I1258" t="s">
        <v>29</v>
      </c>
      <c r="J1258" t="s">
        <v>13463</v>
      </c>
      <c r="K1258">
        <v>4</v>
      </c>
      <c r="L1258" t="s">
        <v>13528</v>
      </c>
      <c r="M1258" t="s">
        <v>13591</v>
      </c>
      <c r="N1258" t="str">
        <f>_xlfn.XLOOKUP(C:C,'Resource Table'!A:A,'Resource Table'!B:B,"NOT FOUND",0,1)</f>
        <v>Ralph Mann</v>
      </c>
      <c r="O1258" t="str">
        <f>_xlfn.XLOOKUP(N:N,'Resource Table'!B:B,'Resource Table'!C:C,"n/a",0,1)</f>
        <v>rmann@ameritfleet.com</v>
      </c>
      <c r="P1258" t="str">
        <f>_xlfn.XLOOKUP(N:N,'Resource Table'!B:B,'Resource Table'!D:D,"n/a",0,1)</f>
        <v>Vended Repair</v>
      </c>
    </row>
    <row r="1259" spans="1:16" x14ac:dyDescent="0.45">
      <c r="A1259" t="s">
        <v>5399</v>
      </c>
      <c r="B1259" t="s">
        <v>5410</v>
      </c>
      <c r="C1259" t="s">
        <v>5636</v>
      </c>
      <c r="D1259" t="s">
        <v>549</v>
      </c>
      <c r="E1259" t="s">
        <v>6451</v>
      </c>
      <c r="F1259" t="s">
        <v>13473</v>
      </c>
      <c r="G1259" t="s">
        <v>13474</v>
      </c>
      <c r="H1259" t="s">
        <v>13475</v>
      </c>
      <c r="I1259" t="s">
        <v>6479</v>
      </c>
      <c r="J1259" t="s">
        <v>13463</v>
      </c>
      <c r="K1259">
        <v>3</v>
      </c>
      <c r="L1259" t="s">
        <v>13552</v>
      </c>
      <c r="M1259" t="s">
        <v>13480</v>
      </c>
      <c r="N1259" t="str">
        <f>_xlfn.XLOOKUP(C:C,'Resource Table'!A:A,'Resource Table'!B:B,"NOT FOUND",0,1)</f>
        <v>Ralph Mann</v>
      </c>
      <c r="O1259" t="str">
        <f>_xlfn.XLOOKUP(N:N,'Resource Table'!B:B,'Resource Table'!C:C,"n/a",0,1)</f>
        <v>rmann@ameritfleet.com</v>
      </c>
      <c r="P1259" t="str">
        <f>_xlfn.XLOOKUP(N:N,'Resource Table'!B:B,'Resource Table'!D:D,"n/a",0,1)</f>
        <v>Vended Repair</v>
      </c>
    </row>
    <row r="1260" spans="1:16" x14ac:dyDescent="0.45">
      <c r="A1260" t="s">
        <v>5399</v>
      </c>
      <c r="B1260" t="s">
        <v>5410</v>
      </c>
      <c r="C1260" t="s">
        <v>5636</v>
      </c>
      <c r="D1260" t="s">
        <v>2384</v>
      </c>
      <c r="E1260" t="s">
        <v>6451</v>
      </c>
      <c r="F1260" t="s">
        <v>13460</v>
      </c>
      <c r="G1260" t="s">
        <v>13550</v>
      </c>
      <c r="H1260" t="s">
        <v>13551</v>
      </c>
      <c r="I1260" t="s">
        <v>6479</v>
      </c>
      <c r="J1260" t="s">
        <v>13463</v>
      </c>
      <c r="K1260">
        <v>1</v>
      </c>
      <c r="L1260" t="s">
        <v>13542</v>
      </c>
      <c r="M1260" t="s">
        <v>13505</v>
      </c>
      <c r="N1260" t="str">
        <f>_xlfn.XLOOKUP(C:C,'Resource Table'!A:A,'Resource Table'!B:B,"NOT FOUND",0,1)</f>
        <v>Ralph Mann</v>
      </c>
      <c r="O1260" t="str">
        <f>_xlfn.XLOOKUP(N:N,'Resource Table'!B:B,'Resource Table'!C:C,"n/a",0,1)</f>
        <v>rmann@ameritfleet.com</v>
      </c>
      <c r="P1260" t="str">
        <f>_xlfn.XLOOKUP(N:N,'Resource Table'!B:B,'Resource Table'!D:D,"n/a",0,1)</f>
        <v>Vended Repair</v>
      </c>
    </row>
    <row r="1261" spans="1:16" x14ac:dyDescent="0.45">
      <c r="A1261" t="s">
        <v>5399</v>
      </c>
      <c r="B1261" t="s">
        <v>5410</v>
      </c>
      <c r="C1261" t="s">
        <v>5636</v>
      </c>
      <c r="D1261" t="s">
        <v>299</v>
      </c>
      <c r="E1261" t="s">
        <v>6451</v>
      </c>
      <c r="F1261" t="s">
        <v>13460</v>
      </c>
      <c r="G1261" t="s">
        <v>13461</v>
      </c>
      <c r="H1261" t="s">
        <v>13465</v>
      </c>
      <c r="I1261" t="s">
        <v>6479</v>
      </c>
      <c r="J1261" t="s">
        <v>13463</v>
      </c>
      <c r="K1261">
        <v>1</v>
      </c>
      <c r="L1261" t="s">
        <v>13464</v>
      </c>
      <c r="M1261" t="s">
        <v>13507</v>
      </c>
      <c r="N1261" t="str">
        <f>_xlfn.XLOOKUP(C:C,'Resource Table'!A:A,'Resource Table'!B:B,"NOT FOUND",0,1)</f>
        <v>Ralph Mann</v>
      </c>
      <c r="O1261" t="str">
        <f>_xlfn.XLOOKUP(N:N,'Resource Table'!B:B,'Resource Table'!C:C,"n/a",0,1)</f>
        <v>rmann@ameritfleet.com</v>
      </c>
      <c r="P1261" t="str">
        <f>_xlfn.XLOOKUP(N:N,'Resource Table'!B:B,'Resource Table'!D:D,"n/a",0,1)</f>
        <v>Vended Repair</v>
      </c>
    </row>
    <row r="1262" spans="1:16" x14ac:dyDescent="0.45">
      <c r="A1262" t="s">
        <v>5399</v>
      </c>
      <c r="B1262" t="s">
        <v>5410</v>
      </c>
      <c r="C1262" t="s">
        <v>5636</v>
      </c>
      <c r="D1262" t="s">
        <v>1567</v>
      </c>
      <c r="E1262" t="s">
        <v>6451</v>
      </c>
      <c r="F1262" t="s">
        <v>13473</v>
      </c>
      <c r="G1262" t="s">
        <v>13474</v>
      </c>
      <c r="H1262" t="s">
        <v>13475</v>
      </c>
      <c r="I1262" t="s">
        <v>6479</v>
      </c>
      <c r="J1262" t="s">
        <v>13463</v>
      </c>
      <c r="K1262">
        <v>1</v>
      </c>
      <c r="L1262" t="s">
        <v>13479</v>
      </c>
      <c r="M1262" t="s">
        <v>13479</v>
      </c>
      <c r="N1262" t="str">
        <f>_xlfn.XLOOKUP(C:C,'Resource Table'!A:A,'Resource Table'!B:B,"NOT FOUND",0,1)</f>
        <v>Ralph Mann</v>
      </c>
      <c r="O1262" t="str">
        <f>_xlfn.XLOOKUP(N:N,'Resource Table'!B:B,'Resource Table'!C:C,"n/a",0,1)</f>
        <v>rmann@ameritfleet.com</v>
      </c>
      <c r="P1262" t="str">
        <f>_xlfn.XLOOKUP(N:N,'Resource Table'!B:B,'Resource Table'!D:D,"n/a",0,1)</f>
        <v>Vended Repair</v>
      </c>
    </row>
    <row r="1263" spans="1:16" x14ac:dyDescent="0.45">
      <c r="A1263" t="s">
        <v>5399</v>
      </c>
      <c r="B1263" t="s">
        <v>5410</v>
      </c>
      <c r="C1263" t="s">
        <v>5636</v>
      </c>
      <c r="D1263" t="s">
        <v>2108</v>
      </c>
      <c r="E1263" t="s">
        <v>6461</v>
      </c>
      <c r="F1263" t="s">
        <v>13460</v>
      </c>
      <c r="G1263" t="s">
        <v>13481</v>
      </c>
      <c r="H1263" t="s">
        <v>13568</v>
      </c>
      <c r="I1263" t="s">
        <v>6479</v>
      </c>
      <c r="J1263" t="s">
        <v>13463</v>
      </c>
      <c r="K1263">
        <v>2</v>
      </c>
      <c r="L1263" t="s">
        <v>13528</v>
      </c>
      <c r="M1263" t="s">
        <v>13472</v>
      </c>
      <c r="N1263" t="str">
        <f>_xlfn.XLOOKUP(C:C,'Resource Table'!A:A,'Resource Table'!B:B,"NOT FOUND",0,1)</f>
        <v>Ralph Mann</v>
      </c>
      <c r="O1263" t="str">
        <f>_xlfn.XLOOKUP(N:N,'Resource Table'!B:B,'Resource Table'!C:C,"n/a",0,1)</f>
        <v>rmann@ameritfleet.com</v>
      </c>
      <c r="P1263" t="str">
        <f>_xlfn.XLOOKUP(N:N,'Resource Table'!B:B,'Resource Table'!D:D,"n/a",0,1)</f>
        <v>Vended Repair</v>
      </c>
    </row>
    <row r="1264" spans="1:16" x14ac:dyDescent="0.45">
      <c r="A1264" t="s">
        <v>5399</v>
      </c>
      <c r="B1264" t="s">
        <v>5410</v>
      </c>
      <c r="C1264" t="s">
        <v>5636</v>
      </c>
      <c r="D1264" t="s">
        <v>2747</v>
      </c>
      <c r="E1264" t="s">
        <v>6451</v>
      </c>
      <c r="F1264" t="s">
        <v>13473</v>
      </c>
      <c r="G1264" t="s">
        <v>13474</v>
      </c>
      <c r="H1264" t="s">
        <v>13521</v>
      </c>
      <c r="I1264" t="s">
        <v>6479</v>
      </c>
      <c r="J1264" t="s">
        <v>13463</v>
      </c>
      <c r="K1264">
        <v>4</v>
      </c>
      <c r="L1264" t="s">
        <v>13552</v>
      </c>
      <c r="M1264" t="s">
        <v>13484</v>
      </c>
      <c r="N1264" t="str">
        <f>_xlfn.XLOOKUP(C:C,'Resource Table'!A:A,'Resource Table'!B:B,"NOT FOUND",0,1)</f>
        <v>Ralph Mann</v>
      </c>
      <c r="O1264" t="str">
        <f>_xlfn.XLOOKUP(N:N,'Resource Table'!B:B,'Resource Table'!C:C,"n/a",0,1)</f>
        <v>rmann@ameritfleet.com</v>
      </c>
      <c r="P1264" t="str">
        <f>_xlfn.XLOOKUP(N:N,'Resource Table'!B:B,'Resource Table'!D:D,"n/a",0,1)</f>
        <v>Vended Repair</v>
      </c>
    </row>
    <row r="1265" spans="1:16" x14ac:dyDescent="0.45">
      <c r="A1265" t="s">
        <v>5407</v>
      </c>
      <c r="B1265" t="s">
        <v>5408</v>
      </c>
      <c r="C1265" t="s">
        <v>5442</v>
      </c>
      <c r="D1265" t="s">
        <v>4131</v>
      </c>
      <c r="E1265" t="s">
        <v>6461</v>
      </c>
      <c r="F1265" t="s">
        <v>13460</v>
      </c>
      <c r="G1265" t="s">
        <v>13481</v>
      </c>
      <c r="H1265" t="s">
        <v>13511</v>
      </c>
      <c r="I1265" t="s">
        <v>6479</v>
      </c>
      <c r="J1265" t="s">
        <v>13463</v>
      </c>
      <c r="K1265">
        <v>0</v>
      </c>
      <c r="L1265" t="s">
        <v>20</v>
      </c>
      <c r="M1265" t="s">
        <v>20</v>
      </c>
      <c r="N1265" t="str">
        <f>_xlfn.XLOOKUP(C:C,'Resource Table'!A:A,'Resource Table'!B:B,"NOT FOUND",0,1)</f>
        <v>James Hopkins</v>
      </c>
      <c r="O1265" t="str">
        <f>_xlfn.XLOOKUP(N:N,'Resource Table'!B:B,'Resource Table'!C:C,"n/a",0,1)</f>
        <v>jhopkins5@ameritfleet.com</v>
      </c>
      <c r="P1265" t="str">
        <f>_xlfn.XLOOKUP(N:N,'Resource Table'!B:B,'Resource Table'!D:D,"n/a",0,1)</f>
        <v>Vended Repair</v>
      </c>
    </row>
    <row r="1266" spans="1:16" x14ac:dyDescent="0.45">
      <c r="A1266" t="s">
        <v>5407</v>
      </c>
      <c r="B1266" t="s">
        <v>5408</v>
      </c>
      <c r="C1266" t="s">
        <v>5442</v>
      </c>
      <c r="D1266" t="s">
        <v>503</v>
      </c>
      <c r="E1266" t="s">
        <v>6451</v>
      </c>
      <c r="F1266" t="s">
        <v>13460</v>
      </c>
      <c r="G1266" t="s">
        <v>13461</v>
      </c>
      <c r="H1266" t="s">
        <v>13467</v>
      </c>
      <c r="I1266" t="s">
        <v>6479</v>
      </c>
      <c r="J1266" t="s">
        <v>13463</v>
      </c>
      <c r="K1266">
        <v>0</v>
      </c>
      <c r="L1266" t="s">
        <v>20</v>
      </c>
      <c r="M1266" t="s">
        <v>20</v>
      </c>
      <c r="N1266" t="str">
        <f>_xlfn.XLOOKUP(C:C,'Resource Table'!A:A,'Resource Table'!B:B,"NOT FOUND",0,1)</f>
        <v>James Hopkins</v>
      </c>
      <c r="O1266" t="str">
        <f>_xlfn.XLOOKUP(N:N,'Resource Table'!B:B,'Resource Table'!C:C,"n/a",0,1)</f>
        <v>jhopkins5@ameritfleet.com</v>
      </c>
      <c r="P1266" t="str">
        <f>_xlfn.XLOOKUP(N:N,'Resource Table'!B:B,'Resource Table'!D:D,"n/a",0,1)</f>
        <v>Vended Repair</v>
      </c>
    </row>
    <row r="1267" spans="1:16" x14ac:dyDescent="0.45">
      <c r="A1267" t="s">
        <v>5407</v>
      </c>
      <c r="B1267" t="s">
        <v>5408</v>
      </c>
      <c r="C1267" t="s">
        <v>5442</v>
      </c>
      <c r="D1267" t="s">
        <v>3331</v>
      </c>
      <c r="E1267" t="s">
        <v>6451</v>
      </c>
      <c r="F1267" t="s">
        <v>13473</v>
      </c>
      <c r="G1267" t="s">
        <v>13474</v>
      </c>
      <c r="H1267" t="s">
        <v>13492</v>
      </c>
      <c r="I1267" t="s">
        <v>6479</v>
      </c>
      <c r="J1267" t="s">
        <v>13463</v>
      </c>
      <c r="K1267">
        <v>1</v>
      </c>
      <c r="L1267" t="s">
        <v>13534</v>
      </c>
      <c r="M1267" t="s">
        <v>13468</v>
      </c>
      <c r="N1267" t="str">
        <f>_xlfn.XLOOKUP(C:C,'Resource Table'!A:A,'Resource Table'!B:B,"NOT FOUND",0,1)</f>
        <v>James Hopkins</v>
      </c>
      <c r="O1267" t="str">
        <f>_xlfn.XLOOKUP(N:N,'Resource Table'!B:B,'Resource Table'!C:C,"n/a",0,1)</f>
        <v>jhopkins5@ameritfleet.com</v>
      </c>
      <c r="P1267" t="str">
        <f>_xlfn.XLOOKUP(N:N,'Resource Table'!B:B,'Resource Table'!D:D,"n/a",0,1)</f>
        <v>Vended Repair</v>
      </c>
    </row>
    <row r="1268" spans="1:16" x14ac:dyDescent="0.45">
      <c r="A1268" t="s">
        <v>5407</v>
      </c>
      <c r="B1268" t="s">
        <v>5408</v>
      </c>
      <c r="C1268" t="s">
        <v>5442</v>
      </c>
      <c r="D1268" t="s">
        <v>3824</v>
      </c>
      <c r="E1268" t="s">
        <v>6451</v>
      </c>
      <c r="F1268" t="s">
        <v>13473</v>
      </c>
      <c r="G1268" t="s">
        <v>13474</v>
      </c>
      <c r="H1268" t="s">
        <v>13475</v>
      </c>
      <c r="I1268" t="s">
        <v>6479</v>
      </c>
      <c r="J1268" t="s">
        <v>13463</v>
      </c>
      <c r="K1268">
        <v>0</v>
      </c>
      <c r="L1268" t="s">
        <v>20</v>
      </c>
      <c r="M1268" t="s">
        <v>20</v>
      </c>
      <c r="N1268" t="str">
        <f>_xlfn.XLOOKUP(C:C,'Resource Table'!A:A,'Resource Table'!B:B,"NOT FOUND",0,1)</f>
        <v>James Hopkins</v>
      </c>
      <c r="O1268" t="str">
        <f>_xlfn.XLOOKUP(N:N,'Resource Table'!B:B,'Resource Table'!C:C,"n/a",0,1)</f>
        <v>jhopkins5@ameritfleet.com</v>
      </c>
      <c r="P1268" t="str">
        <f>_xlfn.XLOOKUP(N:N,'Resource Table'!B:B,'Resource Table'!D:D,"n/a",0,1)</f>
        <v>Vended Repair</v>
      </c>
    </row>
    <row r="1269" spans="1:16" x14ac:dyDescent="0.45">
      <c r="A1269" t="s">
        <v>5407</v>
      </c>
      <c r="B1269" t="s">
        <v>5408</v>
      </c>
      <c r="C1269" t="s">
        <v>5562</v>
      </c>
      <c r="D1269" t="s">
        <v>565</v>
      </c>
      <c r="E1269" t="s">
        <v>6451</v>
      </c>
      <c r="F1269" t="s">
        <v>13473</v>
      </c>
      <c r="G1269" t="s">
        <v>13474</v>
      </c>
      <c r="H1269" t="s">
        <v>13492</v>
      </c>
      <c r="I1269" t="s">
        <v>6479</v>
      </c>
      <c r="J1269" t="s">
        <v>13463</v>
      </c>
      <c r="K1269">
        <v>0</v>
      </c>
      <c r="L1269" t="s">
        <v>20</v>
      </c>
      <c r="M1269" t="s">
        <v>20</v>
      </c>
      <c r="N1269" t="str">
        <f>_xlfn.XLOOKUP(C:C,'Resource Table'!A:A,'Resource Table'!B:B,"NOT FOUND",0,1)</f>
        <v>James Hopkins</v>
      </c>
      <c r="O1269" t="str">
        <f>_xlfn.XLOOKUP(N:N,'Resource Table'!B:B,'Resource Table'!C:C,"n/a",0,1)</f>
        <v>jhopkins5@ameritfleet.com</v>
      </c>
      <c r="P1269" t="str">
        <f>_xlfn.XLOOKUP(N:N,'Resource Table'!B:B,'Resource Table'!D:D,"n/a",0,1)</f>
        <v>Vended Repair</v>
      </c>
    </row>
    <row r="1270" spans="1:16" x14ac:dyDescent="0.45">
      <c r="A1270" t="s">
        <v>5407</v>
      </c>
      <c r="B1270" t="s">
        <v>5408</v>
      </c>
      <c r="C1270" t="s">
        <v>5562</v>
      </c>
      <c r="D1270" t="s">
        <v>3684</v>
      </c>
      <c r="E1270" t="s">
        <v>6461</v>
      </c>
      <c r="F1270" t="s">
        <v>13460</v>
      </c>
      <c r="G1270" t="s">
        <v>13538</v>
      </c>
      <c r="H1270" t="s">
        <v>13554</v>
      </c>
      <c r="I1270" t="s">
        <v>6479</v>
      </c>
      <c r="J1270" t="s">
        <v>13463</v>
      </c>
      <c r="K1270">
        <v>2</v>
      </c>
      <c r="L1270" t="s">
        <v>13542</v>
      </c>
      <c r="M1270" t="s">
        <v>13556</v>
      </c>
      <c r="N1270" t="str">
        <f>_xlfn.XLOOKUP(C:C,'Resource Table'!A:A,'Resource Table'!B:B,"NOT FOUND",0,1)</f>
        <v>James Hopkins</v>
      </c>
      <c r="O1270" t="str">
        <f>_xlfn.XLOOKUP(N:N,'Resource Table'!B:B,'Resource Table'!C:C,"n/a",0,1)</f>
        <v>jhopkins5@ameritfleet.com</v>
      </c>
      <c r="P1270" t="str">
        <f>_xlfn.XLOOKUP(N:N,'Resource Table'!B:B,'Resource Table'!D:D,"n/a",0,1)</f>
        <v>Vended Repair</v>
      </c>
    </row>
    <row r="1271" spans="1:16" x14ac:dyDescent="0.45">
      <c r="A1271" t="s">
        <v>5407</v>
      </c>
      <c r="B1271" t="s">
        <v>5408</v>
      </c>
      <c r="C1271" t="s">
        <v>5562</v>
      </c>
      <c r="D1271" t="s">
        <v>6059</v>
      </c>
      <c r="E1271" t="s">
        <v>6461</v>
      </c>
      <c r="F1271" t="s">
        <v>13460</v>
      </c>
      <c r="G1271" t="s">
        <v>13481</v>
      </c>
      <c r="H1271" t="s">
        <v>13511</v>
      </c>
      <c r="I1271" t="s">
        <v>6479</v>
      </c>
      <c r="J1271" t="s">
        <v>13463</v>
      </c>
      <c r="K1271">
        <v>2</v>
      </c>
      <c r="L1271" t="s">
        <v>13542</v>
      </c>
      <c r="M1271" t="s">
        <v>13556</v>
      </c>
      <c r="N1271" t="str">
        <f>_xlfn.XLOOKUP(C:C,'Resource Table'!A:A,'Resource Table'!B:B,"NOT FOUND",0,1)</f>
        <v>James Hopkins</v>
      </c>
      <c r="O1271" t="str">
        <f>_xlfn.XLOOKUP(N:N,'Resource Table'!B:B,'Resource Table'!C:C,"n/a",0,1)</f>
        <v>jhopkins5@ameritfleet.com</v>
      </c>
      <c r="P1271" t="str">
        <f>_xlfn.XLOOKUP(N:N,'Resource Table'!B:B,'Resource Table'!D:D,"n/a",0,1)</f>
        <v>Vended Repair</v>
      </c>
    </row>
    <row r="1272" spans="1:16" x14ac:dyDescent="0.45">
      <c r="A1272" t="s">
        <v>5407</v>
      </c>
      <c r="B1272" t="s">
        <v>5408</v>
      </c>
      <c r="C1272" t="s">
        <v>5562</v>
      </c>
      <c r="D1272" t="s">
        <v>2521</v>
      </c>
      <c r="E1272" t="s">
        <v>6451</v>
      </c>
      <c r="F1272" t="s">
        <v>13473</v>
      </c>
      <c r="G1272" t="s">
        <v>13474</v>
      </c>
      <c r="H1272" t="s">
        <v>13475</v>
      </c>
      <c r="I1272" t="s">
        <v>6479</v>
      </c>
      <c r="J1272" t="s">
        <v>13463</v>
      </c>
      <c r="K1272">
        <v>0</v>
      </c>
      <c r="L1272" t="s">
        <v>20</v>
      </c>
      <c r="M1272" t="s">
        <v>20</v>
      </c>
      <c r="N1272" t="str">
        <f>_xlfn.XLOOKUP(C:C,'Resource Table'!A:A,'Resource Table'!B:B,"NOT FOUND",0,1)</f>
        <v>James Hopkins</v>
      </c>
      <c r="O1272" t="str">
        <f>_xlfn.XLOOKUP(N:N,'Resource Table'!B:B,'Resource Table'!C:C,"n/a",0,1)</f>
        <v>jhopkins5@ameritfleet.com</v>
      </c>
      <c r="P1272" t="str">
        <f>_xlfn.XLOOKUP(N:N,'Resource Table'!B:B,'Resource Table'!D:D,"n/a",0,1)</f>
        <v>Vended Repair</v>
      </c>
    </row>
    <row r="1273" spans="1:16" x14ac:dyDescent="0.45">
      <c r="A1273" t="s">
        <v>5407</v>
      </c>
      <c r="B1273" t="s">
        <v>5408</v>
      </c>
      <c r="C1273" t="s">
        <v>5562</v>
      </c>
      <c r="D1273" t="s">
        <v>6431</v>
      </c>
      <c r="E1273" t="s">
        <v>6451</v>
      </c>
      <c r="F1273" t="s">
        <v>13460</v>
      </c>
      <c r="G1273" t="s">
        <v>13461</v>
      </c>
      <c r="H1273" t="s">
        <v>13488</v>
      </c>
      <c r="I1273" t="s">
        <v>6479</v>
      </c>
      <c r="J1273" t="s">
        <v>13463</v>
      </c>
      <c r="K1273">
        <v>2</v>
      </c>
      <c r="L1273" t="s">
        <v>13542</v>
      </c>
      <c r="M1273" t="s">
        <v>13556</v>
      </c>
      <c r="N1273" t="str">
        <f>_xlfn.XLOOKUP(C:C,'Resource Table'!A:A,'Resource Table'!B:B,"NOT FOUND",0,1)</f>
        <v>James Hopkins</v>
      </c>
      <c r="O1273" t="str">
        <f>_xlfn.XLOOKUP(N:N,'Resource Table'!B:B,'Resource Table'!C:C,"n/a",0,1)</f>
        <v>jhopkins5@ameritfleet.com</v>
      </c>
      <c r="P1273" t="str">
        <f>_xlfn.XLOOKUP(N:N,'Resource Table'!B:B,'Resource Table'!D:D,"n/a",0,1)</f>
        <v>Vended Repair</v>
      </c>
    </row>
    <row r="1274" spans="1:16" x14ac:dyDescent="0.45">
      <c r="A1274" t="s">
        <v>5407</v>
      </c>
      <c r="B1274" t="s">
        <v>5408</v>
      </c>
      <c r="C1274" t="s">
        <v>5562</v>
      </c>
      <c r="D1274" t="s">
        <v>2018</v>
      </c>
      <c r="E1274" t="s">
        <v>6451</v>
      </c>
      <c r="F1274" t="s">
        <v>13473</v>
      </c>
      <c r="G1274" t="s">
        <v>13474</v>
      </c>
      <c r="H1274" t="s">
        <v>13475</v>
      </c>
      <c r="I1274" t="s">
        <v>6479</v>
      </c>
      <c r="J1274" t="s">
        <v>13463</v>
      </c>
      <c r="K1274">
        <v>0</v>
      </c>
      <c r="L1274" t="s">
        <v>20</v>
      </c>
      <c r="M1274" t="s">
        <v>20</v>
      </c>
      <c r="N1274" t="str">
        <f>_xlfn.XLOOKUP(C:C,'Resource Table'!A:A,'Resource Table'!B:B,"NOT FOUND",0,1)</f>
        <v>James Hopkins</v>
      </c>
      <c r="O1274" t="str">
        <f>_xlfn.XLOOKUP(N:N,'Resource Table'!B:B,'Resource Table'!C:C,"n/a",0,1)</f>
        <v>jhopkins5@ameritfleet.com</v>
      </c>
      <c r="P1274" t="str">
        <f>_xlfn.XLOOKUP(N:N,'Resource Table'!B:B,'Resource Table'!D:D,"n/a",0,1)</f>
        <v>Vended Repair</v>
      </c>
    </row>
    <row r="1275" spans="1:16" x14ac:dyDescent="0.45">
      <c r="A1275" t="s">
        <v>5407</v>
      </c>
      <c r="B1275" t="s">
        <v>5408</v>
      </c>
      <c r="C1275" t="s">
        <v>5562</v>
      </c>
      <c r="D1275" t="s">
        <v>4351</v>
      </c>
      <c r="E1275" t="s">
        <v>6461</v>
      </c>
      <c r="F1275" t="s">
        <v>13460</v>
      </c>
      <c r="G1275" t="s">
        <v>13538</v>
      </c>
      <c r="H1275" t="s">
        <v>13554</v>
      </c>
      <c r="I1275" t="s">
        <v>6479</v>
      </c>
      <c r="J1275" t="s">
        <v>13463</v>
      </c>
      <c r="K1275">
        <v>1</v>
      </c>
      <c r="L1275" t="s">
        <v>13542</v>
      </c>
      <c r="M1275" t="s">
        <v>13556</v>
      </c>
      <c r="N1275" t="str">
        <f>_xlfn.XLOOKUP(C:C,'Resource Table'!A:A,'Resource Table'!B:B,"NOT FOUND",0,1)</f>
        <v>James Hopkins</v>
      </c>
      <c r="O1275" t="str">
        <f>_xlfn.XLOOKUP(N:N,'Resource Table'!B:B,'Resource Table'!C:C,"n/a",0,1)</f>
        <v>jhopkins5@ameritfleet.com</v>
      </c>
      <c r="P1275" t="str">
        <f>_xlfn.XLOOKUP(N:N,'Resource Table'!B:B,'Resource Table'!D:D,"n/a",0,1)</f>
        <v>Vended Repair</v>
      </c>
    </row>
    <row r="1276" spans="1:16" x14ac:dyDescent="0.45">
      <c r="A1276" t="s">
        <v>5443</v>
      </c>
      <c r="B1276" t="s">
        <v>5524</v>
      </c>
      <c r="C1276" t="s">
        <v>5556</v>
      </c>
      <c r="D1276" t="s">
        <v>6361</v>
      </c>
      <c r="E1276" t="s">
        <v>6461</v>
      </c>
      <c r="F1276" t="s">
        <v>13460</v>
      </c>
      <c r="G1276" t="s">
        <v>13461</v>
      </c>
      <c r="H1276" t="s">
        <v>13471</v>
      </c>
      <c r="I1276" t="s">
        <v>6479</v>
      </c>
      <c r="J1276" t="s">
        <v>13463</v>
      </c>
      <c r="K1276">
        <v>0</v>
      </c>
      <c r="L1276" t="s">
        <v>20</v>
      </c>
      <c r="M1276" t="s">
        <v>20</v>
      </c>
      <c r="N1276" t="str">
        <f>_xlfn.XLOOKUP(C:C,'Resource Table'!A:A,'Resource Table'!B:B,"NOT FOUND",0,1)</f>
        <v>Hollie Francis</v>
      </c>
      <c r="O1276" t="str">
        <f>_xlfn.XLOOKUP(N:N,'Resource Table'!B:B,'Resource Table'!C:C,"n/a",0,1)</f>
        <v>hfrancis@ameritfleet.com</v>
      </c>
      <c r="P1276" t="str">
        <f>_xlfn.XLOOKUP(N:N,'Resource Table'!B:B,'Resource Table'!D:D,"n/a",0,1)</f>
        <v>Vended Repair</v>
      </c>
    </row>
    <row r="1277" spans="1:16" x14ac:dyDescent="0.45">
      <c r="A1277" t="s">
        <v>5443</v>
      </c>
      <c r="B1277" t="s">
        <v>5524</v>
      </c>
      <c r="C1277" t="s">
        <v>5556</v>
      </c>
      <c r="D1277" t="s">
        <v>3115</v>
      </c>
      <c r="E1277" t="s">
        <v>6461</v>
      </c>
      <c r="F1277" t="s">
        <v>13460</v>
      </c>
      <c r="G1277" t="s">
        <v>13481</v>
      </c>
      <c r="H1277" t="s">
        <v>13482</v>
      </c>
      <c r="I1277" t="s">
        <v>6479</v>
      </c>
      <c r="J1277" t="s">
        <v>13463</v>
      </c>
      <c r="K1277">
        <v>1</v>
      </c>
      <c r="L1277" t="s">
        <v>13468</v>
      </c>
      <c r="M1277" t="s">
        <v>13505</v>
      </c>
      <c r="N1277" t="str">
        <f>_xlfn.XLOOKUP(C:C,'Resource Table'!A:A,'Resource Table'!B:B,"NOT FOUND",0,1)</f>
        <v>Hollie Francis</v>
      </c>
      <c r="O1277" t="str">
        <f>_xlfn.XLOOKUP(N:N,'Resource Table'!B:B,'Resource Table'!C:C,"n/a",0,1)</f>
        <v>hfrancis@ameritfleet.com</v>
      </c>
      <c r="P1277" t="str">
        <f>_xlfn.XLOOKUP(N:N,'Resource Table'!B:B,'Resource Table'!D:D,"n/a",0,1)</f>
        <v>Vended Repair</v>
      </c>
    </row>
    <row r="1278" spans="1:16" x14ac:dyDescent="0.45">
      <c r="A1278" t="s">
        <v>5443</v>
      </c>
      <c r="B1278" t="s">
        <v>5524</v>
      </c>
      <c r="C1278" t="s">
        <v>5556</v>
      </c>
      <c r="D1278" t="s">
        <v>1955</v>
      </c>
      <c r="E1278" t="s">
        <v>6451</v>
      </c>
      <c r="F1278" t="s">
        <v>13460</v>
      </c>
      <c r="G1278" t="s">
        <v>13461</v>
      </c>
      <c r="H1278" t="s">
        <v>13465</v>
      </c>
      <c r="I1278" t="s">
        <v>6479</v>
      </c>
      <c r="J1278" t="s">
        <v>13463</v>
      </c>
      <c r="K1278">
        <v>1</v>
      </c>
      <c r="L1278" t="s">
        <v>13468</v>
      </c>
      <c r="M1278" t="s">
        <v>13513</v>
      </c>
      <c r="N1278" t="str">
        <f>_xlfn.XLOOKUP(C:C,'Resource Table'!A:A,'Resource Table'!B:B,"NOT FOUND",0,1)</f>
        <v>Hollie Francis</v>
      </c>
      <c r="O1278" t="str">
        <f>_xlfn.XLOOKUP(N:N,'Resource Table'!B:B,'Resource Table'!C:C,"n/a",0,1)</f>
        <v>hfrancis@ameritfleet.com</v>
      </c>
      <c r="P1278" t="str">
        <f>_xlfn.XLOOKUP(N:N,'Resource Table'!B:B,'Resource Table'!D:D,"n/a",0,1)</f>
        <v>Vended Repair</v>
      </c>
    </row>
    <row r="1279" spans="1:16" x14ac:dyDescent="0.45">
      <c r="A1279" t="s">
        <v>5443</v>
      </c>
      <c r="B1279" t="s">
        <v>5524</v>
      </c>
      <c r="C1279" t="s">
        <v>5556</v>
      </c>
      <c r="D1279" t="s">
        <v>1018</v>
      </c>
      <c r="E1279" t="s">
        <v>6451</v>
      </c>
      <c r="F1279" t="s">
        <v>13460</v>
      </c>
      <c r="G1279" t="s">
        <v>13476</v>
      </c>
      <c r="H1279" t="s">
        <v>13531</v>
      </c>
      <c r="I1279" t="s">
        <v>29</v>
      </c>
      <c r="J1279" t="s">
        <v>13463</v>
      </c>
      <c r="K1279">
        <v>2</v>
      </c>
      <c r="L1279" t="s">
        <v>13503</v>
      </c>
      <c r="M1279" t="s">
        <v>13595</v>
      </c>
      <c r="N1279" t="str">
        <f>_xlfn.XLOOKUP(C:C,'Resource Table'!A:A,'Resource Table'!B:B,"NOT FOUND",0,1)</f>
        <v>Hollie Francis</v>
      </c>
      <c r="O1279" t="str">
        <f>_xlfn.XLOOKUP(N:N,'Resource Table'!B:B,'Resource Table'!C:C,"n/a",0,1)</f>
        <v>hfrancis@ameritfleet.com</v>
      </c>
      <c r="P1279" t="str">
        <f>_xlfn.XLOOKUP(N:N,'Resource Table'!B:B,'Resource Table'!D:D,"n/a",0,1)</f>
        <v>Vended Repair</v>
      </c>
    </row>
    <row r="1280" spans="1:16" x14ac:dyDescent="0.45">
      <c r="A1280" t="s">
        <v>5443</v>
      </c>
      <c r="B1280" t="s">
        <v>5524</v>
      </c>
      <c r="C1280" t="s">
        <v>5556</v>
      </c>
      <c r="D1280" t="s">
        <v>5987</v>
      </c>
      <c r="E1280" t="s">
        <v>6461</v>
      </c>
      <c r="F1280" t="s">
        <v>13460</v>
      </c>
      <c r="G1280" t="s">
        <v>13481</v>
      </c>
      <c r="H1280" t="s">
        <v>13482</v>
      </c>
      <c r="I1280" t="s">
        <v>6479</v>
      </c>
      <c r="J1280" t="s">
        <v>13463</v>
      </c>
      <c r="K1280">
        <v>1</v>
      </c>
      <c r="L1280" t="s">
        <v>13524</v>
      </c>
      <c r="M1280" t="s">
        <v>13591</v>
      </c>
      <c r="N1280" t="str">
        <f>_xlfn.XLOOKUP(C:C,'Resource Table'!A:A,'Resource Table'!B:B,"NOT FOUND",0,1)</f>
        <v>Hollie Francis</v>
      </c>
      <c r="O1280" t="str">
        <f>_xlfn.XLOOKUP(N:N,'Resource Table'!B:B,'Resource Table'!C:C,"n/a",0,1)</f>
        <v>hfrancis@ameritfleet.com</v>
      </c>
      <c r="P1280" t="str">
        <f>_xlfn.XLOOKUP(N:N,'Resource Table'!B:B,'Resource Table'!D:D,"n/a",0,1)</f>
        <v>Vended Repair</v>
      </c>
    </row>
    <row r="1281" spans="1:16" x14ac:dyDescent="0.45">
      <c r="A1281" t="s">
        <v>5443</v>
      </c>
      <c r="B1281" t="s">
        <v>5524</v>
      </c>
      <c r="C1281" t="s">
        <v>5556</v>
      </c>
      <c r="D1281" t="s">
        <v>6068</v>
      </c>
      <c r="E1281" t="s">
        <v>6461</v>
      </c>
      <c r="F1281" t="s">
        <v>13460</v>
      </c>
      <c r="G1281" t="s">
        <v>13481</v>
      </c>
      <c r="H1281" t="s">
        <v>13511</v>
      </c>
      <c r="I1281" t="s">
        <v>6479</v>
      </c>
      <c r="J1281" t="s">
        <v>13463</v>
      </c>
      <c r="K1281">
        <v>0</v>
      </c>
      <c r="L1281" t="s">
        <v>20</v>
      </c>
      <c r="M1281" t="s">
        <v>20</v>
      </c>
      <c r="N1281" t="str">
        <f>_xlfn.XLOOKUP(C:C,'Resource Table'!A:A,'Resource Table'!B:B,"NOT FOUND",0,1)</f>
        <v>Hollie Francis</v>
      </c>
      <c r="O1281" t="str">
        <f>_xlfn.XLOOKUP(N:N,'Resource Table'!B:B,'Resource Table'!C:C,"n/a",0,1)</f>
        <v>hfrancis@ameritfleet.com</v>
      </c>
      <c r="P1281" t="str">
        <f>_xlfn.XLOOKUP(N:N,'Resource Table'!B:B,'Resource Table'!D:D,"n/a",0,1)</f>
        <v>Vended Repair</v>
      </c>
    </row>
    <row r="1282" spans="1:16" x14ac:dyDescent="0.45">
      <c r="A1282" t="s">
        <v>5443</v>
      </c>
      <c r="B1282" t="s">
        <v>5524</v>
      </c>
      <c r="C1282" t="s">
        <v>5556</v>
      </c>
      <c r="D1282" t="s">
        <v>3442</v>
      </c>
      <c r="E1282" t="s">
        <v>6461</v>
      </c>
      <c r="F1282" t="s">
        <v>13460</v>
      </c>
      <c r="G1282" t="s">
        <v>13481</v>
      </c>
      <c r="H1282" t="s">
        <v>13482</v>
      </c>
      <c r="I1282" t="s">
        <v>6479</v>
      </c>
      <c r="J1282" t="s">
        <v>13463</v>
      </c>
      <c r="K1282">
        <v>1</v>
      </c>
      <c r="L1282" t="s">
        <v>13497</v>
      </c>
      <c r="M1282" t="s">
        <v>13544</v>
      </c>
      <c r="N1282" t="str">
        <f>_xlfn.XLOOKUP(C:C,'Resource Table'!A:A,'Resource Table'!B:B,"NOT FOUND",0,1)</f>
        <v>Hollie Francis</v>
      </c>
      <c r="O1282" t="str">
        <f>_xlfn.XLOOKUP(N:N,'Resource Table'!B:B,'Resource Table'!C:C,"n/a",0,1)</f>
        <v>hfrancis@ameritfleet.com</v>
      </c>
      <c r="P1282" t="str">
        <f>_xlfn.XLOOKUP(N:N,'Resource Table'!B:B,'Resource Table'!D:D,"n/a",0,1)</f>
        <v>Vended Repair</v>
      </c>
    </row>
    <row r="1283" spans="1:16" x14ac:dyDescent="0.45">
      <c r="A1283" t="s">
        <v>5443</v>
      </c>
      <c r="B1283" t="s">
        <v>5524</v>
      </c>
      <c r="C1283" t="s">
        <v>5556</v>
      </c>
      <c r="D1283" t="s">
        <v>6205</v>
      </c>
      <c r="E1283" t="s">
        <v>6451</v>
      </c>
      <c r="F1283" t="s">
        <v>13460</v>
      </c>
      <c r="G1283" t="s">
        <v>13476</v>
      </c>
      <c r="H1283" t="s">
        <v>13531</v>
      </c>
      <c r="I1283" t="s">
        <v>6479</v>
      </c>
      <c r="J1283" t="s">
        <v>13463</v>
      </c>
      <c r="K1283">
        <v>2</v>
      </c>
      <c r="L1283" t="s">
        <v>13493</v>
      </c>
      <c r="M1283" t="s">
        <v>20</v>
      </c>
      <c r="N1283" t="str">
        <f>_xlfn.XLOOKUP(C:C,'Resource Table'!A:A,'Resource Table'!B:B,"NOT FOUND",0,1)</f>
        <v>Hollie Francis</v>
      </c>
      <c r="O1283" t="str">
        <f>_xlfn.XLOOKUP(N:N,'Resource Table'!B:B,'Resource Table'!C:C,"n/a",0,1)</f>
        <v>hfrancis@ameritfleet.com</v>
      </c>
      <c r="P1283" t="str">
        <f>_xlfn.XLOOKUP(N:N,'Resource Table'!B:B,'Resource Table'!D:D,"n/a",0,1)</f>
        <v>Vended Repair</v>
      </c>
    </row>
    <row r="1284" spans="1:16" x14ac:dyDescent="0.45">
      <c r="A1284" t="s">
        <v>5443</v>
      </c>
      <c r="B1284" t="s">
        <v>5524</v>
      </c>
      <c r="C1284" t="s">
        <v>5534</v>
      </c>
      <c r="D1284" t="s">
        <v>5930</v>
      </c>
      <c r="E1284" t="s">
        <v>6461</v>
      </c>
      <c r="F1284" t="s">
        <v>13460</v>
      </c>
      <c r="G1284" t="s">
        <v>13481</v>
      </c>
      <c r="H1284" t="s">
        <v>13482</v>
      </c>
      <c r="I1284" t="s">
        <v>6479</v>
      </c>
      <c r="J1284" t="s">
        <v>13463</v>
      </c>
      <c r="K1284">
        <v>0</v>
      </c>
      <c r="L1284" t="s">
        <v>20</v>
      </c>
      <c r="M1284" t="s">
        <v>20</v>
      </c>
      <c r="N1284" t="str">
        <f>_xlfn.XLOOKUP(C:C,'Resource Table'!A:A,'Resource Table'!B:B,"NOT FOUND",0,1)</f>
        <v>Dedicated</v>
      </c>
      <c r="O1284" t="str">
        <f>_xlfn.XLOOKUP(N:N,'Resource Table'!B:B,'Resource Table'!C:C,"n/a",0,1)</f>
        <v>AFS Dedicated Tech</v>
      </c>
      <c r="P1284" t="str">
        <f>_xlfn.XLOOKUP(N:N,'Resource Table'!B:B,'Resource Table'!D:D,"n/a",0,1)</f>
        <v>Dedicated</v>
      </c>
    </row>
    <row r="1285" spans="1:16" x14ac:dyDescent="0.45">
      <c r="A1285" t="s">
        <v>5443</v>
      </c>
      <c r="B1285" t="s">
        <v>5524</v>
      </c>
      <c r="C1285" t="s">
        <v>5534</v>
      </c>
      <c r="D1285" t="s">
        <v>6201</v>
      </c>
      <c r="E1285" t="s">
        <v>6451</v>
      </c>
      <c r="F1285" t="s">
        <v>13460</v>
      </c>
      <c r="G1285" t="s">
        <v>13476</v>
      </c>
      <c r="H1285" t="s">
        <v>13531</v>
      </c>
      <c r="I1285" t="s">
        <v>6479</v>
      </c>
      <c r="J1285" t="s">
        <v>13463</v>
      </c>
      <c r="K1285">
        <v>0</v>
      </c>
      <c r="L1285" t="s">
        <v>20</v>
      </c>
      <c r="M1285" t="s">
        <v>20</v>
      </c>
      <c r="N1285" t="str">
        <f>_xlfn.XLOOKUP(C:C,'Resource Table'!A:A,'Resource Table'!B:B,"NOT FOUND",0,1)</f>
        <v>Dedicated</v>
      </c>
      <c r="O1285" t="str">
        <f>_xlfn.XLOOKUP(N:N,'Resource Table'!B:B,'Resource Table'!C:C,"n/a",0,1)</f>
        <v>AFS Dedicated Tech</v>
      </c>
      <c r="P1285" t="str">
        <f>_xlfn.XLOOKUP(N:N,'Resource Table'!B:B,'Resource Table'!D:D,"n/a",0,1)</f>
        <v>Dedicated</v>
      </c>
    </row>
    <row r="1286" spans="1:16" x14ac:dyDescent="0.45">
      <c r="A1286" t="s">
        <v>5443</v>
      </c>
      <c r="B1286" t="s">
        <v>5524</v>
      </c>
      <c r="C1286" t="s">
        <v>5534</v>
      </c>
      <c r="D1286" t="s">
        <v>6024</v>
      </c>
      <c r="E1286" t="s">
        <v>6461</v>
      </c>
      <c r="F1286" t="s">
        <v>13460</v>
      </c>
      <c r="G1286" t="s">
        <v>13538</v>
      </c>
      <c r="H1286" t="s">
        <v>13539</v>
      </c>
      <c r="I1286" t="s">
        <v>6479</v>
      </c>
      <c r="J1286" t="s">
        <v>13463</v>
      </c>
      <c r="K1286">
        <v>1</v>
      </c>
      <c r="L1286" t="s">
        <v>13537</v>
      </c>
      <c r="M1286" t="s">
        <v>20</v>
      </c>
      <c r="N1286" t="str">
        <f>_xlfn.XLOOKUP(C:C,'Resource Table'!A:A,'Resource Table'!B:B,"NOT FOUND",0,1)</f>
        <v>Dedicated</v>
      </c>
      <c r="O1286" t="str">
        <f>_xlfn.XLOOKUP(N:N,'Resource Table'!B:B,'Resource Table'!C:C,"n/a",0,1)</f>
        <v>AFS Dedicated Tech</v>
      </c>
      <c r="P1286" t="str">
        <f>_xlfn.XLOOKUP(N:N,'Resource Table'!B:B,'Resource Table'!D:D,"n/a",0,1)</f>
        <v>Dedicated</v>
      </c>
    </row>
    <row r="1287" spans="1:16" x14ac:dyDescent="0.45">
      <c r="A1287" t="s">
        <v>5443</v>
      </c>
      <c r="B1287" t="s">
        <v>5524</v>
      </c>
      <c r="C1287" t="s">
        <v>5534</v>
      </c>
      <c r="D1287" t="s">
        <v>4586</v>
      </c>
      <c r="E1287" t="s">
        <v>6461</v>
      </c>
      <c r="F1287" t="s">
        <v>13460</v>
      </c>
      <c r="G1287" t="s">
        <v>13481</v>
      </c>
      <c r="H1287" t="s">
        <v>13482</v>
      </c>
      <c r="I1287" t="s">
        <v>6479</v>
      </c>
      <c r="J1287" t="s">
        <v>13463</v>
      </c>
      <c r="K1287">
        <v>2</v>
      </c>
      <c r="L1287" t="s">
        <v>13537</v>
      </c>
      <c r="M1287" t="s">
        <v>20</v>
      </c>
      <c r="N1287" t="str">
        <f>_xlfn.XLOOKUP(C:C,'Resource Table'!A:A,'Resource Table'!B:B,"NOT FOUND",0,1)</f>
        <v>Dedicated</v>
      </c>
      <c r="O1287" t="str">
        <f>_xlfn.XLOOKUP(N:N,'Resource Table'!B:B,'Resource Table'!C:C,"n/a",0,1)</f>
        <v>AFS Dedicated Tech</v>
      </c>
      <c r="P1287" t="str">
        <f>_xlfn.XLOOKUP(N:N,'Resource Table'!B:B,'Resource Table'!D:D,"n/a",0,1)</f>
        <v>Dedicated</v>
      </c>
    </row>
    <row r="1288" spans="1:16" x14ac:dyDescent="0.45">
      <c r="A1288" t="s">
        <v>5443</v>
      </c>
      <c r="B1288" t="s">
        <v>5524</v>
      </c>
      <c r="C1288" t="s">
        <v>5534</v>
      </c>
      <c r="D1288" t="s">
        <v>6233</v>
      </c>
      <c r="E1288" t="s">
        <v>6451</v>
      </c>
      <c r="F1288" t="s">
        <v>13460</v>
      </c>
      <c r="G1288" t="s">
        <v>13476</v>
      </c>
      <c r="H1288" t="s">
        <v>13477</v>
      </c>
      <c r="I1288" t="s">
        <v>6479</v>
      </c>
      <c r="J1288" t="s">
        <v>13463</v>
      </c>
      <c r="K1288">
        <v>0</v>
      </c>
      <c r="L1288" t="s">
        <v>20</v>
      </c>
      <c r="M1288" t="s">
        <v>20</v>
      </c>
      <c r="N1288" t="str">
        <f>_xlfn.XLOOKUP(C:C,'Resource Table'!A:A,'Resource Table'!B:B,"NOT FOUND",0,1)</f>
        <v>Dedicated</v>
      </c>
      <c r="O1288" t="str">
        <f>_xlfn.XLOOKUP(N:N,'Resource Table'!B:B,'Resource Table'!C:C,"n/a",0,1)</f>
        <v>AFS Dedicated Tech</v>
      </c>
      <c r="P1288" t="str">
        <f>_xlfn.XLOOKUP(N:N,'Resource Table'!B:B,'Resource Table'!D:D,"n/a",0,1)</f>
        <v>Dedicated</v>
      </c>
    </row>
    <row r="1289" spans="1:16" x14ac:dyDescent="0.45">
      <c r="A1289" t="s">
        <v>5443</v>
      </c>
      <c r="B1289" t="s">
        <v>5524</v>
      </c>
      <c r="C1289" t="s">
        <v>5534</v>
      </c>
      <c r="D1289" t="s">
        <v>4621</v>
      </c>
      <c r="E1289" t="s">
        <v>6461</v>
      </c>
      <c r="F1289" t="s">
        <v>13460</v>
      </c>
      <c r="G1289" t="s">
        <v>13538</v>
      </c>
      <c r="H1289" t="s">
        <v>13539</v>
      </c>
      <c r="I1289" t="s">
        <v>6479</v>
      </c>
      <c r="J1289" t="s">
        <v>13463</v>
      </c>
      <c r="K1289">
        <v>0</v>
      </c>
      <c r="L1289" t="s">
        <v>20</v>
      </c>
      <c r="M1289" t="s">
        <v>20</v>
      </c>
      <c r="N1289" t="str">
        <f>_xlfn.XLOOKUP(C:C,'Resource Table'!A:A,'Resource Table'!B:B,"NOT FOUND",0,1)</f>
        <v>Dedicated</v>
      </c>
      <c r="O1289" t="str">
        <f>_xlfn.XLOOKUP(N:N,'Resource Table'!B:B,'Resource Table'!C:C,"n/a",0,1)</f>
        <v>AFS Dedicated Tech</v>
      </c>
      <c r="P1289" t="str">
        <f>_xlfn.XLOOKUP(N:N,'Resource Table'!B:B,'Resource Table'!D:D,"n/a",0,1)</f>
        <v>Dedicated</v>
      </c>
    </row>
    <row r="1290" spans="1:16" x14ac:dyDescent="0.45">
      <c r="A1290" t="s">
        <v>5443</v>
      </c>
      <c r="B1290" t="s">
        <v>5524</v>
      </c>
      <c r="C1290" t="s">
        <v>5534</v>
      </c>
      <c r="D1290" t="s">
        <v>5585</v>
      </c>
      <c r="E1290" t="s">
        <v>6451</v>
      </c>
      <c r="F1290" t="s">
        <v>13460</v>
      </c>
      <c r="G1290" t="s">
        <v>13476</v>
      </c>
      <c r="H1290" t="s">
        <v>13477</v>
      </c>
      <c r="I1290" t="s">
        <v>6479</v>
      </c>
      <c r="J1290" t="s">
        <v>13463</v>
      </c>
      <c r="K1290">
        <v>0</v>
      </c>
      <c r="L1290" t="s">
        <v>20</v>
      </c>
      <c r="M1290" t="s">
        <v>20</v>
      </c>
      <c r="N1290" t="str">
        <f>_xlfn.XLOOKUP(C:C,'Resource Table'!A:A,'Resource Table'!B:B,"NOT FOUND",0,1)</f>
        <v>Dedicated</v>
      </c>
      <c r="O1290" t="str">
        <f>_xlfn.XLOOKUP(N:N,'Resource Table'!B:B,'Resource Table'!C:C,"n/a",0,1)</f>
        <v>AFS Dedicated Tech</v>
      </c>
      <c r="P1290" t="str">
        <f>_xlfn.XLOOKUP(N:N,'Resource Table'!B:B,'Resource Table'!D:D,"n/a",0,1)</f>
        <v>Dedicated</v>
      </c>
    </row>
    <row r="1291" spans="1:16" x14ac:dyDescent="0.45">
      <c r="A1291" t="s">
        <v>5443</v>
      </c>
      <c r="B1291" t="s">
        <v>5524</v>
      </c>
      <c r="C1291" t="s">
        <v>5534</v>
      </c>
      <c r="D1291" t="s">
        <v>6200</v>
      </c>
      <c r="E1291" t="s">
        <v>6451</v>
      </c>
      <c r="F1291" t="s">
        <v>13460</v>
      </c>
      <c r="G1291" t="s">
        <v>13476</v>
      </c>
      <c r="H1291" t="s">
        <v>13531</v>
      </c>
      <c r="I1291" t="s">
        <v>6479</v>
      </c>
      <c r="J1291" t="s">
        <v>13463</v>
      </c>
      <c r="K1291">
        <v>0</v>
      </c>
      <c r="L1291" t="s">
        <v>20</v>
      </c>
      <c r="M1291" t="s">
        <v>20</v>
      </c>
      <c r="N1291" t="str">
        <f>_xlfn.XLOOKUP(C:C,'Resource Table'!A:A,'Resource Table'!B:B,"NOT FOUND",0,1)</f>
        <v>Dedicated</v>
      </c>
      <c r="O1291" t="str">
        <f>_xlfn.XLOOKUP(N:N,'Resource Table'!B:B,'Resource Table'!C:C,"n/a",0,1)</f>
        <v>AFS Dedicated Tech</v>
      </c>
      <c r="P1291" t="str">
        <f>_xlfn.XLOOKUP(N:N,'Resource Table'!B:B,'Resource Table'!D:D,"n/a",0,1)</f>
        <v>Dedicated</v>
      </c>
    </row>
    <row r="1292" spans="1:16" x14ac:dyDescent="0.45">
      <c r="A1292" t="s">
        <v>5443</v>
      </c>
      <c r="B1292" t="s">
        <v>5524</v>
      </c>
      <c r="C1292" t="s">
        <v>5534</v>
      </c>
      <c r="D1292" t="s">
        <v>6371</v>
      </c>
      <c r="E1292" t="s">
        <v>6475</v>
      </c>
      <c r="F1292" t="s">
        <v>13460</v>
      </c>
      <c r="G1292" t="s">
        <v>13461</v>
      </c>
      <c r="H1292" t="s">
        <v>13471</v>
      </c>
      <c r="I1292" t="s">
        <v>6479</v>
      </c>
      <c r="J1292" t="s">
        <v>13463</v>
      </c>
      <c r="K1292">
        <v>0</v>
      </c>
      <c r="L1292" t="s">
        <v>20</v>
      </c>
      <c r="M1292" t="s">
        <v>20</v>
      </c>
      <c r="N1292" t="str">
        <f>_xlfn.XLOOKUP(C:C,'Resource Table'!A:A,'Resource Table'!B:B,"NOT FOUND",0,1)</f>
        <v>Dedicated</v>
      </c>
      <c r="O1292" t="str">
        <f>_xlfn.XLOOKUP(N:N,'Resource Table'!B:B,'Resource Table'!C:C,"n/a",0,1)</f>
        <v>AFS Dedicated Tech</v>
      </c>
      <c r="P1292" t="str">
        <f>_xlfn.XLOOKUP(N:N,'Resource Table'!B:B,'Resource Table'!D:D,"n/a",0,1)</f>
        <v>Dedicated</v>
      </c>
    </row>
    <row r="1293" spans="1:16" x14ac:dyDescent="0.45">
      <c r="A1293" t="s">
        <v>5443</v>
      </c>
      <c r="B1293" t="s">
        <v>5524</v>
      </c>
      <c r="C1293" t="s">
        <v>5534</v>
      </c>
      <c r="D1293" t="s">
        <v>5932</v>
      </c>
      <c r="E1293" t="s">
        <v>6461</v>
      </c>
      <c r="F1293" t="s">
        <v>13460</v>
      </c>
      <c r="G1293" t="s">
        <v>13481</v>
      </c>
      <c r="H1293" t="s">
        <v>13482</v>
      </c>
      <c r="I1293" t="s">
        <v>6479</v>
      </c>
      <c r="J1293" t="s">
        <v>13463</v>
      </c>
      <c r="K1293">
        <v>2</v>
      </c>
      <c r="L1293" t="s">
        <v>13493</v>
      </c>
      <c r="M1293" t="s">
        <v>13513</v>
      </c>
      <c r="N1293" t="str">
        <f>_xlfn.XLOOKUP(C:C,'Resource Table'!A:A,'Resource Table'!B:B,"NOT FOUND",0,1)</f>
        <v>Dedicated</v>
      </c>
      <c r="O1293" t="str">
        <f>_xlfn.XLOOKUP(N:N,'Resource Table'!B:B,'Resource Table'!C:C,"n/a",0,1)</f>
        <v>AFS Dedicated Tech</v>
      </c>
      <c r="P1293" t="str">
        <f>_xlfn.XLOOKUP(N:N,'Resource Table'!B:B,'Resource Table'!D:D,"n/a",0,1)</f>
        <v>Dedicated</v>
      </c>
    </row>
    <row r="1294" spans="1:16" x14ac:dyDescent="0.45">
      <c r="A1294" t="s">
        <v>5443</v>
      </c>
      <c r="B1294" t="s">
        <v>5524</v>
      </c>
      <c r="C1294" t="s">
        <v>5534</v>
      </c>
      <c r="D1294" t="s">
        <v>13056</v>
      </c>
      <c r="E1294" t="s">
        <v>6451</v>
      </c>
      <c r="F1294" t="s">
        <v>13460</v>
      </c>
      <c r="G1294" t="s">
        <v>13476</v>
      </c>
      <c r="H1294" t="s">
        <v>13531</v>
      </c>
      <c r="I1294" t="s">
        <v>6479</v>
      </c>
      <c r="J1294" t="s">
        <v>13463</v>
      </c>
      <c r="K1294">
        <v>0</v>
      </c>
      <c r="L1294" t="s">
        <v>20</v>
      </c>
      <c r="M1294" t="s">
        <v>20</v>
      </c>
      <c r="N1294" t="str">
        <f>_xlfn.XLOOKUP(C:C,'Resource Table'!A:A,'Resource Table'!B:B,"NOT FOUND",0,1)</f>
        <v>Dedicated</v>
      </c>
      <c r="O1294" t="str">
        <f>_xlfn.XLOOKUP(N:N,'Resource Table'!B:B,'Resource Table'!C:C,"n/a",0,1)</f>
        <v>AFS Dedicated Tech</v>
      </c>
      <c r="P1294" t="str">
        <f>_xlfn.XLOOKUP(N:N,'Resource Table'!B:B,'Resource Table'!D:D,"n/a",0,1)</f>
        <v>Dedicated</v>
      </c>
    </row>
    <row r="1295" spans="1:16" x14ac:dyDescent="0.45">
      <c r="A1295" t="s">
        <v>5443</v>
      </c>
      <c r="B1295" t="s">
        <v>5524</v>
      </c>
      <c r="C1295" t="s">
        <v>5534</v>
      </c>
      <c r="D1295" t="s">
        <v>4659</v>
      </c>
      <c r="E1295" t="s">
        <v>6451</v>
      </c>
      <c r="F1295" t="s">
        <v>13460</v>
      </c>
      <c r="G1295" t="s">
        <v>13476</v>
      </c>
      <c r="H1295" t="s">
        <v>13477</v>
      </c>
      <c r="I1295" t="s">
        <v>29</v>
      </c>
      <c r="J1295" t="s">
        <v>13463</v>
      </c>
      <c r="K1295">
        <v>2</v>
      </c>
      <c r="L1295" t="s">
        <v>13497</v>
      </c>
      <c r="M1295" t="s">
        <v>13468</v>
      </c>
      <c r="N1295" t="str">
        <f>_xlfn.XLOOKUP(C:C,'Resource Table'!A:A,'Resource Table'!B:B,"NOT FOUND",0,1)</f>
        <v>Dedicated</v>
      </c>
      <c r="O1295" t="str">
        <f>_xlfn.XLOOKUP(N:N,'Resource Table'!B:B,'Resource Table'!C:C,"n/a",0,1)</f>
        <v>AFS Dedicated Tech</v>
      </c>
      <c r="P1295" t="str">
        <f>_xlfn.XLOOKUP(N:N,'Resource Table'!B:B,'Resource Table'!D:D,"n/a",0,1)</f>
        <v>Dedicated</v>
      </c>
    </row>
    <row r="1296" spans="1:16" x14ac:dyDescent="0.45">
      <c r="A1296" t="s">
        <v>5443</v>
      </c>
      <c r="B1296" t="s">
        <v>5524</v>
      </c>
      <c r="C1296" t="s">
        <v>5534</v>
      </c>
      <c r="D1296" t="s">
        <v>6207</v>
      </c>
      <c r="E1296" t="s">
        <v>6451</v>
      </c>
      <c r="F1296" t="s">
        <v>13460</v>
      </c>
      <c r="G1296" t="s">
        <v>13476</v>
      </c>
      <c r="H1296" t="s">
        <v>13531</v>
      </c>
      <c r="I1296" t="s">
        <v>6479</v>
      </c>
      <c r="J1296" t="s">
        <v>13463</v>
      </c>
      <c r="K1296">
        <v>0</v>
      </c>
      <c r="L1296" t="s">
        <v>20</v>
      </c>
      <c r="M1296" t="s">
        <v>20</v>
      </c>
      <c r="N1296" t="str">
        <f>_xlfn.XLOOKUP(C:C,'Resource Table'!A:A,'Resource Table'!B:B,"NOT FOUND",0,1)</f>
        <v>Dedicated</v>
      </c>
      <c r="O1296" t="str">
        <f>_xlfn.XLOOKUP(N:N,'Resource Table'!B:B,'Resource Table'!C:C,"n/a",0,1)</f>
        <v>AFS Dedicated Tech</v>
      </c>
      <c r="P1296" t="str">
        <f>_xlfn.XLOOKUP(N:N,'Resource Table'!B:B,'Resource Table'!D:D,"n/a",0,1)</f>
        <v>Dedicated</v>
      </c>
    </row>
    <row r="1297" spans="1:16" x14ac:dyDescent="0.45">
      <c r="A1297" t="s">
        <v>5443</v>
      </c>
      <c r="B1297" t="s">
        <v>5524</v>
      </c>
      <c r="C1297" t="s">
        <v>5534</v>
      </c>
      <c r="D1297" t="s">
        <v>5593</v>
      </c>
      <c r="E1297" t="s">
        <v>6451</v>
      </c>
      <c r="F1297" t="s">
        <v>13460</v>
      </c>
      <c r="G1297" t="s">
        <v>13476</v>
      </c>
      <c r="H1297" t="s">
        <v>13477</v>
      </c>
      <c r="I1297" t="s">
        <v>29</v>
      </c>
      <c r="J1297" t="s">
        <v>13463</v>
      </c>
      <c r="K1297">
        <v>1</v>
      </c>
      <c r="L1297" t="s">
        <v>13503</v>
      </c>
      <c r="M1297" t="s">
        <v>20</v>
      </c>
      <c r="N1297" t="str">
        <f>_xlfn.XLOOKUP(C:C,'Resource Table'!A:A,'Resource Table'!B:B,"NOT FOUND",0,1)</f>
        <v>Dedicated</v>
      </c>
      <c r="O1297" t="str">
        <f>_xlfn.XLOOKUP(N:N,'Resource Table'!B:B,'Resource Table'!C:C,"n/a",0,1)</f>
        <v>AFS Dedicated Tech</v>
      </c>
      <c r="P1297" t="str">
        <f>_xlfn.XLOOKUP(N:N,'Resource Table'!B:B,'Resource Table'!D:D,"n/a",0,1)</f>
        <v>Dedicated</v>
      </c>
    </row>
    <row r="1298" spans="1:16" x14ac:dyDescent="0.45">
      <c r="A1298" t="s">
        <v>5443</v>
      </c>
      <c r="B1298" t="s">
        <v>5524</v>
      </c>
      <c r="C1298" t="s">
        <v>5534</v>
      </c>
      <c r="D1298" t="s">
        <v>6254</v>
      </c>
      <c r="E1298" t="s">
        <v>6451</v>
      </c>
      <c r="F1298" t="s">
        <v>13460</v>
      </c>
      <c r="G1298" t="s">
        <v>13476</v>
      </c>
      <c r="H1298" t="s">
        <v>13477</v>
      </c>
      <c r="I1298" t="s">
        <v>6479</v>
      </c>
      <c r="J1298" t="s">
        <v>13463</v>
      </c>
      <c r="K1298">
        <v>0</v>
      </c>
      <c r="L1298" t="s">
        <v>20</v>
      </c>
      <c r="M1298" t="s">
        <v>20</v>
      </c>
      <c r="N1298" t="str">
        <f>_xlfn.XLOOKUP(C:C,'Resource Table'!A:A,'Resource Table'!B:B,"NOT FOUND",0,1)</f>
        <v>Dedicated</v>
      </c>
      <c r="O1298" t="str">
        <f>_xlfn.XLOOKUP(N:N,'Resource Table'!B:B,'Resource Table'!C:C,"n/a",0,1)</f>
        <v>AFS Dedicated Tech</v>
      </c>
      <c r="P1298" t="str">
        <f>_xlfn.XLOOKUP(N:N,'Resource Table'!B:B,'Resource Table'!D:D,"n/a",0,1)</f>
        <v>Dedicated</v>
      </c>
    </row>
    <row r="1299" spans="1:16" x14ac:dyDescent="0.45">
      <c r="A1299" t="s">
        <v>5443</v>
      </c>
      <c r="B1299" t="s">
        <v>5524</v>
      </c>
      <c r="C1299" t="s">
        <v>5534</v>
      </c>
      <c r="D1299" t="s">
        <v>4059</v>
      </c>
      <c r="E1299" t="s">
        <v>6461</v>
      </c>
      <c r="F1299" t="s">
        <v>13460</v>
      </c>
      <c r="G1299" t="s">
        <v>13538</v>
      </c>
      <c r="H1299" t="s">
        <v>13539</v>
      </c>
      <c r="I1299" t="s">
        <v>6479</v>
      </c>
      <c r="J1299" t="s">
        <v>13463</v>
      </c>
      <c r="K1299">
        <v>0</v>
      </c>
      <c r="L1299" t="s">
        <v>20</v>
      </c>
      <c r="M1299" t="s">
        <v>20</v>
      </c>
      <c r="N1299" t="str">
        <f>_xlfn.XLOOKUP(C:C,'Resource Table'!A:A,'Resource Table'!B:B,"NOT FOUND",0,1)</f>
        <v>Dedicated</v>
      </c>
      <c r="O1299" t="str">
        <f>_xlfn.XLOOKUP(N:N,'Resource Table'!B:B,'Resource Table'!C:C,"n/a",0,1)</f>
        <v>AFS Dedicated Tech</v>
      </c>
      <c r="P1299" t="str">
        <f>_xlfn.XLOOKUP(N:N,'Resource Table'!B:B,'Resource Table'!D:D,"n/a",0,1)</f>
        <v>Dedicated</v>
      </c>
    </row>
    <row r="1300" spans="1:16" x14ac:dyDescent="0.45">
      <c r="A1300" t="s">
        <v>5443</v>
      </c>
      <c r="B1300" t="s">
        <v>5524</v>
      </c>
      <c r="C1300" t="s">
        <v>5534</v>
      </c>
      <c r="D1300" t="s">
        <v>6231</v>
      </c>
      <c r="E1300" t="s">
        <v>6451</v>
      </c>
      <c r="F1300" t="s">
        <v>13460</v>
      </c>
      <c r="G1300" t="s">
        <v>13476</v>
      </c>
      <c r="H1300" t="s">
        <v>13477</v>
      </c>
      <c r="I1300" t="s">
        <v>6479</v>
      </c>
      <c r="J1300" t="s">
        <v>13463</v>
      </c>
      <c r="K1300">
        <v>1</v>
      </c>
      <c r="L1300" t="s">
        <v>13480</v>
      </c>
      <c r="M1300" t="s">
        <v>20</v>
      </c>
      <c r="N1300" t="str">
        <f>_xlfn.XLOOKUP(C:C,'Resource Table'!A:A,'Resource Table'!B:B,"NOT FOUND",0,1)</f>
        <v>Dedicated</v>
      </c>
      <c r="O1300" t="str">
        <f>_xlfn.XLOOKUP(N:N,'Resource Table'!B:B,'Resource Table'!C:C,"n/a",0,1)</f>
        <v>AFS Dedicated Tech</v>
      </c>
      <c r="P1300" t="str">
        <f>_xlfn.XLOOKUP(N:N,'Resource Table'!B:B,'Resource Table'!D:D,"n/a",0,1)</f>
        <v>Dedicated</v>
      </c>
    </row>
    <row r="1301" spans="1:16" x14ac:dyDescent="0.45">
      <c r="A1301" t="s">
        <v>5443</v>
      </c>
      <c r="B1301" t="s">
        <v>5524</v>
      </c>
      <c r="C1301" t="s">
        <v>5534</v>
      </c>
      <c r="D1301" t="s">
        <v>5535</v>
      </c>
      <c r="E1301" t="s">
        <v>6451</v>
      </c>
      <c r="F1301" t="s">
        <v>13473</v>
      </c>
      <c r="G1301" t="s">
        <v>13474</v>
      </c>
      <c r="H1301" t="s">
        <v>13475</v>
      </c>
      <c r="I1301" t="s">
        <v>29</v>
      </c>
      <c r="J1301" t="s">
        <v>13463</v>
      </c>
      <c r="K1301">
        <v>1</v>
      </c>
      <c r="L1301" t="s">
        <v>13552</v>
      </c>
      <c r="M1301" t="s">
        <v>13505</v>
      </c>
      <c r="N1301" t="str">
        <f>_xlfn.XLOOKUP(C:C,'Resource Table'!A:A,'Resource Table'!B:B,"NOT FOUND",0,1)</f>
        <v>Dedicated</v>
      </c>
      <c r="O1301" t="str">
        <f>_xlfn.XLOOKUP(N:N,'Resource Table'!B:B,'Resource Table'!C:C,"n/a",0,1)</f>
        <v>AFS Dedicated Tech</v>
      </c>
      <c r="P1301" t="str">
        <f>_xlfn.XLOOKUP(N:N,'Resource Table'!B:B,'Resource Table'!D:D,"n/a",0,1)</f>
        <v>Dedicated</v>
      </c>
    </row>
    <row r="1302" spans="1:16" x14ac:dyDescent="0.45">
      <c r="A1302" t="s">
        <v>5443</v>
      </c>
      <c r="B1302" t="s">
        <v>5524</v>
      </c>
      <c r="C1302" t="s">
        <v>5534</v>
      </c>
      <c r="D1302" t="s">
        <v>6206</v>
      </c>
      <c r="E1302" t="s">
        <v>6451</v>
      </c>
      <c r="F1302" t="s">
        <v>13460</v>
      </c>
      <c r="G1302" t="s">
        <v>13476</v>
      </c>
      <c r="H1302" t="s">
        <v>13531</v>
      </c>
      <c r="I1302" t="s">
        <v>6479</v>
      </c>
      <c r="J1302" t="s">
        <v>13463</v>
      </c>
      <c r="K1302">
        <v>1</v>
      </c>
      <c r="L1302" t="s">
        <v>13503</v>
      </c>
      <c r="M1302" t="s">
        <v>20</v>
      </c>
      <c r="N1302" t="str">
        <f>_xlfn.XLOOKUP(C:C,'Resource Table'!A:A,'Resource Table'!B:B,"NOT FOUND",0,1)</f>
        <v>Dedicated</v>
      </c>
      <c r="O1302" t="str">
        <f>_xlfn.XLOOKUP(N:N,'Resource Table'!B:B,'Resource Table'!C:C,"n/a",0,1)</f>
        <v>AFS Dedicated Tech</v>
      </c>
      <c r="P1302" t="str">
        <f>_xlfn.XLOOKUP(N:N,'Resource Table'!B:B,'Resource Table'!D:D,"n/a",0,1)</f>
        <v>Dedicated</v>
      </c>
    </row>
    <row r="1303" spans="1:16" x14ac:dyDescent="0.45">
      <c r="A1303" t="s">
        <v>5443</v>
      </c>
      <c r="B1303" t="s">
        <v>5524</v>
      </c>
      <c r="C1303" t="s">
        <v>5534</v>
      </c>
      <c r="D1303" t="s">
        <v>5940</v>
      </c>
      <c r="E1303" t="s">
        <v>6461</v>
      </c>
      <c r="F1303" t="s">
        <v>13460</v>
      </c>
      <c r="G1303" t="s">
        <v>13481</v>
      </c>
      <c r="H1303" t="s">
        <v>13482</v>
      </c>
      <c r="I1303" t="s">
        <v>6479</v>
      </c>
      <c r="J1303" t="s">
        <v>13463</v>
      </c>
      <c r="K1303">
        <v>1</v>
      </c>
      <c r="L1303" t="s">
        <v>13520</v>
      </c>
      <c r="M1303" t="s">
        <v>13468</v>
      </c>
      <c r="N1303" t="str">
        <f>_xlfn.XLOOKUP(C:C,'Resource Table'!A:A,'Resource Table'!B:B,"NOT FOUND",0,1)</f>
        <v>Dedicated</v>
      </c>
      <c r="O1303" t="str">
        <f>_xlfn.XLOOKUP(N:N,'Resource Table'!B:B,'Resource Table'!C:C,"n/a",0,1)</f>
        <v>AFS Dedicated Tech</v>
      </c>
      <c r="P1303" t="str">
        <f>_xlfn.XLOOKUP(N:N,'Resource Table'!B:B,'Resource Table'!D:D,"n/a",0,1)</f>
        <v>Dedicated</v>
      </c>
    </row>
    <row r="1304" spans="1:16" x14ac:dyDescent="0.45">
      <c r="A1304" t="s">
        <v>5443</v>
      </c>
      <c r="B1304" t="s">
        <v>5524</v>
      </c>
      <c r="C1304" t="s">
        <v>5534</v>
      </c>
      <c r="D1304" t="s">
        <v>5597</v>
      </c>
      <c r="E1304" t="s">
        <v>6451</v>
      </c>
      <c r="F1304" t="s">
        <v>13460</v>
      </c>
      <c r="G1304" t="s">
        <v>13476</v>
      </c>
      <c r="H1304" t="s">
        <v>13477</v>
      </c>
      <c r="I1304" t="s">
        <v>6479</v>
      </c>
      <c r="J1304" t="s">
        <v>13463</v>
      </c>
      <c r="K1304">
        <v>1</v>
      </c>
      <c r="L1304" t="s">
        <v>13497</v>
      </c>
      <c r="M1304" t="s">
        <v>13468</v>
      </c>
      <c r="N1304" t="str">
        <f>_xlfn.XLOOKUP(C:C,'Resource Table'!A:A,'Resource Table'!B:B,"NOT FOUND",0,1)</f>
        <v>Dedicated</v>
      </c>
      <c r="O1304" t="str">
        <f>_xlfn.XLOOKUP(N:N,'Resource Table'!B:B,'Resource Table'!C:C,"n/a",0,1)</f>
        <v>AFS Dedicated Tech</v>
      </c>
      <c r="P1304" t="str">
        <f>_xlfn.XLOOKUP(N:N,'Resource Table'!B:B,'Resource Table'!D:D,"n/a",0,1)</f>
        <v>Dedicated</v>
      </c>
    </row>
    <row r="1305" spans="1:16" x14ac:dyDescent="0.45">
      <c r="A1305" t="s">
        <v>5443</v>
      </c>
      <c r="B1305" t="s">
        <v>5524</v>
      </c>
      <c r="C1305" t="s">
        <v>5534</v>
      </c>
      <c r="D1305" t="s">
        <v>6225</v>
      </c>
      <c r="E1305" t="s">
        <v>6451</v>
      </c>
      <c r="F1305" t="s">
        <v>13460</v>
      </c>
      <c r="G1305" t="s">
        <v>13476</v>
      </c>
      <c r="H1305" t="s">
        <v>13477</v>
      </c>
      <c r="I1305" t="s">
        <v>29</v>
      </c>
      <c r="J1305" t="s">
        <v>13463</v>
      </c>
      <c r="K1305">
        <v>1</v>
      </c>
      <c r="L1305" t="s">
        <v>13493</v>
      </c>
      <c r="M1305" t="s">
        <v>20</v>
      </c>
      <c r="N1305" t="str">
        <f>_xlfn.XLOOKUP(C:C,'Resource Table'!A:A,'Resource Table'!B:B,"NOT FOUND",0,1)</f>
        <v>Dedicated</v>
      </c>
      <c r="O1305" t="str">
        <f>_xlfn.XLOOKUP(N:N,'Resource Table'!B:B,'Resource Table'!C:C,"n/a",0,1)</f>
        <v>AFS Dedicated Tech</v>
      </c>
      <c r="P1305" t="str">
        <f>_xlfn.XLOOKUP(N:N,'Resource Table'!B:B,'Resource Table'!D:D,"n/a",0,1)</f>
        <v>Dedicated</v>
      </c>
    </row>
    <row r="1306" spans="1:16" x14ac:dyDescent="0.45">
      <c r="A1306" t="s">
        <v>5443</v>
      </c>
      <c r="B1306" t="s">
        <v>5524</v>
      </c>
      <c r="C1306" t="s">
        <v>5534</v>
      </c>
      <c r="D1306" t="s">
        <v>4718</v>
      </c>
      <c r="E1306" t="s">
        <v>6461</v>
      </c>
      <c r="F1306" t="s">
        <v>13460</v>
      </c>
      <c r="G1306" t="s">
        <v>13481</v>
      </c>
      <c r="H1306" t="s">
        <v>13482</v>
      </c>
      <c r="I1306" t="s">
        <v>6479</v>
      </c>
      <c r="J1306" t="s">
        <v>13463</v>
      </c>
      <c r="K1306">
        <v>1</v>
      </c>
      <c r="L1306" t="s">
        <v>13503</v>
      </c>
      <c r="M1306" t="s">
        <v>20</v>
      </c>
      <c r="N1306" t="str">
        <f>_xlfn.XLOOKUP(C:C,'Resource Table'!A:A,'Resource Table'!B:B,"NOT FOUND",0,1)</f>
        <v>Dedicated</v>
      </c>
      <c r="O1306" t="str">
        <f>_xlfn.XLOOKUP(N:N,'Resource Table'!B:B,'Resource Table'!C:C,"n/a",0,1)</f>
        <v>AFS Dedicated Tech</v>
      </c>
      <c r="P1306" t="str">
        <f>_xlfn.XLOOKUP(N:N,'Resource Table'!B:B,'Resource Table'!D:D,"n/a",0,1)</f>
        <v>Dedicated</v>
      </c>
    </row>
    <row r="1307" spans="1:16" x14ac:dyDescent="0.45">
      <c r="A1307" t="s">
        <v>5443</v>
      </c>
      <c r="B1307" t="s">
        <v>5524</v>
      </c>
      <c r="C1307" t="s">
        <v>5534</v>
      </c>
      <c r="D1307" t="s">
        <v>5584</v>
      </c>
      <c r="E1307" t="s">
        <v>6451</v>
      </c>
      <c r="F1307" t="s">
        <v>13460</v>
      </c>
      <c r="G1307" t="s">
        <v>13476</v>
      </c>
      <c r="H1307" t="s">
        <v>13477</v>
      </c>
      <c r="I1307" t="s">
        <v>6479</v>
      </c>
      <c r="J1307" t="s">
        <v>13463</v>
      </c>
      <c r="K1307">
        <v>1</v>
      </c>
      <c r="L1307" t="s">
        <v>13480</v>
      </c>
      <c r="M1307" t="s">
        <v>20</v>
      </c>
      <c r="N1307" t="str">
        <f>_xlfn.XLOOKUP(C:C,'Resource Table'!A:A,'Resource Table'!B:B,"NOT FOUND",0,1)</f>
        <v>Dedicated</v>
      </c>
      <c r="O1307" t="str">
        <f>_xlfn.XLOOKUP(N:N,'Resource Table'!B:B,'Resource Table'!C:C,"n/a",0,1)</f>
        <v>AFS Dedicated Tech</v>
      </c>
      <c r="P1307" t="str">
        <f>_xlfn.XLOOKUP(N:N,'Resource Table'!B:B,'Resource Table'!D:D,"n/a",0,1)</f>
        <v>Dedicated</v>
      </c>
    </row>
    <row r="1308" spans="1:16" x14ac:dyDescent="0.45">
      <c r="A1308" t="s">
        <v>5443</v>
      </c>
      <c r="B1308" t="s">
        <v>5524</v>
      </c>
      <c r="C1308" t="s">
        <v>5534</v>
      </c>
      <c r="D1308" t="s">
        <v>5574</v>
      </c>
      <c r="E1308" t="s">
        <v>6451</v>
      </c>
      <c r="F1308" t="s">
        <v>13460</v>
      </c>
      <c r="G1308" t="s">
        <v>13476</v>
      </c>
      <c r="H1308" t="s">
        <v>13533</v>
      </c>
      <c r="I1308" t="s">
        <v>29</v>
      </c>
      <c r="J1308" t="s">
        <v>13463</v>
      </c>
      <c r="K1308">
        <v>1</v>
      </c>
      <c r="L1308" t="s">
        <v>13489</v>
      </c>
      <c r="M1308" t="s">
        <v>13493</v>
      </c>
      <c r="N1308" t="str">
        <f>_xlfn.XLOOKUP(C:C,'Resource Table'!A:A,'Resource Table'!B:B,"NOT FOUND",0,1)</f>
        <v>Dedicated</v>
      </c>
      <c r="O1308" t="str">
        <f>_xlfn.XLOOKUP(N:N,'Resource Table'!B:B,'Resource Table'!C:C,"n/a",0,1)</f>
        <v>AFS Dedicated Tech</v>
      </c>
      <c r="P1308" t="str">
        <f>_xlfn.XLOOKUP(N:N,'Resource Table'!B:B,'Resource Table'!D:D,"n/a",0,1)</f>
        <v>Dedicated</v>
      </c>
    </row>
    <row r="1309" spans="1:16" x14ac:dyDescent="0.45">
      <c r="A1309" t="s">
        <v>5443</v>
      </c>
      <c r="B1309" t="s">
        <v>5524</v>
      </c>
      <c r="C1309" t="s">
        <v>5534</v>
      </c>
      <c r="D1309" t="s">
        <v>6223</v>
      </c>
      <c r="E1309" t="s">
        <v>6451</v>
      </c>
      <c r="F1309" t="s">
        <v>13460</v>
      </c>
      <c r="G1309" t="s">
        <v>13476</v>
      </c>
      <c r="H1309" t="s">
        <v>13477</v>
      </c>
      <c r="I1309" t="s">
        <v>6479</v>
      </c>
      <c r="J1309" t="s">
        <v>13463</v>
      </c>
      <c r="K1309">
        <v>0</v>
      </c>
      <c r="L1309" t="s">
        <v>20</v>
      </c>
      <c r="M1309" t="s">
        <v>20</v>
      </c>
      <c r="N1309" t="str">
        <f>_xlfn.XLOOKUP(C:C,'Resource Table'!A:A,'Resource Table'!B:B,"NOT FOUND",0,1)</f>
        <v>Dedicated</v>
      </c>
      <c r="O1309" t="str">
        <f>_xlfn.XLOOKUP(N:N,'Resource Table'!B:B,'Resource Table'!C:C,"n/a",0,1)</f>
        <v>AFS Dedicated Tech</v>
      </c>
      <c r="P1309" t="str">
        <f>_xlfn.XLOOKUP(N:N,'Resource Table'!B:B,'Resource Table'!D:D,"n/a",0,1)</f>
        <v>Dedicated</v>
      </c>
    </row>
    <row r="1310" spans="1:16" x14ac:dyDescent="0.45">
      <c r="A1310" t="s">
        <v>5443</v>
      </c>
      <c r="B1310" t="s">
        <v>5524</v>
      </c>
      <c r="C1310" t="s">
        <v>5534</v>
      </c>
      <c r="D1310" t="s">
        <v>5896</v>
      </c>
      <c r="E1310" t="s">
        <v>6451</v>
      </c>
      <c r="F1310" t="s">
        <v>13473</v>
      </c>
      <c r="G1310" t="s">
        <v>13474</v>
      </c>
      <c r="H1310" t="s">
        <v>13475</v>
      </c>
      <c r="I1310" t="s">
        <v>29</v>
      </c>
      <c r="J1310" t="s">
        <v>13463</v>
      </c>
      <c r="K1310">
        <v>3</v>
      </c>
      <c r="L1310" t="s">
        <v>13544</v>
      </c>
      <c r="M1310" t="s">
        <v>13508</v>
      </c>
      <c r="N1310" t="str">
        <f>_xlfn.XLOOKUP(C:C,'Resource Table'!A:A,'Resource Table'!B:B,"NOT FOUND",0,1)</f>
        <v>Dedicated</v>
      </c>
      <c r="O1310" t="str">
        <f>_xlfn.XLOOKUP(N:N,'Resource Table'!B:B,'Resource Table'!C:C,"n/a",0,1)</f>
        <v>AFS Dedicated Tech</v>
      </c>
      <c r="P1310" t="str">
        <f>_xlfn.XLOOKUP(N:N,'Resource Table'!B:B,'Resource Table'!D:D,"n/a",0,1)</f>
        <v>Dedicated</v>
      </c>
    </row>
    <row r="1311" spans="1:16" x14ac:dyDescent="0.45">
      <c r="A1311" t="s">
        <v>5443</v>
      </c>
      <c r="B1311" t="s">
        <v>5524</v>
      </c>
      <c r="C1311" t="s">
        <v>5534</v>
      </c>
      <c r="D1311" t="s">
        <v>5850</v>
      </c>
      <c r="E1311" t="s">
        <v>6451</v>
      </c>
      <c r="F1311" t="s">
        <v>13473</v>
      </c>
      <c r="G1311" t="s">
        <v>13474</v>
      </c>
      <c r="H1311" t="s">
        <v>13475</v>
      </c>
      <c r="I1311" t="s">
        <v>6479</v>
      </c>
      <c r="J1311" t="s">
        <v>13463</v>
      </c>
      <c r="K1311">
        <v>2</v>
      </c>
      <c r="L1311" t="s">
        <v>13542</v>
      </c>
      <c r="M1311" t="s">
        <v>13505</v>
      </c>
      <c r="N1311" t="str">
        <f>_xlfn.XLOOKUP(C:C,'Resource Table'!A:A,'Resource Table'!B:B,"NOT FOUND",0,1)</f>
        <v>Dedicated</v>
      </c>
      <c r="O1311" t="str">
        <f>_xlfn.XLOOKUP(N:N,'Resource Table'!B:B,'Resource Table'!C:C,"n/a",0,1)</f>
        <v>AFS Dedicated Tech</v>
      </c>
      <c r="P1311" t="str">
        <f>_xlfn.XLOOKUP(N:N,'Resource Table'!B:B,'Resource Table'!D:D,"n/a",0,1)</f>
        <v>Dedicated</v>
      </c>
    </row>
    <row r="1312" spans="1:16" x14ac:dyDescent="0.45">
      <c r="A1312" t="s">
        <v>5443</v>
      </c>
      <c r="B1312" t="s">
        <v>5524</v>
      </c>
      <c r="C1312" t="s">
        <v>5534</v>
      </c>
      <c r="D1312" t="s">
        <v>3927</v>
      </c>
      <c r="E1312" t="s">
        <v>6451</v>
      </c>
      <c r="F1312" t="s">
        <v>13473</v>
      </c>
      <c r="G1312" t="s">
        <v>13474</v>
      </c>
      <c r="H1312" t="s">
        <v>13492</v>
      </c>
      <c r="I1312" t="s">
        <v>6479</v>
      </c>
      <c r="J1312" t="s">
        <v>13463</v>
      </c>
      <c r="K1312">
        <v>1</v>
      </c>
      <c r="L1312" t="s">
        <v>13480</v>
      </c>
      <c r="M1312" t="s">
        <v>20</v>
      </c>
      <c r="N1312" t="str">
        <f>_xlfn.XLOOKUP(C:C,'Resource Table'!A:A,'Resource Table'!B:B,"NOT FOUND",0,1)</f>
        <v>Dedicated</v>
      </c>
      <c r="O1312" t="str">
        <f>_xlfn.XLOOKUP(N:N,'Resource Table'!B:B,'Resource Table'!C:C,"n/a",0,1)</f>
        <v>AFS Dedicated Tech</v>
      </c>
      <c r="P1312" t="str">
        <f>_xlfn.XLOOKUP(N:N,'Resource Table'!B:B,'Resource Table'!D:D,"n/a",0,1)</f>
        <v>Dedicated</v>
      </c>
    </row>
    <row r="1313" spans="1:16" x14ac:dyDescent="0.45">
      <c r="A1313" t="s">
        <v>5443</v>
      </c>
      <c r="B1313" t="s">
        <v>5458</v>
      </c>
      <c r="C1313" t="s">
        <v>5519</v>
      </c>
      <c r="D1313" t="s">
        <v>13057</v>
      </c>
      <c r="E1313" t="s">
        <v>6451</v>
      </c>
      <c r="F1313" t="s">
        <v>13473</v>
      </c>
      <c r="G1313" t="s">
        <v>13474</v>
      </c>
      <c r="H1313" t="s">
        <v>13475</v>
      </c>
      <c r="I1313" t="s">
        <v>6479</v>
      </c>
      <c r="J1313" t="s">
        <v>13463</v>
      </c>
      <c r="K1313">
        <v>0</v>
      </c>
      <c r="L1313" t="s">
        <v>20</v>
      </c>
      <c r="M1313" t="s">
        <v>20</v>
      </c>
      <c r="N1313" t="str">
        <f>_xlfn.XLOOKUP(C:C,'Resource Table'!A:A,'Resource Table'!B:B,"NOT FOUND",0,1)</f>
        <v>Dedicated</v>
      </c>
      <c r="O1313" t="str">
        <f>_xlfn.XLOOKUP(N:N,'Resource Table'!B:B,'Resource Table'!C:C,"n/a",0,1)</f>
        <v>AFS Dedicated Tech</v>
      </c>
      <c r="P1313" t="str">
        <f>_xlfn.XLOOKUP(N:N,'Resource Table'!B:B,'Resource Table'!D:D,"n/a",0,1)</f>
        <v>Dedicated</v>
      </c>
    </row>
    <row r="1314" spans="1:16" x14ac:dyDescent="0.45">
      <c r="A1314" t="s">
        <v>5443</v>
      </c>
      <c r="B1314" t="s">
        <v>5458</v>
      </c>
      <c r="C1314" t="s">
        <v>5519</v>
      </c>
      <c r="D1314" t="s">
        <v>5711</v>
      </c>
      <c r="E1314" t="s">
        <v>6451</v>
      </c>
      <c r="F1314" t="s">
        <v>13473</v>
      </c>
      <c r="G1314" t="s">
        <v>13474</v>
      </c>
      <c r="H1314" t="s">
        <v>13492</v>
      </c>
      <c r="I1314" t="s">
        <v>6479</v>
      </c>
      <c r="J1314" t="s">
        <v>13463</v>
      </c>
      <c r="K1314">
        <v>1</v>
      </c>
      <c r="L1314" t="s">
        <v>13480</v>
      </c>
      <c r="M1314" t="s">
        <v>20</v>
      </c>
      <c r="N1314" t="str">
        <f>_xlfn.XLOOKUP(C:C,'Resource Table'!A:A,'Resource Table'!B:B,"NOT FOUND",0,1)</f>
        <v>Dedicated</v>
      </c>
      <c r="O1314" t="str">
        <f>_xlfn.XLOOKUP(N:N,'Resource Table'!B:B,'Resource Table'!C:C,"n/a",0,1)</f>
        <v>AFS Dedicated Tech</v>
      </c>
      <c r="P1314" t="str">
        <f>_xlfn.XLOOKUP(N:N,'Resource Table'!B:B,'Resource Table'!D:D,"n/a",0,1)</f>
        <v>Dedicated</v>
      </c>
    </row>
    <row r="1315" spans="1:16" x14ac:dyDescent="0.45">
      <c r="A1315" t="s">
        <v>5443</v>
      </c>
      <c r="B1315" t="s">
        <v>5458</v>
      </c>
      <c r="C1315" t="s">
        <v>5519</v>
      </c>
      <c r="D1315" t="s">
        <v>6326</v>
      </c>
      <c r="E1315" t="s">
        <v>6451</v>
      </c>
      <c r="F1315" t="s">
        <v>13460</v>
      </c>
      <c r="G1315" t="s">
        <v>13461</v>
      </c>
      <c r="H1315" t="s">
        <v>13471</v>
      </c>
      <c r="I1315" t="s">
        <v>6479</v>
      </c>
      <c r="J1315" t="s">
        <v>13463</v>
      </c>
      <c r="K1315">
        <v>0</v>
      </c>
      <c r="L1315" t="s">
        <v>20</v>
      </c>
      <c r="M1315" t="s">
        <v>20</v>
      </c>
      <c r="N1315" t="str">
        <f>_xlfn.XLOOKUP(C:C,'Resource Table'!A:A,'Resource Table'!B:B,"NOT FOUND",0,1)</f>
        <v>Dedicated</v>
      </c>
      <c r="O1315" t="str">
        <f>_xlfn.XLOOKUP(N:N,'Resource Table'!B:B,'Resource Table'!C:C,"n/a",0,1)</f>
        <v>AFS Dedicated Tech</v>
      </c>
      <c r="P1315" t="str">
        <f>_xlfn.XLOOKUP(N:N,'Resource Table'!B:B,'Resource Table'!D:D,"n/a",0,1)</f>
        <v>Dedicated</v>
      </c>
    </row>
    <row r="1316" spans="1:16" x14ac:dyDescent="0.45">
      <c r="A1316" t="s">
        <v>5443</v>
      </c>
      <c r="B1316" t="s">
        <v>5458</v>
      </c>
      <c r="C1316" t="s">
        <v>5519</v>
      </c>
      <c r="D1316" t="s">
        <v>5855</v>
      </c>
      <c r="E1316" t="s">
        <v>6451</v>
      </c>
      <c r="F1316" t="s">
        <v>13473</v>
      </c>
      <c r="G1316" t="s">
        <v>13474</v>
      </c>
      <c r="H1316" t="s">
        <v>13475</v>
      </c>
      <c r="I1316" t="s">
        <v>6479</v>
      </c>
      <c r="J1316" t="s">
        <v>13463</v>
      </c>
      <c r="K1316">
        <v>1</v>
      </c>
      <c r="L1316" t="s">
        <v>13493</v>
      </c>
      <c r="M1316" t="s">
        <v>20</v>
      </c>
      <c r="N1316" t="str">
        <f>_xlfn.XLOOKUP(C:C,'Resource Table'!A:A,'Resource Table'!B:B,"NOT FOUND",0,1)</f>
        <v>Dedicated</v>
      </c>
      <c r="O1316" t="str">
        <f>_xlfn.XLOOKUP(N:N,'Resource Table'!B:B,'Resource Table'!C:C,"n/a",0,1)</f>
        <v>AFS Dedicated Tech</v>
      </c>
      <c r="P1316" t="str">
        <f>_xlfn.XLOOKUP(N:N,'Resource Table'!B:B,'Resource Table'!D:D,"n/a",0,1)</f>
        <v>Dedicated</v>
      </c>
    </row>
    <row r="1317" spans="1:16" x14ac:dyDescent="0.45">
      <c r="A1317" t="s">
        <v>5443</v>
      </c>
      <c r="B1317" t="s">
        <v>5458</v>
      </c>
      <c r="C1317" t="s">
        <v>5519</v>
      </c>
      <c r="D1317" t="s">
        <v>5772</v>
      </c>
      <c r="E1317" t="s">
        <v>6451</v>
      </c>
      <c r="F1317" t="s">
        <v>13473</v>
      </c>
      <c r="G1317" t="s">
        <v>13474</v>
      </c>
      <c r="H1317" t="s">
        <v>13521</v>
      </c>
      <c r="I1317" t="s">
        <v>6479</v>
      </c>
      <c r="J1317" t="s">
        <v>13463</v>
      </c>
      <c r="K1317">
        <v>0</v>
      </c>
      <c r="L1317" t="s">
        <v>20</v>
      </c>
      <c r="M1317" t="s">
        <v>20</v>
      </c>
      <c r="N1317" t="str">
        <f>_xlfn.XLOOKUP(C:C,'Resource Table'!A:A,'Resource Table'!B:B,"NOT FOUND",0,1)</f>
        <v>Dedicated</v>
      </c>
      <c r="O1317" t="str">
        <f>_xlfn.XLOOKUP(N:N,'Resource Table'!B:B,'Resource Table'!C:C,"n/a",0,1)</f>
        <v>AFS Dedicated Tech</v>
      </c>
      <c r="P1317" t="str">
        <f>_xlfn.XLOOKUP(N:N,'Resource Table'!B:B,'Resource Table'!D:D,"n/a",0,1)</f>
        <v>Dedicated</v>
      </c>
    </row>
    <row r="1318" spans="1:16" x14ac:dyDescent="0.45">
      <c r="A1318" t="s">
        <v>5443</v>
      </c>
      <c r="B1318" t="s">
        <v>5458</v>
      </c>
      <c r="C1318" t="s">
        <v>5519</v>
      </c>
      <c r="D1318" t="s">
        <v>5569</v>
      </c>
      <c r="E1318" t="s">
        <v>6451</v>
      </c>
      <c r="F1318" t="s">
        <v>13525</v>
      </c>
      <c r="G1318" t="s">
        <v>13582</v>
      </c>
      <c r="H1318" t="s">
        <v>13583</v>
      </c>
      <c r="I1318" t="s">
        <v>29</v>
      </c>
      <c r="J1318" t="s">
        <v>13463</v>
      </c>
      <c r="K1318">
        <v>1</v>
      </c>
      <c r="L1318" t="s">
        <v>13507</v>
      </c>
      <c r="M1318" t="s">
        <v>20</v>
      </c>
      <c r="N1318" t="str">
        <f>_xlfn.XLOOKUP(C:C,'Resource Table'!A:A,'Resource Table'!B:B,"NOT FOUND",0,1)</f>
        <v>Dedicated</v>
      </c>
      <c r="O1318" t="str">
        <f>_xlfn.XLOOKUP(N:N,'Resource Table'!B:B,'Resource Table'!C:C,"n/a",0,1)</f>
        <v>AFS Dedicated Tech</v>
      </c>
      <c r="P1318" t="str">
        <f>_xlfn.XLOOKUP(N:N,'Resource Table'!B:B,'Resource Table'!D:D,"n/a",0,1)</f>
        <v>Dedicated</v>
      </c>
    </row>
    <row r="1319" spans="1:16" x14ac:dyDescent="0.45">
      <c r="A1319" t="s">
        <v>5443</v>
      </c>
      <c r="B1319" t="s">
        <v>5458</v>
      </c>
      <c r="C1319" t="s">
        <v>5519</v>
      </c>
      <c r="D1319" t="s">
        <v>13098</v>
      </c>
      <c r="E1319" t="s">
        <v>6451</v>
      </c>
      <c r="F1319" t="s">
        <v>13460</v>
      </c>
      <c r="G1319" t="s">
        <v>13476</v>
      </c>
      <c r="H1319" t="s">
        <v>13533</v>
      </c>
      <c r="I1319" t="s">
        <v>29</v>
      </c>
      <c r="J1319" t="s">
        <v>13463</v>
      </c>
      <c r="K1319">
        <v>1</v>
      </c>
      <c r="L1319" t="s">
        <v>13503</v>
      </c>
      <c r="M1319" t="s">
        <v>20</v>
      </c>
      <c r="N1319" t="str">
        <f>_xlfn.XLOOKUP(C:C,'Resource Table'!A:A,'Resource Table'!B:B,"NOT FOUND",0,1)</f>
        <v>Dedicated</v>
      </c>
      <c r="O1319" t="str">
        <f>_xlfn.XLOOKUP(N:N,'Resource Table'!B:B,'Resource Table'!C:C,"n/a",0,1)</f>
        <v>AFS Dedicated Tech</v>
      </c>
      <c r="P1319" t="str">
        <f>_xlfn.XLOOKUP(N:N,'Resource Table'!B:B,'Resource Table'!D:D,"n/a",0,1)</f>
        <v>Dedicated</v>
      </c>
    </row>
    <row r="1320" spans="1:16" x14ac:dyDescent="0.45">
      <c r="A1320" t="s">
        <v>5443</v>
      </c>
      <c r="B1320" t="s">
        <v>5458</v>
      </c>
      <c r="C1320" t="s">
        <v>5519</v>
      </c>
      <c r="D1320" t="s">
        <v>5520</v>
      </c>
      <c r="E1320" t="s">
        <v>6451</v>
      </c>
      <c r="F1320" t="s">
        <v>13473</v>
      </c>
      <c r="G1320" t="s">
        <v>13474</v>
      </c>
      <c r="H1320" t="s">
        <v>13475</v>
      </c>
      <c r="I1320" t="s">
        <v>6479</v>
      </c>
      <c r="J1320" t="s">
        <v>13463</v>
      </c>
      <c r="K1320">
        <v>2</v>
      </c>
      <c r="L1320" t="s">
        <v>13512</v>
      </c>
      <c r="M1320" t="s">
        <v>20</v>
      </c>
      <c r="N1320" t="str">
        <f>_xlfn.XLOOKUP(C:C,'Resource Table'!A:A,'Resource Table'!B:B,"NOT FOUND",0,1)</f>
        <v>Dedicated</v>
      </c>
      <c r="O1320" t="str">
        <f>_xlfn.XLOOKUP(N:N,'Resource Table'!B:B,'Resource Table'!C:C,"n/a",0,1)</f>
        <v>AFS Dedicated Tech</v>
      </c>
      <c r="P1320" t="str">
        <f>_xlfn.XLOOKUP(N:N,'Resource Table'!B:B,'Resource Table'!D:D,"n/a",0,1)</f>
        <v>Dedicated</v>
      </c>
    </row>
    <row r="1321" spans="1:16" x14ac:dyDescent="0.45">
      <c r="A1321" t="s">
        <v>5443</v>
      </c>
      <c r="B1321" t="s">
        <v>5458</v>
      </c>
      <c r="C1321" t="s">
        <v>5519</v>
      </c>
      <c r="D1321" t="s">
        <v>6189</v>
      </c>
      <c r="E1321" t="s">
        <v>6451</v>
      </c>
      <c r="F1321" t="s">
        <v>13525</v>
      </c>
      <c r="G1321" t="s">
        <v>13526</v>
      </c>
      <c r="H1321" t="s">
        <v>13527</v>
      </c>
      <c r="I1321" t="s">
        <v>29</v>
      </c>
      <c r="J1321" t="s">
        <v>13463</v>
      </c>
      <c r="K1321">
        <v>1</v>
      </c>
      <c r="L1321" t="s">
        <v>13507</v>
      </c>
      <c r="M1321" t="s">
        <v>20</v>
      </c>
      <c r="N1321" t="str">
        <f>_xlfn.XLOOKUP(C:C,'Resource Table'!A:A,'Resource Table'!B:B,"NOT FOUND",0,1)</f>
        <v>Dedicated</v>
      </c>
      <c r="O1321" t="str">
        <f>_xlfn.XLOOKUP(N:N,'Resource Table'!B:B,'Resource Table'!C:C,"n/a",0,1)</f>
        <v>AFS Dedicated Tech</v>
      </c>
      <c r="P1321" t="str">
        <f>_xlfn.XLOOKUP(N:N,'Resource Table'!B:B,'Resource Table'!D:D,"n/a",0,1)</f>
        <v>Dedicated</v>
      </c>
    </row>
    <row r="1322" spans="1:16" x14ac:dyDescent="0.45">
      <c r="A1322" t="s">
        <v>5443</v>
      </c>
      <c r="B1322" t="s">
        <v>5458</v>
      </c>
      <c r="C1322" t="s">
        <v>5519</v>
      </c>
      <c r="D1322" t="s">
        <v>5578</v>
      </c>
      <c r="E1322" t="s">
        <v>6451</v>
      </c>
      <c r="F1322" t="s">
        <v>13460</v>
      </c>
      <c r="G1322" t="s">
        <v>13476</v>
      </c>
      <c r="H1322" t="s">
        <v>13531</v>
      </c>
      <c r="I1322" t="s">
        <v>29</v>
      </c>
      <c r="J1322" t="s">
        <v>13463</v>
      </c>
      <c r="K1322">
        <v>2</v>
      </c>
      <c r="L1322" t="s">
        <v>13472</v>
      </c>
      <c r="M1322" t="s">
        <v>13513</v>
      </c>
      <c r="N1322" t="str">
        <f>_xlfn.XLOOKUP(C:C,'Resource Table'!A:A,'Resource Table'!B:B,"NOT FOUND",0,1)</f>
        <v>Dedicated</v>
      </c>
      <c r="O1322" t="str">
        <f>_xlfn.XLOOKUP(N:N,'Resource Table'!B:B,'Resource Table'!C:C,"n/a",0,1)</f>
        <v>AFS Dedicated Tech</v>
      </c>
      <c r="P1322" t="str">
        <f>_xlfn.XLOOKUP(N:N,'Resource Table'!B:B,'Resource Table'!D:D,"n/a",0,1)</f>
        <v>Dedicated</v>
      </c>
    </row>
    <row r="1323" spans="1:16" x14ac:dyDescent="0.45">
      <c r="A1323" t="s">
        <v>5443</v>
      </c>
      <c r="B1323" t="s">
        <v>5458</v>
      </c>
      <c r="C1323" t="s">
        <v>5519</v>
      </c>
      <c r="D1323" t="s">
        <v>6239</v>
      </c>
      <c r="E1323" t="s">
        <v>6451</v>
      </c>
      <c r="F1323" t="s">
        <v>13460</v>
      </c>
      <c r="G1323" t="s">
        <v>13476</v>
      </c>
      <c r="H1323" t="s">
        <v>13477</v>
      </c>
      <c r="I1323" t="s">
        <v>6479</v>
      </c>
      <c r="J1323" t="s">
        <v>13463</v>
      </c>
      <c r="K1323">
        <v>0</v>
      </c>
      <c r="L1323" t="s">
        <v>20</v>
      </c>
      <c r="M1323" t="s">
        <v>20</v>
      </c>
      <c r="N1323" t="str">
        <f>_xlfn.XLOOKUP(C:C,'Resource Table'!A:A,'Resource Table'!B:B,"NOT FOUND",0,1)</f>
        <v>Dedicated</v>
      </c>
      <c r="O1323" t="str">
        <f>_xlfn.XLOOKUP(N:N,'Resource Table'!B:B,'Resource Table'!C:C,"n/a",0,1)</f>
        <v>AFS Dedicated Tech</v>
      </c>
      <c r="P1323" t="str">
        <f>_xlfn.XLOOKUP(N:N,'Resource Table'!B:B,'Resource Table'!D:D,"n/a",0,1)</f>
        <v>Dedicated</v>
      </c>
    </row>
    <row r="1324" spans="1:16" x14ac:dyDescent="0.45">
      <c r="A1324" t="s">
        <v>5443</v>
      </c>
      <c r="B1324" t="s">
        <v>5458</v>
      </c>
      <c r="C1324" t="s">
        <v>5519</v>
      </c>
      <c r="D1324" t="s">
        <v>5704</v>
      </c>
      <c r="E1324" t="s">
        <v>6451</v>
      </c>
      <c r="F1324" t="s">
        <v>13473</v>
      </c>
      <c r="G1324" t="s">
        <v>13474</v>
      </c>
      <c r="H1324" t="s">
        <v>13492</v>
      </c>
      <c r="I1324" t="s">
        <v>29</v>
      </c>
      <c r="J1324" t="s">
        <v>13463</v>
      </c>
      <c r="K1324">
        <v>1</v>
      </c>
      <c r="L1324" t="s">
        <v>13503</v>
      </c>
      <c r="M1324" t="s">
        <v>20</v>
      </c>
      <c r="N1324" t="str">
        <f>_xlfn.XLOOKUP(C:C,'Resource Table'!A:A,'Resource Table'!B:B,"NOT FOUND",0,1)</f>
        <v>Dedicated</v>
      </c>
      <c r="O1324" t="str">
        <f>_xlfn.XLOOKUP(N:N,'Resource Table'!B:B,'Resource Table'!C:C,"n/a",0,1)</f>
        <v>AFS Dedicated Tech</v>
      </c>
      <c r="P1324" t="str">
        <f>_xlfn.XLOOKUP(N:N,'Resource Table'!B:B,'Resource Table'!D:D,"n/a",0,1)</f>
        <v>Dedicated</v>
      </c>
    </row>
    <row r="1325" spans="1:16" x14ac:dyDescent="0.45">
      <c r="A1325" t="s">
        <v>5443</v>
      </c>
      <c r="B1325" t="s">
        <v>5458</v>
      </c>
      <c r="C1325" t="s">
        <v>5519</v>
      </c>
      <c r="D1325" t="s">
        <v>5579</v>
      </c>
      <c r="E1325" t="s">
        <v>6451</v>
      </c>
      <c r="F1325" t="s">
        <v>13460</v>
      </c>
      <c r="G1325" t="s">
        <v>13476</v>
      </c>
      <c r="H1325" t="s">
        <v>13531</v>
      </c>
      <c r="I1325" t="s">
        <v>29</v>
      </c>
      <c r="J1325" t="s">
        <v>13463</v>
      </c>
      <c r="K1325">
        <v>4</v>
      </c>
      <c r="L1325" t="s">
        <v>13534</v>
      </c>
      <c r="M1325" t="s">
        <v>13480</v>
      </c>
      <c r="N1325" t="str">
        <f>_xlfn.XLOOKUP(C:C,'Resource Table'!A:A,'Resource Table'!B:B,"NOT FOUND",0,1)</f>
        <v>Dedicated</v>
      </c>
      <c r="O1325" t="str">
        <f>_xlfn.XLOOKUP(N:N,'Resource Table'!B:B,'Resource Table'!C:C,"n/a",0,1)</f>
        <v>AFS Dedicated Tech</v>
      </c>
      <c r="P1325" t="str">
        <f>_xlfn.XLOOKUP(N:N,'Resource Table'!B:B,'Resource Table'!D:D,"n/a",0,1)</f>
        <v>Dedicated</v>
      </c>
    </row>
    <row r="1326" spans="1:16" x14ac:dyDescent="0.45">
      <c r="A1326" t="s">
        <v>5443</v>
      </c>
      <c r="B1326" t="s">
        <v>5458</v>
      </c>
      <c r="C1326" t="s">
        <v>5519</v>
      </c>
      <c r="D1326" t="s">
        <v>6202</v>
      </c>
      <c r="E1326" t="s">
        <v>6451</v>
      </c>
      <c r="F1326" t="s">
        <v>13460</v>
      </c>
      <c r="G1326" t="s">
        <v>13476</v>
      </c>
      <c r="H1326" t="s">
        <v>13531</v>
      </c>
      <c r="I1326" t="s">
        <v>6479</v>
      </c>
      <c r="J1326" t="s">
        <v>13463</v>
      </c>
      <c r="K1326">
        <v>4</v>
      </c>
      <c r="L1326" t="s">
        <v>13520</v>
      </c>
      <c r="M1326" t="s">
        <v>13480</v>
      </c>
      <c r="N1326" t="str">
        <f>_xlfn.XLOOKUP(C:C,'Resource Table'!A:A,'Resource Table'!B:B,"NOT FOUND",0,1)</f>
        <v>Dedicated</v>
      </c>
      <c r="O1326" t="str">
        <f>_xlfn.XLOOKUP(N:N,'Resource Table'!B:B,'Resource Table'!C:C,"n/a",0,1)</f>
        <v>AFS Dedicated Tech</v>
      </c>
      <c r="P1326" t="str">
        <f>_xlfn.XLOOKUP(N:N,'Resource Table'!B:B,'Resource Table'!D:D,"n/a",0,1)</f>
        <v>Dedicated</v>
      </c>
    </row>
    <row r="1327" spans="1:16" x14ac:dyDescent="0.45">
      <c r="A1327" t="s">
        <v>5443</v>
      </c>
      <c r="B1327" t="s">
        <v>5458</v>
      </c>
      <c r="C1327" t="s">
        <v>5519</v>
      </c>
      <c r="D1327" t="s">
        <v>5568</v>
      </c>
      <c r="E1327" t="s">
        <v>6451</v>
      </c>
      <c r="F1327" t="s">
        <v>13525</v>
      </c>
      <c r="G1327" t="s">
        <v>13526</v>
      </c>
      <c r="H1327" t="s">
        <v>13527</v>
      </c>
      <c r="I1327" t="s">
        <v>29</v>
      </c>
      <c r="J1327" t="s">
        <v>13463</v>
      </c>
      <c r="K1327">
        <v>1</v>
      </c>
      <c r="L1327" t="s">
        <v>13503</v>
      </c>
      <c r="M1327" t="s">
        <v>20</v>
      </c>
      <c r="N1327" t="str">
        <f>_xlfn.XLOOKUP(C:C,'Resource Table'!A:A,'Resource Table'!B:B,"NOT FOUND",0,1)</f>
        <v>Dedicated</v>
      </c>
      <c r="O1327" t="str">
        <f>_xlfn.XLOOKUP(N:N,'Resource Table'!B:B,'Resource Table'!C:C,"n/a",0,1)</f>
        <v>AFS Dedicated Tech</v>
      </c>
      <c r="P1327" t="str">
        <f>_xlfn.XLOOKUP(N:N,'Resource Table'!B:B,'Resource Table'!D:D,"n/a",0,1)</f>
        <v>Dedicated</v>
      </c>
    </row>
    <row r="1328" spans="1:16" x14ac:dyDescent="0.45">
      <c r="A1328" t="s">
        <v>5443</v>
      </c>
      <c r="B1328" t="s">
        <v>5458</v>
      </c>
      <c r="C1328" t="s">
        <v>5519</v>
      </c>
      <c r="D1328" t="s">
        <v>6196</v>
      </c>
      <c r="E1328" t="s">
        <v>6451</v>
      </c>
      <c r="F1328" t="s">
        <v>13460</v>
      </c>
      <c r="G1328" t="s">
        <v>13476</v>
      </c>
      <c r="H1328" t="s">
        <v>13571</v>
      </c>
      <c r="I1328" t="s">
        <v>6479</v>
      </c>
      <c r="J1328" t="s">
        <v>13463</v>
      </c>
      <c r="K1328">
        <v>1</v>
      </c>
      <c r="L1328" t="s">
        <v>13487</v>
      </c>
      <c r="M1328" t="s">
        <v>20</v>
      </c>
      <c r="N1328" t="str">
        <f>_xlfn.XLOOKUP(C:C,'Resource Table'!A:A,'Resource Table'!B:B,"NOT FOUND",0,1)</f>
        <v>Dedicated</v>
      </c>
      <c r="O1328" t="str">
        <f>_xlfn.XLOOKUP(N:N,'Resource Table'!B:B,'Resource Table'!C:C,"n/a",0,1)</f>
        <v>AFS Dedicated Tech</v>
      </c>
      <c r="P1328" t="str">
        <f>_xlfn.XLOOKUP(N:N,'Resource Table'!B:B,'Resource Table'!D:D,"n/a",0,1)</f>
        <v>Dedicated</v>
      </c>
    </row>
    <row r="1329" spans="1:16" x14ac:dyDescent="0.45">
      <c r="A1329" t="s">
        <v>5443</v>
      </c>
      <c r="B1329" t="s">
        <v>5458</v>
      </c>
      <c r="C1329" t="s">
        <v>5519</v>
      </c>
      <c r="D1329" t="s">
        <v>5573</v>
      </c>
      <c r="E1329" t="s">
        <v>6451</v>
      </c>
      <c r="F1329" t="s">
        <v>13460</v>
      </c>
      <c r="G1329" t="s">
        <v>13476</v>
      </c>
      <c r="H1329" t="s">
        <v>13533</v>
      </c>
      <c r="I1329" t="s">
        <v>29</v>
      </c>
      <c r="J1329" t="s">
        <v>13463</v>
      </c>
      <c r="K1329">
        <v>4</v>
      </c>
      <c r="L1329" t="s">
        <v>13536</v>
      </c>
      <c r="M1329" t="s">
        <v>13480</v>
      </c>
      <c r="N1329" t="str">
        <f>_xlfn.XLOOKUP(C:C,'Resource Table'!A:A,'Resource Table'!B:B,"NOT FOUND",0,1)</f>
        <v>Dedicated</v>
      </c>
      <c r="O1329" t="str">
        <f>_xlfn.XLOOKUP(N:N,'Resource Table'!B:B,'Resource Table'!C:C,"n/a",0,1)</f>
        <v>AFS Dedicated Tech</v>
      </c>
      <c r="P1329" t="str">
        <f>_xlfn.XLOOKUP(N:N,'Resource Table'!B:B,'Resource Table'!D:D,"n/a",0,1)</f>
        <v>Dedicated</v>
      </c>
    </row>
    <row r="1330" spans="1:16" x14ac:dyDescent="0.45">
      <c r="A1330" t="s">
        <v>5443</v>
      </c>
      <c r="B1330" t="s">
        <v>5458</v>
      </c>
      <c r="C1330" t="s">
        <v>5519</v>
      </c>
      <c r="D1330" t="s">
        <v>13099</v>
      </c>
      <c r="E1330" t="s">
        <v>6451</v>
      </c>
      <c r="F1330" t="s">
        <v>13460</v>
      </c>
      <c r="G1330" t="s">
        <v>13476</v>
      </c>
      <c r="H1330" t="s">
        <v>13533</v>
      </c>
      <c r="I1330" t="s">
        <v>6479</v>
      </c>
      <c r="J1330" t="s">
        <v>13463</v>
      </c>
      <c r="K1330">
        <v>0</v>
      </c>
      <c r="L1330" t="s">
        <v>20</v>
      </c>
      <c r="M1330" t="s">
        <v>20</v>
      </c>
      <c r="N1330" t="str">
        <f>_xlfn.XLOOKUP(C:C,'Resource Table'!A:A,'Resource Table'!B:B,"NOT FOUND",0,1)</f>
        <v>Dedicated</v>
      </c>
      <c r="O1330" t="str">
        <f>_xlfn.XLOOKUP(N:N,'Resource Table'!B:B,'Resource Table'!C:C,"n/a",0,1)</f>
        <v>AFS Dedicated Tech</v>
      </c>
      <c r="P1330" t="str">
        <f>_xlfn.XLOOKUP(N:N,'Resource Table'!B:B,'Resource Table'!D:D,"n/a",0,1)</f>
        <v>Dedicated</v>
      </c>
    </row>
    <row r="1331" spans="1:16" x14ac:dyDescent="0.45">
      <c r="A1331" t="s">
        <v>5443</v>
      </c>
      <c r="B1331" t="s">
        <v>5458</v>
      </c>
      <c r="C1331" t="s">
        <v>5519</v>
      </c>
      <c r="D1331" t="s">
        <v>6197</v>
      </c>
      <c r="E1331" t="s">
        <v>6451</v>
      </c>
      <c r="F1331" t="s">
        <v>13460</v>
      </c>
      <c r="G1331" t="s">
        <v>13476</v>
      </c>
      <c r="H1331" t="s">
        <v>13533</v>
      </c>
      <c r="I1331" t="s">
        <v>29</v>
      </c>
      <c r="J1331" t="s">
        <v>13463</v>
      </c>
      <c r="K1331">
        <v>1</v>
      </c>
      <c r="L1331" t="s">
        <v>13503</v>
      </c>
      <c r="M1331" t="s">
        <v>20</v>
      </c>
      <c r="N1331" t="str">
        <f>_xlfn.XLOOKUP(C:C,'Resource Table'!A:A,'Resource Table'!B:B,"NOT FOUND",0,1)</f>
        <v>Dedicated</v>
      </c>
      <c r="O1331" t="str">
        <f>_xlfn.XLOOKUP(N:N,'Resource Table'!B:B,'Resource Table'!C:C,"n/a",0,1)</f>
        <v>AFS Dedicated Tech</v>
      </c>
      <c r="P1331" t="str">
        <f>_xlfn.XLOOKUP(N:N,'Resource Table'!B:B,'Resource Table'!D:D,"n/a",0,1)</f>
        <v>Dedicated</v>
      </c>
    </row>
    <row r="1332" spans="1:16" x14ac:dyDescent="0.45">
      <c r="A1332" t="s">
        <v>5443</v>
      </c>
      <c r="B1332" t="s">
        <v>5458</v>
      </c>
      <c r="C1332" t="s">
        <v>5519</v>
      </c>
      <c r="D1332" t="s">
        <v>6245</v>
      </c>
      <c r="E1332" t="s">
        <v>6451</v>
      </c>
      <c r="F1332" t="s">
        <v>13460</v>
      </c>
      <c r="G1332" t="s">
        <v>13476</v>
      </c>
      <c r="H1332" t="s">
        <v>13477</v>
      </c>
      <c r="I1332" t="s">
        <v>6479</v>
      </c>
      <c r="J1332" t="s">
        <v>13463</v>
      </c>
      <c r="K1332">
        <v>1</v>
      </c>
      <c r="L1332" t="s">
        <v>13493</v>
      </c>
      <c r="M1332" t="s">
        <v>20</v>
      </c>
      <c r="N1332" t="str">
        <f>_xlfn.XLOOKUP(C:C,'Resource Table'!A:A,'Resource Table'!B:B,"NOT FOUND",0,1)</f>
        <v>Dedicated</v>
      </c>
      <c r="O1332" t="str">
        <f>_xlfn.XLOOKUP(N:N,'Resource Table'!B:B,'Resource Table'!C:C,"n/a",0,1)</f>
        <v>AFS Dedicated Tech</v>
      </c>
      <c r="P1332" t="str">
        <f>_xlfn.XLOOKUP(N:N,'Resource Table'!B:B,'Resource Table'!D:D,"n/a",0,1)</f>
        <v>Dedicated</v>
      </c>
    </row>
    <row r="1333" spans="1:16" x14ac:dyDescent="0.45">
      <c r="A1333" t="s">
        <v>5443</v>
      </c>
      <c r="B1333" t="s">
        <v>5458</v>
      </c>
      <c r="C1333" t="s">
        <v>5519</v>
      </c>
      <c r="D1333" t="s">
        <v>5872</v>
      </c>
      <c r="E1333" t="s">
        <v>6451</v>
      </c>
      <c r="F1333" t="s">
        <v>13473</v>
      </c>
      <c r="G1333" t="s">
        <v>13474</v>
      </c>
      <c r="H1333" t="s">
        <v>13521</v>
      </c>
      <c r="I1333" t="s">
        <v>6479</v>
      </c>
      <c r="J1333" t="s">
        <v>13463</v>
      </c>
      <c r="K1333">
        <v>1</v>
      </c>
      <c r="L1333" t="s">
        <v>13493</v>
      </c>
      <c r="M1333" t="s">
        <v>20</v>
      </c>
      <c r="N1333" t="str">
        <f>_xlfn.XLOOKUP(C:C,'Resource Table'!A:A,'Resource Table'!B:B,"NOT FOUND",0,1)</f>
        <v>Dedicated</v>
      </c>
      <c r="O1333" t="str">
        <f>_xlfn.XLOOKUP(N:N,'Resource Table'!B:B,'Resource Table'!C:C,"n/a",0,1)</f>
        <v>AFS Dedicated Tech</v>
      </c>
      <c r="P1333" t="str">
        <f>_xlfn.XLOOKUP(N:N,'Resource Table'!B:B,'Resource Table'!D:D,"n/a",0,1)</f>
        <v>Dedicated</v>
      </c>
    </row>
    <row r="1334" spans="1:16" x14ac:dyDescent="0.45">
      <c r="A1334" t="s">
        <v>5443</v>
      </c>
      <c r="B1334" t="s">
        <v>5458</v>
      </c>
      <c r="C1334" t="s">
        <v>5519</v>
      </c>
      <c r="D1334" t="s">
        <v>6232</v>
      </c>
      <c r="E1334" t="s">
        <v>6451</v>
      </c>
      <c r="F1334" t="s">
        <v>13460</v>
      </c>
      <c r="G1334" t="s">
        <v>13476</v>
      </c>
      <c r="H1334" t="s">
        <v>13477</v>
      </c>
      <c r="I1334" t="s">
        <v>6479</v>
      </c>
      <c r="J1334" t="s">
        <v>13463</v>
      </c>
      <c r="K1334">
        <v>0</v>
      </c>
      <c r="L1334" t="s">
        <v>20</v>
      </c>
      <c r="M1334" t="s">
        <v>20</v>
      </c>
      <c r="N1334" t="str">
        <f>_xlfn.XLOOKUP(C:C,'Resource Table'!A:A,'Resource Table'!B:B,"NOT FOUND",0,1)</f>
        <v>Dedicated</v>
      </c>
      <c r="O1334" t="str">
        <f>_xlfn.XLOOKUP(N:N,'Resource Table'!B:B,'Resource Table'!C:C,"n/a",0,1)</f>
        <v>AFS Dedicated Tech</v>
      </c>
      <c r="P1334" t="str">
        <f>_xlfn.XLOOKUP(N:N,'Resource Table'!B:B,'Resource Table'!D:D,"n/a",0,1)</f>
        <v>Dedicated</v>
      </c>
    </row>
    <row r="1335" spans="1:16" x14ac:dyDescent="0.45">
      <c r="A1335" t="s">
        <v>5443</v>
      </c>
      <c r="B1335" t="s">
        <v>5458</v>
      </c>
      <c r="C1335" t="s">
        <v>5519</v>
      </c>
      <c r="D1335" t="s">
        <v>5725</v>
      </c>
      <c r="E1335" t="s">
        <v>6451</v>
      </c>
      <c r="F1335" t="s">
        <v>13473</v>
      </c>
      <c r="G1335" t="s">
        <v>13474</v>
      </c>
      <c r="H1335" t="s">
        <v>13517</v>
      </c>
      <c r="I1335" t="s">
        <v>6479</v>
      </c>
      <c r="J1335" t="s">
        <v>13463</v>
      </c>
      <c r="K1335">
        <v>1</v>
      </c>
      <c r="L1335" t="s">
        <v>13512</v>
      </c>
      <c r="M1335" t="s">
        <v>13545</v>
      </c>
      <c r="N1335" t="str">
        <f>_xlfn.XLOOKUP(C:C,'Resource Table'!A:A,'Resource Table'!B:B,"NOT FOUND",0,1)</f>
        <v>Dedicated</v>
      </c>
      <c r="O1335" t="str">
        <f>_xlfn.XLOOKUP(N:N,'Resource Table'!B:B,'Resource Table'!C:C,"n/a",0,1)</f>
        <v>AFS Dedicated Tech</v>
      </c>
      <c r="P1335" t="str">
        <f>_xlfn.XLOOKUP(N:N,'Resource Table'!B:B,'Resource Table'!D:D,"n/a",0,1)</f>
        <v>Dedicated</v>
      </c>
    </row>
    <row r="1336" spans="1:16" x14ac:dyDescent="0.45">
      <c r="A1336" t="s">
        <v>5443</v>
      </c>
      <c r="B1336" t="s">
        <v>5444</v>
      </c>
      <c r="C1336" t="s">
        <v>5895</v>
      </c>
      <c r="D1336" t="s">
        <v>923</v>
      </c>
      <c r="E1336" t="s">
        <v>6451</v>
      </c>
      <c r="F1336" t="s">
        <v>13525</v>
      </c>
      <c r="G1336" t="s">
        <v>13526</v>
      </c>
      <c r="H1336" t="s">
        <v>13584</v>
      </c>
      <c r="I1336" t="s">
        <v>6479</v>
      </c>
      <c r="J1336" t="s">
        <v>13463</v>
      </c>
      <c r="K1336">
        <v>0</v>
      </c>
      <c r="L1336" t="s">
        <v>20</v>
      </c>
      <c r="M1336" t="s">
        <v>20</v>
      </c>
      <c r="N1336" t="str">
        <f>_xlfn.XLOOKUP(C:C,'Resource Table'!A:A,'Resource Table'!B:B,"NOT FOUND",0,1)</f>
        <v>Hollie Francis</v>
      </c>
      <c r="O1336" t="str">
        <f>_xlfn.XLOOKUP(N:N,'Resource Table'!B:B,'Resource Table'!C:C,"n/a",0,1)</f>
        <v>hfrancis@ameritfleet.com</v>
      </c>
      <c r="P1336" t="str">
        <f>_xlfn.XLOOKUP(N:N,'Resource Table'!B:B,'Resource Table'!D:D,"n/a",0,1)</f>
        <v>Vended Repair</v>
      </c>
    </row>
    <row r="1337" spans="1:16" x14ac:dyDescent="0.45">
      <c r="A1337" t="s">
        <v>5443</v>
      </c>
      <c r="B1337" t="s">
        <v>5444</v>
      </c>
      <c r="C1337" t="s">
        <v>5895</v>
      </c>
      <c r="D1337" t="s">
        <v>6032</v>
      </c>
      <c r="E1337" t="s">
        <v>6461</v>
      </c>
      <c r="F1337" t="s">
        <v>13460</v>
      </c>
      <c r="G1337" t="s">
        <v>13538</v>
      </c>
      <c r="H1337" t="s">
        <v>13539</v>
      </c>
      <c r="I1337" t="s">
        <v>6479</v>
      </c>
      <c r="J1337" t="s">
        <v>13463</v>
      </c>
      <c r="K1337">
        <v>1</v>
      </c>
      <c r="L1337" t="s">
        <v>13503</v>
      </c>
      <c r="M1337" t="s">
        <v>13505</v>
      </c>
      <c r="N1337" t="str">
        <f>_xlfn.XLOOKUP(C:C,'Resource Table'!A:A,'Resource Table'!B:B,"NOT FOUND",0,1)</f>
        <v>Hollie Francis</v>
      </c>
      <c r="O1337" t="str">
        <f>_xlfn.XLOOKUP(N:N,'Resource Table'!B:B,'Resource Table'!C:C,"n/a",0,1)</f>
        <v>hfrancis@ameritfleet.com</v>
      </c>
      <c r="P1337" t="str">
        <f>_xlfn.XLOOKUP(N:N,'Resource Table'!B:B,'Resource Table'!D:D,"n/a",0,1)</f>
        <v>Vended Repair</v>
      </c>
    </row>
    <row r="1338" spans="1:16" x14ac:dyDescent="0.45">
      <c r="A1338" t="s">
        <v>5443</v>
      </c>
      <c r="B1338" t="s">
        <v>5444</v>
      </c>
      <c r="C1338" t="s">
        <v>5895</v>
      </c>
      <c r="D1338" t="s">
        <v>3220</v>
      </c>
      <c r="E1338" t="s">
        <v>6475</v>
      </c>
      <c r="F1338" t="s">
        <v>13460</v>
      </c>
      <c r="G1338" t="s">
        <v>13461</v>
      </c>
      <c r="H1338" t="s">
        <v>13471</v>
      </c>
      <c r="I1338" t="s">
        <v>6479</v>
      </c>
      <c r="J1338" t="s">
        <v>13463</v>
      </c>
      <c r="K1338">
        <v>1</v>
      </c>
      <c r="L1338" t="s">
        <v>13523</v>
      </c>
      <c r="M1338" t="s">
        <v>13493</v>
      </c>
      <c r="N1338" t="str">
        <f>_xlfn.XLOOKUP(C:C,'Resource Table'!A:A,'Resource Table'!B:B,"NOT FOUND",0,1)</f>
        <v>Hollie Francis</v>
      </c>
      <c r="O1338" t="str">
        <f>_xlfn.XLOOKUP(N:N,'Resource Table'!B:B,'Resource Table'!C:C,"n/a",0,1)</f>
        <v>hfrancis@ameritfleet.com</v>
      </c>
      <c r="P1338" t="str">
        <f>_xlfn.XLOOKUP(N:N,'Resource Table'!B:B,'Resource Table'!D:D,"n/a",0,1)</f>
        <v>Vended Repair</v>
      </c>
    </row>
    <row r="1339" spans="1:16" x14ac:dyDescent="0.45">
      <c r="A1339" t="s">
        <v>5443</v>
      </c>
      <c r="B1339" t="s">
        <v>5444</v>
      </c>
      <c r="C1339" t="s">
        <v>5895</v>
      </c>
      <c r="D1339" t="s">
        <v>1998</v>
      </c>
      <c r="E1339" t="s">
        <v>6461</v>
      </c>
      <c r="F1339" t="s">
        <v>13460</v>
      </c>
      <c r="G1339" t="s">
        <v>13538</v>
      </c>
      <c r="H1339" t="s">
        <v>13539</v>
      </c>
      <c r="I1339" t="s">
        <v>6479</v>
      </c>
      <c r="J1339" t="s">
        <v>13463</v>
      </c>
      <c r="K1339">
        <v>1</v>
      </c>
      <c r="L1339" t="s">
        <v>13540</v>
      </c>
      <c r="M1339" t="s">
        <v>13464</v>
      </c>
      <c r="N1339" t="str">
        <f>_xlfn.XLOOKUP(C:C,'Resource Table'!A:A,'Resource Table'!B:B,"NOT FOUND",0,1)</f>
        <v>Hollie Francis</v>
      </c>
      <c r="O1339" t="str">
        <f>_xlfn.XLOOKUP(N:N,'Resource Table'!B:B,'Resource Table'!C:C,"n/a",0,1)</f>
        <v>hfrancis@ameritfleet.com</v>
      </c>
      <c r="P1339" t="str">
        <f>_xlfn.XLOOKUP(N:N,'Resource Table'!B:B,'Resource Table'!D:D,"n/a",0,1)</f>
        <v>Vended Repair</v>
      </c>
    </row>
    <row r="1340" spans="1:16" x14ac:dyDescent="0.45">
      <c r="A1340" t="s">
        <v>5443</v>
      </c>
      <c r="B1340" t="s">
        <v>5444</v>
      </c>
      <c r="C1340" t="s">
        <v>5895</v>
      </c>
      <c r="D1340" t="s">
        <v>5910</v>
      </c>
      <c r="E1340" t="s">
        <v>6462</v>
      </c>
      <c r="F1340" t="s">
        <v>13460</v>
      </c>
      <c r="G1340" t="s">
        <v>13481</v>
      </c>
      <c r="H1340" t="s">
        <v>13490</v>
      </c>
      <c r="I1340" t="s">
        <v>6479</v>
      </c>
      <c r="J1340" t="s">
        <v>13463</v>
      </c>
      <c r="K1340">
        <v>0</v>
      </c>
      <c r="L1340" t="s">
        <v>20</v>
      </c>
      <c r="M1340" t="s">
        <v>20</v>
      </c>
      <c r="N1340" t="str">
        <f>_xlfn.XLOOKUP(C:C,'Resource Table'!A:A,'Resource Table'!B:B,"NOT FOUND",0,1)</f>
        <v>Hollie Francis</v>
      </c>
      <c r="O1340" t="str">
        <f>_xlfn.XLOOKUP(N:N,'Resource Table'!B:B,'Resource Table'!C:C,"n/a",0,1)</f>
        <v>hfrancis@ameritfleet.com</v>
      </c>
      <c r="P1340" t="str">
        <f>_xlfn.XLOOKUP(N:N,'Resource Table'!B:B,'Resource Table'!D:D,"n/a",0,1)</f>
        <v>Vended Repair</v>
      </c>
    </row>
    <row r="1341" spans="1:16" x14ac:dyDescent="0.45">
      <c r="A1341" t="s">
        <v>5443</v>
      </c>
      <c r="B1341" t="s">
        <v>5444</v>
      </c>
      <c r="C1341" t="s">
        <v>5895</v>
      </c>
      <c r="D1341" t="s">
        <v>3691</v>
      </c>
      <c r="E1341" t="s">
        <v>6451</v>
      </c>
      <c r="F1341" t="s">
        <v>13473</v>
      </c>
      <c r="G1341" t="s">
        <v>13474</v>
      </c>
      <c r="H1341" t="s">
        <v>13475</v>
      </c>
      <c r="I1341" t="s">
        <v>6479</v>
      </c>
      <c r="J1341" t="s">
        <v>13463</v>
      </c>
      <c r="K1341">
        <v>1</v>
      </c>
      <c r="L1341" t="s">
        <v>13504</v>
      </c>
      <c r="M1341" t="s">
        <v>13470</v>
      </c>
      <c r="N1341" t="str">
        <f>_xlfn.XLOOKUP(C:C,'Resource Table'!A:A,'Resource Table'!B:B,"NOT FOUND",0,1)</f>
        <v>Hollie Francis</v>
      </c>
      <c r="O1341" t="str">
        <f>_xlfn.XLOOKUP(N:N,'Resource Table'!B:B,'Resource Table'!C:C,"n/a",0,1)</f>
        <v>hfrancis@ameritfleet.com</v>
      </c>
      <c r="P1341" t="str">
        <f>_xlfn.XLOOKUP(N:N,'Resource Table'!B:B,'Resource Table'!D:D,"n/a",0,1)</f>
        <v>Vended Repair</v>
      </c>
    </row>
    <row r="1342" spans="1:16" x14ac:dyDescent="0.45">
      <c r="A1342" t="s">
        <v>5443</v>
      </c>
      <c r="B1342" t="s">
        <v>5444</v>
      </c>
      <c r="C1342" t="s">
        <v>5466</v>
      </c>
      <c r="D1342" t="s">
        <v>6350</v>
      </c>
      <c r="E1342" t="s">
        <v>6451</v>
      </c>
      <c r="F1342" t="s">
        <v>13460</v>
      </c>
      <c r="G1342" t="s">
        <v>13461</v>
      </c>
      <c r="H1342" t="s">
        <v>13471</v>
      </c>
      <c r="I1342" t="s">
        <v>6479</v>
      </c>
      <c r="J1342" t="s">
        <v>13463</v>
      </c>
      <c r="K1342">
        <v>4</v>
      </c>
      <c r="L1342" t="s">
        <v>13543</v>
      </c>
      <c r="M1342" t="s">
        <v>13469</v>
      </c>
      <c r="N1342" t="str">
        <f>_xlfn.XLOOKUP(C:C,'Resource Table'!A:A,'Resource Table'!B:B,"NOT FOUND",0,1)</f>
        <v>Dedicated</v>
      </c>
      <c r="O1342" t="str">
        <f>_xlfn.XLOOKUP(N:N,'Resource Table'!B:B,'Resource Table'!C:C,"n/a",0,1)</f>
        <v>AFS Dedicated Tech</v>
      </c>
      <c r="P1342" t="str">
        <f>_xlfn.XLOOKUP(N:N,'Resource Table'!B:B,'Resource Table'!D:D,"n/a",0,1)</f>
        <v>Dedicated</v>
      </c>
    </row>
    <row r="1343" spans="1:16" x14ac:dyDescent="0.45">
      <c r="A1343" t="s">
        <v>5443</v>
      </c>
      <c r="B1343" t="s">
        <v>5444</v>
      </c>
      <c r="C1343" t="s">
        <v>5466</v>
      </c>
      <c r="D1343" t="s">
        <v>5467</v>
      </c>
      <c r="E1343" t="s">
        <v>6451</v>
      </c>
      <c r="F1343" t="s">
        <v>13473</v>
      </c>
      <c r="G1343" t="s">
        <v>13474</v>
      </c>
      <c r="H1343" t="s">
        <v>13517</v>
      </c>
      <c r="I1343" t="s">
        <v>29</v>
      </c>
      <c r="J1343" t="s">
        <v>13463</v>
      </c>
      <c r="K1343">
        <v>3</v>
      </c>
      <c r="L1343" t="s">
        <v>13499</v>
      </c>
      <c r="M1343" t="s">
        <v>13512</v>
      </c>
      <c r="N1343" t="str">
        <f>_xlfn.XLOOKUP(C:C,'Resource Table'!A:A,'Resource Table'!B:B,"NOT FOUND",0,1)</f>
        <v>Dedicated</v>
      </c>
      <c r="O1343" t="str">
        <f>_xlfn.XLOOKUP(N:N,'Resource Table'!B:B,'Resource Table'!C:C,"n/a",0,1)</f>
        <v>AFS Dedicated Tech</v>
      </c>
      <c r="P1343" t="str">
        <f>_xlfn.XLOOKUP(N:N,'Resource Table'!B:B,'Resource Table'!D:D,"n/a",0,1)</f>
        <v>Dedicated</v>
      </c>
    </row>
    <row r="1344" spans="1:16" x14ac:dyDescent="0.45">
      <c r="A1344" t="s">
        <v>5443</v>
      </c>
      <c r="B1344" t="s">
        <v>5444</v>
      </c>
      <c r="C1344" t="s">
        <v>5466</v>
      </c>
      <c r="D1344" t="s">
        <v>5620</v>
      </c>
      <c r="E1344" t="s">
        <v>6451</v>
      </c>
      <c r="F1344" t="s">
        <v>13460</v>
      </c>
      <c r="G1344" t="s">
        <v>13461</v>
      </c>
      <c r="H1344" t="s">
        <v>13471</v>
      </c>
      <c r="I1344" t="s">
        <v>6479</v>
      </c>
      <c r="J1344" t="s">
        <v>13463</v>
      </c>
      <c r="K1344">
        <v>1</v>
      </c>
      <c r="L1344" t="s">
        <v>13468</v>
      </c>
      <c r="M1344" t="s">
        <v>20</v>
      </c>
      <c r="N1344" t="str">
        <f>_xlfn.XLOOKUP(C:C,'Resource Table'!A:A,'Resource Table'!B:B,"NOT FOUND",0,1)</f>
        <v>Dedicated</v>
      </c>
      <c r="O1344" t="str">
        <f>_xlfn.XLOOKUP(N:N,'Resource Table'!B:B,'Resource Table'!C:C,"n/a",0,1)</f>
        <v>AFS Dedicated Tech</v>
      </c>
      <c r="P1344" t="str">
        <f>_xlfn.XLOOKUP(N:N,'Resource Table'!B:B,'Resource Table'!D:D,"n/a",0,1)</f>
        <v>Dedicated</v>
      </c>
    </row>
    <row r="1345" spans="1:16" x14ac:dyDescent="0.45">
      <c r="A1345" t="s">
        <v>5443</v>
      </c>
      <c r="B1345" t="s">
        <v>5444</v>
      </c>
      <c r="C1345" t="s">
        <v>5466</v>
      </c>
      <c r="D1345" t="s">
        <v>6268</v>
      </c>
      <c r="E1345" t="s">
        <v>6451</v>
      </c>
      <c r="F1345" t="s">
        <v>13460</v>
      </c>
      <c r="G1345" t="s">
        <v>13461</v>
      </c>
      <c r="H1345" t="s">
        <v>13465</v>
      </c>
      <c r="I1345" t="s">
        <v>6479</v>
      </c>
      <c r="J1345" t="s">
        <v>13463</v>
      </c>
      <c r="K1345">
        <v>2</v>
      </c>
      <c r="L1345" t="s">
        <v>13536</v>
      </c>
      <c r="M1345" t="s">
        <v>20</v>
      </c>
      <c r="N1345" t="str">
        <f>_xlfn.XLOOKUP(C:C,'Resource Table'!A:A,'Resource Table'!B:B,"NOT FOUND",0,1)</f>
        <v>Dedicated</v>
      </c>
      <c r="O1345" t="str">
        <f>_xlfn.XLOOKUP(N:N,'Resource Table'!B:B,'Resource Table'!C:C,"n/a",0,1)</f>
        <v>AFS Dedicated Tech</v>
      </c>
      <c r="P1345" t="str">
        <f>_xlfn.XLOOKUP(N:N,'Resource Table'!B:B,'Resource Table'!D:D,"n/a",0,1)</f>
        <v>Dedicated</v>
      </c>
    </row>
    <row r="1346" spans="1:16" x14ac:dyDescent="0.45">
      <c r="A1346" t="s">
        <v>5443</v>
      </c>
      <c r="B1346" t="s">
        <v>5444</v>
      </c>
      <c r="C1346" t="s">
        <v>5466</v>
      </c>
      <c r="D1346" t="s">
        <v>5618</v>
      </c>
      <c r="E1346" t="s">
        <v>6451</v>
      </c>
      <c r="F1346" t="s">
        <v>13460</v>
      </c>
      <c r="G1346" t="s">
        <v>13461</v>
      </c>
      <c r="H1346" t="s">
        <v>13471</v>
      </c>
      <c r="I1346" t="s">
        <v>29</v>
      </c>
      <c r="J1346" t="s">
        <v>13463</v>
      </c>
      <c r="K1346">
        <v>1</v>
      </c>
      <c r="L1346" t="s">
        <v>13487</v>
      </c>
      <c r="M1346" t="s">
        <v>20</v>
      </c>
      <c r="N1346" t="str">
        <f>_xlfn.XLOOKUP(C:C,'Resource Table'!A:A,'Resource Table'!B:B,"NOT FOUND",0,1)</f>
        <v>Dedicated</v>
      </c>
      <c r="O1346" t="str">
        <f>_xlfn.XLOOKUP(N:N,'Resource Table'!B:B,'Resource Table'!C:C,"n/a",0,1)</f>
        <v>AFS Dedicated Tech</v>
      </c>
      <c r="P1346" t="str">
        <f>_xlfn.XLOOKUP(N:N,'Resource Table'!B:B,'Resource Table'!D:D,"n/a",0,1)</f>
        <v>Dedicated</v>
      </c>
    </row>
    <row r="1347" spans="1:16" x14ac:dyDescent="0.45">
      <c r="A1347" t="s">
        <v>5443</v>
      </c>
      <c r="B1347" t="s">
        <v>5444</v>
      </c>
      <c r="C1347" t="s">
        <v>5466</v>
      </c>
      <c r="D1347" t="s">
        <v>5813</v>
      </c>
      <c r="E1347" t="s">
        <v>6451</v>
      </c>
      <c r="F1347" t="s">
        <v>13473</v>
      </c>
      <c r="G1347" t="s">
        <v>13474</v>
      </c>
      <c r="H1347" t="s">
        <v>13475</v>
      </c>
      <c r="I1347" t="s">
        <v>6479</v>
      </c>
      <c r="J1347" t="s">
        <v>13463</v>
      </c>
      <c r="K1347">
        <v>1</v>
      </c>
      <c r="L1347" t="s">
        <v>13466</v>
      </c>
      <c r="M1347" t="s">
        <v>20</v>
      </c>
      <c r="N1347" t="str">
        <f>_xlfn.XLOOKUP(C:C,'Resource Table'!A:A,'Resource Table'!B:B,"NOT FOUND",0,1)</f>
        <v>Dedicated</v>
      </c>
      <c r="O1347" t="str">
        <f>_xlfn.XLOOKUP(N:N,'Resource Table'!B:B,'Resource Table'!C:C,"n/a",0,1)</f>
        <v>AFS Dedicated Tech</v>
      </c>
      <c r="P1347" t="str">
        <f>_xlfn.XLOOKUP(N:N,'Resource Table'!B:B,'Resource Table'!D:D,"n/a",0,1)</f>
        <v>Dedicated</v>
      </c>
    </row>
    <row r="1348" spans="1:16" x14ac:dyDescent="0.45">
      <c r="A1348" t="s">
        <v>5443</v>
      </c>
      <c r="B1348" t="s">
        <v>5444</v>
      </c>
      <c r="C1348" t="s">
        <v>5466</v>
      </c>
      <c r="D1348" t="s">
        <v>6354</v>
      </c>
      <c r="E1348" t="s">
        <v>6451</v>
      </c>
      <c r="F1348" t="s">
        <v>13460</v>
      </c>
      <c r="G1348" t="s">
        <v>13461</v>
      </c>
      <c r="H1348" t="s">
        <v>13471</v>
      </c>
      <c r="I1348" t="s">
        <v>6479</v>
      </c>
      <c r="J1348" t="s">
        <v>13463</v>
      </c>
      <c r="K1348">
        <v>2</v>
      </c>
      <c r="L1348" t="s">
        <v>13507</v>
      </c>
      <c r="M1348" t="s">
        <v>13513</v>
      </c>
      <c r="N1348" t="str">
        <f>_xlfn.XLOOKUP(C:C,'Resource Table'!A:A,'Resource Table'!B:B,"NOT FOUND",0,1)</f>
        <v>Dedicated</v>
      </c>
      <c r="O1348" t="str">
        <f>_xlfn.XLOOKUP(N:N,'Resource Table'!B:B,'Resource Table'!C:C,"n/a",0,1)</f>
        <v>AFS Dedicated Tech</v>
      </c>
      <c r="P1348" t="str">
        <f>_xlfn.XLOOKUP(N:N,'Resource Table'!B:B,'Resource Table'!D:D,"n/a",0,1)</f>
        <v>Dedicated</v>
      </c>
    </row>
    <row r="1349" spans="1:16" x14ac:dyDescent="0.45">
      <c r="A1349" t="s">
        <v>5443</v>
      </c>
      <c r="B1349" t="s">
        <v>5444</v>
      </c>
      <c r="C1349" t="s">
        <v>5466</v>
      </c>
      <c r="D1349" t="s">
        <v>5673</v>
      </c>
      <c r="E1349" t="s">
        <v>6451</v>
      </c>
      <c r="F1349" t="s">
        <v>13460</v>
      </c>
      <c r="G1349" t="s">
        <v>13461</v>
      </c>
      <c r="H1349" t="s">
        <v>13596</v>
      </c>
      <c r="I1349" t="s">
        <v>6479</v>
      </c>
      <c r="J1349" t="s">
        <v>13463</v>
      </c>
      <c r="K1349">
        <v>0</v>
      </c>
      <c r="L1349" t="s">
        <v>20</v>
      </c>
      <c r="M1349" t="s">
        <v>20</v>
      </c>
      <c r="N1349" t="str">
        <f>_xlfn.XLOOKUP(C:C,'Resource Table'!A:A,'Resource Table'!B:B,"NOT FOUND",0,1)</f>
        <v>Dedicated</v>
      </c>
      <c r="O1349" t="str">
        <f>_xlfn.XLOOKUP(N:N,'Resource Table'!B:B,'Resource Table'!C:C,"n/a",0,1)</f>
        <v>AFS Dedicated Tech</v>
      </c>
      <c r="P1349" t="str">
        <f>_xlfn.XLOOKUP(N:N,'Resource Table'!B:B,'Resource Table'!D:D,"n/a",0,1)</f>
        <v>Dedicated</v>
      </c>
    </row>
    <row r="1350" spans="1:16" x14ac:dyDescent="0.45">
      <c r="A1350" t="s">
        <v>5443</v>
      </c>
      <c r="B1350" t="s">
        <v>5444</v>
      </c>
      <c r="C1350" t="s">
        <v>5466</v>
      </c>
      <c r="D1350" t="s">
        <v>6305</v>
      </c>
      <c r="E1350" t="s">
        <v>6451</v>
      </c>
      <c r="F1350" t="s">
        <v>13460</v>
      </c>
      <c r="G1350" t="s">
        <v>13461</v>
      </c>
      <c r="H1350" t="s">
        <v>13462</v>
      </c>
      <c r="I1350" t="s">
        <v>6479</v>
      </c>
      <c r="J1350" t="s">
        <v>13463</v>
      </c>
      <c r="K1350">
        <v>2</v>
      </c>
      <c r="L1350" t="s">
        <v>13524</v>
      </c>
      <c r="M1350" t="s">
        <v>13512</v>
      </c>
      <c r="N1350" t="str">
        <f>_xlfn.XLOOKUP(C:C,'Resource Table'!A:A,'Resource Table'!B:B,"NOT FOUND",0,1)</f>
        <v>Dedicated</v>
      </c>
      <c r="O1350" t="str">
        <f>_xlfn.XLOOKUP(N:N,'Resource Table'!B:B,'Resource Table'!C:C,"n/a",0,1)</f>
        <v>AFS Dedicated Tech</v>
      </c>
      <c r="P1350" t="str">
        <f>_xlfn.XLOOKUP(N:N,'Resource Table'!B:B,'Resource Table'!D:D,"n/a",0,1)</f>
        <v>Dedicated</v>
      </c>
    </row>
    <row r="1351" spans="1:16" x14ac:dyDescent="0.45">
      <c r="A1351" t="s">
        <v>5443</v>
      </c>
      <c r="B1351" t="s">
        <v>5444</v>
      </c>
      <c r="C1351" t="s">
        <v>5466</v>
      </c>
      <c r="D1351" t="s">
        <v>13058</v>
      </c>
      <c r="E1351" t="s">
        <v>6451</v>
      </c>
      <c r="F1351" t="s">
        <v>13619</v>
      </c>
      <c r="G1351" t="s">
        <v>13620</v>
      </c>
      <c r="H1351" t="s">
        <v>13621</v>
      </c>
      <c r="I1351" t="s">
        <v>6479</v>
      </c>
      <c r="J1351" t="s">
        <v>13463</v>
      </c>
      <c r="K1351">
        <v>0</v>
      </c>
      <c r="L1351" t="s">
        <v>20</v>
      </c>
      <c r="M1351" t="s">
        <v>20</v>
      </c>
      <c r="N1351" t="str">
        <f>_xlfn.XLOOKUP(C:C,'Resource Table'!A:A,'Resource Table'!B:B,"NOT FOUND",0,1)</f>
        <v>Dedicated</v>
      </c>
      <c r="O1351" t="str">
        <f>_xlfn.XLOOKUP(N:N,'Resource Table'!B:B,'Resource Table'!C:C,"n/a",0,1)</f>
        <v>AFS Dedicated Tech</v>
      </c>
      <c r="P1351" t="str">
        <f>_xlfn.XLOOKUP(N:N,'Resource Table'!B:B,'Resource Table'!D:D,"n/a",0,1)</f>
        <v>Dedicated</v>
      </c>
    </row>
    <row r="1352" spans="1:16" x14ac:dyDescent="0.45">
      <c r="A1352" t="s">
        <v>5443</v>
      </c>
      <c r="B1352" t="s">
        <v>5444</v>
      </c>
      <c r="C1352" t="s">
        <v>5466</v>
      </c>
      <c r="D1352" t="s">
        <v>13059</v>
      </c>
      <c r="E1352" t="s">
        <v>6451</v>
      </c>
      <c r="F1352" t="s">
        <v>13460</v>
      </c>
      <c r="G1352" t="s">
        <v>13461</v>
      </c>
      <c r="H1352" t="s">
        <v>13622</v>
      </c>
      <c r="I1352" t="s">
        <v>6479</v>
      </c>
      <c r="J1352" t="s">
        <v>13463</v>
      </c>
      <c r="K1352">
        <v>0</v>
      </c>
      <c r="L1352" t="s">
        <v>20</v>
      </c>
      <c r="M1352" t="s">
        <v>20</v>
      </c>
      <c r="N1352" t="str">
        <f>_xlfn.XLOOKUP(C:C,'Resource Table'!A:A,'Resource Table'!B:B,"NOT FOUND",0,1)</f>
        <v>Dedicated</v>
      </c>
      <c r="O1352" t="str">
        <f>_xlfn.XLOOKUP(N:N,'Resource Table'!B:B,'Resource Table'!C:C,"n/a",0,1)</f>
        <v>AFS Dedicated Tech</v>
      </c>
      <c r="P1352" t="str">
        <f>_xlfn.XLOOKUP(N:N,'Resource Table'!B:B,'Resource Table'!D:D,"n/a",0,1)</f>
        <v>Dedicated</v>
      </c>
    </row>
    <row r="1353" spans="1:16" x14ac:dyDescent="0.45">
      <c r="A1353" t="s">
        <v>5443</v>
      </c>
      <c r="B1353" t="s">
        <v>5444</v>
      </c>
      <c r="C1353" t="s">
        <v>5466</v>
      </c>
      <c r="D1353" t="s">
        <v>6387</v>
      </c>
      <c r="E1353" t="s">
        <v>6451</v>
      </c>
      <c r="F1353" t="s">
        <v>13460</v>
      </c>
      <c r="G1353" t="s">
        <v>13461</v>
      </c>
      <c r="H1353" t="s">
        <v>13471</v>
      </c>
      <c r="I1353" t="s">
        <v>6479</v>
      </c>
      <c r="J1353" t="s">
        <v>13463</v>
      </c>
      <c r="K1353">
        <v>1</v>
      </c>
      <c r="L1353" t="s">
        <v>13523</v>
      </c>
      <c r="M1353" t="s">
        <v>13544</v>
      </c>
      <c r="N1353" t="str">
        <f>_xlfn.XLOOKUP(C:C,'Resource Table'!A:A,'Resource Table'!B:B,"NOT FOUND",0,1)</f>
        <v>Dedicated</v>
      </c>
      <c r="O1353" t="str">
        <f>_xlfn.XLOOKUP(N:N,'Resource Table'!B:B,'Resource Table'!C:C,"n/a",0,1)</f>
        <v>AFS Dedicated Tech</v>
      </c>
      <c r="P1353" t="str">
        <f>_xlfn.XLOOKUP(N:N,'Resource Table'!B:B,'Resource Table'!D:D,"n/a",0,1)</f>
        <v>Dedicated</v>
      </c>
    </row>
    <row r="1354" spans="1:16" x14ac:dyDescent="0.45">
      <c r="A1354" t="s">
        <v>5443</v>
      </c>
      <c r="B1354" t="s">
        <v>5444</v>
      </c>
      <c r="C1354" t="s">
        <v>5466</v>
      </c>
      <c r="D1354" t="s">
        <v>6440</v>
      </c>
      <c r="E1354" t="s">
        <v>6451</v>
      </c>
      <c r="F1354" t="s">
        <v>13460</v>
      </c>
      <c r="G1354" t="s">
        <v>13550</v>
      </c>
      <c r="H1354" t="s">
        <v>13551</v>
      </c>
      <c r="I1354" t="s">
        <v>29</v>
      </c>
      <c r="J1354" t="s">
        <v>13463</v>
      </c>
      <c r="K1354">
        <v>3</v>
      </c>
      <c r="L1354" t="s">
        <v>13497</v>
      </c>
      <c r="M1354" t="s">
        <v>13472</v>
      </c>
      <c r="N1354" t="str">
        <f>_xlfn.XLOOKUP(C:C,'Resource Table'!A:A,'Resource Table'!B:B,"NOT FOUND",0,1)</f>
        <v>Dedicated</v>
      </c>
      <c r="O1354" t="str">
        <f>_xlfn.XLOOKUP(N:N,'Resource Table'!B:B,'Resource Table'!C:C,"n/a",0,1)</f>
        <v>AFS Dedicated Tech</v>
      </c>
      <c r="P1354" t="str">
        <f>_xlfn.XLOOKUP(N:N,'Resource Table'!B:B,'Resource Table'!D:D,"n/a",0,1)</f>
        <v>Dedicated</v>
      </c>
    </row>
    <row r="1355" spans="1:16" x14ac:dyDescent="0.45">
      <c r="A1355" t="s">
        <v>5443</v>
      </c>
      <c r="B1355" t="s">
        <v>5444</v>
      </c>
      <c r="C1355" t="s">
        <v>5466</v>
      </c>
      <c r="D1355" t="s">
        <v>6367</v>
      </c>
      <c r="E1355" t="s">
        <v>6451</v>
      </c>
      <c r="F1355" t="s">
        <v>13460</v>
      </c>
      <c r="G1355" t="s">
        <v>13461</v>
      </c>
      <c r="H1355" t="s">
        <v>13471</v>
      </c>
      <c r="I1355" t="s">
        <v>29</v>
      </c>
      <c r="J1355" t="s">
        <v>13463</v>
      </c>
      <c r="K1355">
        <v>3</v>
      </c>
      <c r="L1355" t="s">
        <v>13483</v>
      </c>
      <c r="M1355" t="s">
        <v>13469</v>
      </c>
      <c r="N1355" t="str">
        <f>_xlfn.XLOOKUP(C:C,'Resource Table'!A:A,'Resource Table'!B:B,"NOT FOUND",0,1)</f>
        <v>Dedicated</v>
      </c>
      <c r="O1355" t="str">
        <f>_xlfn.XLOOKUP(N:N,'Resource Table'!B:B,'Resource Table'!C:C,"n/a",0,1)</f>
        <v>AFS Dedicated Tech</v>
      </c>
      <c r="P1355" t="str">
        <f>_xlfn.XLOOKUP(N:N,'Resource Table'!B:B,'Resource Table'!D:D,"n/a",0,1)</f>
        <v>Dedicated</v>
      </c>
    </row>
    <row r="1356" spans="1:16" x14ac:dyDescent="0.45">
      <c r="A1356" t="s">
        <v>5443</v>
      </c>
      <c r="B1356" t="s">
        <v>5444</v>
      </c>
      <c r="C1356" t="s">
        <v>5553</v>
      </c>
      <c r="D1356" t="s">
        <v>6348</v>
      </c>
      <c r="E1356" t="s">
        <v>6461</v>
      </c>
      <c r="F1356" t="s">
        <v>13460</v>
      </c>
      <c r="G1356" t="s">
        <v>13461</v>
      </c>
      <c r="H1356" t="s">
        <v>13471</v>
      </c>
      <c r="I1356" t="s">
        <v>6479</v>
      </c>
      <c r="J1356" t="s">
        <v>13463</v>
      </c>
      <c r="K1356">
        <v>0</v>
      </c>
      <c r="L1356" t="s">
        <v>20</v>
      </c>
      <c r="M1356" t="s">
        <v>20</v>
      </c>
      <c r="N1356" t="str">
        <f>_xlfn.XLOOKUP(C:C,'Resource Table'!A:A,'Resource Table'!B:B,"NOT FOUND",0,1)</f>
        <v>Hollie Francis</v>
      </c>
      <c r="O1356" t="str">
        <f>_xlfn.XLOOKUP(N:N,'Resource Table'!B:B,'Resource Table'!C:C,"n/a",0,1)</f>
        <v>hfrancis@ameritfleet.com</v>
      </c>
      <c r="P1356" t="str">
        <f>_xlfn.XLOOKUP(N:N,'Resource Table'!B:B,'Resource Table'!D:D,"n/a",0,1)</f>
        <v>Vended Repair</v>
      </c>
    </row>
    <row r="1357" spans="1:16" x14ac:dyDescent="0.45">
      <c r="A1357" t="s">
        <v>5443</v>
      </c>
      <c r="B1357" t="s">
        <v>5444</v>
      </c>
      <c r="C1357" t="s">
        <v>5553</v>
      </c>
      <c r="D1357" t="s">
        <v>6356</v>
      </c>
      <c r="E1357" t="s">
        <v>6475</v>
      </c>
      <c r="F1357" t="s">
        <v>13460</v>
      </c>
      <c r="G1357" t="s">
        <v>13461</v>
      </c>
      <c r="H1357" t="s">
        <v>13471</v>
      </c>
      <c r="I1357" t="s">
        <v>6479</v>
      </c>
      <c r="J1357" t="s">
        <v>13463</v>
      </c>
      <c r="K1357">
        <v>0</v>
      </c>
      <c r="L1357" t="s">
        <v>20</v>
      </c>
      <c r="M1357" t="s">
        <v>20</v>
      </c>
      <c r="N1357" t="str">
        <f>_xlfn.XLOOKUP(C:C,'Resource Table'!A:A,'Resource Table'!B:B,"NOT FOUND",0,1)</f>
        <v>Hollie Francis</v>
      </c>
      <c r="O1357" t="str">
        <f>_xlfn.XLOOKUP(N:N,'Resource Table'!B:B,'Resource Table'!C:C,"n/a",0,1)</f>
        <v>hfrancis@ameritfleet.com</v>
      </c>
      <c r="P1357" t="str">
        <f>_xlfn.XLOOKUP(N:N,'Resource Table'!B:B,'Resource Table'!D:D,"n/a",0,1)</f>
        <v>Vended Repair</v>
      </c>
    </row>
    <row r="1358" spans="1:16" x14ac:dyDescent="0.45">
      <c r="A1358" t="s">
        <v>5443</v>
      </c>
      <c r="B1358" t="s">
        <v>5444</v>
      </c>
      <c r="C1358" t="s">
        <v>5553</v>
      </c>
      <c r="D1358" t="s">
        <v>6395</v>
      </c>
      <c r="E1358" t="s">
        <v>6461</v>
      </c>
      <c r="F1358" t="s">
        <v>13460</v>
      </c>
      <c r="G1358" t="s">
        <v>13461</v>
      </c>
      <c r="H1358" t="s">
        <v>13471</v>
      </c>
      <c r="I1358" t="s">
        <v>6479</v>
      </c>
      <c r="J1358" t="s">
        <v>13463</v>
      </c>
      <c r="K1358">
        <v>0</v>
      </c>
      <c r="L1358" t="s">
        <v>20</v>
      </c>
      <c r="M1358" t="s">
        <v>20</v>
      </c>
      <c r="N1358" t="str">
        <f>_xlfn.XLOOKUP(C:C,'Resource Table'!A:A,'Resource Table'!B:B,"NOT FOUND",0,1)</f>
        <v>Hollie Francis</v>
      </c>
      <c r="O1358" t="str">
        <f>_xlfn.XLOOKUP(N:N,'Resource Table'!B:B,'Resource Table'!C:C,"n/a",0,1)</f>
        <v>hfrancis@ameritfleet.com</v>
      </c>
      <c r="P1358" t="str">
        <f>_xlfn.XLOOKUP(N:N,'Resource Table'!B:B,'Resource Table'!D:D,"n/a",0,1)</f>
        <v>Vended Repair</v>
      </c>
    </row>
    <row r="1359" spans="1:16" x14ac:dyDescent="0.45">
      <c r="A1359" t="s">
        <v>5443</v>
      </c>
      <c r="B1359" t="s">
        <v>5444</v>
      </c>
      <c r="C1359" t="s">
        <v>5553</v>
      </c>
      <c r="D1359" t="s">
        <v>5700</v>
      </c>
      <c r="E1359" t="s">
        <v>6451</v>
      </c>
      <c r="F1359" t="s">
        <v>13473</v>
      </c>
      <c r="G1359" t="s">
        <v>13474</v>
      </c>
      <c r="H1359" t="s">
        <v>13492</v>
      </c>
      <c r="I1359" t="s">
        <v>6479</v>
      </c>
      <c r="J1359" t="s">
        <v>13463</v>
      </c>
      <c r="K1359">
        <v>2</v>
      </c>
      <c r="L1359" t="s">
        <v>13469</v>
      </c>
      <c r="M1359" t="s">
        <v>13508</v>
      </c>
      <c r="N1359" t="str">
        <f>_xlfn.XLOOKUP(C:C,'Resource Table'!A:A,'Resource Table'!B:B,"NOT FOUND",0,1)</f>
        <v>Hollie Francis</v>
      </c>
      <c r="O1359" t="str">
        <f>_xlfn.XLOOKUP(N:N,'Resource Table'!B:B,'Resource Table'!C:C,"n/a",0,1)</f>
        <v>hfrancis@ameritfleet.com</v>
      </c>
      <c r="P1359" t="str">
        <f>_xlfn.XLOOKUP(N:N,'Resource Table'!B:B,'Resource Table'!D:D,"n/a",0,1)</f>
        <v>Vended Repair</v>
      </c>
    </row>
    <row r="1360" spans="1:16" x14ac:dyDescent="0.45">
      <c r="A1360" t="s">
        <v>5443</v>
      </c>
      <c r="B1360" t="s">
        <v>5444</v>
      </c>
      <c r="C1360" t="s">
        <v>5553</v>
      </c>
      <c r="D1360" t="s">
        <v>6311</v>
      </c>
      <c r="E1360" t="s">
        <v>6461</v>
      </c>
      <c r="F1360" t="s">
        <v>13460</v>
      </c>
      <c r="G1360" t="s">
        <v>13461</v>
      </c>
      <c r="H1360" t="s">
        <v>13471</v>
      </c>
      <c r="I1360" t="s">
        <v>6479</v>
      </c>
      <c r="J1360" t="s">
        <v>13463</v>
      </c>
      <c r="K1360">
        <v>0</v>
      </c>
      <c r="L1360" t="s">
        <v>20</v>
      </c>
      <c r="M1360" t="s">
        <v>20</v>
      </c>
      <c r="N1360" t="str">
        <f>_xlfn.XLOOKUP(C:C,'Resource Table'!A:A,'Resource Table'!B:B,"NOT FOUND",0,1)</f>
        <v>Hollie Francis</v>
      </c>
      <c r="O1360" t="str">
        <f>_xlfn.XLOOKUP(N:N,'Resource Table'!B:B,'Resource Table'!C:C,"n/a",0,1)</f>
        <v>hfrancis@ameritfleet.com</v>
      </c>
      <c r="P1360" t="str">
        <f>_xlfn.XLOOKUP(N:N,'Resource Table'!B:B,'Resource Table'!D:D,"n/a",0,1)</f>
        <v>Vended Repair</v>
      </c>
    </row>
    <row r="1361" spans="1:16" x14ac:dyDescent="0.45">
      <c r="A1361" t="s">
        <v>5443</v>
      </c>
      <c r="B1361" t="s">
        <v>5444</v>
      </c>
      <c r="C1361" t="s">
        <v>5553</v>
      </c>
      <c r="D1361" t="s">
        <v>2434</v>
      </c>
      <c r="E1361" t="s">
        <v>6461</v>
      </c>
      <c r="F1361" t="s">
        <v>13460</v>
      </c>
      <c r="G1361" t="s">
        <v>13481</v>
      </c>
      <c r="H1361" t="s">
        <v>13482</v>
      </c>
      <c r="I1361" t="s">
        <v>29</v>
      </c>
      <c r="J1361" t="s">
        <v>13486</v>
      </c>
      <c r="K1361">
        <v>3</v>
      </c>
      <c r="L1361" t="s">
        <v>13479</v>
      </c>
      <c r="M1361" t="s">
        <v>13469</v>
      </c>
      <c r="N1361" t="str">
        <f>_xlfn.XLOOKUP(C:C,'Resource Table'!A:A,'Resource Table'!B:B,"NOT FOUND",0,1)</f>
        <v>Hollie Francis</v>
      </c>
      <c r="O1361" t="str">
        <f>_xlfn.XLOOKUP(N:N,'Resource Table'!B:B,'Resource Table'!C:C,"n/a",0,1)</f>
        <v>hfrancis@ameritfleet.com</v>
      </c>
      <c r="P1361" t="str">
        <f>_xlfn.XLOOKUP(N:N,'Resource Table'!B:B,'Resource Table'!D:D,"n/a",0,1)</f>
        <v>Vended Repair</v>
      </c>
    </row>
    <row r="1362" spans="1:16" x14ac:dyDescent="0.45">
      <c r="A1362" t="s">
        <v>5443</v>
      </c>
      <c r="B1362" t="s">
        <v>5444</v>
      </c>
      <c r="C1362" t="s">
        <v>5553</v>
      </c>
      <c r="D1362" t="s">
        <v>4502</v>
      </c>
      <c r="E1362" t="s">
        <v>6451</v>
      </c>
      <c r="F1362" t="s">
        <v>13460</v>
      </c>
      <c r="G1362" t="s">
        <v>13461</v>
      </c>
      <c r="H1362" t="s">
        <v>13465</v>
      </c>
      <c r="I1362" t="s">
        <v>6479</v>
      </c>
      <c r="J1362" t="s">
        <v>13463</v>
      </c>
      <c r="K1362">
        <v>2</v>
      </c>
      <c r="L1362" t="s">
        <v>13493</v>
      </c>
      <c r="M1362" t="s">
        <v>13513</v>
      </c>
      <c r="N1362" t="str">
        <f>_xlfn.XLOOKUP(C:C,'Resource Table'!A:A,'Resource Table'!B:B,"NOT FOUND",0,1)</f>
        <v>Hollie Francis</v>
      </c>
      <c r="O1362" t="str">
        <f>_xlfn.XLOOKUP(N:N,'Resource Table'!B:B,'Resource Table'!C:C,"n/a",0,1)</f>
        <v>hfrancis@ameritfleet.com</v>
      </c>
      <c r="P1362" t="str">
        <f>_xlfn.XLOOKUP(N:N,'Resource Table'!B:B,'Resource Table'!D:D,"n/a",0,1)</f>
        <v>Vended Repair</v>
      </c>
    </row>
    <row r="1363" spans="1:16" x14ac:dyDescent="0.45">
      <c r="A1363" t="s">
        <v>5443</v>
      </c>
      <c r="B1363" t="s">
        <v>5444</v>
      </c>
      <c r="C1363" t="s">
        <v>5553</v>
      </c>
      <c r="D1363" t="s">
        <v>6365</v>
      </c>
      <c r="E1363" t="s">
        <v>6451</v>
      </c>
      <c r="F1363" t="s">
        <v>13460</v>
      </c>
      <c r="G1363" t="s">
        <v>13461</v>
      </c>
      <c r="H1363" t="s">
        <v>13471</v>
      </c>
      <c r="I1363" t="s">
        <v>6479</v>
      </c>
      <c r="J1363" t="s">
        <v>13463</v>
      </c>
      <c r="K1363">
        <v>0</v>
      </c>
      <c r="L1363" t="s">
        <v>20</v>
      </c>
      <c r="M1363" t="s">
        <v>20</v>
      </c>
      <c r="N1363" t="str">
        <f>_xlfn.XLOOKUP(C:C,'Resource Table'!A:A,'Resource Table'!B:B,"NOT FOUND",0,1)</f>
        <v>Hollie Francis</v>
      </c>
      <c r="O1363" t="str">
        <f>_xlfn.XLOOKUP(N:N,'Resource Table'!B:B,'Resource Table'!C:C,"n/a",0,1)</f>
        <v>hfrancis@ameritfleet.com</v>
      </c>
      <c r="P1363" t="str">
        <f>_xlfn.XLOOKUP(N:N,'Resource Table'!B:B,'Resource Table'!D:D,"n/a",0,1)</f>
        <v>Vended Repair</v>
      </c>
    </row>
    <row r="1364" spans="1:16" x14ac:dyDescent="0.45">
      <c r="A1364" t="s">
        <v>5443</v>
      </c>
      <c r="B1364" t="s">
        <v>5444</v>
      </c>
      <c r="C1364" t="s">
        <v>5553</v>
      </c>
      <c r="D1364" t="s">
        <v>6352</v>
      </c>
      <c r="E1364" t="s">
        <v>6461</v>
      </c>
      <c r="F1364" t="s">
        <v>13460</v>
      </c>
      <c r="G1364" t="s">
        <v>13461</v>
      </c>
      <c r="H1364" t="s">
        <v>13471</v>
      </c>
      <c r="I1364" t="s">
        <v>6479</v>
      </c>
      <c r="J1364" t="s">
        <v>13463</v>
      </c>
      <c r="K1364">
        <v>1</v>
      </c>
      <c r="L1364" t="s">
        <v>13468</v>
      </c>
      <c r="M1364" t="s">
        <v>13484</v>
      </c>
      <c r="N1364" t="str">
        <f>_xlfn.XLOOKUP(C:C,'Resource Table'!A:A,'Resource Table'!B:B,"NOT FOUND",0,1)</f>
        <v>Hollie Francis</v>
      </c>
      <c r="O1364" t="str">
        <f>_xlfn.XLOOKUP(N:N,'Resource Table'!B:B,'Resource Table'!C:C,"n/a",0,1)</f>
        <v>hfrancis@ameritfleet.com</v>
      </c>
      <c r="P1364" t="str">
        <f>_xlfn.XLOOKUP(N:N,'Resource Table'!B:B,'Resource Table'!D:D,"n/a",0,1)</f>
        <v>Vended Repair</v>
      </c>
    </row>
    <row r="1365" spans="1:16" x14ac:dyDescent="0.45">
      <c r="A1365" t="s">
        <v>5443</v>
      </c>
      <c r="B1365" t="s">
        <v>5444</v>
      </c>
      <c r="C1365" t="s">
        <v>5553</v>
      </c>
      <c r="D1365" t="s">
        <v>6362</v>
      </c>
      <c r="E1365" t="s">
        <v>6461</v>
      </c>
      <c r="F1365" t="s">
        <v>13460</v>
      </c>
      <c r="G1365" t="s">
        <v>13461</v>
      </c>
      <c r="H1365" t="s">
        <v>13471</v>
      </c>
      <c r="I1365" t="s">
        <v>6479</v>
      </c>
      <c r="J1365" t="s">
        <v>13463</v>
      </c>
      <c r="K1365">
        <v>0</v>
      </c>
      <c r="L1365" t="s">
        <v>20</v>
      </c>
      <c r="M1365" t="s">
        <v>20</v>
      </c>
      <c r="N1365" t="str">
        <f>_xlfn.XLOOKUP(C:C,'Resource Table'!A:A,'Resource Table'!B:B,"NOT FOUND",0,1)</f>
        <v>Hollie Francis</v>
      </c>
      <c r="O1365" t="str">
        <f>_xlfn.XLOOKUP(N:N,'Resource Table'!B:B,'Resource Table'!C:C,"n/a",0,1)</f>
        <v>hfrancis@ameritfleet.com</v>
      </c>
      <c r="P1365" t="str">
        <f>_xlfn.XLOOKUP(N:N,'Resource Table'!B:B,'Resource Table'!D:D,"n/a",0,1)</f>
        <v>Vended Repair</v>
      </c>
    </row>
    <row r="1366" spans="1:16" x14ac:dyDescent="0.45">
      <c r="A1366" t="s">
        <v>5443</v>
      </c>
      <c r="B1366" t="s">
        <v>5444</v>
      </c>
      <c r="C1366" t="s">
        <v>5553</v>
      </c>
      <c r="D1366" t="s">
        <v>6328</v>
      </c>
      <c r="E1366" t="s">
        <v>6461</v>
      </c>
      <c r="F1366" t="s">
        <v>13460</v>
      </c>
      <c r="G1366" t="s">
        <v>13461</v>
      </c>
      <c r="H1366" t="s">
        <v>13471</v>
      </c>
      <c r="I1366" t="s">
        <v>6479</v>
      </c>
      <c r="J1366" t="s">
        <v>13463</v>
      </c>
      <c r="K1366">
        <v>0</v>
      </c>
      <c r="L1366" t="s">
        <v>20</v>
      </c>
      <c r="M1366" t="s">
        <v>20</v>
      </c>
      <c r="N1366" t="str">
        <f>_xlfn.XLOOKUP(C:C,'Resource Table'!A:A,'Resource Table'!B:B,"NOT FOUND",0,1)</f>
        <v>Hollie Francis</v>
      </c>
      <c r="O1366" t="str">
        <f>_xlfn.XLOOKUP(N:N,'Resource Table'!B:B,'Resource Table'!C:C,"n/a",0,1)</f>
        <v>hfrancis@ameritfleet.com</v>
      </c>
      <c r="P1366" t="str">
        <f>_xlfn.XLOOKUP(N:N,'Resource Table'!B:B,'Resource Table'!D:D,"n/a",0,1)</f>
        <v>Vended Repair</v>
      </c>
    </row>
    <row r="1367" spans="1:16" x14ac:dyDescent="0.45">
      <c r="A1367" t="s">
        <v>5443</v>
      </c>
      <c r="B1367" t="s">
        <v>5444</v>
      </c>
      <c r="C1367" t="s">
        <v>5460</v>
      </c>
      <c r="D1367" t="s">
        <v>5614</v>
      </c>
      <c r="E1367" t="s">
        <v>6451</v>
      </c>
      <c r="F1367" t="s">
        <v>13460</v>
      </c>
      <c r="G1367" t="s">
        <v>13461</v>
      </c>
      <c r="H1367" t="s">
        <v>13462</v>
      </c>
      <c r="I1367" t="s">
        <v>29</v>
      </c>
      <c r="J1367" t="s">
        <v>13463</v>
      </c>
      <c r="K1367">
        <v>2</v>
      </c>
      <c r="L1367" t="s">
        <v>13519</v>
      </c>
      <c r="M1367" t="s">
        <v>13545</v>
      </c>
      <c r="N1367" t="str">
        <f>_xlfn.XLOOKUP(C:C,'Resource Table'!A:A,'Resource Table'!B:B,"NOT FOUND",0,1)</f>
        <v>Dedicated</v>
      </c>
      <c r="O1367" t="str">
        <f>_xlfn.XLOOKUP(N:N,'Resource Table'!B:B,'Resource Table'!C:C,"n/a",0,1)</f>
        <v>AFS Dedicated Tech</v>
      </c>
      <c r="P1367" t="str">
        <f>_xlfn.XLOOKUP(N:N,'Resource Table'!B:B,'Resource Table'!D:D,"n/a",0,1)</f>
        <v>Dedicated</v>
      </c>
    </row>
    <row r="1368" spans="1:16" x14ac:dyDescent="0.45">
      <c r="A1368" t="s">
        <v>5443</v>
      </c>
      <c r="B1368" t="s">
        <v>5444</v>
      </c>
      <c r="C1368" t="s">
        <v>5460</v>
      </c>
      <c r="D1368" t="s">
        <v>6270</v>
      </c>
      <c r="E1368" t="s">
        <v>6451</v>
      </c>
      <c r="F1368" t="s">
        <v>13460</v>
      </c>
      <c r="G1368" t="s">
        <v>13461</v>
      </c>
      <c r="H1368" t="s">
        <v>13465</v>
      </c>
      <c r="I1368" t="s">
        <v>6479</v>
      </c>
      <c r="J1368" t="s">
        <v>13463</v>
      </c>
      <c r="K1368">
        <v>1</v>
      </c>
      <c r="L1368" t="s">
        <v>13503</v>
      </c>
      <c r="M1368" t="s">
        <v>20</v>
      </c>
      <c r="N1368" t="str">
        <f>_xlfn.XLOOKUP(C:C,'Resource Table'!A:A,'Resource Table'!B:B,"NOT FOUND",0,1)</f>
        <v>Dedicated</v>
      </c>
      <c r="O1368" t="str">
        <f>_xlfn.XLOOKUP(N:N,'Resource Table'!B:B,'Resource Table'!C:C,"n/a",0,1)</f>
        <v>AFS Dedicated Tech</v>
      </c>
      <c r="P1368" t="str">
        <f>_xlfn.XLOOKUP(N:N,'Resource Table'!B:B,'Resource Table'!D:D,"n/a",0,1)</f>
        <v>Dedicated</v>
      </c>
    </row>
    <row r="1369" spans="1:16" x14ac:dyDescent="0.45">
      <c r="A1369" t="s">
        <v>5443</v>
      </c>
      <c r="B1369" t="s">
        <v>5444</v>
      </c>
      <c r="C1369" t="s">
        <v>5460</v>
      </c>
      <c r="D1369" t="s">
        <v>3162</v>
      </c>
      <c r="E1369" t="s">
        <v>6451</v>
      </c>
      <c r="F1369" t="s">
        <v>13460</v>
      </c>
      <c r="G1369" t="s">
        <v>13461</v>
      </c>
      <c r="H1369" t="s">
        <v>13465</v>
      </c>
      <c r="I1369" t="s">
        <v>6479</v>
      </c>
      <c r="J1369" t="s">
        <v>13463</v>
      </c>
      <c r="K1369">
        <v>2</v>
      </c>
      <c r="L1369" t="s">
        <v>13548</v>
      </c>
      <c r="M1369" t="s">
        <v>20</v>
      </c>
      <c r="N1369" t="str">
        <f>_xlfn.XLOOKUP(C:C,'Resource Table'!A:A,'Resource Table'!B:B,"NOT FOUND",0,1)</f>
        <v>Dedicated</v>
      </c>
      <c r="O1369" t="str">
        <f>_xlfn.XLOOKUP(N:N,'Resource Table'!B:B,'Resource Table'!C:C,"n/a",0,1)</f>
        <v>AFS Dedicated Tech</v>
      </c>
      <c r="P1369" t="str">
        <f>_xlfn.XLOOKUP(N:N,'Resource Table'!B:B,'Resource Table'!D:D,"n/a",0,1)</f>
        <v>Dedicated</v>
      </c>
    </row>
    <row r="1370" spans="1:16" x14ac:dyDescent="0.45">
      <c r="A1370" t="s">
        <v>5443</v>
      </c>
      <c r="B1370" t="s">
        <v>5444</v>
      </c>
      <c r="C1370" t="s">
        <v>5460</v>
      </c>
      <c r="D1370" t="s">
        <v>6333</v>
      </c>
      <c r="E1370" t="s">
        <v>6461</v>
      </c>
      <c r="F1370" t="s">
        <v>13460</v>
      </c>
      <c r="G1370" t="s">
        <v>13461</v>
      </c>
      <c r="H1370" t="s">
        <v>13471</v>
      </c>
      <c r="I1370" t="s">
        <v>6479</v>
      </c>
      <c r="J1370" t="s">
        <v>13463</v>
      </c>
      <c r="K1370">
        <v>1</v>
      </c>
      <c r="L1370" t="s">
        <v>13536</v>
      </c>
      <c r="M1370" t="s">
        <v>20</v>
      </c>
      <c r="N1370" t="str">
        <f>_xlfn.XLOOKUP(C:C,'Resource Table'!A:A,'Resource Table'!B:B,"NOT FOUND",0,1)</f>
        <v>Dedicated</v>
      </c>
      <c r="O1370" t="str">
        <f>_xlfn.XLOOKUP(N:N,'Resource Table'!B:B,'Resource Table'!C:C,"n/a",0,1)</f>
        <v>AFS Dedicated Tech</v>
      </c>
      <c r="P1370" t="str">
        <f>_xlfn.XLOOKUP(N:N,'Resource Table'!B:B,'Resource Table'!D:D,"n/a",0,1)</f>
        <v>Dedicated</v>
      </c>
    </row>
    <row r="1371" spans="1:16" x14ac:dyDescent="0.45">
      <c r="A1371" t="s">
        <v>5443</v>
      </c>
      <c r="B1371" t="s">
        <v>5444</v>
      </c>
      <c r="C1371" t="s">
        <v>5460</v>
      </c>
      <c r="D1371" t="s">
        <v>6416</v>
      </c>
      <c r="E1371" t="s">
        <v>6461</v>
      </c>
      <c r="F1371" t="s">
        <v>13460</v>
      </c>
      <c r="G1371" t="s">
        <v>13461</v>
      </c>
      <c r="H1371" t="s">
        <v>13467</v>
      </c>
      <c r="I1371" t="s">
        <v>6479</v>
      </c>
      <c r="J1371" t="s">
        <v>13463</v>
      </c>
      <c r="K1371">
        <v>1</v>
      </c>
      <c r="L1371" t="s">
        <v>13464</v>
      </c>
      <c r="M1371" t="s">
        <v>13489</v>
      </c>
      <c r="N1371" t="str">
        <f>_xlfn.XLOOKUP(C:C,'Resource Table'!A:A,'Resource Table'!B:B,"NOT FOUND",0,1)</f>
        <v>Dedicated</v>
      </c>
      <c r="O1371" t="str">
        <f>_xlfn.XLOOKUP(N:N,'Resource Table'!B:B,'Resource Table'!C:C,"n/a",0,1)</f>
        <v>AFS Dedicated Tech</v>
      </c>
      <c r="P1371" t="str">
        <f>_xlfn.XLOOKUP(N:N,'Resource Table'!B:B,'Resource Table'!D:D,"n/a",0,1)</f>
        <v>Dedicated</v>
      </c>
    </row>
    <row r="1372" spans="1:16" x14ac:dyDescent="0.45">
      <c r="A1372" t="s">
        <v>5443</v>
      </c>
      <c r="B1372" t="s">
        <v>5444</v>
      </c>
      <c r="C1372" t="s">
        <v>5460</v>
      </c>
      <c r="D1372" t="s">
        <v>5983</v>
      </c>
      <c r="E1372" t="s">
        <v>6461</v>
      </c>
      <c r="F1372" t="s">
        <v>13460</v>
      </c>
      <c r="G1372" t="s">
        <v>13481</v>
      </c>
      <c r="H1372" t="s">
        <v>13482</v>
      </c>
      <c r="I1372" t="s">
        <v>29</v>
      </c>
      <c r="J1372" t="s">
        <v>13463</v>
      </c>
      <c r="K1372">
        <v>1</v>
      </c>
      <c r="L1372" t="s">
        <v>13578</v>
      </c>
      <c r="M1372" t="s">
        <v>20</v>
      </c>
      <c r="N1372" t="str">
        <f>_xlfn.XLOOKUP(C:C,'Resource Table'!A:A,'Resource Table'!B:B,"NOT FOUND",0,1)</f>
        <v>Dedicated</v>
      </c>
      <c r="O1372" t="str">
        <f>_xlfn.XLOOKUP(N:N,'Resource Table'!B:B,'Resource Table'!C:C,"n/a",0,1)</f>
        <v>AFS Dedicated Tech</v>
      </c>
      <c r="P1372" t="str">
        <f>_xlfn.XLOOKUP(N:N,'Resource Table'!B:B,'Resource Table'!D:D,"n/a",0,1)</f>
        <v>Dedicated</v>
      </c>
    </row>
    <row r="1373" spans="1:16" x14ac:dyDescent="0.45">
      <c r="A1373" t="s">
        <v>5443</v>
      </c>
      <c r="B1373" t="s">
        <v>5444</v>
      </c>
      <c r="C1373" t="s">
        <v>5460</v>
      </c>
      <c r="D1373" t="s">
        <v>5783</v>
      </c>
      <c r="E1373" t="s">
        <v>6451</v>
      </c>
      <c r="F1373" t="s">
        <v>13473</v>
      </c>
      <c r="G1373" t="s">
        <v>13474</v>
      </c>
      <c r="H1373" t="s">
        <v>13521</v>
      </c>
      <c r="I1373" t="s">
        <v>6479</v>
      </c>
      <c r="J1373" t="s">
        <v>13463</v>
      </c>
      <c r="K1373">
        <v>0</v>
      </c>
      <c r="L1373" t="s">
        <v>20</v>
      </c>
      <c r="M1373" t="s">
        <v>20</v>
      </c>
      <c r="N1373" t="str">
        <f>_xlfn.XLOOKUP(C:C,'Resource Table'!A:A,'Resource Table'!B:B,"NOT FOUND",0,1)</f>
        <v>Dedicated</v>
      </c>
      <c r="O1373" t="str">
        <f>_xlfn.XLOOKUP(N:N,'Resource Table'!B:B,'Resource Table'!C:C,"n/a",0,1)</f>
        <v>AFS Dedicated Tech</v>
      </c>
      <c r="P1373" t="str">
        <f>_xlfn.XLOOKUP(N:N,'Resource Table'!B:B,'Resource Table'!D:D,"n/a",0,1)</f>
        <v>Dedicated</v>
      </c>
    </row>
    <row r="1374" spans="1:16" x14ac:dyDescent="0.45">
      <c r="A1374" t="s">
        <v>5443</v>
      </c>
      <c r="B1374" t="s">
        <v>5444</v>
      </c>
      <c r="C1374" t="s">
        <v>5460</v>
      </c>
      <c r="D1374" t="s">
        <v>5163</v>
      </c>
      <c r="E1374" t="s">
        <v>6451</v>
      </c>
      <c r="F1374" t="s">
        <v>13460</v>
      </c>
      <c r="G1374" t="s">
        <v>13461</v>
      </c>
      <c r="H1374" t="s">
        <v>13462</v>
      </c>
      <c r="I1374" t="s">
        <v>29</v>
      </c>
      <c r="J1374" t="s">
        <v>13463</v>
      </c>
      <c r="K1374">
        <v>2</v>
      </c>
      <c r="L1374" t="s">
        <v>13479</v>
      </c>
      <c r="M1374" t="s">
        <v>13513</v>
      </c>
      <c r="N1374" t="str">
        <f>_xlfn.XLOOKUP(C:C,'Resource Table'!A:A,'Resource Table'!B:B,"NOT FOUND",0,1)</f>
        <v>Dedicated</v>
      </c>
      <c r="O1374" t="str">
        <f>_xlfn.XLOOKUP(N:N,'Resource Table'!B:B,'Resource Table'!C:C,"n/a",0,1)</f>
        <v>AFS Dedicated Tech</v>
      </c>
      <c r="P1374" t="str">
        <f>_xlfn.XLOOKUP(N:N,'Resource Table'!B:B,'Resource Table'!D:D,"n/a",0,1)</f>
        <v>Dedicated</v>
      </c>
    </row>
    <row r="1375" spans="1:16" x14ac:dyDescent="0.45">
      <c r="A1375" t="s">
        <v>5443</v>
      </c>
      <c r="B1375" t="s">
        <v>5444</v>
      </c>
      <c r="C1375" t="s">
        <v>5460</v>
      </c>
      <c r="D1375" t="s">
        <v>6334</v>
      </c>
      <c r="E1375" t="s">
        <v>6461</v>
      </c>
      <c r="F1375" t="s">
        <v>13460</v>
      </c>
      <c r="G1375" t="s">
        <v>13461</v>
      </c>
      <c r="H1375" t="s">
        <v>13471</v>
      </c>
      <c r="I1375" t="s">
        <v>6479</v>
      </c>
      <c r="J1375" t="s">
        <v>13463</v>
      </c>
      <c r="K1375">
        <v>1</v>
      </c>
      <c r="L1375" t="s">
        <v>13532</v>
      </c>
      <c r="M1375" t="s">
        <v>13512</v>
      </c>
      <c r="N1375" t="str">
        <f>_xlfn.XLOOKUP(C:C,'Resource Table'!A:A,'Resource Table'!B:B,"NOT FOUND",0,1)</f>
        <v>Dedicated</v>
      </c>
      <c r="O1375" t="str">
        <f>_xlfn.XLOOKUP(N:N,'Resource Table'!B:B,'Resource Table'!C:C,"n/a",0,1)</f>
        <v>AFS Dedicated Tech</v>
      </c>
      <c r="P1375" t="str">
        <f>_xlfn.XLOOKUP(N:N,'Resource Table'!B:B,'Resource Table'!D:D,"n/a",0,1)</f>
        <v>Dedicated</v>
      </c>
    </row>
    <row r="1376" spans="1:16" x14ac:dyDescent="0.45">
      <c r="A1376" t="s">
        <v>5443</v>
      </c>
      <c r="B1376" t="s">
        <v>5444</v>
      </c>
      <c r="C1376" t="s">
        <v>5460</v>
      </c>
      <c r="D1376" t="s">
        <v>5765</v>
      </c>
      <c r="E1376" t="s">
        <v>6451</v>
      </c>
      <c r="F1376" t="s">
        <v>13473</v>
      </c>
      <c r="G1376" t="s">
        <v>13474</v>
      </c>
      <c r="H1376" t="s">
        <v>13521</v>
      </c>
      <c r="I1376" t="s">
        <v>6479</v>
      </c>
      <c r="J1376" t="s">
        <v>13463</v>
      </c>
      <c r="K1376">
        <v>1</v>
      </c>
      <c r="L1376" t="s">
        <v>13524</v>
      </c>
      <c r="M1376" t="s">
        <v>20</v>
      </c>
      <c r="N1376" t="str">
        <f>_xlfn.XLOOKUP(C:C,'Resource Table'!A:A,'Resource Table'!B:B,"NOT FOUND",0,1)</f>
        <v>Dedicated</v>
      </c>
      <c r="O1376" t="str">
        <f>_xlfn.XLOOKUP(N:N,'Resource Table'!B:B,'Resource Table'!C:C,"n/a",0,1)</f>
        <v>AFS Dedicated Tech</v>
      </c>
      <c r="P1376" t="str">
        <f>_xlfn.XLOOKUP(N:N,'Resource Table'!B:B,'Resource Table'!D:D,"n/a",0,1)</f>
        <v>Dedicated</v>
      </c>
    </row>
    <row r="1377" spans="1:16" x14ac:dyDescent="0.45">
      <c r="A1377" t="s">
        <v>5443</v>
      </c>
      <c r="B1377" t="s">
        <v>5444</v>
      </c>
      <c r="C1377" t="s">
        <v>5460</v>
      </c>
      <c r="D1377" t="s">
        <v>6280</v>
      </c>
      <c r="E1377" t="s">
        <v>6451</v>
      </c>
      <c r="F1377" t="s">
        <v>13460</v>
      </c>
      <c r="G1377" t="s">
        <v>13461</v>
      </c>
      <c r="H1377" t="s">
        <v>13465</v>
      </c>
      <c r="I1377" t="s">
        <v>6479</v>
      </c>
      <c r="J1377" t="s">
        <v>13463</v>
      </c>
      <c r="K1377">
        <v>1</v>
      </c>
      <c r="L1377" t="s">
        <v>13487</v>
      </c>
      <c r="M1377" t="s">
        <v>20</v>
      </c>
      <c r="N1377" t="str">
        <f>_xlfn.XLOOKUP(C:C,'Resource Table'!A:A,'Resource Table'!B:B,"NOT FOUND",0,1)</f>
        <v>Dedicated</v>
      </c>
      <c r="O1377" t="str">
        <f>_xlfn.XLOOKUP(N:N,'Resource Table'!B:B,'Resource Table'!C:C,"n/a",0,1)</f>
        <v>AFS Dedicated Tech</v>
      </c>
      <c r="P1377" t="str">
        <f>_xlfn.XLOOKUP(N:N,'Resource Table'!B:B,'Resource Table'!D:D,"n/a",0,1)</f>
        <v>Dedicated</v>
      </c>
    </row>
    <row r="1378" spans="1:16" x14ac:dyDescent="0.45">
      <c r="A1378" t="s">
        <v>5443</v>
      </c>
      <c r="B1378" t="s">
        <v>5444</v>
      </c>
      <c r="C1378" t="s">
        <v>5460</v>
      </c>
      <c r="D1378" t="s">
        <v>6405</v>
      </c>
      <c r="E1378" t="s">
        <v>6461</v>
      </c>
      <c r="F1378" t="s">
        <v>13460</v>
      </c>
      <c r="G1378" t="s">
        <v>13461</v>
      </c>
      <c r="H1378" t="s">
        <v>13467</v>
      </c>
      <c r="I1378" t="s">
        <v>6479</v>
      </c>
      <c r="J1378" t="s">
        <v>13463</v>
      </c>
      <c r="K1378">
        <v>2</v>
      </c>
      <c r="L1378" t="s">
        <v>13466</v>
      </c>
      <c r="M1378" t="s">
        <v>20</v>
      </c>
      <c r="N1378" t="str">
        <f>_xlfn.XLOOKUP(C:C,'Resource Table'!A:A,'Resource Table'!B:B,"NOT FOUND",0,1)</f>
        <v>Dedicated</v>
      </c>
      <c r="O1378" t="str">
        <f>_xlfn.XLOOKUP(N:N,'Resource Table'!B:B,'Resource Table'!C:C,"n/a",0,1)</f>
        <v>AFS Dedicated Tech</v>
      </c>
      <c r="P1378" t="str">
        <f>_xlfn.XLOOKUP(N:N,'Resource Table'!B:B,'Resource Table'!D:D,"n/a",0,1)</f>
        <v>Dedicated</v>
      </c>
    </row>
    <row r="1379" spans="1:16" x14ac:dyDescent="0.45">
      <c r="A1379" t="s">
        <v>5443</v>
      </c>
      <c r="B1379" t="s">
        <v>5444</v>
      </c>
      <c r="C1379" t="s">
        <v>5460</v>
      </c>
      <c r="D1379" t="s">
        <v>5621</v>
      </c>
      <c r="E1379" t="s">
        <v>6461</v>
      </c>
      <c r="F1379" t="s">
        <v>13460</v>
      </c>
      <c r="G1379" t="s">
        <v>13461</v>
      </c>
      <c r="H1379" t="s">
        <v>13471</v>
      </c>
      <c r="I1379" t="s">
        <v>29</v>
      </c>
      <c r="J1379" t="s">
        <v>13463</v>
      </c>
      <c r="K1379">
        <v>2</v>
      </c>
      <c r="L1379" t="s">
        <v>13466</v>
      </c>
      <c r="M1379" t="s">
        <v>20</v>
      </c>
      <c r="N1379" t="str">
        <f>_xlfn.XLOOKUP(C:C,'Resource Table'!A:A,'Resource Table'!B:B,"NOT FOUND",0,1)</f>
        <v>Dedicated</v>
      </c>
      <c r="O1379" t="str">
        <f>_xlfn.XLOOKUP(N:N,'Resource Table'!B:B,'Resource Table'!C:C,"n/a",0,1)</f>
        <v>AFS Dedicated Tech</v>
      </c>
      <c r="P1379" t="str">
        <f>_xlfn.XLOOKUP(N:N,'Resource Table'!B:B,'Resource Table'!D:D,"n/a",0,1)</f>
        <v>Dedicated</v>
      </c>
    </row>
    <row r="1380" spans="1:16" x14ac:dyDescent="0.45">
      <c r="A1380" t="s">
        <v>5443</v>
      </c>
      <c r="B1380" t="s">
        <v>5444</v>
      </c>
      <c r="C1380" t="s">
        <v>5460</v>
      </c>
      <c r="D1380" t="s">
        <v>5811</v>
      </c>
      <c r="E1380" t="s">
        <v>6451</v>
      </c>
      <c r="F1380" t="s">
        <v>13473</v>
      </c>
      <c r="G1380" t="s">
        <v>13474</v>
      </c>
      <c r="H1380" t="s">
        <v>13475</v>
      </c>
      <c r="I1380" t="s">
        <v>6479</v>
      </c>
      <c r="J1380" t="s">
        <v>13463</v>
      </c>
      <c r="K1380">
        <v>0</v>
      </c>
      <c r="L1380" t="s">
        <v>20</v>
      </c>
      <c r="M1380" t="s">
        <v>20</v>
      </c>
      <c r="N1380" t="str">
        <f>_xlfn.XLOOKUP(C:C,'Resource Table'!A:A,'Resource Table'!B:B,"NOT FOUND",0,1)</f>
        <v>Dedicated</v>
      </c>
      <c r="O1380" t="str">
        <f>_xlfn.XLOOKUP(N:N,'Resource Table'!B:B,'Resource Table'!C:C,"n/a",0,1)</f>
        <v>AFS Dedicated Tech</v>
      </c>
      <c r="P1380" t="str">
        <f>_xlfn.XLOOKUP(N:N,'Resource Table'!B:B,'Resource Table'!D:D,"n/a",0,1)</f>
        <v>Dedicated</v>
      </c>
    </row>
    <row r="1381" spans="1:16" x14ac:dyDescent="0.45">
      <c r="A1381" t="s">
        <v>5443</v>
      </c>
      <c r="B1381" t="s">
        <v>5444</v>
      </c>
      <c r="C1381" t="s">
        <v>5460</v>
      </c>
      <c r="D1381" t="s">
        <v>6349</v>
      </c>
      <c r="E1381" t="s">
        <v>6461</v>
      </c>
      <c r="F1381" t="s">
        <v>13460</v>
      </c>
      <c r="G1381" t="s">
        <v>13461</v>
      </c>
      <c r="H1381" t="s">
        <v>13471</v>
      </c>
      <c r="I1381" t="s">
        <v>29</v>
      </c>
      <c r="J1381" t="s">
        <v>13463</v>
      </c>
      <c r="K1381">
        <v>1</v>
      </c>
      <c r="L1381" t="s">
        <v>13507</v>
      </c>
      <c r="M1381" t="s">
        <v>13508</v>
      </c>
      <c r="N1381" t="str">
        <f>_xlfn.XLOOKUP(C:C,'Resource Table'!A:A,'Resource Table'!B:B,"NOT FOUND",0,1)</f>
        <v>Dedicated</v>
      </c>
      <c r="O1381" t="str">
        <f>_xlfn.XLOOKUP(N:N,'Resource Table'!B:B,'Resource Table'!C:C,"n/a",0,1)</f>
        <v>AFS Dedicated Tech</v>
      </c>
      <c r="P1381" t="str">
        <f>_xlfn.XLOOKUP(N:N,'Resource Table'!B:B,'Resource Table'!D:D,"n/a",0,1)</f>
        <v>Dedicated</v>
      </c>
    </row>
    <row r="1382" spans="1:16" x14ac:dyDescent="0.45">
      <c r="A1382" t="s">
        <v>5443</v>
      </c>
      <c r="B1382" t="s">
        <v>5444</v>
      </c>
      <c r="C1382" t="s">
        <v>5460</v>
      </c>
      <c r="D1382" t="s">
        <v>5670</v>
      </c>
      <c r="E1382" t="s">
        <v>6451</v>
      </c>
      <c r="F1382" t="s">
        <v>13460</v>
      </c>
      <c r="G1382" t="s">
        <v>13461</v>
      </c>
      <c r="H1382" t="s">
        <v>13596</v>
      </c>
      <c r="I1382" t="s">
        <v>6479</v>
      </c>
      <c r="J1382" t="s">
        <v>13463</v>
      </c>
      <c r="K1382">
        <v>1</v>
      </c>
      <c r="L1382" t="s">
        <v>13468</v>
      </c>
      <c r="M1382" t="s">
        <v>20</v>
      </c>
      <c r="N1382" t="str">
        <f>_xlfn.XLOOKUP(C:C,'Resource Table'!A:A,'Resource Table'!B:B,"NOT FOUND",0,1)</f>
        <v>Dedicated</v>
      </c>
      <c r="O1382" t="str">
        <f>_xlfn.XLOOKUP(N:N,'Resource Table'!B:B,'Resource Table'!C:C,"n/a",0,1)</f>
        <v>AFS Dedicated Tech</v>
      </c>
      <c r="P1382" t="str">
        <f>_xlfn.XLOOKUP(N:N,'Resource Table'!B:B,'Resource Table'!D:D,"n/a",0,1)</f>
        <v>Dedicated</v>
      </c>
    </row>
    <row r="1383" spans="1:16" x14ac:dyDescent="0.45">
      <c r="A1383" t="s">
        <v>5443</v>
      </c>
      <c r="B1383" t="s">
        <v>5444</v>
      </c>
      <c r="C1383" t="s">
        <v>5460</v>
      </c>
      <c r="D1383" t="s">
        <v>5975</v>
      </c>
      <c r="E1383" t="s">
        <v>6461</v>
      </c>
      <c r="F1383" t="s">
        <v>13460</v>
      </c>
      <c r="G1383" t="s">
        <v>13481</v>
      </c>
      <c r="H1383" t="s">
        <v>13482</v>
      </c>
      <c r="I1383" t="s">
        <v>6479</v>
      </c>
      <c r="J1383" t="s">
        <v>13463</v>
      </c>
      <c r="K1383">
        <v>0</v>
      </c>
      <c r="L1383" t="s">
        <v>20</v>
      </c>
      <c r="M1383" t="s">
        <v>20</v>
      </c>
      <c r="N1383" t="str">
        <f>_xlfn.XLOOKUP(C:C,'Resource Table'!A:A,'Resource Table'!B:B,"NOT FOUND",0,1)</f>
        <v>Dedicated</v>
      </c>
      <c r="O1383" t="str">
        <f>_xlfn.XLOOKUP(N:N,'Resource Table'!B:B,'Resource Table'!C:C,"n/a",0,1)</f>
        <v>AFS Dedicated Tech</v>
      </c>
      <c r="P1383" t="str">
        <f>_xlfn.XLOOKUP(N:N,'Resource Table'!B:B,'Resource Table'!D:D,"n/a",0,1)</f>
        <v>Dedicated</v>
      </c>
    </row>
    <row r="1384" spans="1:16" x14ac:dyDescent="0.45">
      <c r="A1384" t="s">
        <v>5443</v>
      </c>
      <c r="B1384" t="s">
        <v>5444</v>
      </c>
      <c r="C1384" t="s">
        <v>5460</v>
      </c>
      <c r="D1384" t="s">
        <v>5982</v>
      </c>
      <c r="E1384" t="s">
        <v>6461</v>
      </c>
      <c r="F1384" t="s">
        <v>13460</v>
      </c>
      <c r="G1384" t="s">
        <v>13481</v>
      </c>
      <c r="H1384" t="s">
        <v>13482</v>
      </c>
      <c r="I1384" t="s">
        <v>6479</v>
      </c>
      <c r="J1384" t="s">
        <v>13463</v>
      </c>
      <c r="K1384">
        <v>0</v>
      </c>
      <c r="L1384" t="s">
        <v>20</v>
      </c>
      <c r="M1384" t="s">
        <v>20</v>
      </c>
      <c r="N1384" t="str">
        <f>_xlfn.XLOOKUP(C:C,'Resource Table'!A:A,'Resource Table'!B:B,"NOT FOUND",0,1)</f>
        <v>Dedicated</v>
      </c>
      <c r="O1384" t="str">
        <f>_xlfn.XLOOKUP(N:N,'Resource Table'!B:B,'Resource Table'!C:C,"n/a",0,1)</f>
        <v>AFS Dedicated Tech</v>
      </c>
      <c r="P1384" t="str">
        <f>_xlfn.XLOOKUP(N:N,'Resource Table'!B:B,'Resource Table'!D:D,"n/a",0,1)</f>
        <v>Dedicated</v>
      </c>
    </row>
    <row r="1385" spans="1:16" x14ac:dyDescent="0.45">
      <c r="A1385" t="s">
        <v>5443</v>
      </c>
      <c r="B1385" t="s">
        <v>5444</v>
      </c>
      <c r="C1385" t="s">
        <v>5460</v>
      </c>
      <c r="D1385" t="s">
        <v>5933</v>
      </c>
      <c r="E1385" t="s">
        <v>6461</v>
      </c>
      <c r="F1385" t="s">
        <v>13460</v>
      </c>
      <c r="G1385" t="s">
        <v>13481</v>
      </c>
      <c r="H1385" t="s">
        <v>13482</v>
      </c>
      <c r="I1385" t="s">
        <v>6479</v>
      </c>
      <c r="J1385" t="s">
        <v>13463</v>
      </c>
      <c r="K1385">
        <v>1</v>
      </c>
      <c r="L1385" t="s">
        <v>13548</v>
      </c>
      <c r="M1385" t="s">
        <v>13512</v>
      </c>
      <c r="N1385" t="str">
        <f>_xlfn.XLOOKUP(C:C,'Resource Table'!A:A,'Resource Table'!B:B,"NOT FOUND",0,1)</f>
        <v>Dedicated</v>
      </c>
      <c r="O1385" t="str">
        <f>_xlfn.XLOOKUP(N:N,'Resource Table'!B:B,'Resource Table'!C:C,"n/a",0,1)</f>
        <v>AFS Dedicated Tech</v>
      </c>
      <c r="P1385" t="str">
        <f>_xlfn.XLOOKUP(N:N,'Resource Table'!B:B,'Resource Table'!D:D,"n/a",0,1)</f>
        <v>Dedicated</v>
      </c>
    </row>
    <row r="1386" spans="1:16" x14ac:dyDescent="0.45">
      <c r="A1386" t="s">
        <v>5443</v>
      </c>
      <c r="B1386" t="s">
        <v>5444</v>
      </c>
      <c r="C1386" t="s">
        <v>5460</v>
      </c>
      <c r="D1386" t="s">
        <v>5461</v>
      </c>
      <c r="E1386" t="s">
        <v>6451</v>
      </c>
      <c r="F1386" t="s">
        <v>13473</v>
      </c>
      <c r="G1386" t="s">
        <v>13474</v>
      </c>
      <c r="H1386" t="s">
        <v>13517</v>
      </c>
      <c r="I1386" t="s">
        <v>29</v>
      </c>
      <c r="J1386" t="s">
        <v>13463</v>
      </c>
      <c r="K1386">
        <v>1</v>
      </c>
      <c r="L1386" t="s">
        <v>13512</v>
      </c>
      <c r="M1386" t="s">
        <v>13513</v>
      </c>
      <c r="N1386" t="str">
        <f>_xlfn.XLOOKUP(C:C,'Resource Table'!A:A,'Resource Table'!B:B,"NOT FOUND",0,1)</f>
        <v>Dedicated</v>
      </c>
      <c r="O1386" t="str">
        <f>_xlfn.XLOOKUP(N:N,'Resource Table'!B:B,'Resource Table'!C:C,"n/a",0,1)</f>
        <v>AFS Dedicated Tech</v>
      </c>
      <c r="P1386" t="str">
        <f>_xlfn.XLOOKUP(N:N,'Resource Table'!B:B,'Resource Table'!D:D,"n/a",0,1)</f>
        <v>Dedicated</v>
      </c>
    </row>
    <row r="1387" spans="1:16" x14ac:dyDescent="0.45">
      <c r="A1387" t="s">
        <v>5443</v>
      </c>
      <c r="B1387" t="s">
        <v>5444</v>
      </c>
      <c r="C1387" t="s">
        <v>5460</v>
      </c>
      <c r="D1387" t="s">
        <v>6382</v>
      </c>
      <c r="E1387" t="s">
        <v>6461</v>
      </c>
      <c r="F1387" t="s">
        <v>13460</v>
      </c>
      <c r="G1387" t="s">
        <v>13461</v>
      </c>
      <c r="H1387" t="s">
        <v>13471</v>
      </c>
      <c r="I1387" t="s">
        <v>29</v>
      </c>
      <c r="J1387" t="s">
        <v>13463</v>
      </c>
      <c r="K1387">
        <v>1</v>
      </c>
      <c r="L1387" t="s">
        <v>13507</v>
      </c>
      <c r="M1387" t="s">
        <v>13493</v>
      </c>
      <c r="N1387" t="str">
        <f>_xlfn.XLOOKUP(C:C,'Resource Table'!A:A,'Resource Table'!B:B,"NOT FOUND",0,1)</f>
        <v>Dedicated</v>
      </c>
      <c r="O1387" t="str">
        <f>_xlfn.XLOOKUP(N:N,'Resource Table'!B:B,'Resource Table'!C:C,"n/a",0,1)</f>
        <v>AFS Dedicated Tech</v>
      </c>
      <c r="P1387" t="str">
        <f>_xlfn.XLOOKUP(N:N,'Resource Table'!B:B,'Resource Table'!D:D,"n/a",0,1)</f>
        <v>Dedicated</v>
      </c>
    </row>
    <row r="1388" spans="1:16" x14ac:dyDescent="0.45">
      <c r="A1388" t="s">
        <v>5443</v>
      </c>
      <c r="B1388" t="s">
        <v>5444</v>
      </c>
      <c r="C1388" t="s">
        <v>5460</v>
      </c>
      <c r="D1388" t="s">
        <v>5849</v>
      </c>
      <c r="E1388" t="s">
        <v>6451</v>
      </c>
      <c r="F1388" t="s">
        <v>13473</v>
      </c>
      <c r="G1388" t="s">
        <v>13474</v>
      </c>
      <c r="H1388" t="s">
        <v>13475</v>
      </c>
      <c r="I1388" t="s">
        <v>6479</v>
      </c>
      <c r="J1388" t="s">
        <v>13463</v>
      </c>
      <c r="K1388">
        <v>0</v>
      </c>
      <c r="L1388" t="s">
        <v>20</v>
      </c>
      <c r="M1388" t="s">
        <v>20</v>
      </c>
      <c r="N1388" t="str">
        <f>_xlfn.XLOOKUP(C:C,'Resource Table'!A:A,'Resource Table'!B:B,"NOT FOUND",0,1)</f>
        <v>Dedicated</v>
      </c>
      <c r="O1388" t="str">
        <f>_xlfn.XLOOKUP(N:N,'Resource Table'!B:B,'Resource Table'!C:C,"n/a",0,1)</f>
        <v>AFS Dedicated Tech</v>
      </c>
      <c r="P1388" t="str">
        <f>_xlfn.XLOOKUP(N:N,'Resource Table'!B:B,'Resource Table'!D:D,"n/a",0,1)</f>
        <v>Dedicated</v>
      </c>
    </row>
    <row r="1389" spans="1:16" x14ac:dyDescent="0.45">
      <c r="A1389" t="s">
        <v>5443</v>
      </c>
      <c r="B1389" t="s">
        <v>5444</v>
      </c>
      <c r="C1389" t="s">
        <v>5460</v>
      </c>
      <c r="D1389" t="s">
        <v>5685</v>
      </c>
      <c r="E1389" t="s">
        <v>6451</v>
      </c>
      <c r="F1389" t="s">
        <v>13473</v>
      </c>
      <c r="G1389" t="s">
        <v>13474</v>
      </c>
      <c r="H1389" t="s">
        <v>13492</v>
      </c>
      <c r="I1389" t="s">
        <v>29</v>
      </c>
      <c r="J1389" t="s">
        <v>13463</v>
      </c>
      <c r="K1389">
        <v>1</v>
      </c>
      <c r="L1389" t="s">
        <v>13507</v>
      </c>
      <c r="M1389" t="s">
        <v>13570</v>
      </c>
      <c r="N1389" t="str">
        <f>_xlfn.XLOOKUP(C:C,'Resource Table'!A:A,'Resource Table'!B:B,"NOT FOUND",0,1)</f>
        <v>Dedicated</v>
      </c>
      <c r="O1389" t="str">
        <f>_xlfn.XLOOKUP(N:N,'Resource Table'!B:B,'Resource Table'!C:C,"n/a",0,1)</f>
        <v>AFS Dedicated Tech</v>
      </c>
      <c r="P1389" t="str">
        <f>_xlfn.XLOOKUP(N:N,'Resource Table'!B:B,'Resource Table'!D:D,"n/a",0,1)</f>
        <v>Dedicated</v>
      </c>
    </row>
    <row r="1390" spans="1:16" x14ac:dyDescent="0.45">
      <c r="A1390" t="s">
        <v>5443</v>
      </c>
      <c r="B1390" t="s">
        <v>5444</v>
      </c>
      <c r="C1390" t="s">
        <v>5460</v>
      </c>
      <c r="D1390" t="s">
        <v>6265</v>
      </c>
      <c r="E1390" t="s">
        <v>6451</v>
      </c>
      <c r="F1390" t="s">
        <v>13460</v>
      </c>
      <c r="G1390" t="s">
        <v>13461</v>
      </c>
      <c r="H1390" t="s">
        <v>13465</v>
      </c>
      <c r="I1390" t="s">
        <v>6479</v>
      </c>
      <c r="J1390" t="s">
        <v>13463</v>
      </c>
      <c r="K1390">
        <v>1</v>
      </c>
      <c r="L1390" t="s">
        <v>13499</v>
      </c>
      <c r="M1390" t="s">
        <v>13512</v>
      </c>
      <c r="N1390" t="str">
        <f>_xlfn.XLOOKUP(C:C,'Resource Table'!A:A,'Resource Table'!B:B,"NOT FOUND",0,1)</f>
        <v>Dedicated</v>
      </c>
      <c r="O1390" t="str">
        <f>_xlfn.XLOOKUP(N:N,'Resource Table'!B:B,'Resource Table'!C:C,"n/a",0,1)</f>
        <v>AFS Dedicated Tech</v>
      </c>
      <c r="P1390" t="str">
        <f>_xlfn.XLOOKUP(N:N,'Resource Table'!B:B,'Resource Table'!D:D,"n/a",0,1)</f>
        <v>Dedicated</v>
      </c>
    </row>
    <row r="1391" spans="1:16" x14ac:dyDescent="0.45">
      <c r="A1391" t="s">
        <v>5443</v>
      </c>
      <c r="B1391" t="s">
        <v>5444</v>
      </c>
      <c r="C1391" t="s">
        <v>5460</v>
      </c>
      <c r="D1391" t="s">
        <v>12381</v>
      </c>
      <c r="E1391" t="s">
        <v>6451</v>
      </c>
      <c r="F1391" t="s">
        <v>13460</v>
      </c>
      <c r="G1391" t="s">
        <v>13461</v>
      </c>
      <c r="H1391" t="s">
        <v>13471</v>
      </c>
      <c r="I1391" t="s">
        <v>6479</v>
      </c>
      <c r="J1391" t="s">
        <v>13463</v>
      </c>
      <c r="K1391">
        <v>0</v>
      </c>
      <c r="L1391" t="s">
        <v>20</v>
      </c>
      <c r="M1391" t="s">
        <v>20</v>
      </c>
      <c r="N1391" t="str">
        <f>_xlfn.XLOOKUP(C:C,'Resource Table'!A:A,'Resource Table'!B:B,"NOT FOUND",0,1)</f>
        <v>Dedicated</v>
      </c>
      <c r="O1391" t="str">
        <f>_xlfn.XLOOKUP(N:N,'Resource Table'!B:B,'Resource Table'!C:C,"n/a",0,1)</f>
        <v>AFS Dedicated Tech</v>
      </c>
      <c r="P1391" t="str">
        <f>_xlfn.XLOOKUP(N:N,'Resource Table'!B:B,'Resource Table'!D:D,"n/a",0,1)</f>
        <v>Dedicated</v>
      </c>
    </row>
    <row r="1392" spans="1:16" x14ac:dyDescent="0.45">
      <c r="A1392" t="s">
        <v>5443</v>
      </c>
      <c r="B1392" t="s">
        <v>5444</v>
      </c>
      <c r="C1392" t="s">
        <v>5460</v>
      </c>
      <c r="D1392" t="s">
        <v>5496</v>
      </c>
      <c r="E1392" t="s">
        <v>6451</v>
      </c>
      <c r="F1392" t="s">
        <v>13473</v>
      </c>
      <c r="G1392" t="s">
        <v>13474</v>
      </c>
      <c r="H1392" t="s">
        <v>13521</v>
      </c>
      <c r="I1392" t="s">
        <v>6479</v>
      </c>
      <c r="J1392" t="s">
        <v>13463</v>
      </c>
      <c r="K1392">
        <v>1</v>
      </c>
      <c r="L1392" t="s">
        <v>13552</v>
      </c>
      <c r="M1392" t="s">
        <v>13484</v>
      </c>
      <c r="N1392" t="str">
        <f>_xlfn.XLOOKUP(C:C,'Resource Table'!A:A,'Resource Table'!B:B,"NOT FOUND",0,1)</f>
        <v>Dedicated</v>
      </c>
      <c r="O1392" t="str">
        <f>_xlfn.XLOOKUP(N:N,'Resource Table'!B:B,'Resource Table'!C:C,"n/a",0,1)</f>
        <v>AFS Dedicated Tech</v>
      </c>
      <c r="P1392" t="str">
        <f>_xlfn.XLOOKUP(N:N,'Resource Table'!B:B,'Resource Table'!D:D,"n/a",0,1)</f>
        <v>Dedicated</v>
      </c>
    </row>
    <row r="1393" spans="1:16" x14ac:dyDescent="0.45">
      <c r="A1393" t="s">
        <v>5443</v>
      </c>
      <c r="B1393" t="s">
        <v>5444</v>
      </c>
      <c r="C1393" t="s">
        <v>5460</v>
      </c>
      <c r="D1393" t="s">
        <v>6331</v>
      </c>
      <c r="E1393" t="s">
        <v>6461</v>
      </c>
      <c r="F1393" t="s">
        <v>13460</v>
      </c>
      <c r="G1393" t="s">
        <v>13461</v>
      </c>
      <c r="H1393" t="s">
        <v>13471</v>
      </c>
      <c r="I1393" t="s">
        <v>29</v>
      </c>
      <c r="J1393" t="s">
        <v>13463</v>
      </c>
      <c r="K1393">
        <v>2</v>
      </c>
      <c r="L1393" t="s">
        <v>13487</v>
      </c>
      <c r="M1393" t="s">
        <v>20</v>
      </c>
      <c r="N1393" t="str">
        <f>_xlfn.XLOOKUP(C:C,'Resource Table'!A:A,'Resource Table'!B:B,"NOT FOUND",0,1)</f>
        <v>Dedicated</v>
      </c>
      <c r="O1393" t="str">
        <f>_xlfn.XLOOKUP(N:N,'Resource Table'!B:B,'Resource Table'!C:C,"n/a",0,1)</f>
        <v>AFS Dedicated Tech</v>
      </c>
      <c r="P1393" t="str">
        <f>_xlfn.XLOOKUP(N:N,'Resource Table'!B:B,'Resource Table'!D:D,"n/a",0,1)</f>
        <v>Dedicated</v>
      </c>
    </row>
    <row r="1394" spans="1:16" x14ac:dyDescent="0.45">
      <c r="A1394" t="s">
        <v>5443</v>
      </c>
      <c r="B1394" t="s">
        <v>5444</v>
      </c>
      <c r="C1394" t="s">
        <v>5460</v>
      </c>
      <c r="D1394" t="s">
        <v>6329</v>
      </c>
      <c r="E1394" t="s">
        <v>6461</v>
      </c>
      <c r="F1394" t="s">
        <v>13460</v>
      </c>
      <c r="G1394" t="s">
        <v>13461</v>
      </c>
      <c r="H1394" t="s">
        <v>13471</v>
      </c>
      <c r="I1394" t="s">
        <v>6479</v>
      </c>
      <c r="J1394" t="s">
        <v>13463</v>
      </c>
      <c r="K1394">
        <v>2</v>
      </c>
      <c r="L1394" t="s">
        <v>13530</v>
      </c>
      <c r="M1394" t="s">
        <v>13472</v>
      </c>
      <c r="N1394" t="str">
        <f>_xlfn.XLOOKUP(C:C,'Resource Table'!A:A,'Resource Table'!B:B,"NOT FOUND",0,1)</f>
        <v>Dedicated</v>
      </c>
      <c r="O1394" t="str">
        <f>_xlfn.XLOOKUP(N:N,'Resource Table'!B:B,'Resource Table'!C:C,"n/a",0,1)</f>
        <v>AFS Dedicated Tech</v>
      </c>
      <c r="P1394" t="str">
        <f>_xlfn.XLOOKUP(N:N,'Resource Table'!B:B,'Resource Table'!D:D,"n/a",0,1)</f>
        <v>Dedicated</v>
      </c>
    </row>
    <row r="1395" spans="1:16" x14ac:dyDescent="0.45">
      <c r="A1395" t="s">
        <v>5443</v>
      </c>
      <c r="B1395" t="s">
        <v>5444</v>
      </c>
      <c r="C1395" t="s">
        <v>5460</v>
      </c>
      <c r="D1395" t="s">
        <v>5809</v>
      </c>
      <c r="E1395" t="s">
        <v>6451</v>
      </c>
      <c r="F1395" t="s">
        <v>13473</v>
      </c>
      <c r="G1395" t="s">
        <v>13474</v>
      </c>
      <c r="H1395" t="s">
        <v>13521</v>
      </c>
      <c r="I1395" t="s">
        <v>6479</v>
      </c>
      <c r="J1395" t="s">
        <v>13463</v>
      </c>
      <c r="K1395">
        <v>1</v>
      </c>
      <c r="L1395" t="s">
        <v>13520</v>
      </c>
      <c r="M1395" t="s">
        <v>13507</v>
      </c>
      <c r="N1395" t="str">
        <f>_xlfn.XLOOKUP(C:C,'Resource Table'!A:A,'Resource Table'!B:B,"NOT FOUND",0,1)</f>
        <v>Dedicated</v>
      </c>
      <c r="O1395" t="str">
        <f>_xlfn.XLOOKUP(N:N,'Resource Table'!B:B,'Resource Table'!C:C,"n/a",0,1)</f>
        <v>AFS Dedicated Tech</v>
      </c>
      <c r="P1395" t="str">
        <f>_xlfn.XLOOKUP(N:N,'Resource Table'!B:B,'Resource Table'!D:D,"n/a",0,1)</f>
        <v>Dedicated</v>
      </c>
    </row>
    <row r="1396" spans="1:16" x14ac:dyDescent="0.45">
      <c r="A1396" t="s">
        <v>5443</v>
      </c>
      <c r="B1396" t="s">
        <v>5444</v>
      </c>
      <c r="C1396" t="s">
        <v>5460</v>
      </c>
      <c r="D1396" t="s">
        <v>5615</v>
      </c>
      <c r="E1396" t="s">
        <v>6451</v>
      </c>
      <c r="F1396" t="s">
        <v>13460</v>
      </c>
      <c r="G1396" t="s">
        <v>13461</v>
      </c>
      <c r="H1396" t="s">
        <v>13462</v>
      </c>
      <c r="I1396" t="s">
        <v>29</v>
      </c>
      <c r="J1396" t="s">
        <v>13463</v>
      </c>
      <c r="K1396">
        <v>1</v>
      </c>
      <c r="L1396" t="s">
        <v>13552</v>
      </c>
      <c r="M1396" t="s">
        <v>13541</v>
      </c>
      <c r="N1396" t="str">
        <f>_xlfn.XLOOKUP(C:C,'Resource Table'!A:A,'Resource Table'!B:B,"NOT FOUND",0,1)</f>
        <v>Dedicated</v>
      </c>
      <c r="O1396" t="str">
        <f>_xlfn.XLOOKUP(N:N,'Resource Table'!B:B,'Resource Table'!C:C,"n/a",0,1)</f>
        <v>AFS Dedicated Tech</v>
      </c>
      <c r="P1396" t="str">
        <f>_xlfn.XLOOKUP(N:N,'Resource Table'!B:B,'Resource Table'!D:D,"n/a",0,1)</f>
        <v>Dedicated</v>
      </c>
    </row>
    <row r="1397" spans="1:16" x14ac:dyDescent="0.45">
      <c r="A1397" t="s">
        <v>5443</v>
      </c>
      <c r="B1397" t="s">
        <v>5444</v>
      </c>
      <c r="C1397" t="s">
        <v>5460</v>
      </c>
      <c r="D1397" t="s">
        <v>5876</v>
      </c>
      <c r="E1397" t="s">
        <v>6451</v>
      </c>
      <c r="F1397" t="s">
        <v>13473</v>
      </c>
      <c r="G1397" t="s">
        <v>13474</v>
      </c>
      <c r="H1397" t="s">
        <v>13475</v>
      </c>
      <c r="I1397" t="s">
        <v>6479</v>
      </c>
      <c r="J1397" t="s">
        <v>13463</v>
      </c>
      <c r="K1397">
        <v>3</v>
      </c>
      <c r="L1397" t="s">
        <v>13464</v>
      </c>
      <c r="M1397" t="s">
        <v>13505</v>
      </c>
      <c r="N1397" t="str">
        <f>_xlfn.XLOOKUP(C:C,'Resource Table'!A:A,'Resource Table'!B:B,"NOT FOUND",0,1)</f>
        <v>Dedicated</v>
      </c>
      <c r="O1397" t="str">
        <f>_xlfn.XLOOKUP(N:N,'Resource Table'!B:B,'Resource Table'!C:C,"n/a",0,1)</f>
        <v>AFS Dedicated Tech</v>
      </c>
      <c r="P1397" t="str">
        <f>_xlfn.XLOOKUP(N:N,'Resource Table'!B:B,'Resource Table'!D:D,"n/a",0,1)</f>
        <v>Dedicated</v>
      </c>
    </row>
    <row r="1398" spans="1:16" x14ac:dyDescent="0.45">
      <c r="A1398" t="s">
        <v>5443</v>
      </c>
      <c r="B1398" t="s">
        <v>5444</v>
      </c>
      <c r="C1398" t="s">
        <v>5445</v>
      </c>
      <c r="D1398" t="s">
        <v>6359</v>
      </c>
      <c r="E1398" t="s">
        <v>6451</v>
      </c>
      <c r="F1398" t="s">
        <v>13460</v>
      </c>
      <c r="G1398" t="s">
        <v>13461</v>
      </c>
      <c r="H1398" t="s">
        <v>13471</v>
      </c>
      <c r="I1398" t="s">
        <v>6479</v>
      </c>
      <c r="J1398" t="s">
        <v>13463</v>
      </c>
      <c r="K1398">
        <v>1</v>
      </c>
      <c r="L1398" t="s">
        <v>13480</v>
      </c>
      <c r="M1398" t="s">
        <v>20</v>
      </c>
      <c r="N1398" t="str">
        <f>_xlfn.XLOOKUP(C:C,'Resource Table'!A:A,'Resource Table'!B:B,"NOT FOUND",0,1)</f>
        <v>Dedicated</v>
      </c>
      <c r="O1398" t="str">
        <f>_xlfn.XLOOKUP(N:N,'Resource Table'!B:B,'Resource Table'!C:C,"n/a",0,1)</f>
        <v>AFS Dedicated Tech</v>
      </c>
      <c r="P1398" t="str">
        <f>_xlfn.XLOOKUP(N:N,'Resource Table'!B:B,'Resource Table'!D:D,"n/a",0,1)</f>
        <v>Dedicated</v>
      </c>
    </row>
    <row r="1399" spans="1:16" x14ac:dyDescent="0.45">
      <c r="A1399" t="s">
        <v>5443</v>
      </c>
      <c r="B1399" t="s">
        <v>5444</v>
      </c>
      <c r="C1399" t="s">
        <v>5445</v>
      </c>
      <c r="D1399" t="s">
        <v>6345</v>
      </c>
      <c r="E1399" t="s">
        <v>6461</v>
      </c>
      <c r="F1399" t="s">
        <v>13460</v>
      </c>
      <c r="G1399" t="s">
        <v>13461</v>
      </c>
      <c r="H1399" t="s">
        <v>13471</v>
      </c>
      <c r="I1399" t="s">
        <v>6479</v>
      </c>
      <c r="J1399" t="s">
        <v>13463</v>
      </c>
      <c r="K1399">
        <v>1</v>
      </c>
      <c r="L1399" t="s">
        <v>13493</v>
      </c>
      <c r="M1399" t="s">
        <v>20</v>
      </c>
      <c r="N1399" t="str">
        <f>_xlfn.XLOOKUP(C:C,'Resource Table'!A:A,'Resource Table'!B:B,"NOT FOUND",0,1)</f>
        <v>Dedicated</v>
      </c>
      <c r="O1399" t="str">
        <f>_xlfn.XLOOKUP(N:N,'Resource Table'!B:B,'Resource Table'!C:C,"n/a",0,1)</f>
        <v>AFS Dedicated Tech</v>
      </c>
      <c r="P1399" t="str">
        <f>_xlfn.XLOOKUP(N:N,'Resource Table'!B:B,'Resource Table'!D:D,"n/a",0,1)</f>
        <v>Dedicated</v>
      </c>
    </row>
    <row r="1400" spans="1:16" x14ac:dyDescent="0.45">
      <c r="A1400" t="s">
        <v>5443</v>
      </c>
      <c r="B1400" t="s">
        <v>5444</v>
      </c>
      <c r="C1400" t="s">
        <v>5445</v>
      </c>
      <c r="D1400" t="s">
        <v>6390</v>
      </c>
      <c r="E1400" t="s">
        <v>6461</v>
      </c>
      <c r="F1400" t="s">
        <v>13460</v>
      </c>
      <c r="G1400" t="s">
        <v>13461</v>
      </c>
      <c r="H1400" t="s">
        <v>13471</v>
      </c>
      <c r="I1400" t="s">
        <v>6479</v>
      </c>
      <c r="J1400" t="s">
        <v>13463</v>
      </c>
      <c r="K1400">
        <v>0</v>
      </c>
      <c r="L1400" t="s">
        <v>20</v>
      </c>
      <c r="M1400" t="s">
        <v>20</v>
      </c>
      <c r="N1400" t="str">
        <f>_xlfn.XLOOKUP(C:C,'Resource Table'!A:A,'Resource Table'!B:B,"NOT FOUND",0,1)</f>
        <v>Dedicated</v>
      </c>
      <c r="O1400" t="str">
        <f>_xlfn.XLOOKUP(N:N,'Resource Table'!B:B,'Resource Table'!C:C,"n/a",0,1)</f>
        <v>AFS Dedicated Tech</v>
      </c>
      <c r="P1400" t="str">
        <f>_xlfn.XLOOKUP(N:N,'Resource Table'!B:B,'Resource Table'!D:D,"n/a",0,1)</f>
        <v>Dedicated</v>
      </c>
    </row>
    <row r="1401" spans="1:16" x14ac:dyDescent="0.45">
      <c r="A1401" t="s">
        <v>5443</v>
      </c>
      <c r="B1401" t="s">
        <v>5444</v>
      </c>
      <c r="C1401" t="s">
        <v>5445</v>
      </c>
      <c r="D1401" t="s">
        <v>6385</v>
      </c>
      <c r="E1401" t="s">
        <v>6461</v>
      </c>
      <c r="F1401" t="s">
        <v>13460</v>
      </c>
      <c r="G1401" t="s">
        <v>13461</v>
      </c>
      <c r="H1401" t="s">
        <v>13471</v>
      </c>
      <c r="I1401" t="s">
        <v>6479</v>
      </c>
      <c r="J1401" t="s">
        <v>13486</v>
      </c>
      <c r="K1401">
        <v>1</v>
      </c>
      <c r="L1401" t="s">
        <v>13487</v>
      </c>
      <c r="M1401" t="s">
        <v>20</v>
      </c>
      <c r="N1401" t="str">
        <f>_xlfn.XLOOKUP(C:C,'Resource Table'!A:A,'Resource Table'!B:B,"NOT FOUND",0,1)</f>
        <v>Dedicated</v>
      </c>
      <c r="O1401" t="str">
        <f>_xlfn.XLOOKUP(N:N,'Resource Table'!B:B,'Resource Table'!C:C,"n/a",0,1)</f>
        <v>AFS Dedicated Tech</v>
      </c>
      <c r="P1401" t="str">
        <f>_xlfn.XLOOKUP(N:N,'Resource Table'!B:B,'Resource Table'!D:D,"n/a",0,1)</f>
        <v>Dedicated</v>
      </c>
    </row>
    <row r="1402" spans="1:16" x14ac:dyDescent="0.45">
      <c r="A1402" t="s">
        <v>5443</v>
      </c>
      <c r="B1402" t="s">
        <v>5444</v>
      </c>
      <c r="C1402" t="s">
        <v>5445</v>
      </c>
      <c r="D1402" t="s">
        <v>6394</v>
      </c>
      <c r="E1402" t="s">
        <v>6451</v>
      </c>
      <c r="F1402" t="s">
        <v>13460</v>
      </c>
      <c r="G1402" t="s">
        <v>13461</v>
      </c>
      <c r="H1402" t="s">
        <v>13471</v>
      </c>
      <c r="I1402" t="s">
        <v>6479</v>
      </c>
      <c r="J1402" t="s">
        <v>13463</v>
      </c>
      <c r="K1402">
        <v>3</v>
      </c>
      <c r="L1402" t="s">
        <v>13472</v>
      </c>
      <c r="M1402" t="s">
        <v>20</v>
      </c>
      <c r="N1402" t="str">
        <f>_xlfn.XLOOKUP(C:C,'Resource Table'!A:A,'Resource Table'!B:B,"NOT FOUND",0,1)</f>
        <v>Dedicated</v>
      </c>
      <c r="O1402" t="str">
        <f>_xlfn.XLOOKUP(N:N,'Resource Table'!B:B,'Resource Table'!C:C,"n/a",0,1)</f>
        <v>AFS Dedicated Tech</v>
      </c>
      <c r="P1402" t="str">
        <f>_xlfn.XLOOKUP(N:N,'Resource Table'!B:B,'Resource Table'!D:D,"n/a",0,1)</f>
        <v>Dedicated</v>
      </c>
    </row>
    <row r="1403" spans="1:16" x14ac:dyDescent="0.45">
      <c r="A1403" t="s">
        <v>5443</v>
      </c>
      <c r="B1403" t="s">
        <v>5444</v>
      </c>
      <c r="C1403" t="s">
        <v>5445</v>
      </c>
      <c r="D1403" t="s">
        <v>5909</v>
      </c>
      <c r="E1403" t="s">
        <v>6462</v>
      </c>
      <c r="F1403" t="s">
        <v>13460</v>
      </c>
      <c r="G1403" t="s">
        <v>13481</v>
      </c>
      <c r="H1403" t="s">
        <v>13490</v>
      </c>
      <c r="I1403" t="s">
        <v>6479</v>
      </c>
      <c r="J1403" t="s">
        <v>13463</v>
      </c>
      <c r="K1403">
        <v>0</v>
      </c>
      <c r="L1403" t="s">
        <v>20</v>
      </c>
      <c r="M1403" t="s">
        <v>20</v>
      </c>
      <c r="N1403" t="str">
        <f>_xlfn.XLOOKUP(C:C,'Resource Table'!A:A,'Resource Table'!B:B,"NOT FOUND",0,1)</f>
        <v>Dedicated</v>
      </c>
      <c r="O1403" t="str">
        <f>_xlfn.XLOOKUP(N:N,'Resource Table'!B:B,'Resource Table'!C:C,"n/a",0,1)</f>
        <v>AFS Dedicated Tech</v>
      </c>
      <c r="P1403" t="str">
        <f>_xlfn.XLOOKUP(N:N,'Resource Table'!B:B,'Resource Table'!D:D,"n/a",0,1)</f>
        <v>Dedicated</v>
      </c>
    </row>
    <row r="1404" spans="1:16" x14ac:dyDescent="0.45">
      <c r="A1404" t="s">
        <v>5443</v>
      </c>
      <c r="B1404" t="s">
        <v>5444</v>
      </c>
      <c r="C1404" t="s">
        <v>5445</v>
      </c>
      <c r="D1404" t="s">
        <v>6317</v>
      </c>
      <c r="E1404" t="s">
        <v>6475</v>
      </c>
      <c r="F1404" t="s">
        <v>13460</v>
      </c>
      <c r="G1404" t="s">
        <v>13461</v>
      </c>
      <c r="H1404" t="s">
        <v>13471</v>
      </c>
      <c r="I1404" t="s">
        <v>6479</v>
      </c>
      <c r="J1404" t="s">
        <v>13463</v>
      </c>
      <c r="K1404">
        <v>0</v>
      </c>
      <c r="L1404" t="s">
        <v>20</v>
      </c>
      <c r="M1404" t="s">
        <v>20</v>
      </c>
      <c r="N1404" t="str">
        <f>_xlfn.XLOOKUP(C:C,'Resource Table'!A:A,'Resource Table'!B:B,"NOT FOUND",0,1)</f>
        <v>Dedicated</v>
      </c>
      <c r="O1404" t="str">
        <f>_xlfn.XLOOKUP(N:N,'Resource Table'!B:B,'Resource Table'!C:C,"n/a",0,1)</f>
        <v>AFS Dedicated Tech</v>
      </c>
      <c r="P1404" t="str">
        <f>_xlfn.XLOOKUP(N:N,'Resource Table'!B:B,'Resource Table'!D:D,"n/a",0,1)</f>
        <v>Dedicated</v>
      </c>
    </row>
    <row r="1405" spans="1:16" x14ac:dyDescent="0.45">
      <c r="A1405" t="s">
        <v>5443</v>
      </c>
      <c r="B1405" t="s">
        <v>5444</v>
      </c>
      <c r="C1405" t="s">
        <v>5445</v>
      </c>
      <c r="D1405" t="s">
        <v>6327</v>
      </c>
      <c r="E1405" t="s">
        <v>6475</v>
      </c>
      <c r="F1405" t="s">
        <v>13460</v>
      </c>
      <c r="G1405" t="s">
        <v>13461</v>
      </c>
      <c r="H1405" t="s">
        <v>13471</v>
      </c>
      <c r="I1405" t="s">
        <v>6479</v>
      </c>
      <c r="J1405" t="s">
        <v>13463</v>
      </c>
      <c r="K1405">
        <v>0</v>
      </c>
      <c r="L1405" t="s">
        <v>20</v>
      </c>
      <c r="M1405" t="s">
        <v>20</v>
      </c>
      <c r="N1405" t="str">
        <f>_xlfn.XLOOKUP(C:C,'Resource Table'!A:A,'Resource Table'!B:B,"NOT FOUND",0,1)</f>
        <v>Dedicated</v>
      </c>
      <c r="O1405" t="str">
        <f>_xlfn.XLOOKUP(N:N,'Resource Table'!B:B,'Resource Table'!C:C,"n/a",0,1)</f>
        <v>AFS Dedicated Tech</v>
      </c>
      <c r="P1405" t="str">
        <f>_xlfn.XLOOKUP(N:N,'Resource Table'!B:B,'Resource Table'!D:D,"n/a",0,1)</f>
        <v>Dedicated</v>
      </c>
    </row>
    <row r="1406" spans="1:16" x14ac:dyDescent="0.45">
      <c r="A1406" t="s">
        <v>5443</v>
      </c>
      <c r="B1406" t="s">
        <v>5444</v>
      </c>
      <c r="C1406" t="s">
        <v>5445</v>
      </c>
      <c r="D1406" t="s">
        <v>5743</v>
      </c>
      <c r="E1406" t="s">
        <v>6451</v>
      </c>
      <c r="F1406" t="s">
        <v>13473</v>
      </c>
      <c r="G1406" t="s">
        <v>13474</v>
      </c>
      <c r="H1406" t="s">
        <v>13517</v>
      </c>
      <c r="I1406" t="s">
        <v>6479</v>
      </c>
      <c r="J1406" t="s">
        <v>13463</v>
      </c>
      <c r="K1406">
        <v>0</v>
      </c>
      <c r="L1406" t="s">
        <v>20</v>
      </c>
      <c r="M1406" t="s">
        <v>20</v>
      </c>
      <c r="N1406" t="str">
        <f>_xlfn.XLOOKUP(C:C,'Resource Table'!A:A,'Resource Table'!B:B,"NOT FOUND",0,1)</f>
        <v>Dedicated</v>
      </c>
      <c r="O1406" t="str">
        <f>_xlfn.XLOOKUP(N:N,'Resource Table'!B:B,'Resource Table'!C:C,"n/a",0,1)</f>
        <v>AFS Dedicated Tech</v>
      </c>
      <c r="P1406" t="str">
        <f>_xlfn.XLOOKUP(N:N,'Resource Table'!B:B,'Resource Table'!D:D,"n/a",0,1)</f>
        <v>Dedicated</v>
      </c>
    </row>
    <row r="1407" spans="1:16" x14ac:dyDescent="0.45">
      <c r="A1407" t="s">
        <v>5443</v>
      </c>
      <c r="B1407" t="s">
        <v>5444</v>
      </c>
      <c r="C1407" t="s">
        <v>5445</v>
      </c>
      <c r="D1407" t="s">
        <v>6320</v>
      </c>
      <c r="E1407" t="s">
        <v>6461</v>
      </c>
      <c r="F1407" t="s">
        <v>13460</v>
      </c>
      <c r="G1407" t="s">
        <v>13461</v>
      </c>
      <c r="H1407" t="s">
        <v>13471</v>
      </c>
      <c r="I1407" t="s">
        <v>6479</v>
      </c>
      <c r="J1407" t="s">
        <v>13463</v>
      </c>
      <c r="K1407">
        <v>0</v>
      </c>
      <c r="L1407" t="s">
        <v>20</v>
      </c>
      <c r="M1407" t="s">
        <v>20</v>
      </c>
      <c r="N1407" t="str">
        <f>_xlfn.XLOOKUP(C:C,'Resource Table'!A:A,'Resource Table'!B:B,"NOT FOUND",0,1)</f>
        <v>Dedicated</v>
      </c>
      <c r="O1407" t="str">
        <f>_xlfn.XLOOKUP(N:N,'Resource Table'!B:B,'Resource Table'!C:C,"n/a",0,1)</f>
        <v>AFS Dedicated Tech</v>
      </c>
      <c r="P1407" t="str">
        <f>_xlfn.XLOOKUP(N:N,'Resource Table'!B:B,'Resource Table'!D:D,"n/a",0,1)</f>
        <v>Dedicated</v>
      </c>
    </row>
    <row r="1408" spans="1:16" x14ac:dyDescent="0.45">
      <c r="A1408" t="s">
        <v>5443</v>
      </c>
      <c r="B1408" t="s">
        <v>5444</v>
      </c>
      <c r="C1408" t="s">
        <v>5445</v>
      </c>
      <c r="D1408" t="s">
        <v>5945</v>
      </c>
      <c r="E1408" t="s">
        <v>6461</v>
      </c>
      <c r="F1408" t="s">
        <v>13460</v>
      </c>
      <c r="G1408" t="s">
        <v>13481</v>
      </c>
      <c r="H1408" t="s">
        <v>13482</v>
      </c>
      <c r="I1408" t="s">
        <v>6479</v>
      </c>
      <c r="J1408" t="s">
        <v>13463</v>
      </c>
      <c r="K1408">
        <v>0</v>
      </c>
      <c r="L1408" t="s">
        <v>20</v>
      </c>
      <c r="M1408" t="s">
        <v>20</v>
      </c>
      <c r="N1408" t="str">
        <f>_xlfn.XLOOKUP(C:C,'Resource Table'!A:A,'Resource Table'!B:B,"NOT FOUND",0,1)</f>
        <v>Dedicated</v>
      </c>
      <c r="O1408" t="str">
        <f>_xlfn.XLOOKUP(N:N,'Resource Table'!B:B,'Resource Table'!C:C,"n/a",0,1)</f>
        <v>AFS Dedicated Tech</v>
      </c>
      <c r="P1408" t="str">
        <f>_xlfn.XLOOKUP(N:N,'Resource Table'!B:B,'Resource Table'!D:D,"n/a",0,1)</f>
        <v>Dedicated</v>
      </c>
    </row>
    <row r="1409" spans="1:16" x14ac:dyDescent="0.45">
      <c r="A1409" t="s">
        <v>5443</v>
      </c>
      <c r="B1409" t="s">
        <v>5444</v>
      </c>
      <c r="C1409" t="s">
        <v>5445</v>
      </c>
      <c r="D1409" t="s">
        <v>5554</v>
      </c>
      <c r="E1409" t="s">
        <v>6461</v>
      </c>
      <c r="F1409" t="s">
        <v>13460</v>
      </c>
      <c r="G1409" t="s">
        <v>13481</v>
      </c>
      <c r="H1409" t="s">
        <v>13482</v>
      </c>
      <c r="I1409" t="s">
        <v>29</v>
      </c>
      <c r="J1409" t="s">
        <v>13486</v>
      </c>
      <c r="K1409">
        <v>2</v>
      </c>
      <c r="L1409" t="s">
        <v>13519</v>
      </c>
      <c r="M1409" t="s">
        <v>13468</v>
      </c>
      <c r="N1409" t="str">
        <f>_xlfn.XLOOKUP(C:C,'Resource Table'!A:A,'Resource Table'!B:B,"NOT FOUND",0,1)</f>
        <v>Dedicated</v>
      </c>
      <c r="O1409" t="str">
        <f>_xlfn.XLOOKUP(N:N,'Resource Table'!B:B,'Resource Table'!C:C,"n/a",0,1)</f>
        <v>AFS Dedicated Tech</v>
      </c>
      <c r="P1409" t="str">
        <f>_xlfn.XLOOKUP(N:N,'Resource Table'!B:B,'Resource Table'!D:D,"n/a",0,1)</f>
        <v>Dedicated</v>
      </c>
    </row>
    <row r="1410" spans="1:16" x14ac:dyDescent="0.45">
      <c r="A1410" t="s">
        <v>5443</v>
      </c>
      <c r="B1410" t="s">
        <v>5444</v>
      </c>
      <c r="C1410" t="s">
        <v>5445</v>
      </c>
      <c r="D1410" t="s">
        <v>6378</v>
      </c>
      <c r="E1410" t="s">
        <v>6461</v>
      </c>
      <c r="F1410" t="s">
        <v>13460</v>
      </c>
      <c r="G1410" t="s">
        <v>13461</v>
      </c>
      <c r="H1410" t="s">
        <v>13471</v>
      </c>
      <c r="I1410" t="s">
        <v>29</v>
      </c>
      <c r="J1410" t="s">
        <v>13463</v>
      </c>
      <c r="K1410">
        <v>1</v>
      </c>
      <c r="L1410" t="s">
        <v>13530</v>
      </c>
      <c r="M1410" t="s">
        <v>13468</v>
      </c>
      <c r="N1410" t="str">
        <f>_xlfn.XLOOKUP(C:C,'Resource Table'!A:A,'Resource Table'!B:B,"NOT FOUND",0,1)</f>
        <v>Dedicated</v>
      </c>
      <c r="O1410" t="str">
        <f>_xlfn.XLOOKUP(N:N,'Resource Table'!B:B,'Resource Table'!C:C,"n/a",0,1)</f>
        <v>AFS Dedicated Tech</v>
      </c>
      <c r="P1410" t="str">
        <f>_xlfn.XLOOKUP(N:N,'Resource Table'!B:B,'Resource Table'!D:D,"n/a",0,1)</f>
        <v>Dedicated</v>
      </c>
    </row>
    <row r="1411" spans="1:16" x14ac:dyDescent="0.45">
      <c r="A1411" t="s">
        <v>5443</v>
      </c>
      <c r="B1411" t="s">
        <v>5444</v>
      </c>
      <c r="C1411" t="s">
        <v>5445</v>
      </c>
      <c r="D1411" t="s">
        <v>5894</v>
      </c>
      <c r="E1411" t="s">
        <v>6451</v>
      </c>
      <c r="F1411" t="s">
        <v>13473</v>
      </c>
      <c r="G1411" t="s">
        <v>13474</v>
      </c>
      <c r="H1411" t="s">
        <v>13475</v>
      </c>
      <c r="I1411" t="s">
        <v>6479</v>
      </c>
      <c r="J1411" t="s">
        <v>13463</v>
      </c>
      <c r="K1411">
        <v>1</v>
      </c>
      <c r="L1411" t="s">
        <v>13503</v>
      </c>
      <c r="M1411" t="s">
        <v>20</v>
      </c>
      <c r="N1411" t="str">
        <f>_xlfn.XLOOKUP(C:C,'Resource Table'!A:A,'Resource Table'!B:B,"NOT FOUND",0,1)</f>
        <v>Dedicated</v>
      </c>
      <c r="O1411" t="str">
        <f>_xlfn.XLOOKUP(N:N,'Resource Table'!B:B,'Resource Table'!C:C,"n/a",0,1)</f>
        <v>AFS Dedicated Tech</v>
      </c>
      <c r="P1411" t="str">
        <f>_xlfn.XLOOKUP(N:N,'Resource Table'!B:B,'Resource Table'!D:D,"n/a",0,1)</f>
        <v>Dedicated</v>
      </c>
    </row>
    <row r="1412" spans="1:16" x14ac:dyDescent="0.45">
      <c r="A1412" t="s">
        <v>5443</v>
      </c>
      <c r="B1412" t="s">
        <v>5444</v>
      </c>
      <c r="C1412" t="s">
        <v>5445</v>
      </c>
      <c r="D1412" t="s">
        <v>5942</v>
      </c>
      <c r="E1412" t="s">
        <v>6462</v>
      </c>
      <c r="F1412" t="s">
        <v>13460</v>
      </c>
      <c r="G1412" t="s">
        <v>13481</v>
      </c>
      <c r="H1412" t="s">
        <v>13482</v>
      </c>
      <c r="I1412" t="s">
        <v>6479</v>
      </c>
      <c r="J1412" t="s">
        <v>13486</v>
      </c>
      <c r="K1412">
        <v>1</v>
      </c>
      <c r="L1412" t="s">
        <v>13503</v>
      </c>
      <c r="M1412" t="s">
        <v>20</v>
      </c>
      <c r="N1412" t="str">
        <f>_xlfn.XLOOKUP(C:C,'Resource Table'!A:A,'Resource Table'!B:B,"NOT FOUND",0,1)</f>
        <v>Dedicated</v>
      </c>
      <c r="O1412" t="str">
        <f>_xlfn.XLOOKUP(N:N,'Resource Table'!B:B,'Resource Table'!C:C,"n/a",0,1)</f>
        <v>AFS Dedicated Tech</v>
      </c>
      <c r="P1412" t="str">
        <f>_xlfn.XLOOKUP(N:N,'Resource Table'!B:B,'Resource Table'!D:D,"n/a",0,1)</f>
        <v>Dedicated</v>
      </c>
    </row>
    <row r="1413" spans="1:16" x14ac:dyDescent="0.45">
      <c r="A1413" t="s">
        <v>5443</v>
      </c>
      <c r="B1413" t="s">
        <v>5444</v>
      </c>
      <c r="C1413" t="s">
        <v>5445</v>
      </c>
      <c r="D1413" t="s">
        <v>5931</v>
      </c>
      <c r="E1413" t="s">
        <v>6461</v>
      </c>
      <c r="F1413" t="s">
        <v>13460</v>
      </c>
      <c r="G1413" t="s">
        <v>13481</v>
      </c>
      <c r="H1413" t="s">
        <v>13482</v>
      </c>
      <c r="I1413" t="s">
        <v>6479</v>
      </c>
      <c r="J1413" t="s">
        <v>13463</v>
      </c>
      <c r="K1413">
        <v>0</v>
      </c>
      <c r="L1413" t="s">
        <v>20</v>
      </c>
      <c r="M1413" t="s">
        <v>20</v>
      </c>
      <c r="N1413" t="str">
        <f>_xlfn.XLOOKUP(C:C,'Resource Table'!A:A,'Resource Table'!B:B,"NOT FOUND",0,1)</f>
        <v>Dedicated</v>
      </c>
      <c r="O1413" t="str">
        <f>_xlfn.XLOOKUP(N:N,'Resource Table'!B:B,'Resource Table'!C:C,"n/a",0,1)</f>
        <v>AFS Dedicated Tech</v>
      </c>
      <c r="P1413" t="str">
        <f>_xlfn.XLOOKUP(N:N,'Resource Table'!B:B,'Resource Table'!D:D,"n/a",0,1)</f>
        <v>Dedicated</v>
      </c>
    </row>
    <row r="1414" spans="1:16" x14ac:dyDescent="0.45">
      <c r="A1414" t="s">
        <v>5443</v>
      </c>
      <c r="B1414" t="s">
        <v>5444</v>
      </c>
      <c r="C1414" t="s">
        <v>5445</v>
      </c>
      <c r="D1414" t="s">
        <v>5947</v>
      </c>
      <c r="E1414" t="s">
        <v>6461</v>
      </c>
      <c r="F1414" t="s">
        <v>13460</v>
      </c>
      <c r="G1414" t="s">
        <v>13481</v>
      </c>
      <c r="H1414" t="s">
        <v>13482</v>
      </c>
      <c r="I1414" t="s">
        <v>6479</v>
      </c>
      <c r="J1414" t="s">
        <v>13463</v>
      </c>
      <c r="K1414">
        <v>1</v>
      </c>
      <c r="L1414" t="s">
        <v>13480</v>
      </c>
      <c r="M1414" t="s">
        <v>13480</v>
      </c>
      <c r="N1414" t="str">
        <f>_xlfn.XLOOKUP(C:C,'Resource Table'!A:A,'Resource Table'!B:B,"NOT FOUND",0,1)</f>
        <v>Dedicated</v>
      </c>
      <c r="O1414" t="str">
        <f>_xlfn.XLOOKUP(N:N,'Resource Table'!B:B,'Resource Table'!C:C,"n/a",0,1)</f>
        <v>AFS Dedicated Tech</v>
      </c>
      <c r="P1414" t="str">
        <f>_xlfn.XLOOKUP(N:N,'Resource Table'!B:B,'Resource Table'!D:D,"n/a",0,1)</f>
        <v>Dedicated</v>
      </c>
    </row>
    <row r="1415" spans="1:16" x14ac:dyDescent="0.45">
      <c r="A1415" t="s">
        <v>5443</v>
      </c>
      <c r="B1415" t="s">
        <v>5444</v>
      </c>
      <c r="C1415" t="s">
        <v>5445</v>
      </c>
      <c r="D1415" t="s">
        <v>6370</v>
      </c>
      <c r="E1415" t="s">
        <v>6451</v>
      </c>
      <c r="F1415" t="s">
        <v>13460</v>
      </c>
      <c r="G1415" t="s">
        <v>13461</v>
      </c>
      <c r="H1415" t="s">
        <v>13471</v>
      </c>
      <c r="I1415" t="s">
        <v>6479</v>
      </c>
      <c r="J1415" t="s">
        <v>13463</v>
      </c>
      <c r="K1415">
        <v>0</v>
      </c>
      <c r="L1415" t="s">
        <v>20</v>
      </c>
      <c r="M1415" t="s">
        <v>20</v>
      </c>
      <c r="N1415" t="str">
        <f>_xlfn.XLOOKUP(C:C,'Resource Table'!A:A,'Resource Table'!B:B,"NOT FOUND",0,1)</f>
        <v>Dedicated</v>
      </c>
      <c r="O1415" t="str">
        <f>_xlfn.XLOOKUP(N:N,'Resource Table'!B:B,'Resource Table'!C:C,"n/a",0,1)</f>
        <v>AFS Dedicated Tech</v>
      </c>
      <c r="P1415" t="str">
        <f>_xlfn.XLOOKUP(N:N,'Resource Table'!B:B,'Resource Table'!D:D,"n/a",0,1)</f>
        <v>Dedicated</v>
      </c>
    </row>
    <row r="1416" spans="1:16" x14ac:dyDescent="0.45">
      <c r="A1416" t="s">
        <v>5443</v>
      </c>
      <c r="B1416" t="s">
        <v>5444</v>
      </c>
      <c r="C1416" t="s">
        <v>5445</v>
      </c>
      <c r="D1416" t="s">
        <v>5446</v>
      </c>
      <c r="E1416" t="s">
        <v>6451</v>
      </c>
      <c r="F1416" t="s">
        <v>13473</v>
      </c>
      <c r="G1416" t="s">
        <v>13474</v>
      </c>
      <c r="H1416" t="s">
        <v>13492</v>
      </c>
      <c r="I1416" t="s">
        <v>29</v>
      </c>
      <c r="J1416" t="s">
        <v>13463</v>
      </c>
      <c r="K1416">
        <v>1</v>
      </c>
      <c r="L1416" t="s">
        <v>13536</v>
      </c>
      <c r="M1416" t="s">
        <v>20</v>
      </c>
      <c r="N1416" t="str">
        <f>_xlfn.XLOOKUP(C:C,'Resource Table'!A:A,'Resource Table'!B:B,"NOT FOUND",0,1)</f>
        <v>Dedicated</v>
      </c>
      <c r="O1416" t="str">
        <f>_xlfn.XLOOKUP(N:N,'Resource Table'!B:B,'Resource Table'!C:C,"n/a",0,1)</f>
        <v>AFS Dedicated Tech</v>
      </c>
      <c r="P1416" t="str">
        <f>_xlfn.XLOOKUP(N:N,'Resource Table'!B:B,'Resource Table'!D:D,"n/a",0,1)</f>
        <v>Dedicated</v>
      </c>
    </row>
    <row r="1417" spans="1:16" x14ac:dyDescent="0.45">
      <c r="A1417" t="s">
        <v>5443</v>
      </c>
      <c r="B1417" t="s">
        <v>5444</v>
      </c>
      <c r="C1417" t="s">
        <v>5445</v>
      </c>
      <c r="D1417" t="s">
        <v>6033</v>
      </c>
      <c r="E1417" t="s">
        <v>6461</v>
      </c>
      <c r="F1417" t="s">
        <v>13460</v>
      </c>
      <c r="G1417" t="s">
        <v>13538</v>
      </c>
      <c r="H1417" t="s">
        <v>13539</v>
      </c>
      <c r="I1417" t="s">
        <v>6479</v>
      </c>
      <c r="J1417" t="s">
        <v>13463</v>
      </c>
      <c r="K1417">
        <v>1</v>
      </c>
      <c r="L1417" t="s">
        <v>13507</v>
      </c>
      <c r="M1417" t="s">
        <v>20</v>
      </c>
      <c r="N1417" t="str">
        <f>_xlfn.XLOOKUP(C:C,'Resource Table'!A:A,'Resource Table'!B:B,"NOT FOUND",0,1)</f>
        <v>Dedicated</v>
      </c>
      <c r="O1417" t="str">
        <f>_xlfn.XLOOKUP(N:N,'Resource Table'!B:B,'Resource Table'!C:C,"n/a",0,1)</f>
        <v>AFS Dedicated Tech</v>
      </c>
      <c r="P1417" t="str">
        <f>_xlfn.XLOOKUP(N:N,'Resource Table'!B:B,'Resource Table'!D:D,"n/a",0,1)</f>
        <v>Dedicated</v>
      </c>
    </row>
    <row r="1418" spans="1:16" x14ac:dyDescent="0.45">
      <c r="A1418" t="s">
        <v>5443</v>
      </c>
      <c r="B1418" t="s">
        <v>5444</v>
      </c>
      <c r="C1418" t="s">
        <v>5445</v>
      </c>
      <c r="D1418" t="s">
        <v>6401</v>
      </c>
      <c r="E1418" t="s">
        <v>6461</v>
      </c>
      <c r="F1418" t="s">
        <v>13460</v>
      </c>
      <c r="G1418" t="s">
        <v>13461</v>
      </c>
      <c r="H1418" t="s">
        <v>13467</v>
      </c>
      <c r="I1418" t="s">
        <v>6479</v>
      </c>
      <c r="J1418" t="s">
        <v>13463</v>
      </c>
      <c r="K1418">
        <v>2</v>
      </c>
      <c r="L1418" t="s">
        <v>13464</v>
      </c>
      <c r="M1418" t="s">
        <v>13512</v>
      </c>
      <c r="N1418" t="str">
        <f>_xlfn.XLOOKUP(C:C,'Resource Table'!A:A,'Resource Table'!B:B,"NOT FOUND",0,1)</f>
        <v>Dedicated</v>
      </c>
      <c r="O1418" t="str">
        <f>_xlfn.XLOOKUP(N:N,'Resource Table'!B:B,'Resource Table'!C:C,"n/a",0,1)</f>
        <v>AFS Dedicated Tech</v>
      </c>
      <c r="P1418" t="str">
        <f>_xlfn.XLOOKUP(N:N,'Resource Table'!B:B,'Resource Table'!D:D,"n/a",0,1)</f>
        <v>Dedicated</v>
      </c>
    </row>
    <row r="1419" spans="1:16" x14ac:dyDescent="0.45">
      <c r="A1419" t="s">
        <v>5443</v>
      </c>
      <c r="B1419" t="s">
        <v>5444</v>
      </c>
      <c r="C1419" t="s">
        <v>5445</v>
      </c>
      <c r="D1419" t="s">
        <v>5902</v>
      </c>
      <c r="E1419" t="s">
        <v>6461</v>
      </c>
      <c r="F1419" t="s">
        <v>13473</v>
      </c>
      <c r="G1419" t="s">
        <v>13474</v>
      </c>
      <c r="H1419" t="s">
        <v>13475</v>
      </c>
      <c r="I1419" t="s">
        <v>6479</v>
      </c>
      <c r="J1419" t="s">
        <v>13463</v>
      </c>
      <c r="K1419">
        <v>0</v>
      </c>
      <c r="L1419" t="s">
        <v>20</v>
      </c>
      <c r="M1419" t="s">
        <v>20</v>
      </c>
      <c r="N1419" t="str">
        <f>_xlfn.XLOOKUP(C:C,'Resource Table'!A:A,'Resource Table'!B:B,"NOT FOUND",0,1)</f>
        <v>Dedicated</v>
      </c>
      <c r="O1419" t="str">
        <f>_xlfn.XLOOKUP(N:N,'Resource Table'!B:B,'Resource Table'!C:C,"n/a",0,1)</f>
        <v>AFS Dedicated Tech</v>
      </c>
      <c r="P1419" t="str">
        <f>_xlfn.XLOOKUP(N:N,'Resource Table'!B:B,'Resource Table'!D:D,"n/a",0,1)</f>
        <v>Dedicated</v>
      </c>
    </row>
    <row r="1420" spans="1:16" x14ac:dyDescent="0.45">
      <c r="A1420" t="s">
        <v>5443</v>
      </c>
      <c r="B1420" t="s">
        <v>5444</v>
      </c>
      <c r="C1420" t="s">
        <v>5445</v>
      </c>
      <c r="D1420" t="s">
        <v>5890</v>
      </c>
      <c r="E1420" t="s">
        <v>6451</v>
      </c>
      <c r="F1420" t="s">
        <v>13473</v>
      </c>
      <c r="G1420" t="s">
        <v>13474</v>
      </c>
      <c r="H1420" t="s">
        <v>13475</v>
      </c>
      <c r="I1420" t="s">
        <v>6479</v>
      </c>
      <c r="J1420" t="s">
        <v>13463</v>
      </c>
      <c r="K1420">
        <v>0</v>
      </c>
      <c r="L1420" t="s">
        <v>20</v>
      </c>
      <c r="M1420" t="s">
        <v>20</v>
      </c>
      <c r="N1420" t="str">
        <f>_xlfn.XLOOKUP(C:C,'Resource Table'!A:A,'Resource Table'!B:B,"NOT FOUND",0,1)</f>
        <v>Dedicated</v>
      </c>
      <c r="O1420" t="str">
        <f>_xlfn.XLOOKUP(N:N,'Resource Table'!B:B,'Resource Table'!C:C,"n/a",0,1)</f>
        <v>AFS Dedicated Tech</v>
      </c>
      <c r="P1420" t="str">
        <f>_xlfn.XLOOKUP(N:N,'Resource Table'!B:B,'Resource Table'!D:D,"n/a",0,1)</f>
        <v>Dedicated</v>
      </c>
    </row>
    <row r="1421" spans="1:16" x14ac:dyDescent="0.45">
      <c r="A1421" t="s">
        <v>5443</v>
      </c>
      <c r="B1421" t="s">
        <v>5444</v>
      </c>
      <c r="C1421" t="s">
        <v>5445</v>
      </c>
      <c r="D1421" t="s">
        <v>6332</v>
      </c>
      <c r="E1421" t="s">
        <v>6461</v>
      </c>
      <c r="F1421" t="s">
        <v>13460</v>
      </c>
      <c r="G1421" t="s">
        <v>13461</v>
      </c>
      <c r="H1421" t="s">
        <v>13471</v>
      </c>
      <c r="I1421" t="s">
        <v>6479</v>
      </c>
      <c r="J1421" t="s">
        <v>13463</v>
      </c>
      <c r="K1421">
        <v>1</v>
      </c>
      <c r="L1421" t="s">
        <v>13466</v>
      </c>
      <c r="M1421" t="s">
        <v>20</v>
      </c>
      <c r="N1421" t="str">
        <f>_xlfn.XLOOKUP(C:C,'Resource Table'!A:A,'Resource Table'!B:B,"NOT FOUND",0,1)</f>
        <v>Dedicated</v>
      </c>
      <c r="O1421" t="str">
        <f>_xlfn.XLOOKUP(N:N,'Resource Table'!B:B,'Resource Table'!C:C,"n/a",0,1)</f>
        <v>AFS Dedicated Tech</v>
      </c>
      <c r="P1421" t="str">
        <f>_xlfn.XLOOKUP(N:N,'Resource Table'!B:B,'Resource Table'!D:D,"n/a",0,1)</f>
        <v>Dedicated</v>
      </c>
    </row>
    <row r="1422" spans="1:16" x14ac:dyDescent="0.45">
      <c r="A1422" t="s">
        <v>5443</v>
      </c>
      <c r="B1422" t="s">
        <v>5444</v>
      </c>
      <c r="C1422" t="s">
        <v>5445</v>
      </c>
      <c r="D1422" t="s">
        <v>6389</v>
      </c>
      <c r="E1422" t="s">
        <v>6461</v>
      </c>
      <c r="F1422" t="s">
        <v>13460</v>
      </c>
      <c r="G1422" t="s">
        <v>13461</v>
      </c>
      <c r="H1422" t="s">
        <v>13471</v>
      </c>
      <c r="I1422" t="s">
        <v>6479</v>
      </c>
      <c r="J1422" t="s">
        <v>13463</v>
      </c>
      <c r="K1422">
        <v>0</v>
      </c>
      <c r="L1422" t="s">
        <v>20</v>
      </c>
      <c r="M1422" t="s">
        <v>20</v>
      </c>
      <c r="N1422" t="str">
        <f>_xlfn.XLOOKUP(C:C,'Resource Table'!A:A,'Resource Table'!B:B,"NOT FOUND",0,1)</f>
        <v>Dedicated</v>
      </c>
      <c r="O1422" t="str">
        <f>_xlfn.XLOOKUP(N:N,'Resource Table'!B:B,'Resource Table'!C:C,"n/a",0,1)</f>
        <v>AFS Dedicated Tech</v>
      </c>
      <c r="P1422" t="str">
        <f>_xlfn.XLOOKUP(N:N,'Resource Table'!B:B,'Resource Table'!D:D,"n/a",0,1)</f>
        <v>Dedicated</v>
      </c>
    </row>
    <row r="1423" spans="1:16" x14ac:dyDescent="0.45">
      <c r="A1423" t="s">
        <v>5443</v>
      </c>
      <c r="B1423" t="s">
        <v>5444</v>
      </c>
      <c r="C1423" t="s">
        <v>5549</v>
      </c>
      <c r="D1423" t="s">
        <v>5550</v>
      </c>
      <c r="E1423" t="s">
        <v>6461</v>
      </c>
      <c r="F1423" t="s">
        <v>13460</v>
      </c>
      <c r="G1423" t="s">
        <v>13481</v>
      </c>
      <c r="H1423" t="s">
        <v>13482</v>
      </c>
      <c r="I1423" t="s">
        <v>29</v>
      </c>
      <c r="J1423" t="s">
        <v>13463</v>
      </c>
      <c r="K1423">
        <v>2</v>
      </c>
      <c r="L1423" t="s">
        <v>13552</v>
      </c>
      <c r="M1423" t="s">
        <v>13468</v>
      </c>
      <c r="N1423" t="str">
        <f>_xlfn.XLOOKUP(C:C,'Resource Table'!A:A,'Resource Table'!B:B,"NOT FOUND",0,1)</f>
        <v>Dedicated</v>
      </c>
      <c r="O1423" t="str">
        <f>_xlfn.XLOOKUP(N:N,'Resource Table'!B:B,'Resource Table'!C:C,"n/a",0,1)</f>
        <v>AFS Dedicated Tech</v>
      </c>
      <c r="P1423" t="str">
        <f>_xlfn.XLOOKUP(N:N,'Resource Table'!B:B,'Resource Table'!D:D,"n/a",0,1)</f>
        <v>Dedicated</v>
      </c>
    </row>
    <row r="1424" spans="1:16" x14ac:dyDescent="0.45">
      <c r="A1424" t="s">
        <v>5443</v>
      </c>
      <c r="B1424" t="s">
        <v>5444</v>
      </c>
      <c r="C1424" t="s">
        <v>5549</v>
      </c>
      <c r="D1424" t="s">
        <v>6025</v>
      </c>
      <c r="E1424" t="s">
        <v>6461</v>
      </c>
      <c r="F1424" t="s">
        <v>13460</v>
      </c>
      <c r="G1424" t="s">
        <v>13538</v>
      </c>
      <c r="H1424" t="s">
        <v>13539</v>
      </c>
      <c r="I1424" t="s">
        <v>6479</v>
      </c>
      <c r="J1424" t="s">
        <v>13463</v>
      </c>
      <c r="K1424">
        <v>0</v>
      </c>
      <c r="L1424" t="s">
        <v>20</v>
      </c>
      <c r="M1424" t="s">
        <v>20</v>
      </c>
      <c r="N1424" t="str">
        <f>_xlfn.XLOOKUP(C:C,'Resource Table'!A:A,'Resource Table'!B:B,"NOT FOUND",0,1)</f>
        <v>Dedicated</v>
      </c>
      <c r="O1424" t="str">
        <f>_xlfn.XLOOKUP(N:N,'Resource Table'!B:B,'Resource Table'!C:C,"n/a",0,1)</f>
        <v>AFS Dedicated Tech</v>
      </c>
      <c r="P1424" t="str">
        <f>_xlfn.XLOOKUP(N:N,'Resource Table'!B:B,'Resource Table'!D:D,"n/a",0,1)</f>
        <v>Dedicated</v>
      </c>
    </row>
    <row r="1425" spans="1:16" x14ac:dyDescent="0.45">
      <c r="A1425" t="s">
        <v>5443</v>
      </c>
      <c r="B1425" t="s">
        <v>5444</v>
      </c>
      <c r="C1425" t="s">
        <v>5549</v>
      </c>
      <c r="D1425" t="s">
        <v>5911</v>
      </c>
      <c r="E1425" t="s">
        <v>6462</v>
      </c>
      <c r="F1425" t="s">
        <v>13460</v>
      </c>
      <c r="G1425" t="s">
        <v>13481</v>
      </c>
      <c r="H1425" t="s">
        <v>13490</v>
      </c>
      <c r="I1425" t="s">
        <v>6479</v>
      </c>
      <c r="J1425" t="s">
        <v>13463</v>
      </c>
      <c r="K1425">
        <v>0</v>
      </c>
      <c r="L1425" t="s">
        <v>20</v>
      </c>
      <c r="M1425" t="s">
        <v>20</v>
      </c>
      <c r="N1425" t="str">
        <f>_xlfn.XLOOKUP(C:C,'Resource Table'!A:A,'Resource Table'!B:B,"NOT FOUND",0,1)</f>
        <v>Dedicated</v>
      </c>
      <c r="O1425" t="str">
        <f>_xlfn.XLOOKUP(N:N,'Resource Table'!B:B,'Resource Table'!C:C,"n/a",0,1)</f>
        <v>AFS Dedicated Tech</v>
      </c>
      <c r="P1425" t="str">
        <f>_xlfn.XLOOKUP(N:N,'Resource Table'!B:B,'Resource Table'!D:D,"n/a",0,1)</f>
        <v>Dedicated</v>
      </c>
    </row>
    <row r="1426" spans="1:16" x14ac:dyDescent="0.45">
      <c r="A1426" t="s">
        <v>5443</v>
      </c>
      <c r="B1426" t="s">
        <v>5444</v>
      </c>
      <c r="C1426" t="s">
        <v>5549</v>
      </c>
      <c r="D1426" t="s">
        <v>6357</v>
      </c>
      <c r="E1426" t="s">
        <v>6461</v>
      </c>
      <c r="F1426" t="s">
        <v>13460</v>
      </c>
      <c r="G1426" t="s">
        <v>13461</v>
      </c>
      <c r="H1426" t="s">
        <v>13471</v>
      </c>
      <c r="I1426" t="s">
        <v>6479</v>
      </c>
      <c r="J1426" t="s">
        <v>13463</v>
      </c>
      <c r="K1426">
        <v>1</v>
      </c>
      <c r="L1426" t="s">
        <v>13544</v>
      </c>
      <c r="M1426" t="s">
        <v>20</v>
      </c>
      <c r="N1426" t="str">
        <f>_xlfn.XLOOKUP(C:C,'Resource Table'!A:A,'Resource Table'!B:B,"NOT FOUND",0,1)</f>
        <v>Dedicated</v>
      </c>
      <c r="O1426" t="str">
        <f>_xlfn.XLOOKUP(N:N,'Resource Table'!B:B,'Resource Table'!C:C,"n/a",0,1)</f>
        <v>AFS Dedicated Tech</v>
      </c>
      <c r="P1426" t="str">
        <f>_xlfn.XLOOKUP(N:N,'Resource Table'!B:B,'Resource Table'!D:D,"n/a",0,1)</f>
        <v>Dedicated</v>
      </c>
    </row>
    <row r="1427" spans="1:16" x14ac:dyDescent="0.45">
      <c r="A1427" t="s">
        <v>5443</v>
      </c>
      <c r="B1427" t="s">
        <v>5444</v>
      </c>
      <c r="C1427" t="s">
        <v>5549</v>
      </c>
      <c r="D1427" t="s">
        <v>6342</v>
      </c>
      <c r="E1427" t="s">
        <v>6461</v>
      </c>
      <c r="F1427" t="s">
        <v>13460</v>
      </c>
      <c r="G1427" t="s">
        <v>13461</v>
      </c>
      <c r="H1427" t="s">
        <v>13471</v>
      </c>
      <c r="I1427" t="s">
        <v>6479</v>
      </c>
      <c r="J1427" t="s">
        <v>13463</v>
      </c>
      <c r="K1427">
        <v>2</v>
      </c>
      <c r="L1427" t="s">
        <v>13544</v>
      </c>
      <c r="M1427" t="s">
        <v>20</v>
      </c>
      <c r="N1427" t="str">
        <f>_xlfn.XLOOKUP(C:C,'Resource Table'!A:A,'Resource Table'!B:B,"NOT FOUND",0,1)</f>
        <v>Dedicated</v>
      </c>
      <c r="O1427" t="str">
        <f>_xlfn.XLOOKUP(N:N,'Resource Table'!B:B,'Resource Table'!C:C,"n/a",0,1)</f>
        <v>AFS Dedicated Tech</v>
      </c>
      <c r="P1427" t="str">
        <f>_xlfn.XLOOKUP(N:N,'Resource Table'!B:B,'Resource Table'!D:D,"n/a",0,1)</f>
        <v>Dedicated</v>
      </c>
    </row>
    <row r="1428" spans="1:16" x14ac:dyDescent="0.45">
      <c r="A1428" t="s">
        <v>5443</v>
      </c>
      <c r="B1428" t="s">
        <v>5444</v>
      </c>
      <c r="C1428" t="s">
        <v>5549</v>
      </c>
      <c r="D1428" t="s">
        <v>5934</v>
      </c>
      <c r="E1428" t="s">
        <v>6461</v>
      </c>
      <c r="F1428" t="s">
        <v>13460</v>
      </c>
      <c r="G1428" t="s">
        <v>13481</v>
      </c>
      <c r="H1428" t="s">
        <v>13482</v>
      </c>
      <c r="I1428" t="s">
        <v>6479</v>
      </c>
      <c r="J1428" t="s">
        <v>13463</v>
      </c>
      <c r="K1428">
        <v>0</v>
      </c>
      <c r="L1428" t="s">
        <v>20</v>
      </c>
      <c r="M1428" t="s">
        <v>20</v>
      </c>
      <c r="N1428" t="str">
        <f>_xlfn.XLOOKUP(C:C,'Resource Table'!A:A,'Resource Table'!B:B,"NOT FOUND",0,1)</f>
        <v>Dedicated</v>
      </c>
      <c r="O1428" t="str">
        <f>_xlfn.XLOOKUP(N:N,'Resource Table'!B:B,'Resource Table'!C:C,"n/a",0,1)</f>
        <v>AFS Dedicated Tech</v>
      </c>
      <c r="P1428" t="str">
        <f>_xlfn.XLOOKUP(N:N,'Resource Table'!B:B,'Resource Table'!D:D,"n/a",0,1)</f>
        <v>Dedicated</v>
      </c>
    </row>
    <row r="1429" spans="1:16" x14ac:dyDescent="0.45">
      <c r="A1429" t="s">
        <v>5443</v>
      </c>
      <c r="B1429" t="s">
        <v>5444</v>
      </c>
      <c r="C1429" t="s">
        <v>5549</v>
      </c>
      <c r="D1429" t="s">
        <v>6276</v>
      </c>
      <c r="E1429" t="s">
        <v>6451</v>
      </c>
      <c r="F1429" t="s">
        <v>13460</v>
      </c>
      <c r="G1429" t="s">
        <v>13461</v>
      </c>
      <c r="H1429" t="s">
        <v>13465</v>
      </c>
      <c r="I1429" t="s">
        <v>6479</v>
      </c>
      <c r="J1429" t="s">
        <v>13463</v>
      </c>
      <c r="K1429">
        <v>0</v>
      </c>
      <c r="L1429" t="s">
        <v>20</v>
      </c>
      <c r="M1429" t="s">
        <v>20</v>
      </c>
      <c r="N1429" t="str">
        <f>_xlfn.XLOOKUP(C:C,'Resource Table'!A:A,'Resource Table'!B:B,"NOT FOUND",0,1)</f>
        <v>Dedicated</v>
      </c>
      <c r="O1429" t="str">
        <f>_xlfn.XLOOKUP(N:N,'Resource Table'!B:B,'Resource Table'!C:C,"n/a",0,1)</f>
        <v>AFS Dedicated Tech</v>
      </c>
      <c r="P1429" t="str">
        <f>_xlfn.XLOOKUP(N:N,'Resource Table'!B:B,'Resource Table'!D:D,"n/a",0,1)</f>
        <v>Dedicated</v>
      </c>
    </row>
    <row r="1430" spans="1:16" x14ac:dyDescent="0.45">
      <c r="A1430" t="s">
        <v>5443</v>
      </c>
      <c r="B1430" t="s">
        <v>5444</v>
      </c>
      <c r="C1430" t="s">
        <v>5549</v>
      </c>
      <c r="D1430" t="s">
        <v>5892</v>
      </c>
      <c r="E1430" t="s">
        <v>6451</v>
      </c>
      <c r="F1430" t="s">
        <v>13473</v>
      </c>
      <c r="G1430" t="s">
        <v>13474</v>
      </c>
      <c r="H1430" t="s">
        <v>13475</v>
      </c>
      <c r="I1430" t="s">
        <v>6479</v>
      </c>
      <c r="J1430" t="s">
        <v>13463</v>
      </c>
      <c r="K1430">
        <v>0</v>
      </c>
      <c r="L1430" t="s">
        <v>20</v>
      </c>
      <c r="M1430" t="s">
        <v>20</v>
      </c>
      <c r="N1430" t="str">
        <f>_xlfn.XLOOKUP(C:C,'Resource Table'!A:A,'Resource Table'!B:B,"NOT FOUND",0,1)</f>
        <v>Dedicated</v>
      </c>
      <c r="O1430" t="str">
        <f>_xlfn.XLOOKUP(N:N,'Resource Table'!B:B,'Resource Table'!C:C,"n/a",0,1)</f>
        <v>AFS Dedicated Tech</v>
      </c>
      <c r="P1430" t="str">
        <f>_xlfn.XLOOKUP(N:N,'Resource Table'!B:B,'Resource Table'!D:D,"n/a",0,1)</f>
        <v>Dedicated</v>
      </c>
    </row>
    <row r="1431" spans="1:16" x14ac:dyDescent="0.45">
      <c r="A1431" t="s">
        <v>5443</v>
      </c>
      <c r="B1431" t="s">
        <v>5444</v>
      </c>
      <c r="C1431" t="s">
        <v>5549</v>
      </c>
      <c r="D1431" t="s">
        <v>5848</v>
      </c>
      <c r="E1431" t="s">
        <v>6451</v>
      </c>
      <c r="F1431" t="s">
        <v>13473</v>
      </c>
      <c r="G1431" t="s">
        <v>13474</v>
      </c>
      <c r="H1431" t="s">
        <v>13475</v>
      </c>
      <c r="I1431" t="s">
        <v>6479</v>
      </c>
      <c r="J1431" t="s">
        <v>13463</v>
      </c>
      <c r="K1431">
        <v>1</v>
      </c>
      <c r="L1431" t="s">
        <v>13552</v>
      </c>
      <c r="M1431" t="s">
        <v>20</v>
      </c>
      <c r="N1431" t="str">
        <f>_xlfn.XLOOKUP(C:C,'Resource Table'!A:A,'Resource Table'!B:B,"NOT FOUND",0,1)</f>
        <v>Dedicated</v>
      </c>
      <c r="O1431" t="str">
        <f>_xlfn.XLOOKUP(N:N,'Resource Table'!B:B,'Resource Table'!C:C,"n/a",0,1)</f>
        <v>AFS Dedicated Tech</v>
      </c>
      <c r="P1431" t="str">
        <f>_xlfn.XLOOKUP(N:N,'Resource Table'!B:B,'Resource Table'!D:D,"n/a",0,1)</f>
        <v>Dedicated</v>
      </c>
    </row>
    <row r="1432" spans="1:16" x14ac:dyDescent="0.45">
      <c r="A1432" t="s">
        <v>5443</v>
      </c>
      <c r="B1432" t="s">
        <v>5444</v>
      </c>
      <c r="C1432" t="s">
        <v>5549</v>
      </c>
      <c r="D1432" t="s">
        <v>6344</v>
      </c>
      <c r="E1432" t="s">
        <v>6461</v>
      </c>
      <c r="F1432" t="s">
        <v>13460</v>
      </c>
      <c r="G1432" t="s">
        <v>13461</v>
      </c>
      <c r="H1432" t="s">
        <v>13471</v>
      </c>
      <c r="I1432" t="s">
        <v>6479</v>
      </c>
      <c r="J1432" t="s">
        <v>13463</v>
      </c>
      <c r="K1432">
        <v>0</v>
      </c>
      <c r="L1432" t="s">
        <v>20</v>
      </c>
      <c r="M1432" t="s">
        <v>20</v>
      </c>
      <c r="N1432" t="str">
        <f>_xlfn.XLOOKUP(C:C,'Resource Table'!A:A,'Resource Table'!B:B,"NOT FOUND",0,1)</f>
        <v>Dedicated</v>
      </c>
      <c r="O1432" t="str">
        <f>_xlfn.XLOOKUP(N:N,'Resource Table'!B:B,'Resource Table'!C:C,"n/a",0,1)</f>
        <v>AFS Dedicated Tech</v>
      </c>
      <c r="P1432" t="str">
        <f>_xlfn.XLOOKUP(N:N,'Resource Table'!B:B,'Resource Table'!D:D,"n/a",0,1)</f>
        <v>Dedicated</v>
      </c>
    </row>
    <row r="1433" spans="1:16" x14ac:dyDescent="0.45">
      <c r="A1433" t="s">
        <v>5443</v>
      </c>
      <c r="B1433" t="s">
        <v>5444</v>
      </c>
      <c r="C1433" t="s">
        <v>5549</v>
      </c>
      <c r="D1433" t="s">
        <v>5980</v>
      </c>
      <c r="E1433" t="s">
        <v>6461</v>
      </c>
      <c r="F1433" t="s">
        <v>13460</v>
      </c>
      <c r="G1433" t="s">
        <v>13481</v>
      </c>
      <c r="H1433" t="s">
        <v>13482</v>
      </c>
      <c r="I1433" t="s">
        <v>6479</v>
      </c>
      <c r="J1433" t="s">
        <v>13463</v>
      </c>
      <c r="K1433">
        <v>0</v>
      </c>
      <c r="L1433" t="s">
        <v>20</v>
      </c>
      <c r="M1433" t="s">
        <v>20</v>
      </c>
      <c r="N1433" t="str">
        <f>_xlfn.XLOOKUP(C:C,'Resource Table'!A:A,'Resource Table'!B:B,"NOT FOUND",0,1)</f>
        <v>Dedicated</v>
      </c>
      <c r="O1433" t="str">
        <f>_xlfn.XLOOKUP(N:N,'Resource Table'!B:B,'Resource Table'!C:C,"n/a",0,1)</f>
        <v>AFS Dedicated Tech</v>
      </c>
      <c r="P1433" t="str">
        <f>_xlfn.XLOOKUP(N:N,'Resource Table'!B:B,'Resource Table'!D:D,"n/a",0,1)</f>
        <v>Dedicated</v>
      </c>
    </row>
    <row r="1434" spans="1:16" x14ac:dyDescent="0.45">
      <c r="A1434" t="s">
        <v>5443</v>
      </c>
      <c r="B1434" t="s">
        <v>5444</v>
      </c>
      <c r="C1434" t="s">
        <v>5549</v>
      </c>
      <c r="D1434" t="s">
        <v>6441</v>
      </c>
      <c r="E1434" t="s">
        <v>6451</v>
      </c>
      <c r="F1434" t="s">
        <v>13460</v>
      </c>
      <c r="G1434" t="s">
        <v>13550</v>
      </c>
      <c r="H1434" t="s">
        <v>13551</v>
      </c>
      <c r="I1434" t="s">
        <v>6479</v>
      </c>
      <c r="J1434" t="s">
        <v>13463</v>
      </c>
      <c r="K1434">
        <v>0</v>
      </c>
      <c r="L1434" t="s">
        <v>20</v>
      </c>
      <c r="M1434" t="s">
        <v>20</v>
      </c>
      <c r="N1434" t="str">
        <f>_xlfn.XLOOKUP(C:C,'Resource Table'!A:A,'Resource Table'!B:B,"NOT FOUND",0,1)</f>
        <v>Dedicated</v>
      </c>
      <c r="O1434" t="str">
        <f>_xlfn.XLOOKUP(N:N,'Resource Table'!B:B,'Resource Table'!C:C,"n/a",0,1)</f>
        <v>AFS Dedicated Tech</v>
      </c>
      <c r="P1434" t="str">
        <f>_xlfn.XLOOKUP(N:N,'Resource Table'!B:B,'Resource Table'!D:D,"n/a",0,1)</f>
        <v>Dedicated</v>
      </c>
    </row>
    <row r="1435" spans="1:16" x14ac:dyDescent="0.45">
      <c r="A1435" t="s">
        <v>5443</v>
      </c>
      <c r="B1435" t="s">
        <v>5444</v>
      </c>
      <c r="C1435" t="s">
        <v>5549</v>
      </c>
      <c r="D1435" t="s">
        <v>5936</v>
      </c>
      <c r="E1435" t="s">
        <v>6461</v>
      </c>
      <c r="F1435" t="s">
        <v>13460</v>
      </c>
      <c r="G1435" t="s">
        <v>13481</v>
      </c>
      <c r="H1435" t="s">
        <v>13482</v>
      </c>
      <c r="I1435" t="s">
        <v>6479</v>
      </c>
      <c r="J1435" t="s">
        <v>13463</v>
      </c>
      <c r="K1435">
        <v>0</v>
      </c>
      <c r="L1435" t="s">
        <v>20</v>
      </c>
      <c r="M1435" t="s">
        <v>20</v>
      </c>
      <c r="N1435" t="str">
        <f>_xlfn.XLOOKUP(C:C,'Resource Table'!A:A,'Resource Table'!B:B,"NOT FOUND",0,1)</f>
        <v>Dedicated</v>
      </c>
      <c r="O1435" t="str">
        <f>_xlfn.XLOOKUP(N:N,'Resource Table'!B:B,'Resource Table'!C:C,"n/a",0,1)</f>
        <v>AFS Dedicated Tech</v>
      </c>
      <c r="P1435" t="str">
        <f>_xlfn.XLOOKUP(N:N,'Resource Table'!B:B,'Resource Table'!D:D,"n/a",0,1)</f>
        <v>Dedicated</v>
      </c>
    </row>
    <row r="1436" spans="1:16" x14ac:dyDescent="0.45">
      <c r="A1436" t="s">
        <v>5443</v>
      </c>
      <c r="B1436" t="s">
        <v>5444</v>
      </c>
      <c r="C1436" t="s">
        <v>5549</v>
      </c>
      <c r="D1436" t="s">
        <v>5981</v>
      </c>
      <c r="E1436" t="s">
        <v>6461</v>
      </c>
      <c r="F1436" t="s">
        <v>13460</v>
      </c>
      <c r="G1436" t="s">
        <v>13481</v>
      </c>
      <c r="H1436" t="s">
        <v>13482</v>
      </c>
      <c r="I1436" t="s">
        <v>6479</v>
      </c>
      <c r="J1436" t="s">
        <v>13463</v>
      </c>
      <c r="K1436">
        <v>0</v>
      </c>
      <c r="L1436" t="s">
        <v>20</v>
      </c>
      <c r="M1436" t="s">
        <v>20</v>
      </c>
      <c r="N1436" t="str">
        <f>_xlfn.XLOOKUP(C:C,'Resource Table'!A:A,'Resource Table'!B:B,"NOT FOUND",0,1)</f>
        <v>Dedicated</v>
      </c>
      <c r="O1436" t="str">
        <f>_xlfn.XLOOKUP(N:N,'Resource Table'!B:B,'Resource Table'!C:C,"n/a",0,1)</f>
        <v>AFS Dedicated Tech</v>
      </c>
      <c r="P1436" t="str">
        <f>_xlfn.XLOOKUP(N:N,'Resource Table'!B:B,'Resource Table'!D:D,"n/a",0,1)</f>
        <v>Dedicated</v>
      </c>
    </row>
    <row r="1437" spans="1:16" x14ac:dyDescent="0.45">
      <c r="A1437" t="s">
        <v>5443</v>
      </c>
      <c r="B1437" t="s">
        <v>5444</v>
      </c>
      <c r="C1437" t="s">
        <v>5549</v>
      </c>
      <c r="D1437" t="s">
        <v>5976</v>
      </c>
      <c r="E1437" t="s">
        <v>6461</v>
      </c>
      <c r="F1437" t="s">
        <v>13460</v>
      </c>
      <c r="G1437" t="s">
        <v>13481</v>
      </c>
      <c r="H1437" t="s">
        <v>13482</v>
      </c>
      <c r="I1437" t="s">
        <v>6479</v>
      </c>
      <c r="J1437" t="s">
        <v>13463</v>
      </c>
      <c r="K1437">
        <v>0</v>
      </c>
      <c r="L1437" t="s">
        <v>20</v>
      </c>
      <c r="M1437" t="s">
        <v>20</v>
      </c>
      <c r="N1437" t="str">
        <f>_xlfn.XLOOKUP(C:C,'Resource Table'!A:A,'Resource Table'!B:B,"NOT FOUND",0,1)</f>
        <v>Dedicated</v>
      </c>
      <c r="O1437" t="str">
        <f>_xlfn.XLOOKUP(N:N,'Resource Table'!B:B,'Resource Table'!C:C,"n/a",0,1)</f>
        <v>AFS Dedicated Tech</v>
      </c>
      <c r="P1437" t="str">
        <f>_xlfn.XLOOKUP(N:N,'Resource Table'!B:B,'Resource Table'!D:D,"n/a",0,1)</f>
        <v>Dedicated</v>
      </c>
    </row>
    <row r="1438" spans="1:16" x14ac:dyDescent="0.45">
      <c r="A1438" t="s">
        <v>5443</v>
      </c>
      <c r="B1438" t="s">
        <v>5444</v>
      </c>
      <c r="C1438" t="s">
        <v>5549</v>
      </c>
      <c r="D1438" t="s">
        <v>6372</v>
      </c>
      <c r="E1438" t="s">
        <v>6475</v>
      </c>
      <c r="F1438" t="s">
        <v>13460</v>
      </c>
      <c r="G1438" t="s">
        <v>13461</v>
      </c>
      <c r="H1438" t="s">
        <v>13471</v>
      </c>
      <c r="I1438" t="s">
        <v>6479</v>
      </c>
      <c r="J1438" t="s">
        <v>13463</v>
      </c>
      <c r="K1438">
        <v>0</v>
      </c>
      <c r="L1438" t="s">
        <v>20</v>
      </c>
      <c r="M1438" t="s">
        <v>20</v>
      </c>
      <c r="N1438" t="str">
        <f>_xlfn.XLOOKUP(C:C,'Resource Table'!A:A,'Resource Table'!B:B,"NOT FOUND",0,1)</f>
        <v>Dedicated</v>
      </c>
      <c r="O1438" t="str">
        <f>_xlfn.XLOOKUP(N:N,'Resource Table'!B:B,'Resource Table'!C:C,"n/a",0,1)</f>
        <v>AFS Dedicated Tech</v>
      </c>
      <c r="P1438" t="str">
        <f>_xlfn.XLOOKUP(N:N,'Resource Table'!B:B,'Resource Table'!D:D,"n/a",0,1)</f>
        <v>Dedicated</v>
      </c>
    </row>
    <row r="1439" spans="1:16" x14ac:dyDescent="0.45">
      <c r="A1439" t="s">
        <v>5443</v>
      </c>
      <c r="B1439" t="s">
        <v>5444</v>
      </c>
      <c r="C1439" t="s">
        <v>5549</v>
      </c>
      <c r="D1439" t="s">
        <v>5869</v>
      </c>
      <c r="E1439" t="s">
        <v>6451</v>
      </c>
      <c r="F1439" t="s">
        <v>13473</v>
      </c>
      <c r="G1439" t="s">
        <v>13474</v>
      </c>
      <c r="H1439" t="s">
        <v>13475</v>
      </c>
      <c r="I1439" t="s">
        <v>6479</v>
      </c>
      <c r="J1439" t="s">
        <v>13463</v>
      </c>
      <c r="K1439">
        <v>1</v>
      </c>
      <c r="L1439" t="s">
        <v>13512</v>
      </c>
      <c r="M1439" t="s">
        <v>20</v>
      </c>
      <c r="N1439" t="str">
        <f>_xlfn.XLOOKUP(C:C,'Resource Table'!A:A,'Resource Table'!B:B,"NOT FOUND",0,1)</f>
        <v>Dedicated</v>
      </c>
      <c r="O1439" t="str">
        <f>_xlfn.XLOOKUP(N:N,'Resource Table'!B:B,'Resource Table'!C:C,"n/a",0,1)</f>
        <v>AFS Dedicated Tech</v>
      </c>
      <c r="P1439" t="str">
        <f>_xlfn.XLOOKUP(N:N,'Resource Table'!B:B,'Resource Table'!D:D,"n/a",0,1)</f>
        <v>Dedicated</v>
      </c>
    </row>
    <row r="1440" spans="1:16" x14ac:dyDescent="0.45">
      <c r="A1440" t="s">
        <v>5443</v>
      </c>
      <c r="B1440" t="s">
        <v>5444</v>
      </c>
      <c r="C1440" t="s">
        <v>5549</v>
      </c>
      <c r="D1440" t="s">
        <v>5870</v>
      </c>
      <c r="E1440" t="s">
        <v>6451</v>
      </c>
      <c r="F1440" t="s">
        <v>13473</v>
      </c>
      <c r="G1440" t="s">
        <v>13474</v>
      </c>
      <c r="H1440" t="s">
        <v>13475</v>
      </c>
      <c r="I1440" t="s">
        <v>6479</v>
      </c>
      <c r="J1440" t="s">
        <v>13463</v>
      </c>
      <c r="K1440">
        <v>1</v>
      </c>
      <c r="L1440" t="s">
        <v>13512</v>
      </c>
      <c r="M1440" t="s">
        <v>20</v>
      </c>
      <c r="N1440" t="str">
        <f>_xlfn.XLOOKUP(C:C,'Resource Table'!A:A,'Resource Table'!B:B,"NOT FOUND",0,1)</f>
        <v>Dedicated</v>
      </c>
      <c r="O1440" t="str">
        <f>_xlfn.XLOOKUP(N:N,'Resource Table'!B:B,'Resource Table'!C:C,"n/a",0,1)</f>
        <v>AFS Dedicated Tech</v>
      </c>
      <c r="P1440" t="str">
        <f>_xlfn.XLOOKUP(N:N,'Resource Table'!B:B,'Resource Table'!D:D,"n/a",0,1)</f>
        <v>Dedicated</v>
      </c>
    </row>
    <row r="1441" spans="1:16" x14ac:dyDescent="0.45">
      <c r="A1441" t="s">
        <v>5443</v>
      </c>
      <c r="B1441" t="s">
        <v>5444</v>
      </c>
      <c r="C1441" t="s">
        <v>5549</v>
      </c>
      <c r="D1441" t="s">
        <v>5812</v>
      </c>
      <c r="E1441" t="s">
        <v>6451</v>
      </c>
      <c r="F1441" t="s">
        <v>13473</v>
      </c>
      <c r="G1441" t="s">
        <v>13474</v>
      </c>
      <c r="H1441" t="s">
        <v>13475</v>
      </c>
      <c r="I1441" t="s">
        <v>6479</v>
      </c>
      <c r="J1441" t="s">
        <v>13463</v>
      </c>
      <c r="K1441">
        <v>1</v>
      </c>
      <c r="L1441" t="s">
        <v>13523</v>
      </c>
      <c r="M1441" t="s">
        <v>20</v>
      </c>
      <c r="N1441" t="str">
        <f>_xlfn.XLOOKUP(C:C,'Resource Table'!A:A,'Resource Table'!B:B,"NOT FOUND",0,1)</f>
        <v>Dedicated</v>
      </c>
      <c r="O1441" t="str">
        <f>_xlfn.XLOOKUP(N:N,'Resource Table'!B:B,'Resource Table'!C:C,"n/a",0,1)</f>
        <v>AFS Dedicated Tech</v>
      </c>
      <c r="P1441" t="str">
        <f>_xlfn.XLOOKUP(N:N,'Resource Table'!B:B,'Resource Table'!D:D,"n/a",0,1)</f>
        <v>Dedicated</v>
      </c>
    </row>
    <row r="1442" spans="1:16" x14ac:dyDescent="0.45">
      <c r="A1442" t="s">
        <v>5443</v>
      </c>
      <c r="B1442" t="s">
        <v>5444</v>
      </c>
      <c r="C1442" t="s">
        <v>5549</v>
      </c>
      <c r="D1442" t="s">
        <v>5814</v>
      </c>
      <c r="E1442" t="s">
        <v>6451</v>
      </c>
      <c r="F1442" t="s">
        <v>13473</v>
      </c>
      <c r="G1442" t="s">
        <v>13474</v>
      </c>
      <c r="H1442" t="s">
        <v>13475</v>
      </c>
      <c r="I1442" t="s">
        <v>6479</v>
      </c>
      <c r="J1442" t="s">
        <v>13463</v>
      </c>
      <c r="K1442">
        <v>1</v>
      </c>
      <c r="L1442" t="s">
        <v>13534</v>
      </c>
      <c r="M1442" t="s">
        <v>20</v>
      </c>
      <c r="N1442" t="str">
        <f>_xlfn.XLOOKUP(C:C,'Resource Table'!A:A,'Resource Table'!B:B,"NOT FOUND",0,1)</f>
        <v>Dedicated</v>
      </c>
      <c r="O1442" t="str">
        <f>_xlfn.XLOOKUP(N:N,'Resource Table'!B:B,'Resource Table'!C:C,"n/a",0,1)</f>
        <v>AFS Dedicated Tech</v>
      </c>
      <c r="P1442" t="str">
        <f>_xlfn.XLOOKUP(N:N,'Resource Table'!B:B,'Resource Table'!D:D,"n/a",0,1)</f>
        <v>Dedicated</v>
      </c>
    </row>
    <row r="1443" spans="1:16" x14ac:dyDescent="0.45">
      <c r="A1443" t="s">
        <v>5443</v>
      </c>
      <c r="B1443" t="s">
        <v>5444</v>
      </c>
      <c r="C1443" t="s">
        <v>5549</v>
      </c>
      <c r="D1443" t="s">
        <v>6277</v>
      </c>
      <c r="E1443" t="s">
        <v>6451</v>
      </c>
      <c r="F1443" t="s">
        <v>13460</v>
      </c>
      <c r="G1443" t="s">
        <v>13461</v>
      </c>
      <c r="H1443" t="s">
        <v>13465</v>
      </c>
      <c r="I1443" t="s">
        <v>6479</v>
      </c>
      <c r="J1443" t="s">
        <v>13463</v>
      </c>
      <c r="K1443">
        <v>0</v>
      </c>
      <c r="L1443" t="s">
        <v>20</v>
      </c>
      <c r="M1443" t="s">
        <v>20</v>
      </c>
      <c r="N1443" t="str">
        <f>_xlfn.XLOOKUP(C:C,'Resource Table'!A:A,'Resource Table'!B:B,"NOT FOUND",0,1)</f>
        <v>Dedicated</v>
      </c>
      <c r="O1443" t="str">
        <f>_xlfn.XLOOKUP(N:N,'Resource Table'!B:B,'Resource Table'!C:C,"n/a",0,1)</f>
        <v>AFS Dedicated Tech</v>
      </c>
      <c r="P1443" t="str">
        <f>_xlfn.XLOOKUP(N:N,'Resource Table'!B:B,'Resource Table'!D:D,"n/a",0,1)</f>
        <v>Dedicated</v>
      </c>
    </row>
    <row r="1444" spans="1:16" x14ac:dyDescent="0.45">
      <c r="A1444" t="s">
        <v>5443</v>
      </c>
      <c r="B1444" t="s">
        <v>5444</v>
      </c>
      <c r="C1444" t="s">
        <v>5549</v>
      </c>
      <c r="D1444" t="s">
        <v>5817</v>
      </c>
      <c r="E1444" t="s">
        <v>6451</v>
      </c>
      <c r="F1444" t="s">
        <v>13473</v>
      </c>
      <c r="G1444" t="s">
        <v>13474</v>
      </c>
      <c r="H1444" t="s">
        <v>13521</v>
      </c>
      <c r="I1444" t="s">
        <v>6479</v>
      </c>
      <c r="J1444" t="s">
        <v>13463</v>
      </c>
      <c r="K1444">
        <v>1</v>
      </c>
      <c r="L1444" t="s">
        <v>13487</v>
      </c>
      <c r="M1444" t="s">
        <v>20</v>
      </c>
      <c r="N1444" t="str">
        <f>_xlfn.XLOOKUP(C:C,'Resource Table'!A:A,'Resource Table'!B:B,"NOT FOUND",0,1)</f>
        <v>Dedicated</v>
      </c>
      <c r="O1444" t="str">
        <f>_xlfn.XLOOKUP(N:N,'Resource Table'!B:B,'Resource Table'!C:C,"n/a",0,1)</f>
        <v>AFS Dedicated Tech</v>
      </c>
      <c r="P1444" t="str">
        <f>_xlfn.XLOOKUP(N:N,'Resource Table'!B:B,'Resource Table'!D:D,"n/a",0,1)</f>
        <v>Dedicated</v>
      </c>
    </row>
    <row r="1445" spans="1:16" x14ac:dyDescent="0.45">
      <c r="A1445" t="s">
        <v>5443</v>
      </c>
      <c r="B1445" t="s">
        <v>5524</v>
      </c>
      <c r="C1445" t="s">
        <v>5624</v>
      </c>
      <c r="D1445" t="s">
        <v>2475</v>
      </c>
      <c r="E1445" t="s">
        <v>6451</v>
      </c>
      <c r="F1445" t="s">
        <v>13473</v>
      </c>
      <c r="G1445" t="s">
        <v>13474</v>
      </c>
      <c r="H1445" t="s">
        <v>13475</v>
      </c>
      <c r="I1445" t="s">
        <v>6479</v>
      </c>
      <c r="J1445" t="s">
        <v>13463</v>
      </c>
      <c r="K1445">
        <v>2</v>
      </c>
      <c r="L1445" t="s">
        <v>13544</v>
      </c>
      <c r="M1445" t="s">
        <v>13487</v>
      </c>
      <c r="N1445" t="str">
        <f>_xlfn.XLOOKUP(C:C,'Resource Table'!A:A,'Resource Table'!B:B,"NOT FOUND",0,1)</f>
        <v>Hollie Francis</v>
      </c>
      <c r="O1445" t="str">
        <f>_xlfn.XLOOKUP(N:N,'Resource Table'!B:B,'Resource Table'!C:C,"n/a",0,1)</f>
        <v>hfrancis@ameritfleet.com</v>
      </c>
      <c r="P1445" t="str">
        <f>_xlfn.XLOOKUP(N:N,'Resource Table'!B:B,'Resource Table'!D:D,"n/a",0,1)</f>
        <v>Vended Repair</v>
      </c>
    </row>
    <row r="1446" spans="1:16" x14ac:dyDescent="0.45">
      <c r="A1446" t="s">
        <v>5443</v>
      </c>
      <c r="B1446" t="s">
        <v>5524</v>
      </c>
      <c r="C1446" t="s">
        <v>5624</v>
      </c>
      <c r="D1446" t="s">
        <v>6281</v>
      </c>
      <c r="E1446" t="s">
        <v>6451</v>
      </c>
      <c r="F1446" t="s">
        <v>13460</v>
      </c>
      <c r="G1446" t="s">
        <v>13461</v>
      </c>
      <c r="H1446" t="s">
        <v>13465</v>
      </c>
      <c r="I1446" t="s">
        <v>6479</v>
      </c>
      <c r="J1446" t="s">
        <v>13463</v>
      </c>
      <c r="K1446">
        <v>1</v>
      </c>
      <c r="L1446" t="s">
        <v>13468</v>
      </c>
      <c r="M1446" t="s">
        <v>13505</v>
      </c>
      <c r="N1446" t="str">
        <f>_xlfn.XLOOKUP(C:C,'Resource Table'!A:A,'Resource Table'!B:B,"NOT FOUND",0,1)</f>
        <v>Hollie Francis</v>
      </c>
      <c r="O1446" t="str">
        <f>_xlfn.XLOOKUP(N:N,'Resource Table'!B:B,'Resource Table'!C:C,"n/a",0,1)</f>
        <v>hfrancis@ameritfleet.com</v>
      </c>
      <c r="P1446" t="str">
        <f>_xlfn.XLOOKUP(N:N,'Resource Table'!B:B,'Resource Table'!D:D,"n/a",0,1)</f>
        <v>Vended Repair</v>
      </c>
    </row>
    <row r="1447" spans="1:16" x14ac:dyDescent="0.45">
      <c r="A1447" t="s">
        <v>5443</v>
      </c>
      <c r="B1447" t="s">
        <v>5524</v>
      </c>
      <c r="C1447" t="s">
        <v>5624</v>
      </c>
      <c r="D1447" t="s">
        <v>6360</v>
      </c>
      <c r="E1447" t="s">
        <v>6475</v>
      </c>
      <c r="F1447" t="s">
        <v>13460</v>
      </c>
      <c r="G1447" t="s">
        <v>13461</v>
      </c>
      <c r="H1447" t="s">
        <v>13471</v>
      </c>
      <c r="I1447" t="s">
        <v>6479</v>
      </c>
      <c r="J1447" t="s">
        <v>13463</v>
      </c>
      <c r="K1447">
        <v>0</v>
      </c>
      <c r="L1447" t="s">
        <v>20</v>
      </c>
      <c r="M1447" t="s">
        <v>20</v>
      </c>
      <c r="N1447" t="str">
        <f>_xlfn.XLOOKUP(C:C,'Resource Table'!A:A,'Resource Table'!B:B,"NOT FOUND",0,1)</f>
        <v>Hollie Francis</v>
      </c>
      <c r="O1447" t="str">
        <f>_xlfn.XLOOKUP(N:N,'Resource Table'!B:B,'Resource Table'!C:C,"n/a",0,1)</f>
        <v>hfrancis@ameritfleet.com</v>
      </c>
      <c r="P1447" t="str">
        <f>_xlfn.XLOOKUP(N:N,'Resource Table'!B:B,'Resource Table'!D:D,"n/a",0,1)</f>
        <v>Vended Repair</v>
      </c>
    </row>
    <row r="1448" spans="1:16" x14ac:dyDescent="0.45">
      <c r="A1448" t="s">
        <v>5443</v>
      </c>
      <c r="B1448" t="s">
        <v>5524</v>
      </c>
      <c r="C1448" t="s">
        <v>5624</v>
      </c>
      <c r="D1448" t="s">
        <v>4670</v>
      </c>
      <c r="E1448" t="s">
        <v>6461</v>
      </c>
      <c r="F1448" t="s">
        <v>13460</v>
      </c>
      <c r="G1448" t="s">
        <v>13538</v>
      </c>
      <c r="H1448" t="s">
        <v>13539</v>
      </c>
      <c r="I1448" t="s">
        <v>6479</v>
      </c>
      <c r="J1448" t="s">
        <v>13463</v>
      </c>
      <c r="K1448">
        <v>1</v>
      </c>
      <c r="L1448" t="s">
        <v>13472</v>
      </c>
      <c r="M1448" t="s">
        <v>13472</v>
      </c>
      <c r="N1448" t="str">
        <f>_xlfn.XLOOKUP(C:C,'Resource Table'!A:A,'Resource Table'!B:B,"NOT FOUND",0,1)</f>
        <v>Hollie Francis</v>
      </c>
      <c r="O1448" t="str">
        <f>_xlfn.XLOOKUP(N:N,'Resource Table'!B:B,'Resource Table'!C:C,"n/a",0,1)</f>
        <v>hfrancis@ameritfleet.com</v>
      </c>
      <c r="P1448" t="str">
        <f>_xlfn.XLOOKUP(N:N,'Resource Table'!B:B,'Resource Table'!D:D,"n/a",0,1)</f>
        <v>Vended Repair</v>
      </c>
    </row>
    <row r="1449" spans="1:16" x14ac:dyDescent="0.45">
      <c r="A1449" t="s">
        <v>5443</v>
      </c>
      <c r="B1449" t="s">
        <v>5524</v>
      </c>
      <c r="C1449" t="s">
        <v>5624</v>
      </c>
      <c r="D1449" t="s">
        <v>1814</v>
      </c>
      <c r="E1449" t="s">
        <v>6475</v>
      </c>
      <c r="F1449" t="s">
        <v>13460</v>
      </c>
      <c r="G1449" t="s">
        <v>13461</v>
      </c>
      <c r="H1449" t="s">
        <v>13471</v>
      </c>
      <c r="I1449" t="s">
        <v>29</v>
      </c>
      <c r="J1449" t="s">
        <v>13463</v>
      </c>
      <c r="K1449">
        <v>2</v>
      </c>
      <c r="L1449" t="s">
        <v>13479</v>
      </c>
      <c r="M1449" t="s">
        <v>13493</v>
      </c>
      <c r="N1449" t="str">
        <f>_xlfn.XLOOKUP(C:C,'Resource Table'!A:A,'Resource Table'!B:B,"NOT FOUND",0,1)</f>
        <v>Hollie Francis</v>
      </c>
      <c r="O1449" t="str">
        <f>_xlfn.XLOOKUP(N:N,'Resource Table'!B:B,'Resource Table'!C:C,"n/a",0,1)</f>
        <v>hfrancis@ameritfleet.com</v>
      </c>
      <c r="P1449" t="str">
        <f>_xlfn.XLOOKUP(N:N,'Resource Table'!B:B,'Resource Table'!D:D,"n/a",0,1)</f>
        <v>Vended Repair</v>
      </c>
    </row>
    <row r="1450" spans="1:16" x14ac:dyDescent="0.45">
      <c r="A1450" t="s">
        <v>5443</v>
      </c>
      <c r="B1450" t="s">
        <v>5458</v>
      </c>
      <c r="C1450" t="s">
        <v>5604</v>
      </c>
      <c r="D1450" t="s">
        <v>1310</v>
      </c>
      <c r="E1450" t="s">
        <v>6451</v>
      </c>
      <c r="F1450" t="s">
        <v>13460</v>
      </c>
      <c r="G1450" t="s">
        <v>13461</v>
      </c>
      <c r="H1450" t="s">
        <v>13465</v>
      </c>
      <c r="I1450" t="s">
        <v>29</v>
      </c>
      <c r="J1450" t="s">
        <v>13463</v>
      </c>
      <c r="K1450">
        <v>1</v>
      </c>
      <c r="L1450" t="s">
        <v>13544</v>
      </c>
      <c r="M1450" t="s">
        <v>20</v>
      </c>
      <c r="N1450" t="str">
        <f>_xlfn.XLOOKUP(C:C,'Resource Table'!A:A,'Resource Table'!B:B,"NOT FOUND",0,1)</f>
        <v>Hollie Francis</v>
      </c>
      <c r="O1450" t="str">
        <f>_xlfn.XLOOKUP(N:N,'Resource Table'!B:B,'Resource Table'!C:C,"n/a",0,1)</f>
        <v>hfrancis@ameritfleet.com</v>
      </c>
      <c r="P1450" t="str">
        <f>_xlfn.XLOOKUP(N:N,'Resource Table'!B:B,'Resource Table'!D:D,"n/a",0,1)</f>
        <v>Vended Repair</v>
      </c>
    </row>
    <row r="1451" spans="1:16" x14ac:dyDescent="0.45">
      <c r="A1451" t="s">
        <v>5443</v>
      </c>
      <c r="B1451" t="s">
        <v>5458</v>
      </c>
      <c r="C1451" t="s">
        <v>5604</v>
      </c>
      <c r="D1451" t="s">
        <v>2285</v>
      </c>
      <c r="E1451" t="s">
        <v>6461</v>
      </c>
      <c r="F1451" t="s">
        <v>13460</v>
      </c>
      <c r="G1451" t="s">
        <v>13481</v>
      </c>
      <c r="H1451" t="s">
        <v>13482</v>
      </c>
      <c r="I1451" t="s">
        <v>6479</v>
      </c>
      <c r="J1451" t="s">
        <v>13463</v>
      </c>
      <c r="K1451">
        <v>2</v>
      </c>
      <c r="L1451" t="s">
        <v>13497</v>
      </c>
      <c r="M1451" t="s">
        <v>13472</v>
      </c>
      <c r="N1451" t="str">
        <f>_xlfn.XLOOKUP(C:C,'Resource Table'!A:A,'Resource Table'!B:B,"NOT FOUND",0,1)</f>
        <v>Hollie Francis</v>
      </c>
      <c r="O1451" t="str">
        <f>_xlfn.XLOOKUP(N:N,'Resource Table'!B:B,'Resource Table'!C:C,"n/a",0,1)</f>
        <v>hfrancis@ameritfleet.com</v>
      </c>
      <c r="P1451" t="str">
        <f>_xlfn.XLOOKUP(N:N,'Resource Table'!B:B,'Resource Table'!D:D,"n/a",0,1)</f>
        <v>Vended Repair</v>
      </c>
    </row>
    <row r="1452" spans="1:16" x14ac:dyDescent="0.45">
      <c r="A1452" t="s">
        <v>5443</v>
      </c>
      <c r="B1452" t="s">
        <v>5458</v>
      </c>
      <c r="C1452" t="s">
        <v>5604</v>
      </c>
      <c r="D1452" t="s">
        <v>1461</v>
      </c>
      <c r="E1452" t="s">
        <v>6451</v>
      </c>
      <c r="F1452" t="s">
        <v>13460</v>
      </c>
      <c r="G1452" t="s">
        <v>13461</v>
      </c>
      <c r="H1452" t="s">
        <v>13465</v>
      </c>
      <c r="I1452" t="s">
        <v>29</v>
      </c>
      <c r="J1452" t="s">
        <v>13463</v>
      </c>
      <c r="K1452">
        <v>3</v>
      </c>
      <c r="L1452" t="s">
        <v>13523</v>
      </c>
      <c r="M1452" t="s">
        <v>13508</v>
      </c>
      <c r="N1452" t="str">
        <f>_xlfn.XLOOKUP(C:C,'Resource Table'!A:A,'Resource Table'!B:B,"NOT FOUND",0,1)</f>
        <v>Hollie Francis</v>
      </c>
      <c r="O1452" t="str">
        <f>_xlfn.XLOOKUP(N:N,'Resource Table'!B:B,'Resource Table'!C:C,"n/a",0,1)</f>
        <v>hfrancis@ameritfleet.com</v>
      </c>
      <c r="P1452" t="str">
        <f>_xlfn.XLOOKUP(N:N,'Resource Table'!B:B,'Resource Table'!D:D,"n/a",0,1)</f>
        <v>Vended Repair</v>
      </c>
    </row>
    <row r="1453" spans="1:16" x14ac:dyDescent="0.45">
      <c r="A1453" t="s">
        <v>5443</v>
      </c>
      <c r="B1453" t="s">
        <v>5458</v>
      </c>
      <c r="C1453" t="s">
        <v>5604</v>
      </c>
      <c r="D1453" t="s">
        <v>2811</v>
      </c>
      <c r="E1453" t="s">
        <v>6475</v>
      </c>
      <c r="F1453" t="s">
        <v>13460</v>
      </c>
      <c r="G1453" t="s">
        <v>13461</v>
      </c>
      <c r="H1453" t="s">
        <v>13471</v>
      </c>
      <c r="I1453" t="s">
        <v>6479</v>
      </c>
      <c r="J1453" t="s">
        <v>13463</v>
      </c>
      <c r="K1453">
        <v>1</v>
      </c>
      <c r="L1453" t="s">
        <v>13466</v>
      </c>
      <c r="M1453" t="s">
        <v>13468</v>
      </c>
      <c r="N1453" t="str">
        <f>_xlfn.XLOOKUP(C:C,'Resource Table'!A:A,'Resource Table'!B:B,"NOT FOUND",0,1)</f>
        <v>Hollie Francis</v>
      </c>
      <c r="O1453" t="str">
        <f>_xlfn.XLOOKUP(N:N,'Resource Table'!B:B,'Resource Table'!C:C,"n/a",0,1)</f>
        <v>hfrancis@ameritfleet.com</v>
      </c>
      <c r="P1453" t="str">
        <f>_xlfn.XLOOKUP(N:N,'Resource Table'!B:B,'Resource Table'!D:D,"n/a",0,1)</f>
        <v>Vended Repair</v>
      </c>
    </row>
    <row r="1454" spans="1:16" x14ac:dyDescent="0.45">
      <c r="A1454" t="s">
        <v>5443</v>
      </c>
      <c r="B1454" t="s">
        <v>5458</v>
      </c>
      <c r="C1454" t="s">
        <v>5604</v>
      </c>
      <c r="D1454" t="s">
        <v>2229</v>
      </c>
      <c r="E1454" t="s">
        <v>6451</v>
      </c>
      <c r="F1454" t="s">
        <v>13460</v>
      </c>
      <c r="G1454" t="s">
        <v>13461</v>
      </c>
      <c r="H1454" t="s">
        <v>13465</v>
      </c>
      <c r="I1454" t="s">
        <v>6479</v>
      </c>
      <c r="J1454" t="s">
        <v>13463</v>
      </c>
      <c r="K1454">
        <v>3</v>
      </c>
      <c r="L1454" t="s">
        <v>13530</v>
      </c>
      <c r="M1454" t="s">
        <v>13505</v>
      </c>
      <c r="N1454" t="str">
        <f>_xlfn.XLOOKUP(C:C,'Resource Table'!A:A,'Resource Table'!B:B,"NOT FOUND",0,1)</f>
        <v>Hollie Francis</v>
      </c>
      <c r="O1454" t="str">
        <f>_xlfn.XLOOKUP(N:N,'Resource Table'!B:B,'Resource Table'!C:C,"n/a",0,1)</f>
        <v>hfrancis@ameritfleet.com</v>
      </c>
      <c r="P1454" t="str">
        <f>_xlfn.XLOOKUP(N:N,'Resource Table'!B:B,'Resource Table'!D:D,"n/a",0,1)</f>
        <v>Vended Repair</v>
      </c>
    </row>
    <row r="1455" spans="1:16" x14ac:dyDescent="0.45">
      <c r="A1455" t="s">
        <v>5443</v>
      </c>
      <c r="B1455" t="s">
        <v>5458</v>
      </c>
      <c r="C1455" t="s">
        <v>5604</v>
      </c>
      <c r="D1455" t="s">
        <v>6289</v>
      </c>
      <c r="E1455" t="s">
        <v>6451</v>
      </c>
      <c r="F1455" t="s">
        <v>13460</v>
      </c>
      <c r="G1455" t="s">
        <v>13461</v>
      </c>
      <c r="H1455" t="s">
        <v>13465</v>
      </c>
      <c r="I1455" t="s">
        <v>6479</v>
      </c>
      <c r="J1455" t="s">
        <v>13463</v>
      </c>
      <c r="K1455">
        <v>0</v>
      </c>
      <c r="L1455" t="s">
        <v>20</v>
      </c>
      <c r="M1455" t="s">
        <v>20</v>
      </c>
      <c r="N1455" t="str">
        <f>_xlfn.XLOOKUP(C:C,'Resource Table'!A:A,'Resource Table'!B:B,"NOT FOUND",0,1)</f>
        <v>Hollie Francis</v>
      </c>
      <c r="O1455" t="str">
        <f>_xlfn.XLOOKUP(N:N,'Resource Table'!B:B,'Resource Table'!C:C,"n/a",0,1)</f>
        <v>hfrancis@ameritfleet.com</v>
      </c>
      <c r="P1455" t="str">
        <f>_xlfn.XLOOKUP(N:N,'Resource Table'!B:B,'Resource Table'!D:D,"n/a",0,1)</f>
        <v>Vended Repair</v>
      </c>
    </row>
    <row r="1456" spans="1:16" x14ac:dyDescent="0.45">
      <c r="A1456" t="s">
        <v>5443</v>
      </c>
      <c r="B1456" t="s">
        <v>5458</v>
      </c>
      <c r="C1456" t="s">
        <v>5604</v>
      </c>
      <c r="D1456" t="s">
        <v>6266</v>
      </c>
      <c r="E1456" t="s">
        <v>6451</v>
      </c>
      <c r="F1456" t="s">
        <v>13460</v>
      </c>
      <c r="G1456" t="s">
        <v>13461</v>
      </c>
      <c r="H1456" t="s">
        <v>13465</v>
      </c>
      <c r="I1456" t="s">
        <v>6479</v>
      </c>
      <c r="J1456" t="s">
        <v>13463</v>
      </c>
      <c r="K1456">
        <v>1</v>
      </c>
      <c r="L1456" t="s">
        <v>13466</v>
      </c>
      <c r="M1456" t="s">
        <v>13468</v>
      </c>
      <c r="N1456" t="str">
        <f>_xlfn.XLOOKUP(C:C,'Resource Table'!A:A,'Resource Table'!B:B,"NOT FOUND",0,1)</f>
        <v>Hollie Francis</v>
      </c>
      <c r="O1456" t="str">
        <f>_xlfn.XLOOKUP(N:N,'Resource Table'!B:B,'Resource Table'!C:C,"n/a",0,1)</f>
        <v>hfrancis@ameritfleet.com</v>
      </c>
      <c r="P1456" t="str">
        <f>_xlfn.XLOOKUP(N:N,'Resource Table'!B:B,'Resource Table'!D:D,"n/a",0,1)</f>
        <v>Vended Repair</v>
      </c>
    </row>
    <row r="1457" spans="1:16" x14ac:dyDescent="0.45">
      <c r="A1457" t="s">
        <v>5443</v>
      </c>
      <c r="B1457" t="s">
        <v>5458</v>
      </c>
      <c r="C1457" t="s">
        <v>5604</v>
      </c>
      <c r="D1457" t="s">
        <v>2102</v>
      </c>
      <c r="E1457" t="s">
        <v>6475</v>
      </c>
      <c r="F1457" t="s">
        <v>13460</v>
      </c>
      <c r="G1457" t="s">
        <v>13461</v>
      </c>
      <c r="H1457" t="s">
        <v>13471</v>
      </c>
      <c r="I1457" t="s">
        <v>6479</v>
      </c>
      <c r="J1457" t="s">
        <v>13463</v>
      </c>
      <c r="K1457">
        <v>3</v>
      </c>
      <c r="L1457" t="s">
        <v>13529</v>
      </c>
      <c r="M1457" t="s">
        <v>13505</v>
      </c>
      <c r="N1457" t="str">
        <f>_xlfn.XLOOKUP(C:C,'Resource Table'!A:A,'Resource Table'!B:B,"NOT FOUND",0,1)</f>
        <v>Hollie Francis</v>
      </c>
      <c r="O1457" t="str">
        <f>_xlfn.XLOOKUP(N:N,'Resource Table'!B:B,'Resource Table'!C:C,"n/a",0,1)</f>
        <v>hfrancis@ameritfleet.com</v>
      </c>
      <c r="P1457" t="str">
        <f>_xlfn.XLOOKUP(N:N,'Resource Table'!B:B,'Resource Table'!D:D,"n/a",0,1)</f>
        <v>Vended Repair</v>
      </c>
    </row>
    <row r="1458" spans="1:16" x14ac:dyDescent="0.45">
      <c r="A1458" t="s">
        <v>5443</v>
      </c>
      <c r="B1458" t="s">
        <v>5458</v>
      </c>
      <c r="C1458" t="s">
        <v>5604</v>
      </c>
      <c r="D1458" t="s">
        <v>1386</v>
      </c>
      <c r="E1458" t="s">
        <v>6451</v>
      </c>
      <c r="F1458" t="s">
        <v>13473</v>
      </c>
      <c r="G1458" t="s">
        <v>13474</v>
      </c>
      <c r="H1458" t="s">
        <v>13517</v>
      </c>
      <c r="I1458" t="s">
        <v>6479</v>
      </c>
      <c r="J1458" t="s">
        <v>13463</v>
      </c>
      <c r="K1458">
        <v>6</v>
      </c>
      <c r="L1458" t="s">
        <v>13534</v>
      </c>
      <c r="M1458" t="s">
        <v>13505</v>
      </c>
      <c r="N1458" t="str">
        <f>_xlfn.XLOOKUP(C:C,'Resource Table'!A:A,'Resource Table'!B:B,"NOT FOUND",0,1)</f>
        <v>Hollie Francis</v>
      </c>
      <c r="O1458" t="str">
        <f>_xlfn.XLOOKUP(N:N,'Resource Table'!B:B,'Resource Table'!C:C,"n/a",0,1)</f>
        <v>hfrancis@ameritfleet.com</v>
      </c>
      <c r="P1458" t="str">
        <f>_xlfn.XLOOKUP(N:N,'Resource Table'!B:B,'Resource Table'!D:D,"n/a",0,1)</f>
        <v>Vended Repair</v>
      </c>
    </row>
    <row r="1459" spans="1:16" x14ac:dyDescent="0.45">
      <c r="A1459" t="s">
        <v>5443</v>
      </c>
      <c r="B1459" t="s">
        <v>5458</v>
      </c>
      <c r="C1459" t="s">
        <v>6279</v>
      </c>
      <c r="D1459" t="s">
        <v>189</v>
      </c>
      <c r="E1459" t="s">
        <v>6475</v>
      </c>
      <c r="F1459" t="s">
        <v>13460</v>
      </c>
      <c r="G1459" t="s">
        <v>13461</v>
      </c>
      <c r="H1459" t="s">
        <v>13471</v>
      </c>
      <c r="I1459" t="s">
        <v>6479</v>
      </c>
      <c r="J1459" t="s">
        <v>13463</v>
      </c>
      <c r="K1459">
        <v>1</v>
      </c>
      <c r="L1459" t="s">
        <v>13543</v>
      </c>
      <c r="M1459" t="s">
        <v>13512</v>
      </c>
      <c r="N1459" t="str">
        <f>_xlfn.XLOOKUP(C:C,'Resource Table'!A:A,'Resource Table'!B:B,"NOT FOUND",0,1)</f>
        <v>Hollie Francis</v>
      </c>
      <c r="O1459" t="str">
        <f>_xlfn.XLOOKUP(N:N,'Resource Table'!B:B,'Resource Table'!C:C,"n/a",0,1)</f>
        <v>hfrancis@ameritfleet.com</v>
      </c>
      <c r="P1459" t="str">
        <f>_xlfn.XLOOKUP(N:N,'Resource Table'!B:B,'Resource Table'!D:D,"n/a",0,1)</f>
        <v>Vended Repair</v>
      </c>
    </row>
    <row r="1460" spans="1:16" x14ac:dyDescent="0.45">
      <c r="A1460" t="s">
        <v>5443</v>
      </c>
      <c r="B1460" t="s">
        <v>5458</v>
      </c>
      <c r="C1460" t="s">
        <v>6279</v>
      </c>
      <c r="D1460" t="s">
        <v>3379</v>
      </c>
      <c r="E1460" t="s">
        <v>6451</v>
      </c>
      <c r="F1460" t="s">
        <v>13460</v>
      </c>
      <c r="G1460" t="s">
        <v>13461</v>
      </c>
      <c r="H1460" t="s">
        <v>13465</v>
      </c>
      <c r="I1460" t="s">
        <v>6479</v>
      </c>
      <c r="J1460" t="s">
        <v>13463</v>
      </c>
      <c r="K1460">
        <v>1</v>
      </c>
      <c r="L1460" t="s">
        <v>13530</v>
      </c>
      <c r="M1460" t="s">
        <v>13529</v>
      </c>
      <c r="N1460" t="str">
        <f>_xlfn.XLOOKUP(C:C,'Resource Table'!A:A,'Resource Table'!B:B,"NOT FOUND",0,1)</f>
        <v>Hollie Francis</v>
      </c>
      <c r="O1460" t="str">
        <f>_xlfn.XLOOKUP(N:N,'Resource Table'!B:B,'Resource Table'!C:C,"n/a",0,1)</f>
        <v>hfrancis@ameritfleet.com</v>
      </c>
      <c r="P1460" t="str">
        <f>_xlfn.XLOOKUP(N:N,'Resource Table'!B:B,'Resource Table'!D:D,"n/a",0,1)</f>
        <v>Vended Repair</v>
      </c>
    </row>
    <row r="1461" spans="1:16" x14ac:dyDescent="0.45">
      <c r="A1461" t="s">
        <v>5443</v>
      </c>
      <c r="B1461" t="s">
        <v>5458</v>
      </c>
      <c r="C1461" t="s">
        <v>6279</v>
      </c>
      <c r="D1461" t="s">
        <v>3051</v>
      </c>
      <c r="E1461" t="s">
        <v>6451</v>
      </c>
      <c r="F1461" t="s">
        <v>13460</v>
      </c>
      <c r="G1461" t="s">
        <v>13461</v>
      </c>
      <c r="H1461" t="s">
        <v>13471</v>
      </c>
      <c r="I1461" t="s">
        <v>29</v>
      </c>
      <c r="J1461" t="s">
        <v>13463</v>
      </c>
      <c r="K1461">
        <v>1</v>
      </c>
      <c r="L1461" t="s">
        <v>13507</v>
      </c>
      <c r="M1461" t="s">
        <v>13505</v>
      </c>
      <c r="N1461" t="str">
        <f>_xlfn.XLOOKUP(C:C,'Resource Table'!A:A,'Resource Table'!B:B,"NOT FOUND",0,1)</f>
        <v>Hollie Francis</v>
      </c>
      <c r="O1461" t="str">
        <f>_xlfn.XLOOKUP(N:N,'Resource Table'!B:B,'Resource Table'!C:C,"n/a",0,1)</f>
        <v>hfrancis@ameritfleet.com</v>
      </c>
      <c r="P1461" t="str">
        <f>_xlfn.XLOOKUP(N:N,'Resource Table'!B:B,'Resource Table'!D:D,"n/a",0,1)</f>
        <v>Vended Repair</v>
      </c>
    </row>
    <row r="1462" spans="1:16" x14ac:dyDescent="0.45">
      <c r="A1462" t="s">
        <v>5443</v>
      </c>
      <c r="B1462" t="s">
        <v>5458</v>
      </c>
      <c r="C1462" t="s">
        <v>5521</v>
      </c>
      <c r="D1462" t="s">
        <v>5668</v>
      </c>
      <c r="E1462" t="s">
        <v>6451</v>
      </c>
      <c r="F1462" t="s">
        <v>13460</v>
      </c>
      <c r="G1462" t="s">
        <v>13461</v>
      </c>
      <c r="H1462" t="s">
        <v>13596</v>
      </c>
      <c r="I1462" t="s">
        <v>6479</v>
      </c>
      <c r="J1462" t="s">
        <v>13463</v>
      </c>
      <c r="K1462">
        <v>3</v>
      </c>
      <c r="L1462" t="s">
        <v>13503</v>
      </c>
      <c r="M1462" t="s">
        <v>13567</v>
      </c>
      <c r="N1462" t="str">
        <f>_xlfn.XLOOKUP(C:C,'Resource Table'!A:A,'Resource Table'!B:B,"NOT FOUND",0,1)</f>
        <v>Dedicated</v>
      </c>
      <c r="O1462" t="str">
        <f>_xlfn.XLOOKUP(N:N,'Resource Table'!B:B,'Resource Table'!C:C,"n/a",0,1)</f>
        <v>AFS Dedicated Tech</v>
      </c>
      <c r="P1462" t="str">
        <f>_xlfn.XLOOKUP(N:N,'Resource Table'!B:B,'Resource Table'!D:D,"n/a",0,1)</f>
        <v>Dedicated</v>
      </c>
    </row>
    <row r="1463" spans="1:16" x14ac:dyDescent="0.45">
      <c r="A1463" t="s">
        <v>5443</v>
      </c>
      <c r="B1463" t="s">
        <v>5458</v>
      </c>
      <c r="C1463" t="s">
        <v>5521</v>
      </c>
      <c r="D1463" t="s">
        <v>5056</v>
      </c>
      <c r="E1463" t="s">
        <v>6451</v>
      </c>
      <c r="F1463" t="s">
        <v>13460</v>
      </c>
      <c r="G1463" t="s">
        <v>13461</v>
      </c>
      <c r="H1463" t="s">
        <v>13465</v>
      </c>
      <c r="I1463" t="s">
        <v>29</v>
      </c>
      <c r="J1463" t="s">
        <v>13463</v>
      </c>
      <c r="K1463">
        <v>2</v>
      </c>
      <c r="L1463" t="s">
        <v>13529</v>
      </c>
      <c r="M1463" t="s">
        <v>20</v>
      </c>
      <c r="N1463" t="str">
        <f>_xlfn.XLOOKUP(C:C,'Resource Table'!A:A,'Resource Table'!B:B,"NOT FOUND",0,1)</f>
        <v>Dedicated</v>
      </c>
      <c r="O1463" t="str">
        <f>_xlfn.XLOOKUP(N:N,'Resource Table'!B:B,'Resource Table'!C:C,"n/a",0,1)</f>
        <v>AFS Dedicated Tech</v>
      </c>
      <c r="P1463" t="str">
        <f>_xlfn.XLOOKUP(N:N,'Resource Table'!B:B,'Resource Table'!D:D,"n/a",0,1)</f>
        <v>Dedicated</v>
      </c>
    </row>
    <row r="1464" spans="1:16" x14ac:dyDescent="0.45">
      <c r="A1464" t="s">
        <v>5443</v>
      </c>
      <c r="B1464" t="s">
        <v>5458</v>
      </c>
      <c r="C1464" t="s">
        <v>5521</v>
      </c>
      <c r="D1464" t="s">
        <v>6439</v>
      </c>
      <c r="E1464" t="s">
        <v>6451</v>
      </c>
      <c r="F1464" t="s">
        <v>13460</v>
      </c>
      <c r="G1464" t="s">
        <v>13550</v>
      </c>
      <c r="H1464" t="s">
        <v>13551</v>
      </c>
      <c r="I1464" t="s">
        <v>6479</v>
      </c>
      <c r="J1464" t="s">
        <v>13463</v>
      </c>
      <c r="K1464">
        <v>0</v>
      </c>
      <c r="L1464" t="s">
        <v>20</v>
      </c>
      <c r="M1464" t="s">
        <v>20</v>
      </c>
      <c r="N1464" t="str">
        <f>_xlfn.XLOOKUP(C:C,'Resource Table'!A:A,'Resource Table'!B:B,"NOT FOUND",0,1)</f>
        <v>Dedicated</v>
      </c>
      <c r="O1464" t="str">
        <f>_xlfn.XLOOKUP(N:N,'Resource Table'!B:B,'Resource Table'!C:C,"n/a",0,1)</f>
        <v>AFS Dedicated Tech</v>
      </c>
      <c r="P1464" t="str">
        <f>_xlfn.XLOOKUP(N:N,'Resource Table'!B:B,'Resource Table'!D:D,"n/a",0,1)</f>
        <v>Dedicated</v>
      </c>
    </row>
    <row r="1465" spans="1:16" x14ac:dyDescent="0.45">
      <c r="A1465" t="s">
        <v>5443</v>
      </c>
      <c r="B1465" t="s">
        <v>5458</v>
      </c>
      <c r="C1465" t="s">
        <v>5521</v>
      </c>
      <c r="D1465" t="s">
        <v>6308</v>
      </c>
      <c r="E1465" t="s">
        <v>6451</v>
      </c>
      <c r="F1465" t="s">
        <v>13460</v>
      </c>
      <c r="G1465" t="s">
        <v>13461</v>
      </c>
      <c r="H1465" t="s">
        <v>13462</v>
      </c>
      <c r="I1465" t="s">
        <v>6479</v>
      </c>
      <c r="J1465" t="s">
        <v>13463</v>
      </c>
      <c r="K1465">
        <v>1</v>
      </c>
      <c r="L1465" t="s">
        <v>13472</v>
      </c>
      <c r="M1465" t="s">
        <v>20</v>
      </c>
      <c r="N1465" t="str">
        <f>_xlfn.XLOOKUP(C:C,'Resource Table'!A:A,'Resource Table'!B:B,"NOT FOUND",0,1)</f>
        <v>Dedicated</v>
      </c>
      <c r="O1465" t="str">
        <f>_xlfn.XLOOKUP(N:N,'Resource Table'!B:B,'Resource Table'!C:C,"n/a",0,1)</f>
        <v>AFS Dedicated Tech</v>
      </c>
      <c r="P1465" t="str">
        <f>_xlfn.XLOOKUP(N:N,'Resource Table'!B:B,'Resource Table'!D:D,"n/a",0,1)</f>
        <v>Dedicated</v>
      </c>
    </row>
    <row r="1466" spans="1:16" x14ac:dyDescent="0.45">
      <c r="A1466" t="s">
        <v>5443</v>
      </c>
      <c r="B1466" t="s">
        <v>5458</v>
      </c>
      <c r="C1466" t="s">
        <v>5521</v>
      </c>
      <c r="D1466" t="s">
        <v>5877</v>
      </c>
      <c r="E1466" t="s">
        <v>6451</v>
      </c>
      <c r="F1466" t="s">
        <v>13473</v>
      </c>
      <c r="G1466" t="s">
        <v>13474</v>
      </c>
      <c r="H1466" t="s">
        <v>13475</v>
      </c>
      <c r="I1466" t="s">
        <v>6479</v>
      </c>
      <c r="J1466" t="s">
        <v>13463</v>
      </c>
      <c r="K1466">
        <v>0</v>
      </c>
      <c r="L1466" t="s">
        <v>20</v>
      </c>
      <c r="M1466" t="s">
        <v>20</v>
      </c>
      <c r="N1466" t="str">
        <f>_xlfn.XLOOKUP(C:C,'Resource Table'!A:A,'Resource Table'!B:B,"NOT FOUND",0,1)</f>
        <v>Dedicated</v>
      </c>
      <c r="O1466" t="str">
        <f>_xlfn.XLOOKUP(N:N,'Resource Table'!B:B,'Resource Table'!C:C,"n/a",0,1)</f>
        <v>AFS Dedicated Tech</v>
      </c>
      <c r="P1466" t="str">
        <f>_xlfn.XLOOKUP(N:N,'Resource Table'!B:B,'Resource Table'!D:D,"n/a",0,1)</f>
        <v>Dedicated</v>
      </c>
    </row>
    <row r="1467" spans="1:16" x14ac:dyDescent="0.45">
      <c r="A1467" t="s">
        <v>5443</v>
      </c>
      <c r="B1467" t="s">
        <v>5458</v>
      </c>
      <c r="C1467" t="s">
        <v>5521</v>
      </c>
      <c r="D1467" t="s">
        <v>4803</v>
      </c>
      <c r="E1467" t="s">
        <v>6451</v>
      </c>
      <c r="F1467" t="s">
        <v>13473</v>
      </c>
      <c r="G1467" t="s">
        <v>13474</v>
      </c>
      <c r="H1467" t="s">
        <v>13517</v>
      </c>
      <c r="I1467" t="s">
        <v>6479</v>
      </c>
      <c r="J1467" t="s">
        <v>13463</v>
      </c>
      <c r="K1467">
        <v>1</v>
      </c>
      <c r="L1467" t="s">
        <v>13472</v>
      </c>
      <c r="M1467" t="s">
        <v>20</v>
      </c>
      <c r="N1467" t="str">
        <f>_xlfn.XLOOKUP(C:C,'Resource Table'!A:A,'Resource Table'!B:B,"NOT FOUND",0,1)</f>
        <v>Dedicated</v>
      </c>
      <c r="O1467" t="str">
        <f>_xlfn.XLOOKUP(N:N,'Resource Table'!B:B,'Resource Table'!C:C,"n/a",0,1)</f>
        <v>AFS Dedicated Tech</v>
      </c>
      <c r="P1467" t="str">
        <f>_xlfn.XLOOKUP(N:N,'Resource Table'!B:B,'Resource Table'!D:D,"n/a",0,1)</f>
        <v>Dedicated</v>
      </c>
    </row>
    <row r="1468" spans="1:16" x14ac:dyDescent="0.45">
      <c r="A1468" t="s">
        <v>5443</v>
      </c>
      <c r="B1468" t="s">
        <v>5458</v>
      </c>
      <c r="C1468" t="s">
        <v>5521</v>
      </c>
      <c r="D1468" t="s">
        <v>6339</v>
      </c>
      <c r="E1468" t="s">
        <v>6451</v>
      </c>
      <c r="F1468" t="s">
        <v>13460</v>
      </c>
      <c r="G1468" t="s">
        <v>13461</v>
      </c>
      <c r="H1468" t="s">
        <v>13471</v>
      </c>
      <c r="I1468" t="s">
        <v>6479</v>
      </c>
      <c r="J1468" t="s">
        <v>13463</v>
      </c>
      <c r="K1468">
        <v>1</v>
      </c>
      <c r="L1468" t="s">
        <v>13480</v>
      </c>
      <c r="M1468" t="s">
        <v>20</v>
      </c>
      <c r="N1468" t="str">
        <f>_xlfn.XLOOKUP(C:C,'Resource Table'!A:A,'Resource Table'!B:B,"NOT FOUND",0,1)</f>
        <v>Dedicated</v>
      </c>
      <c r="O1468" t="str">
        <f>_xlfn.XLOOKUP(N:N,'Resource Table'!B:B,'Resource Table'!C:C,"n/a",0,1)</f>
        <v>AFS Dedicated Tech</v>
      </c>
      <c r="P1468" t="str">
        <f>_xlfn.XLOOKUP(N:N,'Resource Table'!B:B,'Resource Table'!D:D,"n/a",0,1)</f>
        <v>Dedicated</v>
      </c>
    </row>
    <row r="1469" spans="1:16" x14ac:dyDescent="0.45">
      <c r="A1469" t="s">
        <v>5443</v>
      </c>
      <c r="B1469" t="s">
        <v>5458</v>
      </c>
      <c r="C1469" t="s">
        <v>5521</v>
      </c>
      <c r="D1469" t="s">
        <v>5719</v>
      </c>
      <c r="E1469" t="s">
        <v>6451</v>
      </c>
      <c r="F1469" t="s">
        <v>13473</v>
      </c>
      <c r="G1469" t="s">
        <v>13474</v>
      </c>
      <c r="H1469" t="s">
        <v>13517</v>
      </c>
      <c r="I1469" t="s">
        <v>6479</v>
      </c>
      <c r="J1469" t="s">
        <v>13463</v>
      </c>
      <c r="K1469">
        <v>1</v>
      </c>
      <c r="L1469" t="s">
        <v>13480</v>
      </c>
      <c r="M1469" t="s">
        <v>20</v>
      </c>
      <c r="N1469" t="str">
        <f>_xlfn.XLOOKUP(C:C,'Resource Table'!A:A,'Resource Table'!B:B,"NOT FOUND",0,1)</f>
        <v>Dedicated</v>
      </c>
      <c r="O1469" t="str">
        <f>_xlfn.XLOOKUP(N:N,'Resource Table'!B:B,'Resource Table'!C:C,"n/a",0,1)</f>
        <v>AFS Dedicated Tech</v>
      </c>
      <c r="P1469" t="str">
        <f>_xlfn.XLOOKUP(N:N,'Resource Table'!B:B,'Resource Table'!D:D,"n/a",0,1)</f>
        <v>Dedicated</v>
      </c>
    </row>
    <row r="1470" spans="1:16" x14ac:dyDescent="0.45">
      <c r="A1470" t="s">
        <v>5443</v>
      </c>
      <c r="B1470" t="s">
        <v>5458</v>
      </c>
      <c r="C1470" t="s">
        <v>5521</v>
      </c>
      <c r="D1470" t="s">
        <v>6438</v>
      </c>
      <c r="E1470" t="s">
        <v>6451</v>
      </c>
      <c r="F1470" t="s">
        <v>13460</v>
      </c>
      <c r="G1470" t="s">
        <v>13550</v>
      </c>
      <c r="H1470" t="s">
        <v>13551</v>
      </c>
      <c r="I1470" t="s">
        <v>6479</v>
      </c>
      <c r="J1470" t="s">
        <v>13463</v>
      </c>
      <c r="K1470">
        <v>0</v>
      </c>
      <c r="L1470" t="s">
        <v>20</v>
      </c>
      <c r="M1470" t="s">
        <v>20</v>
      </c>
      <c r="N1470" t="str">
        <f>_xlfn.XLOOKUP(C:C,'Resource Table'!A:A,'Resource Table'!B:B,"NOT FOUND",0,1)</f>
        <v>Dedicated</v>
      </c>
      <c r="O1470" t="str">
        <f>_xlfn.XLOOKUP(N:N,'Resource Table'!B:B,'Resource Table'!C:C,"n/a",0,1)</f>
        <v>AFS Dedicated Tech</v>
      </c>
      <c r="P1470" t="str">
        <f>_xlfn.XLOOKUP(N:N,'Resource Table'!B:B,'Resource Table'!D:D,"n/a",0,1)</f>
        <v>Dedicated</v>
      </c>
    </row>
    <row r="1471" spans="1:16" x14ac:dyDescent="0.45">
      <c r="A1471" t="s">
        <v>5443</v>
      </c>
      <c r="B1471" t="s">
        <v>5458</v>
      </c>
      <c r="C1471" t="s">
        <v>5521</v>
      </c>
      <c r="D1471" t="s">
        <v>6407</v>
      </c>
      <c r="E1471" t="s">
        <v>6461</v>
      </c>
      <c r="F1471" t="s">
        <v>13460</v>
      </c>
      <c r="G1471" t="s">
        <v>13461</v>
      </c>
      <c r="H1471" t="s">
        <v>13467</v>
      </c>
      <c r="I1471" t="s">
        <v>6479</v>
      </c>
      <c r="J1471" t="s">
        <v>13463</v>
      </c>
      <c r="K1471">
        <v>1</v>
      </c>
      <c r="L1471" t="s">
        <v>13499</v>
      </c>
      <c r="M1471" t="s">
        <v>20</v>
      </c>
      <c r="N1471" t="str">
        <f>_xlfn.XLOOKUP(C:C,'Resource Table'!A:A,'Resource Table'!B:B,"NOT FOUND",0,1)</f>
        <v>Dedicated</v>
      </c>
      <c r="O1471" t="str">
        <f>_xlfn.XLOOKUP(N:N,'Resource Table'!B:B,'Resource Table'!C:C,"n/a",0,1)</f>
        <v>AFS Dedicated Tech</v>
      </c>
      <c r="P1471" t="str">
        <f>_xlfn.XLOOKUP(N:N,'Resource Table'!B:B,'Resource Table'!D:D,"n/a",0,1)</f>
        <v>Dedicated</v>
      </c>
    </row>
    <row r="1472" spans="1:16" x14ac:dyDescent="0.45">
      <c r="A1472" t="s">
        <v>5443</v>
      </c>
      <c r="B1472" t="s">
        <v>5458</v>
      </c>
      <c r="C1472" t="s">
        <v>5521</v>
      </c>
      <c r="D1472" t="s">
        <v>5955</v>
      </c>
      <c r="E1472" t="s">
        <v>6461</v>
      </c>
      <c r="F1472" t="s">
        <v>13460</v>
      </c>
      <c r="G1472" t="s">
        <v>13481</v>
      </c>
      <c r="H1472" t="s">
        <v>13482</v>
      </c>
      <c r="I1472" t="s">
        <v>6479</v>
      </c>
      <c r="J1472" t="s">
        <v>13463</v>
      </c>
      <c r="K1472">
        <v>0</v>
      </c>
      <c r="L1472" t="s">
        <v>20</v>
      </c>
      <c r="M1472" t="s">
        <v>20</v>
      </c>
      <c r="N1472" t="str">
        <f>_xlfn.XLOOKUP(C:C,'Resource Table'!A:A,'Resource Table'!B:B,"NOT FOUND",0,1)</f>
        <v>Dedicated</v>
      </c>
      <c r="O1472" t="str">
        <f>_xlfn.XLOOKUP(N:N,'Resource Table'!B:B,'Resource Table'!C:C,"n/a",0,1)</f>
        <v>AFS Dedicated Tech</v>
      </c>
      <c r="P1472" t="str">
        <f>_xlfn.XLOOKUP(N:N,'Resource Table'!B:B,'Resource Table'!D:D,"n/a",0,1)</f>
        <v>Dedicated</v>
      </c>
    </row>
    <row r="1473" spans="1:16" x14ac:dyDescent="0.45">
      <c r="A1473" t="s">
        <v>5443</v>
      </c>
      <c r="B1473" t="s">
        <v>5458</v>
      </c>
      <c r="C1473" t="s">
        <v>5521</v>
      </c>
      <c r="D1473" t="s">
        <v>6312</v>
      </c>
      <c r="E1473" t="s">
        <v>6451</v>
      </c>
      <c r="F1473" t="s">
        <v>13460</v>
      </c>
      <c r="G1473" t="s">
        <v>13461</v>
      </c>
      <c r="H1473" t="s">
        <v>13471</v>
      </c>
      <c r="I1473" t="s">
        <v>6479</v>
      </c>
      <c r="J1473" t="s">
        <v>13463</v>
      </c>
      <c r="K1473">
        <v>0</v>
      </c>
      <c r="L1473" t="s">
        <v>20</v>
      </c>
      <c r="M1473" t="s">
        <v>20</v>
      </c>
      <c r="N1473" t="str">
        <f>_xlfn.XLOOKUP(C:C,'Resource Table'!A:A,'Resource Table'!B:B,"NOT FOUND",0,1)</f>
        <v>Dedicated</v>
      </c>
      <c r="O1473" t="str">
        <f>_xlfn.XLOOKUP(N:N,'Resource Table'!B:B,'Resource Table'!C:C,"n/a",0,1)</f>
        <v>AFS Dedicated Tech</v>
      </c>
      <c r="P1473" t="str">
        <f>_xlfn.XLOOKUP(N:N,'Resource Table'!B:B,'Resource Table'!D:D,"n/a",0,1)</f>
        <v>Dedicated</v>
      </c>
    </row>
    <row r="1474" spans="1:16" x14ac:dyDescent="0.45">
      <c r="A1474" t="s">
        <v>5443</v>
      </c>
      <c r="B1474" t="s">
        <v>5458</v>
      </c>
      <c r="C1474" t="s">
        <v>5521</v>
      </c>
      <c r="D1474" t="s">
        <v>6399</v>
      </c>
      <c r="E1474" t="s">
        <v>6461</v>
      </c>
      <c r="F1474" t="s">
        <v>13460</v>
      </c>
      <c r="G1474" t="s">
        <v>13461</v>
      </c>
      <c r="H1474" t="s">
        <v>13467</v>
      </c>
      <c r="I1474" t="s">
        <v>6479</v>
      </c>
      <c r="J1474" t="s">
        <v>13463</v>
      </c>
      <c r="K1474">
        <v>0</v>
      </c>
      <c r="L1474" t="s">
        <v>20</v>
      </c>
      <c r="M1474" t="s">
        <v>20</v>
      </c>
      <c r="N1474" t="str">
        <f>_xlfn.XLOOKUP(C:C,'Resource Table'!A:A,'Resource Table'!B:B,"NOT FOUND",0,1)</f>
        <v>Dedicated</v>
      </c>
      <c r="O1474" t="str">
        <f>_xlfn.XLOOKUP(N:N,'Resource Table'!B:B,'Resource Table'!C:C,"n/a",0,1)</f>
        <v>AFS Dedicated Tech</v>
      </c>
      <c r="P1474" t="str">
        <f>_xlfn.XLOOKUP(N:N,'Resource Table'!B:B,'Resource Table'!D:D,"n/a",0,1)</f>
        <v>Dedicated</v>
      </c>
    </row>
    <row r="1475" spans="1:16" x14ac:dyDescent="0.45">
      <c r="A1475" t="s">
        <v>5443</v>
      </c>
      <c r="B1475" t="s">
        <v>5458</v>
      </c>
      <c r="C1475" t="s">
        <v>5521</v>
      </c>
      <c r="D1475" t="s">
        <v>6375</v>
      </c>
      <c r="E1475" t="s">
        <v>6475</v>
      </c>
      <c r="F1475" t="s">
        <v>13460</v>
      </c>
      <c r="G1475" t="s">
        <v>13461</v>
      </c>
      <c r="H1475" t="s">
        <v>13471</v>
      </c>
      <c r="I1475" t="s">
        <v>6479</v>
      </c>
      <c r="J1475" t="s">
        <v>13463</v>
      </c>
      <c r="K1475">
        <v>1</v>
      </c>
      <c r="L1475" t="s">
        <v>13479</v>
      </c>
      <c r="M1475" t="s">
        <v>20</v>
      </c>
      <c r="N1475" t="str">
        <f>_xlfn.XLOOKUP(C:C,'Resource Table'!A:A,'Resource Table'!B:B,"NOT FOUND",0,1)</f>
        <v>Dedicated</v>
      </c>
      <c r="O1475" t="str">
        <f>_xlfn.XLOOKUP(N:N,'Resource Table'!B:B,'Resource Table'!C:C,"n/a",0,1)</f>
        <v>AFS Dedicated Tech</v>
      </c>
      <c r="P1475" t="str">
        <f>_xlfn.XLOOKUP(N:N,'Resource Table'!B:B,'Resource Table'!D:D,"n/a",0,1)</f>
        <v>Dedicated</v>
      </c>
    </row>
    <row r="1476" spans="1:16" x14ac:dyDescent="0.45">
      <c r="A1476" t="s">
        <v>5443</v>
      </c>
      <c r="B1476" t="s">
        <v>5458</v>
      </c>
      <c r="C1476" t="s">
        <v>5521</v>
      </c>
      <c r="D1476" t="s">
        <v>13100</v>
      </c>
      <c r="E1476" t="s">
        <v>6451</v>
      </c>
      <c r="F1476" t="s">
        <v>13460</v>
      </c>
      <c r="G1476" t="s">
        <v>13461</v>
      </c>
      <c r="H1476" t="s">
        <v>13465</v>
      </c>
      <c r="I1476" t="s">
        <v>6479</v>
      </c>
      <c r="J1476" t="s">
        <v>13463</v>
      </c>
      <c r="K1476">
        <v>0</v>
      </c>
      <c r="L1476" t="s">
        <v>20</v>
      </c>
      <c r="M1476" t="s">
        <v>20</v>
      </c>
      <c r="N1476" t="str">
        <f>_xlfn.XLOOKUP(C:C,'Resource Table'!A:A,'Resource Table'!B:B,"NOT FOUND",0,1)</f>
        <v>Dedicated</v>
      </c>
      <c r="O1476" t="str">
        <f>_xlfn.XLOOKUP(N:N,'Resource Table'!B:B,'Resource Table'!C:C,"n/a",0,1)</f>
        <v>AFS Dedicated Tech</v>
      </c>
      <c r="P1476" t="str">
        <f>_xlfn.XLOOKUP(N:N,'Resource Table'!B:B,'Resource Table'!D:D,"n/a",0,1)</f>
        <v>Dedicated</v>
      </c>
    </row>
    <row r="1477" spans="1:16" x14ac:dyDescent="0.45">
      <c r="A1477" t="s">
        <v>5443</v>
      </c>
      <c r="B1477" t="s">
        <v>5458</v>
      </c>
      <c r="C1477" t="s">
        <v>5521</v>
      </c>
      <c r="D1477" t="s">
        <v>6325</v>
      </c>
      <c r="E1477" t="s">
        <v>6451</v>
      </c>
      <c r="F1477" t="s">
        <v>13460</v>
      </c>
      <c r="G1477" t="s">
        <v>13461</v>
      </c>
      <c r="H1477" t="s">
        <v>13471</v>
      </c>
      <c r="I1477" t="s">
        <v>6479</v>
      </c>
      <c r="J1477" t="s">
        <v>13463</v>
      </c>
      <c r="K1477">
        <v>1</v>
      </c>
      <c r="L1477" t="s">
        <v>13468</v>
      </c>
      <c r="M1477" t="s">
        <v>20</v>
      </c>
      <c r="N1477" t="str">
        <f>_xlfn.XLOOKUP(C:C,'Resource Table'!A:A,'Resource Table'!B:B,"NOT FOUND",0,1)</f>
        <v>Dedicated</v>
      </c>
      <c r="O1477" t="str">
        <f>_xlfn.XLOOKUP(N:N,'Resource Table'!B:B,'Resource Table'!C:C,"n/a",0,1)</f>
        <v>AFS Dedicated Tech</v>
      </c>
      <c r="P1477" t="str">
        <f>_xlfn.XLOOKUP(N:N,'Resource Table'!B:B,'Resource Table'!D:D,"n/a",0,1)</f>
        <v>Dedicated</v>
      </c>
    </row>
    <row r="1478" spans="1:16" x14ac:dyDescent="0.45">
      <c r="A1478" t="s">
        <v>5443</v>
      </c>
      <c r="B1478" t="s">
        <v>5458</v>
      </c>
      <c r="C1478" t="s">
        <v>5521</v>
      </c>
      <c r="D1478" t="s">
        <v>6315</v>
      </c>
      <c r="E1478" t="s">
        <v>6451</v>
      </c>
      <c r="F1478" t="s">
        <v>13460</v>
      </c>
      <c r="G1478" t="s">
        <v>13461</v>
      </c>
      <c r="H1478" t="s">
        <v>13471</v>
      </c>
      <c r="I1478" t="s">
        <v>6479</v>
      </c>
      <c r="J1478" t="s">
        <v>13463</v>
      </c>
      <c r="K1478">
        <v>1</v>
      </c>
      <c r="L1478" t="s">
        <v>13512</v>
      </c>
      <c r="M1478" t="s">
        <v>20</v>
      </c>
      <c r="N1478" t="str">
        <f>_xlfn.XLOOKUP(C:C,'Resource Table'!A:A,'Resource Table'!B:B,"NOT FOUND",0,1)</f>
        <v>Dedicated</v>
      </c>
      <c r="O1478" t="str">
        <f>_xlfn.XLOOKUP(N:N,'Resource Table'!B:B,'Resource Table'!C:C,"n/a",0,1)</f>
        <v>AFS Dedicated Tech</v>
      </c>
      <c r="P1478" t="str">
        <f>_xlfn.XLOOKUP(N:N,'Resource Table'!B:B,'Resource Table'!D:D,"n/a",0,1)</f>
        <v>Dedicated</v>
      </c>
    </row>
    <row r="1479" spans="1:16" x14ac:dyDescent="0.45">
      <c r="A1479" t="s">
        <v>5443</v>
      </c>
      <c r="B1479" t="s">
        <v>5458</v>
      </c>
      <c r="C1479" t="s">
        <v>5521</v>
      </c>
      <c r="D1479" t="s">
        <v>5522</v>
      </c>
      <c r="E1479" t="s">
        <v>6451</v>
      </c>
      <c r="F1479" t="s">
        <v>13473</v>
      </c>
      <c r="G1479" t="s">
        <v>13474</v>
      </c>
      <c r="H1479" t="s">
        <v>13475</v>
      </c>
      <c r="I1479" t="s">
        <v>6479</v>
      </c>
      <c r="J1479" t="s">
        <v>13463</v>
      </c>
      <c r="K1479">
        <v>0</v>
      </c>
      <c r="L1479" t="s">
        <v>20</v>
      </c>
      <c r="M1479" t="s">
        <v>20</v>
      </c>
      <c r="N1479" t="str">
        <f>_xlfn.XLOOKUP(C:C,'Resource Table'!A:A,'Resource Table'!B:B,"NOT FOUND",0,1)</f>
        <v>Dedicated</v>
      </c>
      <c r="O1479" t="str">
        <f>_xlfn.XLOOKUP(N:N,'Resource Table'!B:B,'Resource Table'!C:C,"n/a",0,1)</f>
        <v>AFS Dedicated Tech</v>
      </c>
      <c r="P1479" t="str">
        <f>_xlfn.XLOOKUP(N:N,'Resource Table'!B:B,'Resource Table'!D:D,"n/a",0,1)</f>
        <v>Dedicated</v>
      </c>
    </row>
    <row r="1480" spans="1:16" x14ac:dyDescent="0.45">
      <c r="A1480" t="s">
        <v>5443</v>
      </c>
      <c r="B1480" t="s">
        <v>5458</v>
      </c>
      <c r="C1480" t="s">
        <v>5521</v>
      </c>
      <c r="D1480" t="s">
        <v>5766</v>
      </c>
      <c r="E1480" t="s">
        <v>6451</v>
      </c>
      <c r="F1480" t="s">
        <v>13473</v>
      </c>
      <c r="G1480" t="s">
        <v>13474</v>
      </c>
      <c r="H1480" t="s">
        <v>13521</v>
      </c>
      <c r="I1480" t="s">
        <v>6479</v>
      </c>
      <c r="J1480" t="s">
        <v>13463</v>
      </c>
      <c r="K1480">
        <v>2</v>
      </c>
      <c r="L1480" t="s">
        <v>13543</v>
      </c>
      <c r="M1480" t="s">
        <v>13513</v>
      </c>
      <c r="N1480" t="str">
        <f>_xlfn.XLOOKUP(C:C,'Resource Table'!A:A,'Resource Table'!B:B,"NOT FOUND",0,1)</f>
        <v>Dedicated</v>
      </c>
      <c r="O1480" t="str">
        <f>_xlfn.XLOOKUP(N:N,'Resource Table'!B:B,'Resource Table'!C:C,"n/a",0,1)</f>
        <v>AFS Dedicated Tech</v>
      </c>
      <c r="P1480" t="str">
        <f>_xlfn.XLOOKUP(N:N,'Resource Table'!B:B,'Resource Table'!D:D,"n/a",0,1)</f>
        <v>Dedicated</v>
      </c>
    </row>
    <row r="1481" spans="1:16" x14ac:dyDescent="0.45">
      <c r="A1481" t="s">
        <v>5443</v>
      </c>
      <c r="B1481" t="s">
        <v>5458</v>
      </c>
      <c r="C1481" t="s">
        <v>5521</v>
      </c>
      <c r="D1481" t="s">
        <v>6366</v>
      </c>
      <c r="E1481" t="s">
        <v>6451</v>
      </c>
      <c r="F1481" t="s">
        <v>13460</v>
      </c>
      <c r="G1481" t="s">
        <v>13461</v>
      </c>
      <c r="H1481" t="s">
        <v>13471</v>
      </c>
      <c r="I1481" t="s">
        <v>6479</v>
      </c>
      <c r="J1481" t="s">
        <v>13463</v>
      </c>
      <c r="K1481">
        <v>1</v>
      </c>
      <c r="L1481" t="s">
        <v>13480</v>
      </c>
      <c r="M1481" t="s">
        <v>20</v>
      </c>
      <c r="N1481" t="str">
        <f>_xlfn.XLOOKUP(C:C,'Resource Table'!A:A,'Resource Table'!B:B,"NOT FOUND",0,1)</f>
        <v>Dedicated</v>
      </c>
      <c r="O1481" t="str">
        <f>_xlfn.XLOOKUP(N:N,'Resource Table'!B:B,'Resource Table'!C:C,"n/a",0,1)</f>
        <v>AFS Dedicated Tech</v>
      </c>
      <c r="P1481" t="str">
        <f>_xlfn.XLOOKUP(N:N,'Resource Table'!B:B,'Resource Table'!D:D,"n/a",0,1)</f>
        <v>Dedicated</v>
      </c>
    </row>
    <row r="1482" spans="1:16" x14ac:dyDescent="0.45">
      <c r="A1482" t="s">
        <v>5443</v>
      </c>
      <c r="B1482" t="s">
        <v>5458</v>
      </c>
      <c r="C1482" t="s">
        <v>5521</v>
      </c>
      <c r="D1482" t="s">
        <v>6402</v>
      </c>
      <c r="E1482" t="s">
        <v>6461</v>
      </c>
      <c r="F1482" t="s">
        <v>13460</v>
      </c>
      <c r="G1482" t="s">
        <v>13461</v>
      </c>
      <c r="H1482" t="s">
        <v>13467</v>
      </c>
      <c r="I1482" t="s">
        <v>6479</v>
      </c>
      <c r="J1482" t="s">
        <v>13463</v>
      </c>
      <c r="K1482">
        <v>1</v>
      </c>
      <c r="L1482" t="s">
        <v>13479</v>
      </c>
      <c r="M1482" t="s">
        <v>20</v>
      </c>
      <c r="N1482" t="str">
        <f>_xlfn.XLOOKUP(C:C,'Resource Table'!A:A,'Resource Table'!B:B,"NOT FOUND",0,1)</f>
        <v>Dedicated</v>
      </c>
      <c r="O1482" t="str">
        <f>_xlfn.XLOOKUP(N:N,'Resource Table'!B:B,'Resource Table'!C:C,"n/a",0,1)</f>
        <v>AFS Dedicated Tech</v>
      </c>
      <c r="P1482" t="str">
        <f>_xlfn.XLOOKUP(N:N,'Resource Table'!B:B,'Resource Table'!D:D,"n/a",0,1)</f>
        <v>Dedicated</v>
      </c>
    </row>
    <row r="1483" spans="1:16" x14ac:dyDescent="0.45">
      <c r="A1483" t="s">
        <v>5443</v>
      </c>
      <c r="B1483" t="s">
        <v>5458</v>
      </c>
      <c r="C1483" t="s">
        <v>5521</v>
      </c>
      <c r="D1483" t="s">
        <v>5852</v>
      </c>
      <c r="E1483" t="s">
        <v>6451</v>
      </c>
      <c r="F1483" t="s">
        <v>13473</v>
      </c>
      <c r="G1483" t="s">
        <v>13474</v>
      </c>
      <c r="H1483" t="s">
        <v>13475</v>
      </c>
      <c r="I1483" t="s">
        <v>29</v>
      </c>
      <c r="J1483" t="s">
        <v>13463</v>
      </c>
      <c r="K1483">
        <v>1</v>
      </c>
      <c r="L1483" t="s">
        <v>13524</v>
      </c>
      <c r="M1483" t="s">
        <v>20</v>
      </c>
      <c r="N1483" t="str">
        <f>_xlfn.XLOOKUP(C:C,'Resource Table'!A:A,'Resource Table'!B:B,"NOT FOUND",0,1)</f>
        <v>Dedicated</v>
      </c>
      <c r="O1483" t="str">
        <f>_xlfn.XLOOKUP(N:N,'Resource Table'!B:B,'Resource Table'!C:C,"n/a",0,1)</f>
        <v>AFS Dedicated Tech</v>
      </c>
      <c r="P1483" t="str">
        <f>_xlfn.XLOOKUP(N:N,'Resource Table'!B:B,'Resource Table'!D:D,"n/a",0,1)</f>
        <v>Dedicated</v>
      </c>
    </row>
    <row r="1484" spans="1:16" x14ac:dyDescent="0.45">
      <c r="A1484" t="s">
        <v>5443</v>
      </c>
      <c r="B1484" t="s">
        <v>5458</v>
      </c>
      <c r="C1484" t="s">
        <v>5521</v>
      </c>
      <c r="D1484" t="s">
        <v>6403</v>
      </c>
      <c r="E1484" t="s">
        <v>6461</v>
      </c>
      <c r="F1484" t="s">
        <v>13460</v>
      </c>
      <c r="G1484" t="s">
        <v>13461</v>
      </c>
      <c r="H1484" t="s">
        <v>13467</v>
      </c>
      <c r="I1484" t="s">
        <v>6479</v>
      </c>
      <c r="J1484" t="s">
        <v>13463</v>
      </c>
      <c r="K1484">
        <v>0</v>
      </c>
      <c r="L1484" t="s">
        <v>20</v>
      </c>
      <c r="M1484" t="s">
        <v>20</v>
      </c>
      <c r="N1484" t="str">
        <f>_xlfn.XLOOKUP(C:C,'Resource Table'!A:A,'Resource Table'!B:B,"NOT FOUND",0,1)</f>
        <v>Dedicated</v>
      </c>
      <c r="O1484" t="str">
        <f>_xlfn.XLOOKUP(N:N,'Resource Table'!B:B,'Resource Table'!C:C,"n/a",0,1)</f>
        <v>AFS Dedicated Tech</v>
      </c>
      <c r="P1484" t="str">
        <f>_xlfn.XLOOKUP(N:N,'Resource Table'!B:B,'Resource Table'!D:D,"n/a",0,1)</f>
        <v>Dedicated</v>
      </c>
    </row>
    <row r="1485" spans="1:16" x14ac:dyDescent="0.45">
      <c r="A1485" t="s">
        <v>5443</v>
      </c>
      <c r="B1485" t="s">
        <v>5444</v>
      </c>
      <c r="C1485" t="s">
        <v>6029</v>
      </c>
      <c r="D1485" t="s">
        <v>2235</v>
      </c>
      <c r="E1485" t="s">
        <v>6451</v>
      </c>
      <c r="F1485" t="s">
        <v>13460</v>
      </c>
      <c r="G1485" t="s">
        <v>13461</v>
      </c>
      <c r="H1485" t="s">
        <v>13465</v>
      </c>
      <c r="I1485" t="s">
        <v>6479</v>
      </c>
      <c r="J1485" t="s">
        <v>13463</v>
      </c>
      <c r="K1485">
        <v>3</v>
      </c>
      <c r="L1485" t="s">
        <v>13548</v>
      </c>
      <c r="M1485" t="s">
        <v>13505</v>
      </c>
      <c r="N1485" t="str">
        <f>_xlfn.XLOOKUP(C:C,'Resource Table'!A:A,'Resource Table'!B:B,"NOT FOUND",0,1)</f>
        <v>Hollie Francis</v>
      </c>
      <c r="O1485" t="str">
        <f>_xlfn.XLOOKUP(N:N,'Resource Table'!B:B,'Resource Table'!C:C,"n/a",0,1)</f>
        <v>hfrancis@ameritfleet.com</v>
      </c>
      <c r="P1485" t="str">
        <f>_xlfn.XLOOKUP(N:N,'Resource Table'!B:B,'Resource Table'!D:D,"n/a",0,1)</f>
        <v>Vended Repair</v>
      </c>
    </row>
    <row r="1486" spans="1:16" x14ac:dyDescent="0.45">
      <c r="A1486" t="s">
        <v>5443</v>
      </c>
      <c r="B1486" t="s">
        <v>5444</v>
      </c>
      <c r="C1486" t="s">
        <v>6029</v>
      </c>
      <c r="D1486" t="s">
        <v>1806</v>
      </c>
      <c r="E1486" t="s">
        <v>6461</v>
      </c>
      <c r="F1486" t="s">
        <v>13460</v>
      </c>
      <c r="G1486" t="s">
        <v>13538</v>
      </c>
      <c r="H1486" t="s">
        <v>13539</v>
      </c>
      <c r="I1486" t="s">
        <v>6479</v>
      </c>
      <c r="J1486" t="s">
        <v>13463</v>
      </c>
      <c r="K1486">
        <v>4</v>
      </c>
      <c r="L1486" t="s">
        <v>13520</v>
      </c>
      <c r="M1486" t="s">
        <v>13505</v>
      </c>
      <c r="N1486" t="str">
        <f>_xlfn.XLOOKUP(C:C,'Resource Table'!A:A,'Resource Table'!B:B,"NOT FOUND",0,1)</f>
        <v>Hollie Francis</v>
      </c>
      <c r="O1486" t="str">
        <f>_xlfn.XLOOKUP(N:N,'Resource Table'!B:B,'Resource Table'!C:C,"n/a",0,1)</f>
        <v>hfrancis@ameritfleet.com</v>
      </c>
      <c r="P1486" t="str">
        <f>_xlfn.XLOOKUP(N:N,'Resource Table'!B:B,'Resource Table'!D:D,"n/a",0,1)</f>
        <v>Vended Repair</v>
      </c>
    </row>
    <row r="1487" spans="1:16" x14ac:dyDescent="0.45">
      <c r="A1487" t="s">
        <v>5443</v>
      </c>
      <c r="B1487" t="s">
        <v>5444</v>
      </c>
      <c r="C1487" t="s">
        <v>6029</v>
      </c>
      <c r="D1487" t="s">
        <v>1615</v>
      </c>
      <c r="E1487" t="s">
        <v>6451</v>
      </c>
      <c r="F1487" t="s">
        <v>13460</v>
      </c>
      <c r="G1487" t="s">
        <v>13461</v>
      </c>
      <c r="H1487" t="s">
        <v>13471</v>
      </c>
      <c r="I1487" t="s">
        <v>29</v>
      </c>
      <c r="J1487" t="s">
        <v>13463</v>
      </c>
      <c r="K1487">
        <v>4</v>
      </c>
      <c r="L1487" t="s">
        <v>13497</v>
      </c>
      <c r="M1487" t="s">
        <v>13505</v>
      </c>
      <c r="N1487" t="str">
        <f>_xlfn.XLOOKUP(C:C,'Resource Table'!A:A,'Resource Table'!B:B,"NOT FOUND",0,1)</f>
        <v>Hollie Francis</v>
      </c>
      <c r="O1487" t="str">
        <f>_xlfn.XLOOKUP(N:N,'Resource Table'!B:B,'Resource Table'!C:C,"n/a",0,1)</f>
        <v>hfrancis@ameritfleet.com</v>
      </c>
      <c r="P1487" t="str">
        <f>_xlfn.XLOOKUP(N:N,'Resource Table'!B:B,'Resource Table'!D:D,"n/a",0,1)</f>
        <v>Vended Repair</v>
      </c>
    </row>
    <row r="1488" spans="1:16" x14ac:dyDescent="0.45">
      <c r="A1488" t="s">
        <v>5443</v>
      </c>
      <c r="B1488" t="s">
        <v>5444</v>
      </c>
      <c r="C1488" t="s">
        <v>6029</v>
      </c>
      <c r="D1488" t="s">
        <v>1991</v>
      </c>
      <c r="E1488" t="s">
        <v>6461</v>
      </c>
      <c r="F1488" t="s">
        <v>13460</v>
      </c>
      <c r="G1488" t="s">
        <v>13538</v>
      </c>
      <c r="H1488" t="s">
        <v>13539</v>
      </c>
      <c r="I1488" t="s">
        <v>6479</v>
      </c>
      <c r="J1488" t="s">
        <v>13463</v>
      </c>
      <c r="K1488">
        <v>4</v>
      </c>
      <c r="L1488" t="s">
        <v>13552</v>
      </c>
      <c r="M1488" t="s">
        <v>13505</v>
      </c>
      <c r="N1488" t="str">
        <f>_xlfn.XLOOKUP(C:C,'Resource Table'!A:A,'Resource Table'!B:B,"NOT FOUND",0,1)</f>
        <v>Hollie Francis</v>
      </c>
      <c r="O1488" t="str">
        <f>_xlfn.XLOOKUP(N:N,'Resource Table'!B:B,'Resource Table'!C:C,"n/a",0,1)</f>
        <v>hfrancis@ameritfleet.com</v>
      </c>
      <c r="P1488" t="str">
        <f>_xlfn.XLOOKUP(N:N,'Resource Table'!B:B,'Resource Table'!D:D,"n/a",0,1)</f>
        <v>Vended Repair</v>
      </c>
    </row>
    <row r="1489" spans="1:16" x14ac:dyDescent="0.45">
      <c r="A1489" t="s">
        <v>5443</v>
      </c>
      <c r="B1489" t="s">
        <v>5444</v>
      </c>
      <c r="C1489" t="s">
        <v>6029</v>
      </c>
      <c r="D1489" t="s">
        <v>6351</v>
      </c>
      <c r="E1489" t="s">
        <v>6475</v>
      </c>
      <c r="F1489" t="s">
        <v>13460</v>
      </c>
      <c r="G1489" t="s">
        <v>13461</v>
      </c>
      <c r="H1489" t="s">
        <v>13471</v>
      </c>
      <c r="I1489" t="s">
        <v>6479</v>
      </c>
      <c r="J1489" t="s">
        <v>13463</v>
      </c>
      <c r="K1489">
        <v>2</v>
      </c>
      <c r="L1489" t="s">
        <v>13472</v>
      </c>
      <c r="M1489" t="s">
        <v>13484</v>
      </c>
      <c r="N1489" t="str">
        <f>_xlfn.XLOOKUP(C:C,'Resource Table'!A:A,'Resource Table'!B:B,"NOT FOUND",0,1)</f>
        <v>Hollie Francis</v>
      </c>
      <c r="O1489" t="str">
        <f>_xlfn.XLOOKUP(N:N,'Resource Table'!B:B,'Resource Table'!C:C,"n/a",0,1)</f>
        <v>hfrancis@ameritfleet.com</v>
      </c>
      <c r="P1489" t="str">
        <f>_xlfn.XLOOKUP(N:N,'Resource Table'!B:B,'Resource Table'!D:D,"n/a",0,1)</f>
        <v>Vended Repair</v>
      </c>
    </row>
    <row r="1490" spans="1:16" x14ac:dyDescent="0.45">
      <c r="A1490" t="s">
        <v>5443</v>
      </c>
      <c r="B1490" t="s">
        <v>5458</v>
      </c>
      <c r="C1490" t="s">
        <v>5459</v>
      </c>
      <c r="D1490" t="s">
        <v>3206</v>
      </c>
      <c r="E1490" t="s">
        <v>6451</v>
      </c>
      <c r="F1490" t="s">
        <v>13460</v>
      </c>
      <c r="G1490" t="s">
        <v>13461</v>
      </c>
      <c r="H1490" t="s">
        <v>13471</v>
      </c>
      <c r="I1490" t="s">
        <v>6479</v>
      </c>
      <c r="J1490" t="s">
        <v>13463</v>
      </c>
      <c r="K1490">
        <v>2</v>
      </c>
      <c r="L1490" t="s">
        <v>13468</v>
      </c>
      <c r="M1490" t="s">
        <v>13468</v>
      </c>
      <c r="N1490" t="str">
        <f>_xlfn.XLOOKUP(C:C,'Resource Table'!A:A,'Resource Table'!B:B,"NOT FOUND",0,1)</f>
        <v>Dedicated</v>
      </c>
      <c r="O1490" t="str">
        <f>_xlfn.XLOOKUP(N:N,'Resource Table'!B:B,'Resource Table'!C:C,"n/a",0,1)</f>
        <v>AFS Dedicated Tech</v>
      </c>
      <c r="P1490" t="str">
        <f>_xlfn.XLOOKUP(N:N,'Resource Table'!B:B,'Resource Table'!D:D,"n/a",0,1)</f>
        <v>Dedicated</v>
      </c>
    </row>
    <row r="1491" spans="1:16" x14ac:dyDescent="0.45">
      <c r="A1491" t="s">
        <v>5443</v>
      </c>
      <c r="B1491" t="s">
        <v>5458</v>
      </c>
      <c r="C1491" t="s">
        <v>5459</v>
      </c>
      <c r="D1491" t="s">
        <v>6377</v>
      </c>
      <c r="E1491" t="s">
        <v>6451</v>
      </c>
      <c r="F1491" t="s">
        <v>13460</v>
      </c>
      <c r="G1491" t="s">
        <v>13461</v>
      </c>
      <c r="H1491" t="s">
        <v>13471</v>
      </c>
      <c r="I1491" t="s">
        <v>6479</v>
      </c>
      <c r="J1491" t="s">
        <v>13463</v>
      </c>
      <c r="K1491">
        <v>0</v>
      </c>
      <c r="L1491" t="s">
        <v>20</v>
      </c>
      <c r="M1491" t="s">
        <v>20</v>
      </c>
      <c r="N1491" t="str">
        <f>_xlfn.XLOOKUP(C:C,'Resource Table'!A:A,'Resource Table'!B:B,"NOT FOUND",0,1)</f>
        <v>Dedicated</v>
      </c>
      <c r="O1491" t="str">
        <f>_xlfn.XLOOKUP(N:N,'Resource Table'!B:B,'Resource Table'!C:C,"n/a",0,1)</f>
        <v>AFS Dedicated Tech</v>
      </c>
      <c r="P1491" t="str">
        <f>_xlfn.XLOOKUP(N:N,'Resource Table'!B:B,'Resource Table'!D:D,"n/a",0,1)</f>
        <v>Dedicated</v>
      </c>
    </row>
    <row r="1492" spans="1:16" x14ac:dyDescent="0.45">
      <c r="A1492" t="s">
        <v>5443</v>
      </c>
      <c r="B1492" t="s">
        <v>5458</v>
      </c>
      <c r="C1492" t="s">
        <v>5459</v>
      </c>
      <c r="D1492" t="s">
        <v>3870</v>
      </c>
      <c r="E1492" t="s">
        <v>6451</v>
      </c>
      <c r="F1492" t="s">
        <v>13460</v>
      </c>
      <c r="G1492" t="s">
        <v>13461</v>
      </c>
      <c r="H1492" t="s">
        <v>13465</v>
      </c>
      <c r="I1492" t="s">
        <v>6479</v>
      </c>
      <c r="J1492" t="s">
        <v>13463</v>
      </c>
      <c r="K1492">
        <v>0</v>
      </c>
      <c r="L1492" t="s">
        <v>20</v>
      </c>
      <c r="M1492" t="s">
        <v>20</v>
      </c>
      <c r="N1492" t="str">
        <f>_xlfn.XLOOKUP(C:C,'Resource Table'!A:A,'Resource Table'!B:B,"NOT FOUND",0,1)</f>
        <v>Dedicated</v>
      </c>
      <c r="O1492" t="str">
        <f>_xlfn.XLOOKUP(N:N,'Resource Table'!B:B,'Resource Table'!C:C,"n/a",0,1)</f>
        <v>AFS Dedicated Tech</v>
      </c>
      <c r="P1492" t="str">
        <f>_xlfn.XLOOKUP(N:N,'Resource Table'!B:B,'Resource Table'!D:D,"n/a",0,1)</f>
        <v>Dedicated</v>
      </c>
    </row>
    <row r="1493" spans="1:16" x14ac:dyDescent="0.45">
      <c r="A1493" t="s">
        <v>5443</v>
      </c>
      <c r="B1493" t="s">
        <v>5458</v>
      </c>
      <c r="C1493" t="s">
        <v>5459</v>
      </c>
      <c r="D1493" t="s">
        <v>6288</v>
      </c>
      <c r="E1493" t="s">
        <v>6451</v>
      </c>
      <c r="F1493" t="s">
        <v>13460</v>
      </c>
      <c r="G1493" t="s">
        <v>13461</v>
      </c>
      <c r="H1493" t="s">
        <v>13465</v>
      </c>
      <c r="I1493" t="s">
        <v>6479</v>
      </c>
      <c r="J1493" t="s">
        <v>13463</v>
      </c>
      <c r="K1493">
        <v>0</v>
      </c>
      <c r="L1493" t="s">
        <v>20</v>
      </c>
      <c r="M1493" t="s">
        <v>20</v>
      </c>
      <c r="N1493" t="str">
        <f>_xlfn.XLOOKUP(C:C,'Resource Table'!A:A,'Resource Table'!B:B,"NOT FOUND",0,1)</f>
        <v>Dedicated</v>
      </c>
      <c r="O1493" t="str">
        <f>_xlfn.XLOOKUP(N:N,'Resource Table'!B:B,'Resource Table'!C:C,"n/a",0,1)</f>
        <v>AFS Dedicated Tech</v>
      </c>
      <c r="P1493" t="str">
        <f>_xlfn.XLOOKUP(N:N,'Resource Table'!B:B,'Resource Table'!D:D,"n/a",0,1)</f>
        <v>Dedicated</v>
      </c>
    </row>
    <row r="1494" spans="1:16" x14ac:dyDescent="0.45">
      <c r="A1494" t="s">
        <v>5443</v>
      </c>
      <c r="B1494" t="s">
        <v>5458</v>
      </c>
      <c r="C1494" t="s">
        <v>5459</v>
      </c>
      <c r="D1494" t="s">
        <v>5948</v>
      </c>
      <c r="E1494" t="s">
        <v>6461</v>
      </c>
      <c r="F1494" t="s">
        <v>13460</v>
      </c>
      <c r="G1494" t="s">
        <v>13481</v>
      </c>
      <c r="H1494" t="s">
        <v>13482</v>
      </c>
      <c r="I1494" t="s">
        <v>6479</v>
      </c>
      <c r="J1494" t="s">
        <v>13486</v>
      </c>
      <c r="K1494">
        <v>2</v>
      </c>
      <c r="L1494" t="s">
        <v>13524</v>
      </c>
      <c r="M1494" t="s">
        <v>13480</v>
      </c>
      <c r="N1494" t="str">
        <f>_xlfn.XLOOKUP(C:C,'Resource Table'!A:A,'Resource Table'!B:B,"NOT FOUND",0,1)</f>
        <v>Dedicated</v>
      </c>
      <c r="O1494" t="str">
        <f>_xlfn.XLOOKUP(N:N,'Resource Table'!B:B,'Resource Table'!C:C,"n/a",0,1)</f>
        <v>AFS Dedicated Tech</v>
      </c>
      <c r="P1494" t="str">
        <f>_xlfn.XLOOKUP(N:N,'Resource Table'!B:B,'Resource Table'!D:D,"n/a",0,1)</f>
        <v>Dedicated</v>
      </c>
    </row>
    <row r="1495" spans="1:16" x14ac:dyDescent="0.45">
      <c r="A1495" t="s">
        <v>5443</v>
      </c>
      <c r="B1495" t="s">
        <v>5458</v>
      </c>
      <c r="C1495" t="s">
        <v>5459</v>
      </c>
      <c r="D1495" t="s">
        <v>6292</v>
      </c>
      <c r="E1495" t="s">
        <v>6451</v>
      </c>
      <c r="F1495" t="s">
        <v>13460</v>
      </c>
      <c r="G1495" t="s">
        <v>13461</v>
      </c>
      <c r="H1495" t="s">
        <v>13465</v>
      </c>
      <c r="I1495" t="s">
        <v>6479</v>
      </c>
      <c r="J1495" t="s">
        <v>13463</v>
      </c>
      <c r="K1495">
        <v>0</v>
      </c>
      <c r="L1495" t="s">
        <v>20</v>
      </c>
      <c r="M1495" t="s">
        <v>20</v>
      </c>
      <c r="N1495" t="str">
        <f>_xlfn.XLOOKUP(C:C,'Resource Table'!A:A,'Resource Table'!B:B,"NOT FOUND",0,1)</f>
        <v>Dedicated</v>
      </c>
      <c r="O1495" t="str">
        <f>_xlfn.XLOOKUP(N:N,'Resource Table'!B:B,'Resource Table'!C:C,"n/a",0,1)</f>
        <v>AFS Dedicated Tech</v>
      </c>
      <c r="P1495" t="str">
        <f>_xlfn.XLOOKUP(N:N,'Resource Table'!B:B,'Resource Table'!D:D,"n/a",0,1)</f>
        <v>Dedicated</v>
      </c>
    </row>
    <row r="1496" spans="1:16" x14ac:dyDescent="0.45">
      <c r="A1496" t="s">
        <v>5443</v>
      </c>
      <c r="B1496" t="s">
        <v>5458</v>
      </c>
      <c r="C1496" t="s">
        <v>5459</v>
      </c>
      <c r="D1496" t="s">
        <v>6413</v>
      </c>
      <c r="E1496" t="s">
        <v>6461</v>
      </c>
      <c r="F1496" t="s">
        <v>13460</v>
      </c>
      <c r="G1496" t="s">
        <v>13461</v>
      </c>
      <c r="H1496" t="s">
        <v>13467</v>
      </c>
      <c r="I1496" t="s">
        <v>6479</v>
      </c>
      <c r="J1496" t="s">
        <v>13463</v>
      </c>
      <c r="K1496">
        <v>1</v>
      </c>
      <c r="L1496" t="s">
        <v>13472</v>
      </c>
      <c r="M1496" t="s">
        <v>20</v>
      </c>
      <c r="N1496" t="str">
        <f>_xlfn.XLOOKUP(C:C,'Resource Table'!A:A,'Resource Table'!B:B,"NOT FOUND",0,1)</f>
        <v>Dedicated</v>
      </c>
      <c r="O1496" t="str">
        <f>_xlfn.XLOOKUP(N:N,'Resource Table'!B:B,'Resource Table'!C:C,"n/a",0,1)</f>
        <v>AFS Dedicated Tech</v>
      </c>
      <c r="P1496" t="str">
        <f>_xlfn.XLOOKUP(N:N,'Resource Table'!B:B,'Resource Table'!D:D,"n/a",0,1)</f>
        <v>Dedicated</v>
      </c>
    </row>
    <row r="1497" spans="1:16" x14ac:dyDescent="0.45">
      <c r="A1497" t="s">
        <v>5443</v>
      </c>
      <c r="B1497" t="s">
        <v>5458</v>
      </c>
      <c r="C1497" t="s">
        <v>5459</v>
      </c>
      <c r="D1497" t="s">
        <v>6404</v>
      </c>
      <c r="E1497" t="s">
        <v>6461</v>
      </c>
      <c r="F1497" t="s">
        <v>13460</v>
      </c>
      <c r="G1497" t="s">
        <v>13461</v>
      </c>
      <c r="H1497" t="s">
        <v>13467</v>
      </c>
      <c r="I1497" t="s">
        <v>6479</v>
      </c>
      <c r="J1497" t="s">
        <v>13463</v>
      </c>
      <c r="K1497">
        <v>1</v>
      </c>
      <c r="L1497" t="s">
        <v>13487</v>
      </c>
      <c r="M1497" t="s">
        <v>20</v>
      </c>
      <c r="N1497" t="str">
        <f>_xlfn.XLOOKUP(C:C,'Resource Table'!A:A,'Resource Table'!B:B,"NOT FOUND",0,1)</f>
        <v>Dedicated</v>
      </c>
      <c r="O1497" t="str">
        <f>_xlfn.XLOOKUP(N:N,'Resource Table'!B:B,'Resource Table'!C:C,"n/a",0,1)</f>
        <v>AFS Dedicated Tech</v>
      </c>
      <c r="P1497" t="str">
        <f>_xlfn.XLOOKUP(N:N,'Resource Table'!B:B,'Resource Table'!D:D,"n/a",0,1)</f>
        <v>Dedicated</v>
      </c>
    </row>
    <row r="1498" spans="1:16" x14ac:dyDescent="0.45">
      <c r="A1498" t="s">
        <v>5443</v>
      </c>
      <c r="B1498" t="s">
        <v>5458</v>
      </c>
      <c r="C1498" t="s">
        <v>5459</v>
      </c>
      <c r="D1498" t="s">
        <v>6324</v>
      </c>
      <c r="E1498" t="s">
        <v>6451</v>
      </c>
      <c r="F1498" t="s">
        <v>13460</v>
      </c>
      <c r="G1498" t="s">
        <v>13461</v>
      </c>
      <c r="H1498" t="s">
        <v>13471</v>
      </c>
      <c r="I1498" t="s">
        <v>6479</v>
      </c>
      <c r="J1498" t="s">
        <v>13463</v>
      </c>
      <c r="K1498">
        <v>0</v>
      </c>
      <c r="L1498" t="s">
        <v>20</v>
      </c>
      <c r="M1498" t="s">
        <v>20</v>
      </c>
      <c r="N1498" t="str">
        <f>_xlfn.XLOOKUP(C:C,'Resource Table'!A:A,'Resource Table'!B:B,"NOT FOUND",0,1)</f>
        <v>Dedicated</v>
      </c>
      <c r="O1498" t="str">
        <f>_xlfn.XLOOKUP(N:N,'Resource Table'!B:B,'Resource Table'!C:C,"n/a",0,1)</f>
        <v>AFS Dedicated Tech</v>
      </c>
      <c r="P1498" t="str">
        <f>_xlfn.XLOOKUP(N:N,'Resource Table'!B:B,'Resource Table'!D:D,"n/a",0,1)</f>
        <v>Dedicated</v>
      </c>
    </row>
    <row r="1499" spans="1:16" x14ac:dyDescent="0.45">
      <c r="A1499" t="s">
        <v>5443</v>
      </c>
      <c r="B1499" t="s">
        <v>5458</v>
      </c>
      <c r="C1499" t="s">
        <v>5459</v>
      </c>
      <c r="D1499" t="s">
        <v>2555</v>
      </c>
      <c r="E1499" t="s">
        <v>6461</v>
      </c>
      <c r="F1499" t="s">
        <v>13460</v>
      </c>
      <c r="G1499" t="s">
        <v>13481</v>
      </c>
      <c r="H1499" t="s">
        <v>13482</v>
      </c>
      <c r="I1499" t="s">
        <v>6479</v>
      </c>
      <c r="J1499" t="s">
        <v>13463</v>
      </c>
      <c r="K1499">
        <v>1</v>
      </c>
      <c r="L1499" t="s">
        <v>13499</v>
      </c>
      <c r="M1499" t="s">
        <v>13505</v>
      </c>
      <c r="N1499" t="str">
        <f>_xlfn.XLOOKUP(C:C,'Resource Table'!A:A,'Resource Table'!B:B,"NOT FOUND",0,1)</f>
        <v>Dedicated</v>
      </c>
      <c r="O1499" t="str">
        <f>_xlfn.XLOOKUP(N:N,'Resource Table'!B:B,'Resource Table'!C:C,"n/a",0,1)</f>
        <v>AFS Dedicated Tech</v>
      </c>
      <c r="P1499" t="str">
        <f>_xlfn.XLOOKUP(N:N,'Resource Table'!B:B,'Resource Table'!D:D,"n/a",0,1)</f>
        <v>Dedicated</v>
      </c>
    </row>
    <row r="1500" spans="1:16" x14ac:dyDescent="0.45">
      <c r="A1500" t="s">
        <v>5443</v>
      </c>
      <c r="B1500" t="s">
        <v>5458</v>
      </c>
      <c r="C1500" t="s">
        <v>5459</v>
      </c>
      <c r="D1500" t="s">
        <v>13101</v>
      </c>
      <c r="E1500" t="s">
        <v>6451</v>
      </c>
      <c r="F1500" t="s">
        <v>13460</v>
      </c>
      <c r="G1500" t="s">
        <v>13461</v>
      </c>
      <c r="H1500" t="s">
        <v>13465</v>
      </c>
      <c r="I1500" t="s">
        <v>6479</v>
      </c>
      <c r="J1500" t="s">
        <v>13463</v>
      </c>
      <c r="K1500">
        <v>0</v>
      </c>
      <c r="L1500" t="s">
        <v>20</v>
      </c>
      <c r="M1500" t="s">
        <v>20</v>
      </c>
      <c r="N1500" t="str">
        <f>_xlfn.XLOOKUP(C:C,'Resource Table'!A:A,'Resource Table'!B:B,"NOT FOUND",0,1)</f>
        <v>Dedicated</v>
      </c>
      <c r="O1500" t="str">
        <f>_xlfn.XLOOKUP(N:N,'Resource Table'!B:B,'Resource Table'!C:C,"n/a",0,1)</f>
        <v>AFS Dedicated Tech</v>
      </c>
      <c r="P1500" t="str">
        <f>_xlfn.XLOOKUP(N:N,'Resource Table'!B:B,'Resource Table'!D:D,"n/a",0,1)</f>
        <v>Dedicated</v>
      </c>
    </row>
    <row r="1501" spans="1:16" x14ac:dyDescent="0.45">
      <c r="A1501" t="s">
        <v>5443</v>
      </c>
      <c r="B1501" t="s">
        <v>5458</v>
      </c>
      <c r="C1501" t="s">
        <v>5459</v>
      </c>
      <c r="D1501" t="s">
        <v>6373</v>
      </c>
      <c r="E1501" t="s">
        <v>6451</v>
      </c>
      <c r="F1501" t="s">
        <v>13460</v>
      </c>
      <c r="G1501" t="s">
        <v>13461</v>
      </c>
      <c r="H1501" t="s">
        <v>13471</v>
      </c>
      <c r="I1501" t="s">
        <v>6479</v>
      </c>
      <c r="J1501" t="s">
        <v>13463</v>
      </c>
      <c r="K1501">
        <v>2</v>
      </c>
      <c r="L1501" t="s">
        <v>13534</v>
      </c>
      <c r="M1501" t="s">
        <v>13468</v>
      </c>
      <c r="N1501" t="str">
        <f>_xlfn.XLOOKUP(C:C,'Resource Table'!A:A,'Resource Table'!B:B,"NOT FOUND",0,1)</f>
        <v>Dedicated</v>
      </c>
      <c r="O1501" t="str">
        <f>_xlfn.XLOOKUP(N:N,'Resource Table'!B:B,'Resource Table'!C:C,"n/a",0,1)</f>
        <v>AFS Dedicated Tech</v>
      </c>
      <c r="P1501" t="str">
        <f>_xlfn.XLOOKUP(N:N,'Resource Table'!B:B,'Resource Table'!D:D,"n/a",0,1)</f>
        <v>Dedicated</v>
      </c>
    </row>
    <row r="1502" spans="1:16" x14ac:dyDescent="0.45">
      <c r="A1502" t="s">
        <v>5443</v>
      </c>
      <c r="B1502" t="s">
        <v>5458</v>
      </c>
      <c r="C1502" t="s">
        <v>5459</v>
      </c>
      <c r="D1502" t="s">
        <v>5718</v>
      </c>
      <c r="E1502" t="s">
        <v>6451</v>
      </c>
      <c r="F1502" t="s">
        <v>13473</v>
      </c>
      <c r="G1502" t="s">
        <v>13474</v>
      </c>
      <c r="H1502" t="s">
        <v>13517</v>
      </c>
      <c r="I1502" t="s">
        <v>6479</v>
      </c>
      <c r="J1502" t="s">
        <v>13463</v>
      </c>
      <c r="K1502">
        <v>1</v>
      </c>
      <c r="L1502" t="s">
        <v>13468</v>
      </c>
      <c r="M1502" t="s">
        <v>20</v>
      </c>
      <c r="N1502" t="str">
        <f>_xlfn.XLOOKUP(C:C,'Resource Table'!A:A,'Resource Table'!B:B,"NOT FOUND",0,1)</f>
        <v>Dedicated</v>
      </c>
      <c r="O1502" t="str">
        <f>_xlfn.XLOOKUP(N:N,'Resource Table'!B:B,'Resource Table'!C:C,"n/a",0,1)</f>
        <v>AFS Dedicated Tech</v>
      </c>
      <c r="P1502" t="str">
        <f>_xlfn.XLOOKUP(N:N,'Resource Table'!B:B,'Resource Table'!D:D,"n/a",0,1)</f>
        <v>Dedicated</v>
      </c>
    </row>
    <row r="1503" spans="1:16" x14ac:dyDescent="0.45">
      <c r="A1503" t="s">
        <v>5443</v>
      </c>
      <c r="B1503" t="s">
        <v>5458</v>
      </c>
      <c r="C1503" t="s">
        <v>5459</v>
      </c>
      <c r="D1503" t="s">
        <v>6358</v>
      </c>
      <c r="E1503" t="s">
        <v>6451</v>
      </c>
      <c r="F1503" t="s">
        <v>13460</v>
      </c>
      <c r="G1503" t="s">
        <v>13461</v>
      </c>
      <c r="H1503" t="s">
        <v>13471</v>
      </c>
      <c r="I1503" t="s">
        <v>29</v>
      </c>
      <c r="J1503" t="s">
        <v>13463</v>
      </c>
      <c r="K1503">
        <v>1</v>
      </c>
      <c r="L1503" t="s">
        <v>13512</v>
      </c>
      <c r="M1503" t="s">
        <v>20</v>
      </c>
      <c r="N1503" t="str">
        <f>_xlfn.XLOOKUP(C:C,'Resource Table'!A:A,'Resource Table'!B:B,"NOT FOUND",0,1)</f>
        <v>Dedicated</v>
      </c>
      <c r="O1503" t="str">
        <f>_xlfn.XLOOKUP(N:N,'Resource Table'!B:B,'Resource Table'!C:C,"n/a",0,1)</f>
        <v>AFS Dedicated Tech</v>
      </c>
      <c r="P1503" t="str">
        <f>_xlfn.XLOOKUP(N:N,'Resource Table'!B:B,'Resource Table'!D:D,"n/a",0,1)</f>
        <v>Dedicated</v>
      </c>
    </row>
    <row r="1504" spans="1:16" x14ac:dyDescent="0.45">
      <c r="A1504" t="s">
        <v>5443</v>
      </c>
      <c r="B1504" t="s">
        <v>5458</v>
      </c>
      <c r="C1504" t="s">
        <v>5459</v>
      </c>
      <c r="D1504" t="s">
        <v>5978</v>
      </c>
      <c r="E1504" t="s">
        <v>6461</v>
      </c>
      <c r="F1504" t="s">
        <v>13460</v>
      </c>
      <c r="G1504" t="s">
        <v>13481</v>
      </c>
      <c r="H1504" t="s">
        <v>13482</v>
      </c>
      <c r="I1504" t="s">
        <v>6479</v>
      </c>
      <c r="J1504" t="s">
        <v>13463</v>
      </c>
      <c r="K1504">
        <v>0</v>
      </c>
      <c r="L1504" t="s">
        <v>20</v>
      </c>
      <c r="M1504" t="s">
        <v>20</v>
      </c>
      <c r="N1504" t="str">
        <f>_xlfn.XLOOKUP(C:C,'Resource Table'!A:A,'Resource Table'!B:B,"NOT FOUND",0,1)</f>
        <v>Dedicated</v>
      </c>
      <c r="O1504" t="str">
        <f>_xlfn.XLOOKUP(N:N,'Resource Table'!B:B,'Resource Table'!C:C,"n/a",0,1)</f>
        <v>AFS Dedicated Tech</v>
      </c>
      <c r="P1504" t="str">
        <f>_xlfn.XLOOKUP(N:N,'Resource Table'!B:B,'Resource Table'!D:D,"n/a",0,1)</f>
        <v>Dedicated</v>
      </c>
    </row>
    <row r="1505" spans="1:16" x14ac:dyDescent="0.45">
      <c r="A1505" t="s">
        <v>5443</v>
      </c>
      <c r="B1505" t="s">
        <v>5458</v>
      </c>
      <c r="C1505" t="s">
        <v>5459</v>
      </c>
      <c r="D1505" t="s">
        <v>6027</v>
      </c>
      <c r="E1505" t="s">
        <v>6461</v>
      </c>
      <c r="F1505" t="s">
        <v>13460</v>
      </c>
      <c r="G1505" t="s">
        <v>13538</v>
      </c>
      <c r="H1505" t="s">
        <v>13539</v>
      </c>
      <c r="I1505" t="s">
        <v>29</v>
      </c>
      <c r="J1505" t="s">
        <v>13486</v>
      </c>
      <c r="K1505">
        <v>3</v>
      </c>
      <c r="L1505" t="s">
        <v>13483</v>
      </c>
      <c r="M1505" t="s">
        <v>13537</v>
      </c>
      <c r="N1505" t="str">
        <f>_xlfn.XLOOKUP(C:C,'Resource Table'!A:A,'Resource Table'!B:B,"NOT FOUND",0,1)</f>
        <v>Dedicated</v>
      </c>
      <c r="O1505" t="str">
        <f>_xlfn.XLOOKUP(N:N,'Resource Table'!B:B,'Resource Table'!C:C,"n/a",0,1)</f>
        <v>AFS Dedicated Tech</v>
      </c>
      <c r="P1505" t="str">
        <f>_xlfn.XLOOKUP(N:N,'Resource Table'!B:B,'Resource Table'!D:D,"n/a",0,1)</f>
        <v>Dedicated</v>
      </c>
    </row>
    <row r="1506" spans="1:16" x14ac:dyDescent="0.45">
      <c r="A1506" t="s">
        <v>5443</v>
      </c>
      <c r="B1506" t="s">
        <v>5458</v>
      </c>
      <c r="C1506" t="s">
        <v>5459</v>
      </c>
      <c r="D1506" t="s">
        <v>4719</v>
      </c>
      <c r="E1506" t="s">
        <v>6461</v>
      </c>
      <c r="F1506" t="s">
        <v>13460</v>
      </c>
      <c r="G1506" t="s">
        <v>13538</v>
      </c>
      <c r="H1506" t="s">
        <v>13539</v>
      </c>
      <c r="I1506" t="s">
        <v>6479</v>
      </c>
      <c r="J1506" t="s">
        <v>13463</v>
      </c>
      <c r="K1506">
        <v>0</v>
      </c>
      <c r="L1506" t="s">
        <v>20</v>
      </c>
      <c r="M1506" t="s">
        <v>20</v>
      </c>
      <c r="N1506" t="str">
        <f>_xlfn.XLOOKUP(C:C,'Resource Table'!A:A,'Resource Table'!B:B,"NOT FOUND",0,1)</f>
        <v>Dedicated</v>
      </c>
      <c r="O1506" t="str">
        <f>_xlfn.XLOOKUP(N:N,'Resource Table'!B:B,'Resource Table'!C:C,"n/a",0,1)</f>
        <v>AFS Dedicated Tech</v>
      </c>
      <c r="P1506" t="str">
        <f>_xlfn.XLOOKUP(N:N,'Resource Table'!B:B,'Resource Table'!D:D,"n/a",0,1)</f>
        <v>Dedicated</v>
      </c>
    </row>
    <row r="1507" spans="1:16" x14ac:dyDescent="0.45">
      <c r="A1507" t="s">
        <v>5443</v>
      </c>
      <c r="B1507" t="s">
        <v>5458</v>
      </c>
      <c r="C1507" t="s">
        <v>5459</v>
      </c>
      <c r="D1507" t="s">
        <v>6374</v>
      </c>
      <c r="E1507" t="s">
        <v>6451</v>
      </c>
      <c r="F1507" t="s">
        <v>13460</v>
      </c>
      <c r="G1507" t="s">
        <v>13461</v>
      </c>
      <c r="H1507" t="s">
        <v>13471</v>
      </c>
      <c r="I1507" t="s">
        <v>6479</v>
      </c>
      <c r="J1507" t="s">
        <v>13463</v>
      </c>
      <c r="K1507">
        <v>1</v>
      </c>
      <c r="L1507" t="s">
        <v>13512</v>
      </c>
      <c r="M1507" t="s">
        <v>20</v>
      </c>
      <c r="N1507" t="str">
        <f>_xlfn.XLOOKUP(C:C,'Resource Table'!A:A,'Resource Table'!B:B,"NOT FOUND",0,1)</f>
        <v>Dedicated</v>
      </c>
      <c r="O1507" t="str">
        <f>_xlfn.XLOOKUP(N:N,'Resource Table'!B:B,'Resource Table'!C:C,"n/a",0,1)</f>
        <v>AFS Dedicated Tech</v>
      </c>
      <c r="P1507" t="str">
        <f>_xlfn.XLOOKUP(N:N,'Resource Table'!B:B,'Resource Table'!D:D,"n/a",0,1)</f>
        <v>Dedicated</v>
      </c>
    </row>
    <row r="1508" spans="1:16" x14ac:dyDescent="0.45">
      <c r="A1508" t="s">
        <v>5443</v>
      </c>
      <c r="B1508" t="s">
        <v>5458</v>
      </c>
      <c r="C1508" t="s">
        <v>5459</v>
      </c>
      <c r="D1508" t="s">
        <v>6376</v>
      </c>
      <c r="E1508" t="s">
        <v>6451</v>
      </c>
      <c r="F1508" t="s">
        <v>13460</v>
      </c>
      <c r="G1508" t="s">
        <v>13461</v>
      </c>
      <c r="H1508" t="s">
        <v>13471</v>
      </c>
      <c r="I1508" t="s">
        <v>6479</v>
      </c>
      <c r="J1508" t="s">
        <v>13463</v>
      </c>
      <c r="K1508">
        <v>1</v>
      </c>
      <c r="L1508" t="s">
        <v>13512</v>
      </c>
      <c r="M1508" t="s">
        <v>20</v>
      </c>
      <c r="N1508" t="str">
        <f>_xlfn.XLOOKUP(C:C,'Resource Table'!A:A,'Resource Table'!B:B,"NOT FOUND",0,1)</f>
        <v>Dedicated</v>
      </c>
      <c r="O1508" t="str">
        <f>_xlfn.XLOOKUP(N:N,'Resource Table'!B:B,'Resource Table'!C:C,"n/a",0,1)</f>
        <v>AFS Dedicated Tech</v>
      </c>
      <c r="P1508" t="str">
        <f>_xlfn.XLOOKUP(N:N,'Resource Table'!B:B,'Resource Table'!D:D,"n/a",0,1)</f>
        <v>Dedicated</v>
      </c>
    </row>
    <row r="1509" spans="1:16" x14ac:dyDescent="0.45">
      <c r="A1509" t="s">
        <v>5443</v>
      </c>
      <c r="B1509" t="s">
        <v>5458</v>
      </c>
      <c r="C1509" t="s">
        <v>5459</v>
      </c>
      <c r="D1509" t="s">
        <v>6293</v>
      </c>
      <c r="E1509" t="s">
        <v>6451</v>
      </c>
      <c r="F1509" t="s">
        <v>13460</v>
      </c>
      <c r="G1509" t="s">
        <v>13461</v>
      </c>
      <c r="H1509" t="s">
        <v>13465</v>
      </c>
      <c r="I1509" t="s">
        <v>6479</v>
      </c>
      <c r="J1509" t="s">
        <v>13463</v>
      </c>
      <c r="K1509">
        <v>2</v>
      </c>
      <c r="L1509" t="s">
        <v>13536</v>
      </c>
      <c r="M1509" t="s">
        <v>20</v>
      </c>
      <c r="N1509" t="str">
        <f>_xlfn.XLOOKUP(C:C,'Resource Table'!A:A,'Resource Table'!B:B,"NOT FOUND",0,1)</f>
        <v>Dedicated</v>
      </c>
      <c r="O1509" t="str">
        <f>_xlfn.XLOOKUP(N:N,'Resource Table'!B:B,'Resource Table'!C:C,"n/a",0,1)</f>
        <v>AFS Dedicated Tech</v>
      </c>
      <c r="P1509" t="str">
        <f>_xlfn.XLOOKUP(N:N,'Resource Table'!B:B,'Resource Table'!D:D,"n/a",0,1)</f>
        <v>Dedicated</v>
      </c>
    </row>
    <row r="1510" spans="1:16" x14ac:dyDescent="0.45">
      <c r="A1510" t="s">
        <v>5443</v>
      </c>
      <c r="B1510" t="s">
        <v>5458</v>
      </c>
      <c r="C1510" t="s">
        <v>5459</v>
      </c>
      <c r="D1510" t="s">
        <v>5949</v>
      </c>
      <c r="E1510" t="s">
        <v>6461</v>
      </c>
      <c r="F1510" t="s">
        <v>13460</v>
      </c>
      <c r="G1510" t="s">
        <v>13481</v>
      </c>
      <c r="H1510" t="s">
        <v>13482</v>
      </c>
      <c r="I1510" t="s">
        <v>6479</v>
      </c>
      <c r="J1510" t="s">
        <v>13463</v>
      </c>
      <c r="K1510">
        <v>1</v>
      </c>
      <c r="L1510" t="s">
        <v>13469</v>
      </c>
      <c r="M1510" t="s">
        <v>13513</v>
      </c>
      <c r="N1510" t="str">
        <f>_xlfn.XLOOKUP(C:C,'Resource Table'!A:A,'Resource Table'!B:B,"NOT FOUND",0,1)</f>
        <v>Dedicated</v>
      </c>
      <c r="O1510" t="str">
        <f>_xlfn.XLOOKUP(N:N,'Resource Table'!B:B,'Resource Table'!C:C,"n/a",0,1)</f>
        <v>AFS Dedicated Tech</v>
      </c>
      <c r="P1510" t="str">
        <f>_xlfn.XLOOKUP(N:N,'Resource Table'!B:B,'Resource Table'!D:D,"n/a",0,1)</f>
        <v>Dedicated</v>
      </c>
    </row>
    <row r="1511" spans="1:16" x14ac:dyDescent="0.45">
      <c r="A1511" t="s">
        <v>5443</v>
      </c>
      <c r="B1511" t="s">
        <v>5458</v>
      </c>
      <c r="C1511" t="s">
        <v>5459</v>
      </c>
      <c r="D1511" t="s">
        <v>6278</v>
      </c>
      <c r="E1511" t="s">
        <v>6451</v>
      </c>
      <c r="F1511" t="s">
        <v>13460</v>
      </c>
      <c r="G1511" t="s">
        <v>13461</v>
      </c>
      <c r="H1511" t="s">
        <v>13465</v>
      </c>
      <c r="I1511" t="s">
        <v>6479</v>
      </c>
      <c r="J1511" t="s">
        <v>13463</v>
      </c>
      <c r="K1511">
        <v>0</v>
      </c>
      <c r="L1511" t="s">
        <v>20</v>
      </c>
      <c r="M1511" t="s">
        <v>20</v>
      </c>
      <c r="N1511" t="str">
        <f>_xlfn.XLOOKUP(C:C,'Resource Table'!A:A,'Resource Table'!B:B,"NOT FOUND",0,1)</f>
        <v>Dedicated</v>
      </c>
      <c r="O1511" t="str">
        <f>_xlfn.XLOOKUP(N:N,'Resource Table'!B:B,'Resource Table'!C:C,"n/a",0,1)</f>
        <v>AFS Dedicated Tech</v>
      </c>
      <c r="P1511" t="str">
        <f>_xlfn.XLOOKUP(N:N,'Resource Table'!B:B,'Resource Table'!D:D,"n/a",0,1)</f>
        <v>Dedicated</v>
      </c>
    </row>
    <row r="1512" spans="1:16" x14ac:dyDescent="0.45">
      <c r="A1512" t="s">
        <v>5443</v>
      </c>
      <c r="B1512" t="s">
        <v>5458</v>
      </c>
      <c r="C1512" t="s">
        <v>5459</v>
      </c>
      <c r="D1512" t="s">
        <v>4443</v>
      </c>
      <c r="E1512" t="s">
        <v>6451</v>
      </c>
      <c r="F1512" t="s">
        <v>13473</v>
      </c>
      <c r="G1512" t="s">
        <v>13474</v>
      </c>
      <c r="H1512" t="s">
        <v>13517</v>
      </c>
      <c r="I1512" t="s">
        <v>6479</v>
      </c>
      <c r="J1512" t="s">
        <v>13463</v>
      </c>
      <c r="K1512">
        <v>1</v>
      </c>
      <c r="L1512" t="s">
        <v>13480</v>
      </c>
      <c r="M1512" t="s">
        <v>20</v>
      </c>
      <c r="N1512" t="str">
        <f>_xlfn.XLOOKUP(C:C,'Resource Table'!A:A,'Resource Table'!B:B,"NOT FOUND",0,1)</f>
        <v>Dedicated</v>
      </c>
      <c r="O1512" t="str">
        <f>_xlfn.XLOOKUP(N:N,'Resource Table'!B:B,'Resource Table'!C:C,"n/a",0,1)</f>
        <v>AFS Dedicated Tech</v>
      </c>
      <c r="P1512" t="str">
        <f>_xlfn.XLOOKUP(N:N,'Resource Table'!B:B,'Resource Table'!D:D,"n/a",0,1)</f>
        <v>Dedicated</v>
      </c>
    </row>
    <row r="1513" spans="1:16" x14ac:dyDescent="0.45">
      <c r="A1513" t="s">
        <v>5443</v>
      </c>
      <c r="B1513" t="s">
        <v>5458</v>
      </c>
      <c r="C1513" t="s">
        <v>5459</v>
      </c>
      <c r="D1513" t="s">
        <v>6379</v>
      </c>
      <c r="E1513" t="s">
        <v>6475</v>
      </c>
      <c r="F1513" t="s">
        <v>13460</v>
      </c>
      <c r="G1513" t="s">
        <v>13461</v>
      </c>
      <c r="H1513" t="s">
        <v>13471</v>
      </c>
      <c r="I1513" t="s">
        <v>6479</v>
      </c>
      <c r="J1513" t="s">
        <v>13463</v>
      </c>
      <c r="K1513">
        <v>0</v>
      </c>
      <c r="L1513" t="s">
        <v>20</v>
      </c>
      <c r="M1513" t="s">
        <v>20</v>
      </c>
      <c r="N1513" t="str">
        <f>_xlfn.XLOOKUP(C:C,'Resource Table'!A:A,'Resource Table'!B:B,"NOT FOUND",0,1)</f>
        <v>Dedicated</v>
      </c>
      <c r="O1513" t="str">
        <f>_xlfn.XLOOKUP(N:N,'Resource Table'!B:B,'Resource Table'!C:C,"n/a",0,1)</f>
        <v>AFS Dedicated Tech</v>
      </c>
      <c r="P1513" t="str">
        <f>_xlfn.XLOOKUP(N:N,'Resource Table'!B:B,'Resource Table'!D:D,"n/a",0,1)</f>
        <v>Dedicated</v>
      </c>
    </row>
    <row r="1514" spans="1:16" x14ac:dyDescent="0.45">
      <c r="A1514" t="s">
        <v>5443</v>
      </c>
      <c r="B1514" t="s">
        <v>5458</v>
      </c>
      <c r="C1514" t="s">
        <v>5479</v>
      </c>
      <c r="D1514" t="s">
        <v>5721</v>
      </c>
      <c r="E1514" t="s">
        <v>6451</v>
      </c>
      <c r="F1514" t="s">
        <v>13473</v>
      </c>
      <c r="G1514" t="s">
        <v>13474</v>
      </c>
      <c r="H1514" t="s">
        <v>13517</v>
      </c>
      <c r="I1514" t="s">
        <v>6479</v>
      </c>
      <c r="J1514" t="s">
        <v>13463</v>
      </c>
      <c r="K1514">
        <v>2</v>
      </c>
      <c r="L1514" t="s">
        <v>13520</v>
      </c>
      <c r="M1514" t="s">
        <v>13472</v>
      </c>
      <c r="N1514" t="str">
        <f>_xlfn.XLOOKUP(C:C,'Resource Table'!A:A,'Resource Table'!B:B,"NOT FOUND",0,1)</f>
        <v>Dedicated</v>
      </c>
      <c r="O1514" t="str">
        <f>_xlfn.XLOOKUP(N:N,'Resource Table'!B:B,'Resource Table'!C:C,"n/a",0,1)</f>
        <v>AFS Dedicated Tech</v>
      </c>
      <c r="P1514" t="str">
        <f>_xlfn.XLOOKUP(N:N,'Resource Table'!B:B,'Resource Table'!D:D,"n/a",0,1)</f>
        <v>Dedicated</v>
      </c>
    </row>
    <row r="1515" spans="1:16" x14ac:dyDescent="0.45">
      <c r="A1515" t="s">
        <v>5443</v>
      </c>
      <c r="B1515" t="s">
        <v>5458</v>
      </c>
      <c r="C1515" t="s">
        <v>5479</v>
      </c>
      <c r="D1515" t="s">
        <v>5815</v>
      </c>
      <c r="E1515" t="s">
        <v>6451</v>
      </c>
      <c r="F1515" t="s">
        <v>13473</v>
      </c>
      <c r="G1515" t="s">
        <v>13474</v>
      </c>
      <c r="H1515" t="s">
        <v>13475</v>
      </c>
      <c r="I1515" t="s">
        <v>6479</v>
      </c>
      <c r="J1515" t="s">
        <v>13463</v>
      </c>
      <c r="K1515">
        <v>0</v>
      </c>
      <c r="L1515" t="s">
        <v>20</v>
      </c>
      <c r="M1515" t="s">
        <v>20</v>
      </c>
      <c r="N1515" t="str">
        <f>_xlfn.XLOOKUP(C:C,'Resource Table'!A:A,'Resource Table'!B:B,"NOT FOUND",0,1)</f>
        <v>Dedicated</v>
      </c>
      <c r="O1515" t="str">
        <f>_xlfn.XLOOKUP(N:N,'Resource Table'!B:B,'Resource Table'!C:C,"n/a",0,1)</f>
        <v>AFS Dedicated Tech</v>
      </c>
      <c r="P1515" t="str">
        <f>_xlfn.XLOOKUP(N:N,'Resource Table'!B:B,'Resource Table'!D:D,"n/a",0,1)</f>
        <v>Dedicated</v>
      </c>
    </row>
    <row r="1516" spans="1:16" x14ac:dyDescent="0.45">
      <c r="A1516" t="s">
        <v>5443</v>
      </c>
      <c r="B1516" t="s">
        <v>5458</v>
      </c>
      <c r="C1516" t="s">
        <v>5479</v>
      </c>
      <c r="D1516" t="s">
        <v>3741</v>
      </c>
      <c r="E1516" t="s">
        <v>6451</v>
      </c>
      <c r="F1516" t="s">
        <v>13473</v>
      </c>
      <c r="G1516" t="s">
        <v>13474</v>
      </c>
      <c r="H1516" t="s">
        <v>13475</v>
      </c>
      <c r="I1516" t="s">
        <v>29</v>
      </c>
      <c r="J1516" t="s">
        <v>13463</v>
      </c>
      <c r="K1516">
        <v>3</v>
      </c>
      <c r="L1516" t="s">
        <v>13504</v>
      </c>
      <c r="M1516" t="s">
        <v>13505</v>
      </c>
      <c r="N1516" t="str">
        <f>_xlfn.XLOOKUP(C:C,'Resource Table'!A:A,'Resource Table'!B:B,"NOT FOUND",0,1)</f>
        <v>Dedicated</v>
      </c>
      <c r="O1516" t="str">
        <f>_xlfn.XLOOKUP(N:N,'Resource Table'!B:B,'Resource Table'!C:C,"n/a",0,1)</f>
        <v>AFS Dedicated Tech</v>
      </c>
      <c r="P1516" t="str">
        <f>_xlfn.XLOOKUP(N:N,'Resource Table'!B:B,'Resource Table'!D:D,"n/a",0,1)</f>
        <v>Dedicated</v>
      </c>
    </row>
    <row r="1517" spans="1:16" x14ac:dyDescent="0.45">
      <c r="A1517" t="s">
        <v>5443</v>
      </c>
      <c r="B1517" t="s">
        <v>5458</v>
      </c>
      <c r="C1517" t="s">
        <v>5479</v>
      </c>
      <c r="D1517" t="s">
        <v>6442</v>
      </c>
      <c r="E1517" t="s">
        <v>6451</v>
      </c>
      <c r="F1517" t="s">
        <v>13460</v>
      </c>
      <c r="G1517" t="s">
        <v>13550</v>
      </c>
      <c r="H1517" t="s">
        <v>13551</v>
      </c>
      <c r="I1517" t="s">
        <v>6479</v>
      </c>
      <c r="J1517" t="s">
        <v>13463</v>
      </c>
      <c r="K1517">
        <v>2</v>
      </c>
      <c r="L1517" t="s">
        <v>13497</v>
      </c>
      <c r="M1517" t="s">
        <v>20</v>
      </c>
      <c r="N1517" t="str">
        <f>_xlfn.XLOOKUP(C:C,'Resource Table'!A:A,'Resource Table'!B:B,"NOT FOUND",0,1)</f>
        <v>Dedicated</v>
      </c>
      <c r="O1517" t="str">
        <f>_xlfn.XLOOKUP(N:N,'Resource Table'!B:B,'Resource Table'!C:C,"n/a",0,1)</f>
        <v>AFS Dedicated Tech</v>
      </c>
      <c r="P1517" t="str">
        <f>_xlfn.XLOOKUP(N:N,'Resource Table'!B:B,'Resource Table'!D:D,"n/a",0,1)</f>
        <v>Dedicated</v>
      </c>
    </row>
    <row r="1518" spans="1:16" x14ac:dyDescent="0.45">
      <c r="A1518" t="s">
        <v>5443</v>
      </c>
      <c r="B1518" t="s">
        <v>5458</v>
      </c>
      <c r="C1518" t="s">
        <v>5479</v>
      </c>
      <c r="D1518" t="s">
        <v>6347</v>
      </c>
      <c r="E1518" t="s">
        <v>6451</v>
      </c>
      <c r="F1518" t="s">
        <v>13460</v>
      </c>
      <c r="G1518" t="s">
        <v>13461</v>
      </c>
      <c r="H1518" t="s">
        <v>13471</v>
      </c>
      <c r="I1518" t="s">
        <v>6479</v>
      </c>
      <c r="J1518" t="s">
        <v>13463</v>
      </c>
      <c r="K1518">
        <v>2</v>
      </c>
      <c r="L1518" t="s">
        <v>13520</v>
      </c>
      <c r="M1518" t="s">
        <v>13508</v>
      </c>
      <c r="N1518" t="str">
        <f>_xlfn.XLOOKUP(C:C,'Resource Table'!A:A,'Resource Table'!B:B,"NOT FOUND",0,1)</f>
        <v>Dedicated</v>
      </c>
      <c r="O1518" t="str">
        <f>_xlfn.XLOOKUP(N:N,'Resource Table'!B:B,'Resource Table'!C:C,"n/a",0,1)</f>
        <v>AFS Dedicated Tech</v>
      </c>
      <c r="P1518" t="str">
        <f>_xlfn.XLOOKUP(N:N,'Resource Table'!B:B,'Resource Table'!D:D,"n/a",0,1)</f>
        <v>Dedicated</v>
      </c>
    </row>
    <row r="1519" spans="1:16" x14ac:dyDescent="0.45">
      <c r="A1519" t="s">
        <v>5443</v>
      </c>
      <c r="B1519" t="s">
        <v>5458</v>
      </c>
      <c r="C1519" t="s">
        <v>5479</v>
      </c>
      <c r="D1519" t="s">
        <v>5770</v>
      </c>
      <c r="E1519" t="s">
        <v>6451</v>
      </c>
      <c r="F1519" t="s">
        <v>13473</v>
      </c>
      <c r="G1519" t="s">
        <v>13474</v>
      </c>
      <c r="H1519" t="s">
        <v>13521</v>
      </c>
      <c r="I1519" t="s">
        <v>6479</v>
      </c>
      <c r="J1519" t="s">
        <v>13463</v>
      </c>
      <c r="K1519">
        <v>1</v>
      </c>
      <c r="L1519" t="s">
        <v>13548</v>
      </c>
      <c r="M1519" t="s">
        <v>20</v>
      </c>
      <c r="N1519" t="str">
        <f>_xlfn.XLOOKUP(C:C,'Resource Table'!A:A,'Resource Table'!B:B,"NOT FOUND",0,1)</f>
        <v>Dedicated</v>
      </c>
      <c r="O1519" t="str">
        <f>_xlfn.XLOOKUP(N:N,'Resource Table'!B:B,'Resource Table'!C:C,"n/a",0,1)</f>
        <v>AFS Dedicated Tech</v>
      </c>
      <c r="P1519" t="str">
        <f>_xlfn.XLOOKUP(N:N,'Resource Table'!B:B,'Resource Table'!D:D,"n/a",0,1)</f>
        <v>Dedicated</v>
      </c>
    </row>
    <row r="1520" spans="1:16" x14ac:dyDescent="0.45">
      <c r="A1520" t="s">
        <v>5443</v>
      </c>
      <c r="B1520" t="s">
        <v>5458</v>
      </c>
      <c r="C1520" t="s">
        <v>5479</v>
      </c>
      <c r="D1520" t="s">
        <v>6316</v>
      </c>
      <c r="E1520" t="s">
        <v>6451</v>
      </c>
      <c r="F1520" t="s">
        <v>13460</v>
      </c>
      <c r="G1520" t="s">
        <v>13461</v>
      </c>
      <c r="H1520" t="s">
        <v>13471</v>
      </c>
      <c r="I1520" t="s">
        <v>6479</v>
      </c>
      <c r="J1520" t="s">
        <v>13463</v>
      </c>
      <c r="K1520">
        <v>2</v>
      </c>
      <c r="L1520" t="s">
        <v>13578</v>
      </c>
      <c r="M1520" t="s">
        <v>13469</v>
      </c>
      <c r="N1520" t="str">
        <f>_xlfn.XLOOKUP(C:C,'Resource Table'!A:A,'Resource Table'!B:B,"NOT FOUND",0,1)</f>
        <v>Dedicated</v>
      </c>
      <c r="O1520" t="str">
        <f>_xlfn.XLOOKUP(N:N,'Resource Table'!B:B,'Resource Table'!C:C,"n/a",0,1)</f>
        <v>AFS Dedicated Tech</v>
      </c>
      <c r="P1520" t="str">
        <f>_xlfn.XLOOKUP(N:N,'Resource Table'!B:B,'Resource Table'!D:D,"n/a",0,1)</f>
        <v>Dedicated</v>
      </c>
    </row>
    <row r="1521" spans="1:16" x14ac:dyDescent="0.45">
      <c r="A1521" t="s">
        <v>5443</v>
      </c>
      <c r="B1521" t="s">
        <v>5458</v>
      </c>
      <c r="C1521" t="s">
        <v>5479</v>
      </c>
      <c r="D1521" t="s">
        <v>6368</v>
      </c>
      <c r="E1521" t="s">
        <v>6461</v>
      </c>
      <c r="F1521" t="s">
        <v>13460</v>
      </c>
      <c r="G1521" t="s">
        <v>13461</v>
      </c>
      <c r="H1521" t="s">
        <v>13471</v>
      </c>
      <c r="I1521" t="s">
        <v>6479</v>
      </c>
      <c r="J1521" t="s">
        <v>13463</v>
      </c>
      <c r="K1521">
        <v>0</v>
      </c>
      <c r="L1521" t="s">
        <v>20</v>
      </c>
      <c r="M1521" t="s">
        <v>20</v>
      </c>
      <c r="N1521" t="str">
        <f>_xlfn.XLOOKUP(C:C,'Resource Table'!A:A,'Resource Table'!B:B,"NOT FOUND",0,1)</f>
        <v>Dedicated</v>
      </c>
      <c r="O1521" t="str">
        <f>_xlfn.XLOOKUP(N:N,'Resource Table'!B:B,'Resource Table'!C:C,"n/a",0,1)</f>
        <v>AFS Dedicated Tech</v>
      </c>
      <c r="P1521" t="str">
        <f>_xlfn.XLOOKUP(N:N,'Resource Table'!B:B,'Resource Table'!D:D,"n/a",0,1)</f>
        <v>Dedicated</v>
      </c>
    </row>
    <row r="1522" spans="1:16" x14ac:dyDescent="0.45">
      <c r="A1522" t="s">
        <v>5443</v>
      </c>
      <c r="B1522" t="s">
        <v>5458</v>
      </c>
      <c r="C1522" t="s">
        <v>5479</v>
      </c>
      <c r="D1522" t="s">
        <v>5717</v>
      </c>
      <c r="E1522" t="s">
        <v>6451</v>
      </c>
      <c r="F1522" t="s">
        <v>13473</v>
      </c>
      <c r="G1522" t="s">
        <v>13474</v>
      </c>
      <c r="H1522" t="s">
        <v>13517</v>
      </c>
      <c r="I1522" t="s">
        <v>6479</v>
      </c>
      <c r="J1522" t="s">
        <v>13463</v>
      </c>
      <c r="K1522">
        <v>4</v>
      </c>
      <c r="L1522" t="s">
        <v>13520</v>
      </c>
      <c r="M1522" t="s">
        <v>13468</v>
      </c>
      <c r="N1522" t="str">
        <f>_xlfn.XLOOKUP(C:C,'Resource Table'!A:A,'Resource Table'!B:B,"NOT FOUND",0,1)</f>
        <v>Dedicated</v>
      </c>
      <c r="O1522" t="str">
        <f>_xlfn.XLOOKUP(N:N,'Resource Table'!B:B,'Resource Table'!C:C,"n/a",0,1)</f>
        <v>AFS Dedicated Tech</v>
      </c>
      <c r="P1522" t="str">
        <f>_xlfn.XLOOKUP(N:N,'Resource Table'!B:B,'Resource Table'!D:D,"n/a",0,1)</f>
        <v>Dedicated</v>
      </c>
    </row>
    <row r="1523" spans="1:16" x14ac:dyDescent="0.45">
      <c r="A1523" t="s">
        <v>5443</v>
      </c>
      <c r="B1523" t="s">
        <v>5458</v>
      </c>
      <c r="C1523" t="s">
        <v>5479</v>
      </c>
      <c r="D1523" t="s">
        <v>5977</v>
      </c>
      <c r="E1523" t="s">
        <v>6461</v>
      </c>
      <c r="F1523" t="s">
        <v>13460</v>
      </c>
      <c r="G1523" t="s">
        <v>13481</v>
      </c>
      <c r="H1523" t="s">
        <v>13482</v>
      </c>
      <c r="I1523" t="s">
        <v>6479</v>
      </c>
      <c r="J1523" t="s">
        <v>13463</v>
      </c>
      <c r="K1523">
        <v>0</v>
      </c>
      <c r="L1523" t="s">
        <v>20</v>
      </c>
      <c r="M1523" t="s">
        <v>20</v>
      </c>
      <c r="N1523" t="str">
        <f>_xlfn.XLOOKUP(C:C,'Resource Table'!A:A,'Resource Table'!B:B,"NOT FOUND",0,1)</f>
        <v>Dedicated</v>
      </c>
      <c r="O1523" t="str">
        <f>_xlfn.XLOOKUP(N:N,'Resource Table'!B:B,'Resource Table'!C:C,"n/a",0,1)</f>
        <v>AFS Dedicated Tech</v>
      </c>
      <c r="P1523" t="str">
        <f>_xlfn.XLOOKUP(N:N,'Resource Table'!B:B,'Resource Table'!D:D,"n/a",0,1)</f>
        <v>Dedicated</v>
      </c>
    </row>
    <row r="1524" spans="1:16" x14ac:dyDescent="0.45">
      <c r="A1524" t="s">
        <v>5443</v>
      </c>
      <c r="B1524" t="s">
        <v>5458</v>
      </c>
      <c r="C1524" t="s">
        <v>5479</v>
      </c>
      <c r="D1524" t="s">
        <v>6369</v>
      </c>
      <c r="E1524" t="s">
        <v>6461</v>
      </c>
      <c r="F1524" t="s">
        <v>13460</v>
      </c>
      <c r="G1524" t="s">
        <v>13461</v>
      </c>
      <c r="H1524" t="s">
        <v>13471</v>
      </c>
      <c r="I1524" t="s">
        <v>6479</v>
      </c>
      <c r="J1524" t="s">
        <v>13463</v>
      </c>
      <c r="K1524">
        <v>0</v>
      </c>
      <c r="L1524" t="s">
        <v>20</v>
      </c>
      <c r="M1524" t="s">
        <v>20</v>
      </c>
      <c r="N1524" t="str">
        <f>_xlfn.XLOOKUP(C:C,'Resource Table'!A:A,'Resource Table'!B:B,"NOT FOUND",0,1)</f>
        <v>Dedicated</v>
      </c>
      <c r="O1524" t="str">
        <f>_xlfn.XLOOKUP(N:N,'Resource Table'!B:B,'Resource Table'!C:C,"n/a",0,1)</f>
        <v>AFS Dedicated Tech</v>
      </c>
      <c r="P1524" t="str">
        <f>_xlfn.XLOOKUP(N:N,'Resource Table'!B:B,'Resource Table'!D:D,"n/a",0,1)</f>
        <v>Dedicated</v>
      </c>
    </row>
    <row r="1525" spans="1:16" x14ac:dyDescent="0.45">
      <c r="A1525" t="s">
        <v>5443</v>
      </c>
      <c r="B1525" t="s">
        <v>5458</v>
      </c>
      <c r="C1525" t="s">
        <v>5479</v>
      </c>
      <c r="D1525" t="s">
        <v>5816</v>
      </c>
      <c r="E1525" t="s">
        <v>6451</v>
      </c>
      <c r="F1525" t="s">
        <v>13473</v>
      </c>
      <c r="G1525" t="s">
        <v>13474</v>
      </c>
      <c r="H1525" t="s">
        <v>13475</v>
      </c>
      <c r="I1525" t="s">
        <v>6479</v>
      </c>
      <c r="J1525" t="s">
        <v>13463</v>
      </c>
      <c r="K1525">
        <v>0</v>
      </c>
      <c r="L1525" t="s">
        <v>20</v>
      </c>
      <c r="M1525" t="s">
        <v>20</v>
      </c>
      <c r="N1525" t="str">
        <f>_xlfn.XLOOKUP(C:C,'Resource Table'!A:A,'Resource Table'!B:B,"NOT FOUND",0,1)</f>
        <v>Dedicated</v>
      </c>
      <c r="O1525" t="str">
        <f>_xlfn.XLOOKUP(N:N,'Resource Table'!B:B,'Resource Table'!C:C,"n/a",0,1)</f>
        <v>AFS Dedicated Tech</v>
      </c>
      <c r="P1525" t="str">
        <f>_xlfn.XLOOKUP(N:N,'Resource Table'!B:B,'Resource Table'!D:D,"n/a",0,1)</f>
        <v>Dedicated</v>
      </c>
    </row>
    <row r="1526" spans="1:16" x14ac:dyDescent="0.45">
      <c r="A1526" t="s">
        <v>5443</v>
      </c>
      <c r="B1526" t="s">
        <v>5458</v>
      </c>
      <c r="C1526" t="s">
        <v>5479</v>
      </c>
      <c r="D1526" t="s">
        <v>5480</v>
      </c>
      <c r="E1526" t="s">
        <v>6451</v>
      </c>
      <c r="F1526" t="s">
        <v>13473</v>
      </c>
      <c r="G1526" t="s">
        <v>13474</v>
      </c>
      <c r="H1526" t="s">
        <v>13517</v>
      </c>
      <c r="I1526" t="s">
        <v>6479</v>
      </c>
      <c r="J1526" t="s">
        <v>13463</v>
      </c>
      <c r="K1526">
        <v>1</v>
      </c>
      <c r="L1526" t="s">
        <v>13493</v>
      </c>
      <c r="M1526" t="s">
        <v>20</v>
      </c>
      <c r="N1526" t="str">
        <f>_xlfn.XLOOKUP(C:C,'Resource Table'!A:A,'Resource Table'!B:B,"NOT FOUND",0,1)</f>
        <v>Dedicated</v>
      </c>
      <c r="O1526" t="str">
        <f>_xlfn.XLOOKUP(N:N,'Resource Table'!B:B,'Resource Table'!C:C,"n/a",0,1)</f>
        <v>AFS Dedicated Tech</v>
      </c>
      <c r="P1526" t="str">
        <f>_xlfn.XLOOKUP(N:N,'Resource Table'!B:B,'Resource Table'!D:D,"n/a",0,1)</f>
        <v>Dedicated</v>
      </c>
    </row>
    <row r="1527" spans="1:16" x14ac:dyDescent="0.45">
      <c r="A1527" t="s">
        <v>5443</v>
      </c>
      <c r="B1527" t="s">
        <v>5458</v>
      </c>
      <c r="C1527" t="s">
        <v>5479</v>
      </c>
      <c r="D1527" t="s">
        <v>6353</v>
      </c>
      <c r="E1527" t="s">
        <v>6461</v>
      </c>
      <c r="F1527" t="s">
        <v>13460</v>
      </c>
      <c r="G1527" t="s">
        <v>13461</v>
      </c>
      <c r="H1527" t="s">
        <v>13471</v>
      </c>
      <c r="I1527" t="s">
        <v>6479</v>
      </c>
      <c r="J1527" t="s">
        <v>13463</v>
      </c>
      <c r="K1527">
        <v>1</v>
      </c>
      <c r="L1527" t="s">
        <v>13468</v>
      </c>
      <c r="M1527" t="s">
        <v>20</v>
      </c>
      <c r="N1527" t="str">
        <f>_xlfn.XLOOKUP(C:C,'Resource Table'!A:A,'Resource Table'!B:B,"NOT FOUND",0,1)</f>
        <v>Dedicated</v>
      </c>
      <c r="O1527" t="str">
        <f>_xlfn.XLOOKUP(N:N,'Resource Table'!B:B,'Resource Table'!C:C,"n/a",0,1)</f>
        <v>AFS Dedicated Tech</v>
      </c>
      <c r="P1527" t="str">
        <f>_xlfn.XLOOKUP(N:N,'Resource Table'!B:B,'Resource Table'!D:D,"n/a",0,1)</f>
        <v>Dedicated</v>
      </c>
    </row>
    <row r="1528" spans="1:16" x14ac:dyDescent="0.45">
      <c r="A1528" t="s">
        <v>5443</v>
      </c>
      <c r="B1528" t="s">
        <v>5458</v>
      </c>
      <c r="C1528" t="s">
        <v>5479</v>
      </c>
      <c r="D1528" t="s">
        <v>6355</v>
      </c>
      <c r="E1528" t="s">
        <v>6475</v>
      </c>
      <c r="F1528" t="s">
        <v>13460</v>
      </c>
      <c r="G1528" t="s">
        <v>13461</v>
      </c>
      <c r="H1528" t="s">
        <v>13471</v>
      </c>
      <c r="I1528" t="s">
        <v>6479</v>
      </c>
      <c r="J1528" t="s">
        <v>13463</v>
      </c>
      <c r="K1528">
        <v>1</v>
      </c>
      <c r="L1528" t="s">
        <v>13520</v>
      </c>
      <c r="M1528" t="s">
        <v>20</v>
      </c>
      <c r="N1528" t="str">
        <f>_xlfn.XLOOKUP(C:C,'Resource Table'!A:A,'Resource Table'!B:B,"NOT FOUND",0,1)</f>
        <v>Dedicated</v>
      </c>
      <c r="O1528" t="str">
        <f>_xlfn.XLOOKUP(N:N,'Resource Table'!B:B,'Resource Table'!C:C,"n/a",0,1)</f>
        <v>AFS Dedicated Tech</v>
      </c>
      <c r="P1528" t="str">
        <f>_xlfn.XLOOKUP(N:N,'Resource Table'!B:B,'Resource Table'!D:D,"n/a",0,1)</f>
        <v>Dedicated</v>
      </c>
    </row>
    <row r="1529" spans="1:16" x14ac:dyDescent="0.45">
      <c r="A1529" t="s">
        <v>5443</v>
      </c>
      <c r="B1529" t="s">
        <v>5458</v>
      </c>
      <c r="C1529" t="s">
        <v>5479</v>
      </c>
      <c r="D1529" t="s">
        <v>6346</v>
      </c>
      <c r="E1529" t="s">
        <v>6451</v>
      </c>
      <c r="F1529" t="s">
        <v>13460</v>
      </c>
      <c r="G1529" t="s">
        <v>13461</v>
      </c>
      <c r="H1529" t="s">
        <v>13471</v>
      </c>
      <c r="I1529" t="s">
        <v>6479</v>
      </c>
      <c r="J1529" t="s">
        <v>13463</v>
      </c>
      <c r="K1529">
        <v>0</v>
      </c>
      <c r="L1529" t="s">
        <v>20</v>
      </c>
      <c r="M1529" t="s">
        <v>20</v>
      </c>
      <c r="N1529" t="str">
        <f>_xlfn.XLOOKUP(C:C,'Resource Table'!A:A,'Resource Table'!B:B,"NOT FOUND",0,1)</f>
        <v>Dedicated</v>
      </c>
      <c r="O1529" t="str">
        <f>_xlfn.XLOOKUP(N:N,'Resource Table'!B:B,'Resource Table'!C:C,"n/a",0,1)</f>
        <v>AFS Dedicated Tech</v>
      </c>
      <c r="P1529" t="str">
        <f>_xlfn.XLOOKUP(N:N,'Resource Table'!B:B,'Resource Table'!D:D,"n/a",0,1)</f>
        <v>Dedicated</v>
      </c>
    </row>
    <row r="1530" spans="1:16" x14ac:dyDescent="0.45">
      <c r="A1530" t="s">
        <v>5443</v>
      </c>
      <c r="B1530" t="s">
        <v>5458</v>
      </c>
      <c r="C1530" t="s">
        <v>5479</v>
      </c>
      <c r="D1530" t="s">
        <v>5722</v>
      </c>
      <c r="E1530" t="s">
        <v>6451</v>
      </c>
      <c r="F1530" t="s">
        <v>13473</v>
      </c>
      <c r="G1530" t="s">
        <v>13474</v>
      </c>
      <c r="H1530" t="s">
        <v>13517</v>
      </c>
      <c r="I1530" t="s">
        <v>6479</v>
      </c>
      <c r="J1530" t="s">
        <v>13463</v>
      </c>
      <c r="K1530">
        <v>2</v>
      </c>
      <c r="L1530" t="s">
        <v>13529</v>
      </c>
      <c r="M1530" t="s">
        <v>13535</v>
      </c>
      <c r="N1530" t="str">
        <f>_xlfn.XLOOKUP(C:C,'Resource Table'!A:A,'Resource Table'!B:B,"NOT FOUND",0,1)</f>
        <v>Dedicated</v>
      </c>
      <c r="O1530" t="str">
        <f>_xlfn.XLOOKUP(N:N,'Resource Table'!B:B,'Resource Table'!C:C,"n/a",0,1)</f>
        <v>AFS Dedicated Tech</v>
      </c>
      <c r="P1530" t="str">
        <f>_xlfn.XLOOKUP(N:N,'Resource Table'!B:B,'Resource Table'!D:D,"n/a",0,1)</f>
        <v>Dedicated</v>
      </c>
    </row>
    <row r="1531" spans="1:16" x14ac:dyDescent="0.45">
      <c r="A1531" t="s">
        <v>5443</v>
      </c>
      <c r="B1531" t="s">
        <v>5458</v>
      </c>
      <c r="C1531" t="s">
        <v>5479</v>
      </c>
      <c r="D1531" t="s">
        <v>5903</v>
      </c>
      <c r="E1531" t="s">
        <v>6451</v>
      </c>
      <c r="F1531" t="s">
        <v>13473</v>
      </c>
      <c r="G1531" t="s">
        <v>13474</v>
      </c>
      <c r="H1531" t="s">
        <v>13475</v>
      </c>
      <c r="I1531" t="s">
        <v>6479</v>
      </c>
      <c r="J1531" t="s">
        <v>13463</v>
      </c>
      <c r="K1531">
        <v>0</v>
      </c>
      <c r="L1531" t="s">
        <v>20</v>
      </c>
      <c r="M1531" t="s">
        <v>20</v>
      </c>
      <c r="N1531" t="str">
        <f>_xlfn.XLOOKUP(C:C,'Resource Table'!A:A,'Resource Table'!B:B,"NOT FOUND",0,1)</f>
        <v>Dedicated</v>
      </c>
      <c r="O1531" t="str">
        <f>_xlfn.XLOOKUP(N:N,'Resource Table'!B:B,'Resource Table'!C:C,"n/a",0,1)</f>
        <v>AFS Dedicated Tech</v>
      </c>
      <c r="P1531" t="str">
        <f>_xlfn.XLOOKUP(N:N,'Resource Table'!B:B,'Resource Table'!D:D,"n/a",0,1)</f>
        <v>Dedicated</v>
      </c>
    </row>
    <row r="1532" spans="1:16" x14ac:dyDescent="0.45">
      <c r="A1532" t="s">
        <v>5443</v>
      </c>
      <c r="B1532" t="s">
        <v>5458</v>
      </c>
      <c r="C1532" t="s">
        <v>5616</v>
      </c>
      <c r="D1532" t="s">
        <v>5617</v>
      </c>
      <c r="E1532" t="s">
        <v>6461</v>
      </c>
      <c r="F1532" t="s">
        <v>13460</v>
      </c>
      <c r="G1532" t="s">
        <v>13461</v>
      </c>
      <c r="H1532" t="s">
        <v>13471</v>
      </c>
      <c r="I1532" t="s">
        <v>6479</v>
      </c>
      <c r="J1532" t="s">
        <v>13463</v>
      </c>
      <c r="K1532">
        <v>0</v>
      </c>
      <c r="L1532" t="s">
        <v>20</v>
      </c>
      <c r="M1532" t="s">
        <v>20</v>
      </c>
      <c r="N1532" t="str">
        <f>_xlfn.XLOOKUP(C:C,'Resource Table'!A:A,'Resource Table'!B:B,"NOT FOUND",0,1)</f>
        <v>Dedicated</v>
      </c>
      <c r="O1532" t="str">
        <f>_xlfn.XLOOKUP(N:N,'Resource Table'!B:B,'Resource Table'!C:C,"n/a",0,1)</f>
        <v>AFS Dedicated Tech</v>
      </c>
      <c r="P1532" t="str">
        <f>_xlfn.XLOOKUP(N:N,'Resource Table'!B:B,'Resource Table'!D:D,"n/a",0,1)</f>
        <v>Dedicated</v>
      </c>
    </row>
    <row r="1533" spans="1:16" x14ac:dyDescent="0.45">
      <c r="A1533" t="s">
        <v>5443</v>
      </c>
      <c r="B1533" t="s">
        <v>5458</v>
      </c>
      <c r="C1533" t="s">
        <v>5616</v>
      </c>
      <c r="D1533" t="s">
        <v>6415</v>
      </c>
      <c r="E1533" t="s">
        <v>6461</v>
      </c>
      <c r="F1533" t="s">
        <v>13460</v>
      </c>
      <c r="G1533" t="s">
        <v>13461</v>
      </c>
      <c r="H1533" t="s">
        <v>13467</v>
      </c>
      <c r="I1533" t="s">
        <v>6479</v>
      </c>
      <c r="J1533" t="s">
        <v>13463</v>
      </c>
      <c r="K1533">
        <v>1</v>
      </c>
      <c r="L1533" t="s">
        <v>13493</v>
      </c>
      <c r="M1533" t="s">
        <v>20</v>
      </c>
      <c r="N1533" t="str">
        <f>_xlfn.XLOOKUP(C:C,'Resource Table'!A:A,'Resource Table'!B:B,"NOT FOUND",0,1)</f>
        <v>Dedicated</v>
      </c>
      <c r="O1533" t="str">
        <f>_xlfn.XLOOKUP(N:N,'Resource Table'!B:B,'Resource Table'!C:C,"n/a",0,1)</f>
        <v>AFS Dedicated Tech</v>
      </c>
      <c r="P1533" t="str">
        <f>_xlfn.XLOOKUP(N:N,'Resource Table'!B:B,'Resource Table'!D:D,"n/a",0,1)</f>
        <v>Dedicated</v>
      </c>
    </row>
    <row r="1534" spans="1:16" x14ac:dyDescent="0.45">
      <c r="A1534" t="s">
        <v>5443</v>
      </c>
      <c r="B1534" t="s">
        <v>5458</v>
      </c>
      <c r="C1534" t="s">
        <v>5616</v>
      </c>
      <c r="D1534" t="s">
        <v>6330</v>
      </c>
      <c r="E1534" t="s">
        <v>6461</v>
      </c>
      <c r="F1534" t="s">
        <v>13460</v>
      </c>
      <c r="G1534" t="s">
        <v>13461</v>
      </c>
      <c r="H1534" t="s">
        <v>13471</v>
      </c>
      <c r="I1534" t="s">
        <v>6479</v>
      </c>
      <c r="J1534" t="s">
        <v>13463</v>
      </c>
      <c r="K1534">
        <v>0</v>
      </c>
      <c r="L1534" t="s">
        <v>20</v>
      </c>
      <c r="M1534" t="s">
        <v>20</v>
      </c>
      <c r="N1534" t="str">
        <f>_xlfn.XLOOKUP(C:C,'Resource Table'!A:A,'Resource Table'!B:B,"NOT FOUND",0,1)</f>
        <v>Dedicated</v>
      </c>
      <c r="O1534" t="str">
        <f>_xlfn.XLOOKUP(N:N,'Resource Table'!B:B,'Resource Table'!C:C,"n/a",0,1)</f>
        <v>AFS Dedicated Tech</v>
      </c>
      <c r="P1534" t="str">
        <f>_xlfn.XLOOKUP(N:N,'Resource Table'!B:B,'Resource Table'!D:D,"n/a",0,1)</f>
        <v>Dedicated</v>
      </c>
    </row>
    <row r="1535" spans="1:16" x14ac:dyDescent="0.45">
      <c r="A1535" t="s">
        <v>5443</v>
      </c>
      <c r="B1535" t="s">
        <v>5458</v>
      </c>
      <c r="C1535" t="s">
        <v>5616</v>
      </c>
      <c r="D1535" t="s">
        <v>6340</v>
      </c>
      <c r="E1535" t="s">
        <v>6461</v>
      </c>
      <c r="F1535" t="s">
        <v>13460</v>
      </c>
      <c r="G1535" t="s">
        <v>13461</v>
      </c>
      <c r="H1535" t="s">
        <v>13471</v>
      </c>
      <c r="I1535" t="s">
        <v>6479</v>
      </c>
      <c r="J1535" t="s">
        <v>13463</v>
      </c>
      <c r="K1535">
        <v>1</v>
      </c>
      <c r="L1535" t="s">
        <v>13468</v>
      </c>
      <c r="M1535" t="s">
        <v>20</v>
      </c>
      <c r="N1535" t="str">
        <f>_xlfn.XLOOKUP(C:C,'Resource Table'!A:A,'Resource Table'!B:B,"NOT FOUND",0,1)</f>
        <v>Dedicated</v>
      </c>
      <c r="O1535" t="str">
        <f>_xlfn.XLOOKUP(N:N,'Resource Table'!B:B,'Resource Table'!C:C,"n/a",0,1)</f>
        <v>AFS Dedicated Tech</v>
      </c>
      <c r="P1535" t="str">
        <f>_xlfn.XLOOKUP(N:N,'Resource Table'!B:B,'Resource Table'!D:D,"n/a",0,1)</f>
        <v>Dedicated</v>
      </c>
    </row>
    <row r="1536" spans="1:16" x14ac:dyDescent="0.45">
      <c r="A1536" t="s">
        <v>5443</v>
      </c>
      <c r="B1536" t="s">
        <v>5458</v>
      </c>
      <c r="C1536" t="s">
        <v>5616</v>
      </c>
      <c r="D1536" t="s">
        <v>6314</v>
      </c>
      <c r="E1536" t="s">
        <v>6451</v>
      </c>
      <c r="F1536" t="s">
        <v>13460</v>
      </c>
      <c r="G1536" t="s">
        <v>13461</v>
      </c>
      <c r="H1536" t="s">
        <v>13471</v>
      </c>
      <c r="I1536" t="s">
        <v>6479</v>
      </c>
      <c r="J1536" t="s">
        <v>13463</v>
      </c>
      <c r="K1536">
        <v>0</v>
      </c>
      <c r="L1536" t="s">
        <v>20</v>
      </c>
      <c r="M1536" t="s">
        <v>20</v>
      </c>
      <c r="N1536" t="str">
        <f>_xlfn.XLOOKUP(C:C,'Resource Table'!A:A,'Resource Table'!B:B,"NOT FOUND",0,1)</f>
        <v>Dedicated</v>
      </c>
      <c r="O1536" t="str">
        <f>_xlfn.XLOOKUP(N:N,'Resource Table'!B:B,'Resource Table'!C:C,"n/a",0,1)</f>
        <v>AFS Dedicated Tech</v>
      </c>
      <c r="P1536" t="str">
        <f>_xlfn.XLOOKUP(N:N,'Resource Table'!B:B,'Resource Table'!D:D,"n/a",0,1)</f>
        <v>Dedicated</v>
      </c>
    </row>
    <row r="1537" spans="1:16" x14ac:dyDescent="0.45">
      <c r="A1537" t="s">
        <v>5443</v>
      </c>
      <c r="B1537" t="s">
        <v>5458</v>
      </c>
      <c r="C1537" t="s">
        <v>5616</v>
      </c>
      <c r="D1537" t="s">
        <v>5626</v>
      </c>
      <c r="E1537" t="s">
        <v>6461</v>
      </c>
      <c r="F1537" t="s">
        <v>13460</v>
      </c>
      <c r="G1537" t="s">
        <v>13461</v>
      </c>
      <c r="H1537" t="s">
        <v>13471</v>
      </c>
      <c r="I1537" t="s">
        <v>6479</v>
      </c>
      <c r="J1537" t="s">
        <v>13463</v>
      </c>
      <c r="K1537">
        <v>1</v>
      </c>
      <c r="L1537" t="s">
        <v>13507</v>
      </c>
      <c r="M1537" t="s">
        <v>20</v>
      </c>
      <c r="N1537" t="str">
        <f>_xlfn.XLOOKUP(C:C,'Resource Table'!A:A,'Resource Table'!B:B,"NOT FOUND",0,1)</f>
        <v>Dedicated</v>
      </c>
      <c r="O1537" t="str">
        <f>_xlfn.XLOOKUP(N:N,'Resource Table'!B:B,'Resource Table'!C:C,"n/a",0,1)</f>
        <v>AFS Dedicated Tech</v>
      </c>
      <c r="P1537" t="str">
        <f>_xlfn.XLOOKUP(N:N,'Resource Table'!B:B,'Resource Table'!D:D,"n/a",0,1)</f>
        <v>Dedicated</v>
      </c>
    </row>
    <row r="1538" spans="1:16" x14ac:dyDescent="0.45">
      <c r="A1538" t="s">
        <v>5443</v>
      </c>
      <c r="B1538" t="s">
        <v>5458</v>
      </c>
      <c r="C1538" t="s">
        <v>5616</v>
      </c>
      <c r="D1538" t="s">
        <v>6384</v>
      </c>
      <c r="E1538" t="s">
        <v>6461</v>
      </c>
      <c r="F1538" t="s">
        <v>13460</v>
      </c>
      <c r="G1538" t="s">
        <v>13461</v>
      </c>
      <c r="H1538" t="s">
        <v>13471</v>
      </c>
      <c r="I1538" t="s">
        <v>6479</v>
      </c>
      <c r="J1538" t="s">
        <v>13463</v>
      </c>
      <c r="K1538">
        <v>0</v>
      </c>
      <c r="L1538" t="s">
        <v>20</v>
      </c>
      <c r="M1538" t="s">
        <v>20</v>
      </c>
      <c r="N1538" t="str">
        <f>_xlfn.XLOOKUP(C:C,'Resource Table'!A:A,'Resource Table'!B:B,"NOT FOUND",0,1)</f>
        <v>Dedicated</v>
      </c>
      <c r="O1538" t="str">
        <f>_xlfn.XLOOKUP(N:N,'Resource Table'!B:B,'Resource Table'!C:C,"n/a",0,1)</f>
        <v>AFS Dedicated Tech</v>
      </c>
      <c r="P1538" t="str">
        <f>_xlfn.XLOOKUP(N:N,'Resource Table'!B:B,'Resource Table'!D:D,"n/a",0,1)</f>
        <v>Dedicated</v>
      </c>
    </row>
    <row r="1539" spans="1:16" x14ac:dyDescent="0.45">
      <c r="A1539" t="s">
        <v>5443</v>
      </c>
      <c r="B1539" t="s">
        <v>5458</v>
      </c>
      <c r="C1539" t="s">
        <v>5616</v>
      </c>
      <c r="D1539" t="s">
        <v>6322</v>
      </c>
      <c r="E1539" t="s">
        <v>6461</v>
      </c>
      <c r="F1539" t="s">
        <v>13460</v>
      </c>
      <c r="G1539" t="s">
        <v>13461</v>
      </c>
      <c r="H1539" t="s">
        <v>13471</v>
      </c>
      <c r="I1539" t="s">
        <v>6479</v>
      </c>
      <c r="J1539" t="s">
        <v>13463</v>
      </c>
      <c r="K1539">
        <v>0</v>
      </c>
      <c r="L1539" t="s">
        <v>20</v>
      </c>
      <c r="M1539" t="s">
        <v>20</v>
      </c>
      <c r="N1539" t="str">
        <f>_xlfn.XLOOKUP(C:C,'Resource Table'!A:A,'Resource Table'!B:B,"NOT FOUND",0,1)</f>
        <v>Dedicated</v>
      </c>
      <c r="O1539" t="str">
        <f>_xlfn.XLOOKUP(N:N,'Resource Table'!B:B,'Resource Table'!C:C,"n/a",0,1)</f>
        <v>AFS Dedicated Tech</v>
      </c>
      <c r="P1539" t="str">
        <f>_xlfn.XLOOKUP(N:N,'Resource Table'!B:B,'Resource Table'!D:D,"n/a",0,1)</f>
        <v>Dedicated</v>
      </c>
    </row>
    <row r="1540" spans="1:16" x14ac:dyDescent="0.45">
      <c r="A1540" t="s">
        <v>5443</v>
      </c>
      <c r="B1540" t="s">
        <v>5458</v>
      </c>
      <c r="C1540" t="s">
        <v>5616</v>
      </c>
      <c r="D1540" t="s">
        <v>6341</v>
      </c>
      <c r="E1540" t="s">
        <v>6451</v>
      </c>
      <c r="F1540" t="s">
        <v>13460</v>
      </c>
      <c r="G1540" t="s">
        <v>13461</v>
      </c>
      <c r="H1540" t="s">
        <v>13471</v>
      </c>
      <c r="I1540" t="s">
        <v>6479</v>
      </c>
      <c r="J1540" t="s">
        <v>13463</v>
      </c>
      <c r="K1540">
        <v>0</v>
      </c>
      <c r="L1540" t="s">
        <v>20</v>
      </c>
      <c r="M1540" t="s">
        <v>20</v>
      </c>
      <c r="N1540" t="str">
        <f>_xlfn.XLOOKUP(C:C,'Resource Table'!A:A,'Resource Table'!B:B,"NOT FOUND",0,1)</f>
        <v>Dedicated</v>
      </c>
      <c r="O1540" t="str">
        <f>_xlfn.XLOOKUP(N:N,'Resource Table'!B:B,'Resource Table'!C:C,"n/a",0,1)</f>
        <v>AFS Dedicated Tech</v>
      </c>
      <c r="P1540" t="str">
        <f>_xlfn.XLOOKUP(N:N,'Resource Table'!B:B,'Resource Table'!D:D,"n/a",0,1)</f>
        <v>Dedicated</v>
      </c>
    </row>
    <row r="1541" spans="1:16" x14ac:dyDescent="0.45">
      <c r="A1541" t="s">
        <v>5443</v>
      </c>
      <c r="B1541" t="s">
        <v>5458</v>
      </c>
      <c r="C1541" t="s">
        <v>5616</v>
      </c>
      <c r="D1541" t="s">
        <v>6397</v>
      </c>
      <c r="E1541" t="s">
        <v>6461</v>
      </c>
      <c r="F1541" t="s">
        <v>13460</v>
      </c>
      <c r="G1541" t="s">
        <v>13461</v>
      </c>
      <c r="H1541" t="s">
        <v>13467</v>
      </c>
      <c r="I1541" t="s">
        <v>6479</v>
      </c>
      <c r="J1541" t="s">
        <v>13463</v>
      </c>
      <c r="K1541">
        <v>0</v>
      </c>
      <c r="L1541" t="s">
        <v>20</v>
      </c>
      <c r="M1541" t="s">
        <v>20</v>
      </c>
      <c r="N1541" t="str">
        <f>_xlfn.XLOOKUP(C:C,'Resource Table'!A:A,'Resource Table'!B:B,"NOT FOUND",0,1)</f>
        <v>Dedicated</v>
      </c>
      <c r="O1541" t="str">
        <f>_xlfn.XLOOKUP(N:N,'Resource Table'!B:B,'Resource Table'!C:C,"n/a",0,1)</f>
        <v>AFS Dedicated Tech</v>
      </c>
      <c r="P1541" t="str">
        <f>_xlfn.XLOOKUP(N:N,'Resource Table'!B:B,'Resource Table'!D:D,"n/a",0,1)</f>
        <v>Dedicated</v>
      </c>
    </row>
    <row r="1542" spans="1:16" x14ac:dyDescent="0.45">
      <c r="A1542" t="s">
        <v>5443</v>
      </c>
      <c r="B1542" t="s">
        <v>5458</v>
      </c>
      <c r="C1542" t="s">
        <v>5616</v>
      </c>
      <c r="D1542" t="s">
        <v>6034</v>
      </c>
      <c r="E1542" t="s">
        <v>6461</v>
      </c>
      <c r="F1542" t="s">
        <v>13460</v>
      </c>
      <c r="G1542" t="s">
        <v>13538</v>
      </c>
      <c r="H1542" t="s">
        <v>13539</v>
      </c>
      <c r="I1542" t="s">
        <v>6479</v>
      </c>
      <c r="J1542" t="s">
        <v>13463</v>
      </c>
      <c r="K1542">
        <v>1</v>
      </c>
      <c r="L1542" t="s">
        <v>13468</v>
      </c>
      <c r="M1542" t="s">
        <v>20</v>
      </c>
      <c r="N1542" t="str">
        <f>_xlfn.XLOOKUP(C:C,'Resource Table'!A:A,'Resource Table'!B:B,"NOT FOUND",0,1)</f>
        <v>Dedicated</v>
      </c>
      <c r="O1542" t="str">
        <f>_xlfn.XLOOKUP(N:N,'Resource Table'!B:B,'Resource Table'!C:C,"n/a",0,1)</f>
        <v>AFS Dedicated Tech</v>
      </c>
      <c r="P1542" t="str">
        <f>_xlfn.XLOOKUP(N:N,'Resource Table'!B:B,'Resource Table'!D:D,"n/a",0,1)</f>
        <v>Dedicated</v>
      </c>
    </row>
    <row r="1543" spans="1:16" x14ac:dyDescent="0.45">
      <c r="A1543" t="s">
        <v>5443</v>
      </c>
      <c r="B1543" t="s">
        <v>5458</v>
      </c>
      <c r="C1543" t="s">
        <v>5494</v>
      </c>
      <c r="D1543" t="s">
        <v>6297</v>
      </c>
      <c r="E1543" t="s">
        <v>6451</v>
      </c>
      <c r="F1543" t="s">
        <v>13460</v>
      </c>
      <c r="G1543" t="s">
        <v>13461</v>
      </c>
      <c r="H1543" t="s">
        <v>13465</v>
      </c>
      <c r="I1543" t="s">
        <v>6479</v>
      </c>
      <c r="J1543" t="s">
        <v>13463</v>
      </c>
      <c r="K1543">
        <v>0</v>
      </c>
      <c r="L1543" t="s">
        <v>20</v>
      </c>
      <c r="M1543" t="s">
        <v>20</v>
      </c>
      <c r="N1543" t="str">
        <f>_xlfn.XLOOKUP(C:C,'Resource Table'!A:A,'Resource Table'!B:B,"NOT FOUND",0,1)</f>
        <v>Dedicated</v>
      </c>
      <c r="O1543" t="str">
        <f>_xlfn.XLOOKUP(N:N,'Resource Table'!B:B,'Resource Table'!C:C,"n/a",0,1)</f>
        <v>AFS Dedicated Tech</v>
      </c>
      <c r="P1543" t="str">
        <f>_xlfn.XLOOKUP(N:N,'Resource Table'!B:B,'Resource Table'!D:D,"n/a",0,1)</f>
        <v>Dedicated</v>
      </c>
    </row>
    <row r="1544" spans="1:16" x14ac:dyDescent="0.45">
      <c r="A1544" t="s">
        <v>5443</v>
      </c>
      <c r="B1544" t="s">
        <v>5458</v>
      </c>
      <c r="C1544" t="s">
        <v>5494</v>
      </c>
      <c r="D1544" t="s">
        <v>6393</v>
      </c>
      <c r="E1544" t="s">
        <v>6475</v>
      </c>
      <c r="F1544" t="s">
        <v>13460</v>
      </c>
      <c r="G1544" t="s">
        <v>13461</v>
      </c>
      <c r="H1544" t="s">
        <v>13471</v>
      </c>
      <c r="I1544" t="s">
        <v>6479</v>
      </c>
      <c r="J1544" t="s">
        <v>13463</v>
      </c>
      <c r="K1544">
        <v>0</v>
      </c>
      <c r="L1544" t="s">
        <v>20</v>
      </c>
      <c r="M1544" t="s">
        <v>20</v>
      </c>
      <c r="N1544" t="str">
        <f>_xlfn.XLOOKUP(C:C,'Resource Table'!A:A,'Resource Table'!B:B,"NOT FOUND",0,1)</f>
        <v>Dedicated</v>
      </c>
      <c r="O1544" t="str">
        <f>_xlfn.XLOOKUP(N:N,'Resource Table'!B:B,'Resource Table'!C:C,"n/a",0,1)</f>
        <v>AFS Dedicated Tech</v>
      </c>
      <c r="P1544" t="str">
        <f>_xlfn.XLOOKUP(N:N,'Resource Table'!B:B,'Resource Table'!D:D,"n/a",0,1)</f>
        <v>Dedicated</v>
      </c>
    </row>
    <row r="1545" spans="1:16" x14ac:dyDescent="0.45">
      <c r="A1545" t="s">
        <v>5443</v>
      </c>
      <c r="B1545" t="s">
        <v>5458</v>
      </c>
      <c r="C1545" t="s">
        <v>5494</v>
      </c>
      <c r="D1545" t="s">
        <v>6275</v>
      </c>
      <c r="E1545" t="s">
        <v>6451</v>
      </c>
      <c r="F1545" t="s">
        <v>13460</v>
      </c>
      <c r="G1545" t="s">
        <v>13461</v>
      </c>
      <c r="H1545" t="s">
        <v>13465</v>
      </c>
      <c r="I1545" t="s">
        <v>6479</v>
      </c>
      <c r="J1545" t="s">
        <v>13463</v>
      </c>
      <c r="K1545">
        <v>0</v>
      </c>
      <c r="L1545" t="s">
        <v>20</v>
      </c>
      <c r="M1545" t="s">
        <v>20</v>
      </c>
      <c r="N1545" t="str">
        <f>_xlfn.XLOOKUP(C:C,'Resource Table'!A:A,'Resource Table'!B:B,"NOT FOUND",0,1)</f>
        <v>Dedicated</v>
      </c>
      <c r="O1545" t="str">
        <f>_xlfn.XLOOKUP(N:N,'Resource Table'!B:B,'Resource Table'!C:C,"n/a",0,1)</f>
        <v>AFS Dedicated Tech</v>
      </c>
      <c r="P1545" t="str">
        <f>_xlfn.XLOOKUP(N:N,'Resource Table'!B:B,'Resource Table'!D:D,"n/a",0,1)</f>
        <v>Dedicated</v>
      </c>
    </row>
    <row r="1546" spans="1:16" x14ac:dyDescent="0.45">
      <c r="A1546" t="s">
        <v>5443</v>
      </c>
      <c r="B1546" t="s">
        <v>5458</v>
      </c>
      <c r="C1546" t="s">
        <v>5494</v>
      </c>
      <c r="D1546" t="s">
        <v>5897</v>
      </c>
      <c r="E1546" t="s">
        <v>6461</v>
      </c>
      <c r="F1546" t="s">
        <v>13473</v>
      </c>
      <c r="G1546" t="s">
        <v>13474</v>
      </c>
      <c r="H1546" t="s">
        <v>13475</v>
      </c>
      <c r="I1546" t="s">
        <v>6479</v>
      </c>
      <c r="J1546" t="s">
        <v>13463</v>
      </c>
      <c r="K1546">
        <v>0</v>
      </c>
      <c r="L1546" t="s">
        <v>20</v>
      </c>
      <c r="M1546" t="s">
        <v>20</v>
      </c>
      <c r="N1546" t="str">
        <f>_xlfn.XLOOKUP(C:C,'Resource Table'!A:A,'Resource Table'!B:B,"NOT FOUND",0,1)</f>
        <v>Dedicated</v>
      </c>
      <c r="O1546" t="str">
        <f>_xlfn.XLOOKUP(N:N,'Resource Table'!B:B,'Resource Table'!C:C,"n/a",0,1)</f>
        <v>AFS Dedicated Tech</v>
      </c>
      <c r="P1546" t="str">
        <f>_xlfn.XLOOKUP(N:N,'Resource Table'!B:B,'Resource Table'!D:D,"n/a",0,1)</f>
        <v>Dedicated</v>
      </c>
    </row>
    <row r="1547" spans="1:16" x14ac:dyDescent="0.45">
      <c r="A1547" t="s">
        <v>5443</v>
      </c>
      <c r="B1547" t="s">
        <v>5458</v>
      </c>
      <c r="C1547" t="s">
        <v>5494</v>
      </c>
      <c r="D1547" t="s">
        <v>5769</v>
      </c>
      <c r="E1547" t="s">
        <v>6451</v>
      </c>
      <c r="F1547" t="s">
        <v>13473</v>
      </c>
      <c r="G1547" t="s">
        <v>13474</v>
      </c>
      <c r="H1547" t="s">
        <v>13521</v>
      </c>
      <c r="I1547" t="s">
        <v>6479</v>
      </c>
      <c r="J1547" t="s">
        <v>13463</v>
      </c>
      <c r="K1547">
        <v>0</v>
      </c>
      <c r="L1547" t="s">
        <v>20</v>
      </c>
      <c r="M1547" t="s">
        <v>20</v>
      </c>
      <c r="N1547" t="str">
        <f>_xlfn.XLOOKUP(C:C,'Resource Table'!A:A,'Resource Table'!B:B,"NOT FOUND",0,1)</f>
        <v>Dedicated</v>
      </c>
      <c r="O1547" t="str">
        <f>_xlfn.XLOOKUP(N:N,'Resource Table'!B:B,'Resource Table'!C:C,"n/a",0,1)</f>
        <v>AFS Dedicated Tech</v>
      </c>
      <c r="P1547" t="str">
        <f>_xlfn.XLOOKUP(N:N,'Resource Table'!B:B,'Resource Table'!D:D,"n/a",0,1)</f>
        <v>Dedicated</v>
      </c>
    </row>
    <row r="1548" spans="1:16" x14ac:dyDescent="0.45">
      <c r="A1548" t="s">
        <v>5443</v>
      </c>
      <c r="B1548" t="s">
        <v>5458</v>
      </c>
      <c r="C1548" t="s">
        <v>5494</v>
      </c>
      <c r="D1548" t="s">
        <v>6321</v>
      </c>
      <c r="E1548" t="s">
        <v>6475</v>
      </c>
      <c r="F1548" t="s">
        <v>13460</v>
      </c>
      <c r="G1548" t="s">
        <v>13461</v>
      </c>
      <c r="H1548" t="s">
        <v>13471</v>
      </c>
      <c r="I1548" t="s">
        <v>29</v>
      </c>
      <c r="J1548" t="s">
        <v>13463</v>
      </c>
      <c r="K1548">
        <v>1</v>
      </c>
      <c r="L1548" t="s">
        <v>13507</v>
      </c>
      <c r="M1548" t="s">
        <v>20</v>
      </c>
      <c r="N1548" t="str">
        <f>_xlfn.XLOOKUP(C:C,'Resource Table'!A:A,'Resource Table'!B:B,"NOT FOUND",0,1)</f>
        <v>Dedicated</v>
      </c>
      <c r="O1548" t="str">
        <f>_xlfn.XLOOKUP(N:N,'Resource Table'!B:B,'Resource Table'!C:C,"n/a",0,1)</f>
        <v>AFS Dedicated Tech</v>
      </c>
      <c r="P1548" t="str">
        <f>_xlfn.XLOOKUP(N:N,'Resource Table'!B:B,'Resource Table'!D:D,"n/a",0,1)</f>
        <v>Dedicated</v>
      </c>
    </row>
    <row r="1549" spans="1:16" x14ac:dyDescent="0.45">
      <c r="A1549" t="s">
        <v>5443</v>
      </c>
      <c r="B1549" t="s">
        <v>5458</v>
      </c>
      <c r="C1549" t="s">
        <v>5494</v>
      </c>
      <c r="D1549" t="s">
        <v>6343</v>
      </c>
      <c r="E1549" t="s">
        <v>6475</v>
      </c>
      <c r="F1549" t="s">
        <v>13460</v>
      </c>
      <c r="G1549" t="s">
        <v>13461</v>
      </c>
      <c r="H1549" t="s">
        <v>13471</v>
      </c>
      <c r="I1549" t="s">
        <v>6479</v>
      </c>
      <c r="J1549" t="s">
        <v>13463</v>
      </c>
      <c r="K1549">
        <v>1</v>
      </c>
      <c r="L1549" t="s">
        <v>13548</v>
      </c>
      <c r="M1549" t="s">
        <v>13468</v>
      </c>
      <c r="N1549" t="str">
        <f>_xlfn.XLOOKUP(C:C,'Resource Table'!A:A,'Resource Table'!B:B,"NOT FOUND",0,1)</f>
        <v>Dedicated</v>
      </c>
      <c r="O1549" t="str">
        <f>_xlfn.XLOOKUP(N:N,'Resource Table'!B:B,'Resource Table'!C:C,"n/a",0,1)</f>
        <v>AFS Dedicated Tech</v>
      </c>
      <c r="P1549" t="str">
        <f>_xlfn.XLOOKUP(N:N,'Resource Table'!B:B,'Resource Table'!D:D,"n/a",0,1)</f>
        <v>Dedicated</v>
      </c>
    </row>
    <row r="1550" spans="1:16" x14ac:dyDescent="0.45">
      <c r="A1550" t="s">
        <v>5443</v>
      </c>
      <c r="B1550" t="s">
        <v>5458</v>
      </c>
      <c r="C1550" t="s">
        <v>5494</v>
      </c>
      <c r="D1550" t="s">
        <v>6313</v>
      </c>
      <c r="E1550" t="s">
        <v>6461</v>
      </c>
      <c r="F1550" t="s">
        <v>13460</v>
      </c>
      <c r="G1550" t="s">
        <v>13461</v>
      </c>
      <c r="H1550" t="s">
        <v>13471</v>
      </c>
      <c r="I1550" t="s">
        <v>29</v>
      </c>
      <c r="J1550" t="s">
        <v>13463</v>
      </c>
      <c r="K1550">
        <v>2</v>
      </c>
      <c r="L1550" t="s">
        <v>13489</v>
      </c>
      <c r="M1550" t="s">
        <v>13581</v>
      </c>
      <c r="N1550" t="str">
        <f>_xlfn.XLOOKUP(C:C,'Resource Table'!A:A,'Resource Table'!B:B,"NOT FOUND",0,1)</f>
        <v>Dedicated</v>
      </c>
      <c r="O1550" t="str">
        <f>_xlfn.XLOOKUP(N:N,'Resource Table'!B:B,'Resource Table'!C:C,"n/a",0,1)</f>
        <v>AFS Dedicated Tech</v>
      </c>
      <c r="P1550" t="str">
        <f>_xlfn.XLOOKUP(N:N,'Resource Table'!B:B,'Resource Table'!D:D,"n/a",0,1)</f>
        <v>Dedicated</v>
      </c>
    </row>
    <row r="1551" spans="1:16" x14ac:dyDescent="0.45">
      <c r="A1551" t="s">
        <v>5443</v>
      </c>
      <c r="B1551" t="s">
        <v>5458</v>
      </c>
      <c r="C1551" t="s">
        <v>5494</v>
      </c>
      <c r="D1551" t="s">
        <v>5836</v>
      </c>
      <c r="E1551" t="s">
        <v>6451</v>
      </c>
      <c r="F1551" t="s">
        <v>13473</v>
      </c>
      <c r="G1551" t="s">
        <v>13474</v>
      </c>
      <c r="H1551" t="s">
        <v>13475</v>
      </c>
      <c r="I1551" t="s">
        <v>6479</v>
      </c>
      <c r="J1551" t="s">
        <v>13463</v>
      </c>
      <c r="K1551">
        <v>0</v>
      </c>
      <c r="L1551" t="s">
        <v>20</v>
      </c>
      <c r="M1551" t="s">
        <v>20</v>
      </c>
      <c r="N1551" t="str">
        <f>_xlfn.XLOOKUP(C:C,'Resource Table'!A:A,'Resource Table'!B:B,"NOT FOUND",0,1)</f>
        <v>Dedicated</v>
      </c>
      <c r="O1551" t="str">
        <f>_xlfn.XLOOKUP(N:N,'Resource Table'!B:B,'Resource Table'!C:C,"n/a",0,1)</f>
        <v>AFS Dedicated Tech</v>
      </c>
      <c r="P1551" t="str">
        <f>_xlfn.XLOOKUP(N:N,'Resource Table'!B:B,'Resource Table'!D:D,"n/a",0,1)</f>
        <v>Dedicated</v>
      </c>
    </row>
    <row r="1552" spans="1:16" x14ac:dyDescent="0.45">
      <c r="A1552" t="s">
        <v>5443</v>
      </c>
      <c r="B1552" t="s">
        <v>5458</v>
      </c>
      <c r="C1552" t="s">
        <v>5494</v>
      </c>
      <c r="D1552" t="s">
        <v>6400</v>
      </c>
      <c r="E1552" t="s">
        <v>6461</v>
      </c>
      <c r="F1552" t="s">
        <v>13460</v>
      </c>
      <c r="G1552" t="s">
        <v>13461</v>
      </c>
      <c r="H1552" t="s">
        <v>13467</v>
      </c>
      <c r="I1552" t="s">
        <v>6479</v>
      </c>
      <c r="J1552" t="s">
        <v>13463</v>
      </c>
      <c r="K1552">
        <v>0</v>
      </c>
      <c r="L1552" t="s">
        <v>20</v>
      </c>
      <c r="M1552" t="s">
        <v>20</v>
      </c>
      <c r="N1552" t="str">
        <f>_xlfn.XLOOKUP(C:C,'Resource Table'!A:A,'Resource Table'!B:B,"NOT FOUND",0,1)</f>
        <v>Dedicated</v>
      </c>
      <c r="O1552" t="str">
        <f>_xlfn.XLOOKUP(N:N,'Resource Table'!B:B,'Resource Table'!C:C,"n/a",0,1)</f>
        <v>AFS Dedicated Tech</v>
      </c>
      <c r="P1552" t="str">
        <f>_xlfn.XLOOKUP(N:N,'Resource Table'!B:B,'Resource Table'!D:D,"n/a",0,1)</f>
        <v>Dedicated</v>
      </c>
    </row>
    <row r="1553" spans="1:16" x14ac:dyDescent="0.45">
      <c r="A1553" t="s">
        <v>5443</v>
      </c>
      <c r="B1553" t="s">
        <v>5458</v>
      </c>
      <c r="C1553" t="s">
        <v>5494</v>
      </c>
      <c r="D1553" t="s">
        <v>5928</v>
      </c>
      <c r="E1553" t="s">
        <v>6461</v>
      </c>
      <c r="F1553" t="s">
        <v>13460</v>
      </c>
      <c r="G1553" t="s">
        <v>13481</v>
      </c>
      <c r="H1553" t="s">
        <v>13482</v>
      </c>
      <c r="I1553" t="s">
        <v>6479</v>
      </c>
      <c r="J1553" t="s">
        <v>13463</v>
      </c>
      <c r="K1553">
        <v>0</v>
      </c>
      <c r="L1553" t="s">
        <v>20</v>
      </c>
      <c r="M1553" t="s">
        <v>20</v>
      </c>
      <c r="N1553" t="str">
        <f>_xlfn.XLOOKUP(C:C,'Resource Table'!A:A,'Resource Table'!B:B,"NOT FOUND",0,1)</f>
        <v>Dedicated</v>
      </c>
      <c r="O1553" t="str">
        <f>_xlfn.XLOOKUP(N:N,'Resource Table'!B:B,'Resource Table'!C:C,"n/a",0,1)</f>
        <v>AFS Dedicated Tech</v>
      </c>
      <c r="P1553" t="str">
        <f>_xlfn.XLOOKUP(N:N,'Resource Table'!B:B,'Resource Table'!D:D,"n/a",0,1)</f>
        <v>Dedicated</v>
      </c>
    </row>
    <row r="1554" spans="1:16" x14ac:dyDescent="0.45">
      <c r="A1554" t="s">
        <v>5443</v>
      </c>
      <c r="B1554" t="s">
        <v>5458</v>
      </c>
      <c r="C1554" t="s">
        <v>5494</v>
      </c>
      <c r="D1554" t="s">
        <v>6290</v>
      </c>
      <c r="E1554" t="s">
        <v>6451</v>
      </c>
      <c r="F1554" t="s">
        <v>13460</v>
      </c>
      <c r="G1554" t="s">
        <v>13461</v>
      </c>
      <c r="H1554" t="s">
        <v>13465</v>
      </c>
      <c r="I1554" t="s">
        <v>6479</v>
      </c>
      <c r="J1554" t="s">
        <v>13463</v>
      </c>
      <c r="K1554">
        <v>1</v>
      </c>
      <c r="L1554" t="s">
        <v>13507</v>
      </c>
      <c r="M1554" t="s">
        <v>20</v>
      </c>
      <c r="N1554" t="str">
        <f>_xlfn.XLOOKUP(C:C,'Resource Table'!A:A,'Resource Table'!B:B,"NOT FOUND",0,1)</f>
        <v>Dedicated</v>
      </c>
      <c r="O1554" t="str">
        <f>_xlfn.XLOOKUP(N:N,'Resource Table'!B:B,'Resource Table'!C:C,"n/a",0,1)</f>
        <v>AFS Dedicated Tech</v>
      </c>
      <c r="P1554" t="str">
        <f>_xlfn.XLOOKUP(N:N,'Resource Table'!B:B,'Resource Table'!D:D,"n/a",0,1)</f>
        <v>Dedicated</v>
      </c>
    </row>
    <row r="1555" spans="1:16" x14ac:dyDescent="0.45">
      <c r="A1555" t="s">
        <v>5443</v>
      </c>
      <c r="B1555" t="s">
        <v>5458</v>
      </c>
      <c r="C1555" t="s">
        <v>5494</v>
      </c>
      <c r="D1555" t="s">
        <v>3482</v>
      </c>
      <c r="E1555" t="s">
        <v>6451</v>
      </c>
      <c r="F1555" t="s">
        <v>13460</v>
      </c>
      <c r="G1555" t="s">
        <v>13461</v>
      </c>
      <c r="H1555" t="s">
        <v>13465</v>
      </c>
      <c r="I1555" t="s">
        <v>6479</v>
      </c>
      <c r="J1555" t="s">
        <v>13463</v>
      </c>
      <c r="K1555">
        <v>0</v>
      </c>
      <c r="L1555" t="s">
        <v>20</v>
      </c>
      <c r="M1555" t="s">
        <v>20</v>
      </c>
      <c r="N1555" t="str">
        <f>_xlfn.XLOOKUP(C:C,'Resource Table'!A:A,'Resource Table'!B:B,"NOT FOUND",0,1)</f>
        <v>Dedicated</v>
      </c>
      <c r="O1555" t="str">
        <f>_xlfn.XLOOKUP(N:N,'Resource Table'!B:B,'Resource Table'!C:C,"n/a",0,1)</f>
        <v>AFS Dedicated Tech</v>
      </c>
      <c r="P1555" t="str">
        <f>_xlfn.XLOOKUP(N:N,'Resource Table'!B:B,'Resource Table'!D:D,"n/a",0,1)</f>
        <v>Dedicated</v>
      </c>
    </row>
    <row r="1556" spans="1:16" x14ac:dyDescent="0.45">
      <c r="A1556" t="s">
        <v>5443</v>
      </c>
      <c r="B1556" t="s">
        <v>5458</v>
      </c>
      <c r="C1556" t="s">
        <v>5494</v>
      </c>
      <c r="D1556" t="s">
        <v>5526</v>
      </c>
      <c r="E1556" t="s">
        <v>6451</v>
      </c>
      <c r="F1556" t="s">
        <v>13473</v>
      </c>
      <c r="G1556" t="s">
        <v>13474</v>
      </c>
      <c r="H1556" t="s">
        <v>13475</v>
      </c>
      <c r="I1556" t="s">
        <v>6479</v>
      </c>
      <c r="J1556" t="s">
        <v>13463</v>
      </c>
      <c r="K1556">
        <v>0</v>
      </c>
      <c r="L1556" t="s">
        <v>20</v>
      </c>
      <c r="M1556" t="s">
        <v>20</v>
      </c>
      <c r="N1556" t="str">
        <f>_xlfn.XLOOKUP(C:C,'Resource Table'!A:A,'Resource Table'!B:B,"NOT FOUND",0,1)</f>
        <v>Dedicated</v>
      </c>
      <c r="O1556" t="str">
        <f>_xlfn.XLOOKUP(N:N,'Resource Table'!B:B,'Resource Table'!C:C,"n/a",0,1)</f>
        <v>AFS Dedicated Tech</v>
      </c>
      <c r="P1556" t="str">
        <f>_xlfn.XLOOKUP(N:N,'Resource Table'!B:B,'Resource Table'!D:D,"n/a",0,1)</f>
        <v>Dedicated</v>
      </c>
    </row>
    <row r="1557" spans="1:16" x14ac:dyDescent="0.45">
      <c r="A1557" t="s">
        <v>5443</v>
      </c>
      <c r="B1557" t="s">
        <v>5458</v>
      </c>
      <c r="C1557" t="s">
        <v>5494</v>
      </c>
      <c r="D1557" t="s">
        <v>5893</v>
      </c>
      <c r="E1557" t="s">
        <v>6451</v>
      </c>
      <c r="F1557" t="s">
        <v>13473</v>
      </c>
      <c r="G1557" t="s">
        <v>13474</v>
      </c>
      <c r="H1557" t="s">
        <v>13475</v>
      </c>
      <c r="I1557" t="s">
        <v>6479</v>
      </c>
      <c r="J1557" t="s">
        <v>13463</v>
      </c>
      <c r="K1557">
        <v>1</v>
      </c>
      <c r="L1557" t="s">
        <v>13480</v>
      </c>
      <c r="M1557" t="s">
        <v>20</v>
      </c>
      <c r="N1557" t="str">
        <f>_xlfn.XLOOKUP(C:C,'Resource Table'!A:A,'Resource Table'!B:B,"NOT FOUND",0,1)</f>
        <v>Dedicated</v>
      </c>
      <c r="O1557" t="str">
        <f>_xlfn.XLOOKUP(N:N,'Resource Table'!B:B,'Resource Table'!C:C,"n/a",0,1)</f>
        <v>AFS Dedicated Tech</v>
      </c>
      <c r="P1557" t="str">
        <f>_xlfn.XLOOKUP(N:N,'Resource Table'!B:B,'Resource Table'!D:D,"n/a",0,1)</f>
        <v>Dedicated</v>
      </c>
    </row>
    <row r="1558" spans="1:16" x14ac:dyDescent="0.45">
      <c r="A1558" t="s">
        <v>5443</v>
      </c>
      <c r="B1558" t="s">
        <v>5458</v>
      </c>
      <c r="C1558" t="s">
        <v>5494</v>
      </c>
      <c r="D1558" t="s">
        <v>5724</v>
      </c>
      <c r="E1558" t="s">
        <v>6451</v>
      </c>
      <c r="F1558" t="s">
        <v>13473</v>
      </c>
      <c r="G1558" t="s">
        <v>13474</v>
      </c>
      <c r="H1558" t="s">
        <v>13517</v>
      </c>
      <c r="I1558" t="s">
        <v>6479</v>
      </c>
      <c r="J1558" t="s">
        <v>13463</v>
      </c>
      <c r="K1558">
        <v>1</v>
      </c>
      <c r="L1558" t="s">
        <v>13468</v>
      </c>
      <c r="M1558" t="s">
        <v>20</v>
      </c>
      <c r="N1558" t="str">
        <f>_xlfn.XLOOKUP(C:C,'Resource Table'!A:A,'Resource Table'!B:B,"NOT FOUND",0,1)</f>
        <v>Dedicated</v>
      </c>
      <c r="O1558" t="str">
        <f>_xlfn.XLOOKUP(N:N,'Resource Table'!B:B,'Resource Table'!C:C,"n/a",0,1)</f>
        <v>AFS Dedicated Tech</v>
      </c>
      <c r="P1558" t="str">
        <f>_xlfn.XLOOKUP(N:N,'Resource Table'!B:B,'Resource Table'!D:D,"n/a",0,1)</f>
        <v>Dedicated</v>
      </c>
    </row>
    <row r="1559" spans="1:16" x14ac:dyDescent="0.45">
      <c r="A1559" t="s">
        <v>5443</v>
      </c>
      <c r="B1559" t="s">
        <v>5458</v>
      </c>
      <c r="C1559" t="s">
        <v>5494</v>
      </c>
      <c r="D1559" t="s">
        <v>6380</v>
      </c>
      <c r="E1559" t="s">
        <v>6461</v>
      </c>
      <c r="F1559" t="s">
        <v>13460</v>
      </c>
      <c r="G1559" t="s">
        <v>13461</v>
      </c>
      <c r="H1559" t="s">
        <v>13471</v>
      </c>
      <c r="I1559" t="s">
        <v>6479</v>
      </c>
      <c r="J1559" t="s">
        <v>13463</v>
      </c>
      <c r="K1559">
        <v>0</v>
      </c>
      <c r="L1559" t="s">
        <v>20</v>
      </c>
      <c r="M1559" t="s">
        <v>20</v>
      </c>
      <c r="N1559" t="str">
        <f>_xlfn.XLOOKUP(C:C,'Resource Table'!A:A,'Resource Table'!B:B,"NOT FOUND",0,1)</f>
        <v>Dedicated</v>
      </c>
      <c r="O1559" t="str">
        <f>_xlfn.XLOOKUP(N:N,'Resource Table'!B:B,'Resource Table'!C:C,"n/a",0,1)</f>
        <v>AFS Dedicated Tech</v>
      </c>
      <c r="P1559" t="str">
        <f>_xlfn.XLOOKUP(N:N,'Resource Table'!B:B,'Resource Table'!D:D,"n/a",0,1)</f>
        <v>Dedicated</v>
      </c>
    </row>
    <row r="1560" spans="1:16" x14ac:dyDescent="0.45">
      <c r="A1560" t="s">
        <v>5443</v>
      </c>
      <c r="B1560" t="s">
        <v>5458</v>
      </c>
      <c r="C1560" t="s">
        <v>5494</v>
      </c>
      <c r="D1560" t="s">
        <v>5010</v>
      </c>
      <c r="E1560" t="s">
        <v>6451</v>
      </c>
      <c r="F1560" t="s">
        <v>13460</v>
      </c>
      <c r="G1560" t="s">
        <v>13461</v>
      </c>
      <c r="H1560" t="s">
        <v>13465</v>
      </c>
      <c r="I1560" t="s">
        <v>29</v>
      </c>
      <c r="J1560" t="s">
        <v>13463</v>
      </c>
      <c r="K1560">
        <v>1</v>
      </c>
      <c r="L1560" t="s">
        <v>13497</v>
      </c>
      <c r="M1560" t="s">
        <v>20</v>
      </c>
      <c r="N1560" t="str">
        <f>_xlfn.XLOOKUP(C:C,'Resource Table'!A:A,'Resource Table'!B:B,"NOT FOUND",0,1)</f>
        <v>Dedicated</v>
      </c>
      <c r="O1560" t="str">
        <f>_xlfn.XLOOKUP(N:N,'Resource Table'!B:B,'Resource Table'!C:C,"n/a",0,1)</f>
        <v>AFS Dedicated Tech</v>
      </c>
      <c r="P1560" t="str">
        <f>_xlfn.XLOOKUP(N:N,'Resource Table'!B:B,'Resource Table'!D:D,"n/a",0,1)</f>
        <v>Dedicated</v>
      </c>
    </row>
    <row r="1561" spans="1:16" x14ac:dyDescent="0.45">
      <c r="A1561" t="s">
        <v>5443</v>
      </c>
      <c r="B1561" t="s">
        <v>5458</v>
      </c>
      <c r="C1561" t="s">
        <v>5494</v>
      </c>
      <c r="D1561" t="s">
        <v>5495</v>
      </c>
      <c r="E1561" t="s">
        <v>6451</v>
      </c>
      <c r="F1561" t="s">
        <v>13473</v>
      </c>
      <c r="G1561" t="s">
        <v>13474</v>
      </c>
      <c r="H1561" t="s">
        <v>13521</v>
      </c>
      <c r="I1561" t="s">
        <v>6479</v>
      </c>
      <c r="J1561" t="s">
        <v>13463</v>
      </c>
      <c r="K1561">
        <v>0</v>
      </c>
      <c r="L1561" t="s">
        <v>20</v>
      </c>
      <c r="M1561" t="s">
        <v>20</v>
      </c>
      <c r="N1561" t="str">
        <f>_xlfn.XLOOKUP(C:C,'Resource Table'!A:A,'Resource Table'!B:B,"NOT FOUND",0,1)</f>
        <v>Dedicated</v>
      </c>
      <c r="O1561" t="str">
        <f>_xlfn.XLOOKUP(N:N,'Resource Table'!B:B,'Resource Table'!C:C,"n/a",0,1)</f>
        <v>AFS Dedicated Tech</v>
      </c>
      <c r="P1561" t="str">
        <f>_xlfn.XLOOKUP(N:N,'Resource Table'!B:B,'Resource Table'!D:D,"n/a",0,1)</f>
        <v>Dedicated</v>
      </c>
    </row>
    <row r="1562" spans="1:16" x14ac:dyDescent="0.45">
      <c r="A1562" t="s">
        <v>5443</v>
      </c>
      <c r="B1562" t="s">
        <v>5458</v>
      </c>
      <c r="C1562" t="s">
        <v>5494</v>
      </c>
      <c r="D1562" t="s">
        <v>6319</v>
      </c>
      <c r="E1562" t="s">
        <v>6475</v>
      </c>
      <c r="F1562" t="s">
        <v>13460</v>
      </c>
      <c r="G1562" t="s">
        <v>13461</v>
      </c>
      <c r="H1562" t="s">
        <v>13471</v>
      </c>
      <c r="I1562" t="s">
        <v>6479</v>
      </c>
      <c r="J1562" t="s">
        <v>13463</v>
      </c>
      <c r="K1562">
        <v>1</v>
      </c>
      <c r="L1562" t="s">
        <v>13512</v>
      </c>
      <c r="M1562" t="s">
        <v>20</v>
      </c>
      <c r="N1562" t="str">
        <f>_xlfn.XLOOKUP(C:C,'Resource Table'!A:A,'Resource Table'!B:B,"NOT FOUND",0,1)</f>
        <v>Dedicated</v>
      </c>
      <c r="O1562" t="str">
        <f>_xlfn.XLOOKUP(N:N,'Resource Table'!B:B,'Resource Table'!C:C,"n/a",0,1)</f>
        <v>AFS Dedicated Tech</v>
      </c>
      <c r="P1562" t="str">
        <f>_xlfn.XLOOKUP(N:N,'Resource Table'!B:B,'Resource Table'!D:D,"n/a",0,1)</f>
        <v>Dedicated</v>
      </c>
    </row>
    <row r="1563" spans="1:16" x14ac:dyDescent="0.45">
      <c r="A1563" t="s">
        <v>5443</v>
      </c>
      <c r="B1563" t="s">
        <v>5458</v>
      </c>
      <c r="C1563" t="s">
        <v>5494</v>
      </c>
      <c r="D1563" t="s">
        <v>5538</v>
      </c>
      <c r="E1563" t="s">
        <v>6451</v>
      </c>
      <c r="F1563" t="s">
        <v>13473</v>
      </c>
      <c r="G1563" t="s">
        <v>13474</v>
      </c>
      <c r="H1563" t="s">
        <v>13475</v>
      </c>
      <c r="I1563" t="s">
        <v>6479</v>
      </c>
      <c r="J1563" t="s">
        <v>13463</v>
      </c>
      <c r="K1563">
        <v>0</v>
      </c>
      <c r="L1563" t="s">
        <v>20</v>
      </c>
      <c r="M1563" t="s">
        <v>20</v>
      </c>
      <c r="N1563" t="str">
        <f>_xlfn.XLOOKUP(C:C,'Resource Table'!A:A,'Resource Table'!B:B,"NOT FOUND",0,1)</f>
        <v>Dedicated</v>
      </c>
      <c r="O1563" t="str">
        <f>_xlfn.XLOOKUP(N:N,'Resource Table'!B:B,'Resource Table'!C:C,"n/a",0,1)</f>
        <v>AFS Dedicated Tech</v>
      </c>
      <c r="P1563" t="str">
        <f>_xlfn.XLOOKUP(N:N,'Resource Table'!B:B,'Resource Table'!D:D,"n/a",0,1)</f>
        <v>Dedicated</v>
      </c>
    </row>
    <row r="1564" spans="1:16" x14ac:dyDescent="0.45">
      <c r="A1564" t="s">
        <v>5443</v>
      </c>
      <c r="B1564" t="s">
        <v>5458</v>
      </c>
      <c r="C1564" t="s">
        <v>5494</v>
      </c>
      <c r="D1564" t="s">
        <v>5935</v>
      </c>
      <c r="E1564" t="s">
        <v>6461</v>
      </c>
      <c r="F1564" t="s">
        <v>13460</v>
      </c>
      <c r="G1564" t="s">
        <v>13481</v>
      </c>
      <c r="H1564" t="s">
        <v>13482</v>
      </c>
      <c r="I1564" t="s">
        <v>6479</v>
      </c>
      <c r="J1564" t="s">
        <v>13463</v>
      </c>
      <c r="K1564">
        <v>0</v>
      </c>
      <c r="L1564" t="s">
        <v>20</v>
      </c>
      <c r="M1564" t="s">
        <v>20</v>
      </c>
      <c r="N1564" t="str">
        <f>_xlfn.XLOOKUP(C:C,'Resource Table'!A:A,'Resource Table'!B:B,"NOT FOUND",0,1)</f>
        <v>Dedicated</v>
      </c>
      <c r="O1564" t="str">
        <f>_xlfn.XLOOKUP(N:N,'Resource Table'!B:B,'Resource Table'!C:C,"n/a",0,1)</f>
        <v>AFS Dedicated Tech</v>
      </c>
      <c r="P1564" t="str">
        <f>_xlfn.XLOOKUP(N:N,'Resource Table'!B:B,'Resource Table'!D:D,"n/a",0,1)</f>
        <v>Dedicated</v>
      </c>
    </row>
    <row r="1565" spans="1:16" x14ac:dyDescent="0.45">
      <c r="A1565" t="s">
        <v>5443</v>
      </c>
      <c r="B1565" t="s">
        <v>5458</v>
      </c>
      <c r="C1565" t="s">
        <v>5608</v>
      </c>
      <c r="D1565" t="s">
        <v>9820</v>
      </c>
      <c r="E1565" t="s">
        <v>8911</v>
      </c>
      <c r="F1565" t="s">
        <v>13473</v>
      </c>
      <c r="G1565" t="s">
        <v>13623</v>
      </c>
      <c r="H1565" t="s">
        <v>13624</v>
      </c>
      <c r="I1565" t="s">
        <v>29</v>
      </c>
      <c r="J1565" t="s">
        <v>13463</v>
      </c>
      <c r="K1565">
        <v>2</v>
      </c>
      <c r="L1565" t="s">
        <v>13504</v>
      </c>
      <c r="M1565" t="s">
        <v>20</v>
      </c>
      <c r="N1565" t="str">
        <f>_xlfn.XLOOKUP(C:C,'Resource Table'!A:A,'Resource Table'!B:B,"NOT FOUND",0,1)</f>
        <v>Dedicated</v>
      </c>
      <c r="O1565" t="str">
        <f>_xlfn.XLOOKUP(N:N,'Resource Table'!B:B,'Resource Table'!C:C,"n/a",0,1)</f>
        <v>AFS Dedicated Tech</v>
      </c>
      <c r="P1565" t="str">
        <f>_xlfn.XLOOKUP(N:N,'Resource Table'!B:B,'Resource Table'!D:D,"n/a",0,1)</f>
        <v>Dedicated</v>
      </c>
    </row>
    <row r="1566" spans="1:16" x14ac:dyDescent="0.45">
      <c r="A1566" t="s">
        <v>5443</v>
      </c>
      <c r="B1566" t="s">
        <v>5458</v>
      </c>
      <c r="C1566" t="s">
        <v>5608</v>
      </c>
      <c r="D1566" t="s">
        <v>9821</v>
      </c>
      <c r="E1566" t="s">
        <v>8911</v>
      </c>
      <c r="F1566" t="s">
        <v>13473</v>
      </c>
      <c r="G1566" t="s">
        <v>13623</v>
      </c>
      <c r="H1566" t="s">
        <v>13624</v>
      </c>
      <c r="I1566" t="s">
        <v>6479</v>
      </c>
      <c r="J1566" t="s">
        <v>13463</v>
      </c>
      <c r="K1566">
        <v>0</v>
      </c>
      <c r="L1566" t="s">
        <v>20</v>
      </c>
      <c r="M1566" t="s">
        <v>20</v>
      </c>
      <c r="N1566" t="str">
        <f>_xlfn.XLOOKUP(C:C,'Resource Table'!A:A,'Resource Table'!B:B,"NOT FOUND",0,1)</f>
        <v>Dedicated</v>
      </c>
      <c r="O1566" t="str">
        <f>_xlfn.XLOOKUP(N:N,'Resource Table'!B:B,'Resource Table'!C:C,"n/a",0,1)</f>
        <v>AFS Dedicated Tech</v>
      </c>
      <c r="P1566" t="str">
        <f>_xlfn.XLOOKUP(N:N,'Resource Table'!B:B,'Resource Table'!D:D,"n/a",0,1)</f>
        <v>Dedicated</v>
      </c>
    </row>
    <row r="1567" spans="1:16" x14ac:dyDescent="0.45">
      <c r="A1567" t="s">
        <v>5443</v>
      </c>
      <c r="B1567" t="s">
        <v>5458</v>
      </c>
      <c r="C1567" t="s">
        <v>5608</v>
      </c>
      <c r="D1567" t="s">
        <v>9822</v>
      </c>
      <c r="E1567" t="s">
        <v>8911</v>
      </c>
      <c r="F1567" t="s">
        <v>13473</v>
      </c>
      <c r="G1567" t="s">
        <v>13623</v>
      </c>
      <c r="H1567" t="s">
        <v>13625</v>
      </c>
      <c r="I1567" t="s">
        <v>6479</v>
      </c>
      <c r="J1567" t="s">
        <v>13463</v>
      </c>
      <c r="K1567">
        <v>0</v>
      </c>
      <c r="L1567" t="s">
        <v>20</v>
      </c>
      <c r="M1567" t="s">
        <v>20</v>
      </c>
      <c r="N1567" t="str">
        <f>_xlfn.XLOOKUP(C:C,'Resource Table'!A:A,'Resource Table'!B:B,"NOT FOUND",0,1)</f>
        <v>Dedicated</v>
      </c>
      <c r="O1567" t="str">
        <f>_xlfn.XLOOKUP(N:N,'Resource Table'!B:B,'Resource Table'!C:C,"n/a",0,1)</f>
        <v>AFS Dedicated Tech</v>
      </c>
      <c r="P1567" t="str">
        <f>_xlfn.XLOOKUP(N:N,'Resource Table'!B:B,'Resource Table'!D:D,"n/a",0,1)</f>
        <v>Dedicated</v>
      </c>
    </row>
    <row r="1568" spans="1:16" x14ac:dyDescent="0.45">
      <c r="A1568" t="s">
        <v>5443</v>
      </c>
      <c r="B1568" t="s">
        <v>5458</v>
      </c>
      <c r="C1568" t="s">
        <v>5608</v>
      </c>
      <c r="D1568" t="s">
        <v>9823</v>
      </c>
      <c r="E1568" t="s">
        <v>8911</v>
      </c>
      <c r="F1568" t="s">
        <v>13473</v>
      </c>
      <c r="G1568" t="s">
        <v>13474</v>
      </c>
      <c r="H1568" t="s">
        <v>13475</v>
      </c>
      <c r="I1568" t="s">
        <v>6479</v>
      </c>
      <c r="J1568" t="s">
        <v>13463</v>
      </c>
      <c r="K1568">
        <v>0</v>
      </c>
      <c r="L1568" t="s">
        <v>20</v>
      </c>
      <c r="M1568" t="s">
        <v>20</v>
      </c>
      <c r="N1568" t="str">
        <f>_xlfn.XLOOKUP(C:C,'Resource Table'!A:A,'Resource Table'!B:B,"NOT FOUND",0,1)</f>
        <v>Dedicated</v>
      </c>
      <c r="O1568" t="str">
        <f>_xlfn.XLOOKUP(N:N,'Resource Table'!B:B,'Resource Table'!C:C,"n/a",0,1)</f>
        <v>AFS Dedicated Tech</v>
      </c>
      <c r="P1568" t="str">
        <f>_xlfn.XLOOKUP(N:N,'Resource Table'!B:B,'Resource Table'!D:D,"n/a",0,1)</f>
        <v>Dedicated</v>
      </c>
    </row>
    <row r="1569" spans="1:16" x14ac:dyDescent="0.45">
      <c r="A1569" t="s">
        <v>5403</v>
      </c>
      <c r="B1569" t="s">
        <v>5421</v>
      </c>
      <c r="C1569" t="s">
        <v>5425</v>
      </c>
      <c r="D1569" t="s">
        <v>9825</v>
      </c>
      <c r="E1569" t="s">
        <v>8911</v>
      </c>
      <c r="F1569" t="s">
        <v>13514</v>
      </c>
      <c r="G1569" t="s">
        <v>13627</v>
      </c>
      <c r="H1569" t="s">
        <v>13628</v>
      </c>
      <c r="I1569" t="s">
        <v>6479</v>
      </c>
      <c r="J1569" t="s">
        <v>13463</v>
      </c>
      <c r="K1569">
        <v>0</v>
      </c>
      <c r="L1569" t="s">
        <v>20</v>
      </c>
      <c r="M1569" t="s">
        <v>20</v>
      </c>
      <c r="N1569" t="str">
        <f>_xlfn.XLOOKUP(C:C,'Resource Table'!A:A,'Resource Table'!B:B,"NOT FOUND",0,1)</f>
        <v>Dedicated</v>
      </c>
      <c r="O1569" t="str">
        <f>_xlfn.XLOOKUP(N:N,'Resource Table'!B:B,'Resource Table'!C:C,"n/a",0,1)</f>
        <v>AFS Dedicated Tech</v>
      </c>
      <c r="P1569" t="str">
        <f>_xlfn.XLOOKUP(N:N,'Resource Table'!B:B,'Resource Table'!D:D,"n/a",0,1)</f>
        <v>Dedicated</v>
      </c>
    </row>
    <row r="1570" spans="1:16" x14ac:dyDescent="0.45">
      <c r="A1570" t="s">
        <v>5403</v>
      </c>
      <c r="B1570" t="s">
        <v>5421</v>
      </c>
      <c r="C1570" t="s">
        <v>5425</v>
      </c>
      <c r="D1570" t="s">
        <v>9826</v>
      </c>
      <c r="E1570" t="s">
        <v>8911</v>
      </c>
      <c r="F1570" t="s">
        <v>13629</v>
      </c>
      <c r="G1570" t="s">
        <v>13630</v>
      </c>
      <c r="H1570" t="s">
        <v>13631</v>
      </c>
      <c r="I1570" t="s">
        <v>6479</v>
      </c>
      <c r="J1570" t="s">
        <v>13463</v>
      </c>
      <c r="K1570">
        <v>0</v>
      </c>
      <c r="L1570" t="s">
        <v>20</v>
      </c>
      <c r="M1570" t="s">
        <v>20</v>
      </c>
      <c r="N1570" t="str">
        <f>_xlfn.XLOOKUP(C:C,'Resource Table'!A:A,'Resource Table'!B:B,"NOT FOUND",0,1)</f>
        <v>Dedicated</v>
      </c>
      <c r="O1570" t="str">
        <f>_xlfn.XLOOKUP(N:N,'Resource Table'!B:B,'Resource Table'!C:C,"n/a",0,1)</f>
        <v>AFS Dedicated Tech</v>
      </c>
      <c r="P1570" t="str">
        <f>_xlfn.XLOOKUP(N:N,'Resource Table'!B:B,'Resource Table'!D:D,"n/a",0,1)</f>
        <v>Dedicated</v>
      </c>
    </row>
    <row r="1571" spans="1:16" x14ac:dyDescent="0.45">
      <c r="A1571" t="s">
        <v>5403</v>
      </c>
      <c r="B1571" t="s">
        <v>5421</v>
      </c>
      <c r="C1571" t="s">
        <v>5425</v>
      </c>
      <c r="D1571" t="s">
        <v>9827</v>
      </c>
      <c r="E1571" t="s">
        <v>9828</v>
      </c>
      <c r="F1571" t="s">
        <v>13629</v>
      </c>
      <c r="G1571" t="s">
        <v>9828</v>
      </c>
      <c r="H1571" t="s">
        <v>13632</v>
      </c>
      <c r="I1571" t="s">
        <v>29</v>
      </c>
      <c r="J1571" t="s">
        <v>13463</v>
      </c>
      <c r="K1571">
        <v>1</v>
      </c>
      <c r="L1571" t="s">
        <v>13503</v>
      </c>
      <c r="M1571" t="s">
        <v>20</v>
      </c>
      <c r="N1571" t="str">
        <f>_xlfn.XLOOKUP(C:C,'Resource Table'!A:A,'Resource Table'!B:B,"NOT FOUND",0,1)</f>
        <v>Dedicated</v>
      </c>
      <c r="O1571" t="str">
        <f>_xlfn.XLOOKUP(N:N,'Resource Table'!B:B,'Resource Table'!C:C,"n/a",0,1)</f>
        <v>AFS Dedicated Tech</v>
      </c>
      <c r="P1571" t="str">
        <f>_xlfn.XLOOKUP(N:N,'Resource Table'!B:B,'Resource Table'!D:D,"n/a",0,1)</f>
        <v>Dedicated</v>
      </c>
    </row>
    <row r="1572" spans="1:16" x14ac:dyDescent="0.45">
      <c r="A1572" t="s">
        <v>5403</v>
      </c>
      <c r="B1572" t="s">
        <v>5421</v>
      </c>
      <c r="C1572" t="s">
        <v>5425</v>
      </c>
      <c r="D1572" t="s">
        <v>9870</v>
      </c>
      <c r="E1572" t="s">
        <v>8911</v>
      </c>
      <c r="F1572" t="s">
        <v>13629</v>
      </c>
      <c r="G1572" t="s">
        <v>13630</v>
      </c>
      <c r="H1572" t="s">
        <v>13631</v>
      </c>
      <c r="I1572" t="s">
        <v>29</v>
      </c>
      <c r="J1572" t="s">
        <v>13463</v>
      </c>
      <c r="K1572">
        <v>1</v>
      </c>
      <c r="L1572" t="s">
        <v>13466</v>
      </c>
      <c r="M1572" t="s">
        <v>20</v>
      </c>
      <c r="N1572" t="str">
        <f>_xlfn.XLOOKUP(C:C,'Resource Table'!A:A,'Resource Table'!B:B,"NOT FOUND",0,1)</f>
        <v>Dedicated</v>
      </c>
      <c r="O1572" t="str">
        <f>_xlfn.XLOOKUP(N:N,'Resource Table'!B:B,'Resource Table'!C:C,"n/a",0,1)</f>
        <v>AFS Dedicated Tech</v>
      </c>
      <c r="P1572" t="str">
        <f>_xlfn.XLOOKUP(N:N,'Resource Table'!B:B,'Resource Table'!D:D,"n/a",0,1)</f>
        <v>Dedicated</v>
      </c>
    </row>
    <row r="1573" spans="1:16" x14ac:dyDescent="0.45">
      <c r="A1573" t="s">
        <v>5403</v>
      </c>
      <c r="B1573" t="s">
        <v>5421</v>
      </c>
      <c r="C1573" t="s">
        <v>5425</v>
      </c>
      <c r="D1573" t="s">
        <v>9829</v>
      </c>
      <c r="E1573" t="s">
        <v>8911</v>
      </c>
      <c r="F1573" t="s">
        <v>13633</v>
      </c>
      <c r="G1573" t="s">
        <v>13634</v>
      </c>
      <c r="H1573" t="s">
        <v>13635</v>
      </c>
      <c r="I1573" t="s">
        <v>6479</v>
      </c>
      <c r="J1573" t="s">
        <v>13463</v>
      </c>
      <c r="K1573">
        <v>1</v>
      </c>
      <c r="L1573" t="s">
        <v>13487</v>
      </c>
      <c r="M1573" t="s">
        <v>20</v>
      </c>
      <c r="N1573" t="str">
        <f>_xlfn.XLOOKUP(C:C,'Resource Table'!A:A,'Resource Table'!B:B,"NOT FOUND",0,1)</f>
        <v>Dedicated</v>
      </c>
      <c r="O1573" t="str">
        <f>_xlfn.XLOOKUP(N:N,'Resource Table'!B:B,'Resource Table'!C:C,"n/a",0,1)</f>
        <v>AFS Dedicated Tech</v>
      </c>
      <c r="P1573" t="str">
        <f>_xlfn.XLOOKUP(N:N,'Resource Table'!B:B,'Resource Table'!D:D,"n/a",0,1)</f>
        <v>Dedicated</v>
      </c>
    </row>
    <row r="1574" spans="1:16" x14ac:dyDescent="0.45">
      <c r="A1574" t="s">
        <v>5403</v>
      </c>
      <c r="B1574" t="s">
        <v>5421</v>
      </c>
      <c r="C1574" t="s">
        <v>5425</v>
      </c>
      <c r="D1574" t="s">
        <v>134</v>
      </c>
      <c r="E1574" t="s">
        <v>8911</v>
      </c>
      <c r="F1574" t="s">
        <v>13473</v>
      </c>
      <c r="G1574" t="s">
        <v>13636</v>
      </c>
      <c r="H1574" t="s">
        <v>13637</v>
      </c>
      <c r="I1574" t="s">
        <v>6479</v>
      </c>
      <c r="J1574" t="s">
        <v>13486</v>
      </c>
      <c r="K1574">
        <v>2</v>
      </c>
      <c r="L1574" t="s">
        <v>13466</v>
      </c>
      <c r="M1574" t="s">
        <v>20</v>
      </c>
      <c r="N1574" t="str">
        <f>_xlfn.XLOOKUP(C:C,'Resource Table'!A:A,'Resource Table'!B:B,"NOT FOUND",0,1)</f>
        <v>Dedicated</v>
      </c>
      <c r="O1574" t="str">
        <f>_xlfn.XLOOKUP(N:N,'Resource Table'!B:B,'Resource Table'!C:C,"n/a",0,1)</f>
        <v>AFS Dedicated Tech</v>
      </c>
      <c r="P1574" t="str">
        <f>_xlfn.XLOOKUP(N:N,'Resource Table'!B:B,'Resource Table'!D:D,"n/a",0,1)</f>
        <v>Dedicated</v>
      </c>
    </row>
    <row r="1575" spans="1:16" x14ac:dyDescent="0.45">
      <c r="A1575" t="s">
        <v>5403</v>
      </c>
      <c r="B1575" t="s">
        <v>5421</v>
      </c>
      <c r="C1575" t="s">
        <v>5425</v>
      </c>
      <c r="D1575" t="s">
        <v>9830</v>
      </c>
      <c r="E1575" t="s">
        <v>9828</v>
      </c>
      <c r="F1575" t="s">
        <v>13629</v>
      </c>
      <c r="G1575" t="s">
        <v>9828</v>
      </c>
      <c r="H1575" t="s">
        <v>13632</v>
      </c>
      <c r="I1575" t="s">
        <v>29</v>
      </c>
      <c r="J1575" t="s">
        <v>13463</v>
      </c>
      <c r="K1575">
        <v>1</v>
      </c>
      <c r="L1575" t="s">
        <v>13503</v>
      </c>
      <c r="M1575" t="s">
        <v>20</v>
      </c>
      <c r="N1575" t="str">
        <f>_xlfn.XLOOKUP(C:C,'Resource Table'!A:A,'Resource Table'!B:B,"NOT FOUND",0,1)</f>
        <v>Dedicated</v>
      </c>
      <c r="O1575" t="str">
        <f>_xlfn.XLOOKUP(N:N,'Resource Table'!B:B,'Resource Table'!C:C,"n/a",0,1)</f>
        <v>AFS Dedicated Tech</v>
      </c>
      <c r="P1575" t="str">
        <f>_xlfn.XLOOKUP(N:N,'Resource Table'!B:B,'Resource Table'!D:D,"n/a",0,1)</f>
        <v>Dedicated</v>
      </c>
    </row>
    <row r="1576" spans="1:16" x14ac:dyDescent="0.45">
      <c r="A1576" t="s">
        <v>5403</v>
      </c>
      <c r="B1576" t="s">
        <v>5421</v>
      </c>
      <c r="C1576" t="s">
        <v>5425</v>
      </c>
      <c r="D1576" t="s">
        <v>9831</v>
      </c>
      <c r="E1576" t="s">
        <v>8911</v>
      </c>
      <c r="F1576" t="s">
        <v>13629</v>
      </c>
      <c r="G1576" t="s">
        <v>13638</v>
      </c>
      <c r="H1576" t="s">
        <v>13639</v>
      </c>
      <c r="I1576" t="s">
        <v>29</v>
      </c>
      <c r="J1576" t="s">
        <v>13463</v>
      </c>
      <c r="K1576">
        <v>1</v>
      </c>
      <c r="L1576" t="s">
        <v>13480</v>
      </c>
      <c r="M1576" t="s">
        <v>14324</v>
      </c>
      <c r="N1576" t="str">
        <f>_xlfn.XLOOKUP(C:C,'Resource Table'!A:A,'Resource Table'!B:B,"NOT FOUND",0,1)</f>
        <v>Dedicated</v>
      </c>
      <c r="O1576" t="str">
        <f>_xlfn.XLOOKUP(N:N,'Resource Table'!B:B,'Resource Table'!C:C,"n/a",0,1)</f>
        <v>AFS Dedicated Tech</v>
      </c>
      <c r="P1576" t="str">
        <f>_xlfn.XLOOKUP(N:N,'Resource Table'!B:B,'Resource Table'!D:D,"n/a",0,1)</f>
        <v>Dedicated</v>
      </c>
    </row>
    <row r="1577" spans="1:16" x14ac:dyDescent="0.45">
      <c r="A1577" t="s">
        <v>5403</v>
      </c>
      <c r="B1577" t="s">
        <v>5421</v>
      </c>
      <c r="C1577" t="s">
        <v>5425</v>
      </c>
      <c r="D1577" t="s">
        <v>5863</v>
      </c>
      <c r="E1577" t="s">
        <v>8911</v>
      </c>
      <c r="F1577" t="s">
        <v>13473</v>
      </c>
      <c r="G1577" t="s">
        <v>13474</v>
      </c>
      <c r="H1577" t="s">
        <v>13475</v>
      </c>
      <c r="I1577" t="s">
        <v>29</v>
      </c>
      <c r="J1577" t="s">
        <v>13463</v>
      </c>
      <c r="K1577">
        <v>2</v>
      </c>
      <c r="L1577" t="s">
        <v>13536</v>
      </c>
      <c r="M1577" t="s">
        <v>13505</v>
      </c>
      <c r="N1577" t="str">
        <f>_xlfn.XLOOKUP(C:C,'Resource Table'!A:A,'Resource Table'!B:B,"NOT FOUND",0,1)</f>
        <v>Dedicated</v>
      </c>
      <c r="O1577" t="str">
        <f>_xlfn.XLOOKUP(N:N,'Resource Table'!B:B,'Resource Table'!C:C,"n/a",0,1)</f>
        <v>AFS Dedicated Tech</v>
      </c>
      <c r="P1577" t="str">
        <f>_xlfn.XLOOKUP(N:N,'Resource Table'!B:B,'Resource Table'!D:D,"n/a",0,1)</f>
        <v>Dedicated</v>
      </c>
    </row>
    <row r="1578" spans="1:16" x14ac:dyDescent="0.45">
      <c r="A1578" t="s">
        <v>5403</v>
      </c>
      <c r="B1578" t="s">
        <v>5421</v>
      </c>
      <c r="C1578" t="s">
        <v>5425</v>
      </c>
      <c r="D1578" t="s">
        <v>9832</v>
      </c>
      <c r="E1578" t="s">
        <v>9828</v>
      </c>
      <c r="F1578" t="s">
        <v>13629</v>
      </c>
      <c r="G1578" t="s">
        <v>9828</v>
      </c>
      <c r="H1578" t="s">
        <v>13632</v>
      </c>
      <c r="I1578" t="s">
        <v>6479</v>
      </c>
      <c r="J1578" t="s">
        <v>13463</v>
      </c>
      <c r="K1578">
        <v>1</v>
      </c>
      <c r="L1578" t="s">
        <v>13489</v>
      </c>
      <c r="M1578" t="s">
        <v>13489</v>
      </c>
      <c r="N1578" t="str">
        <f>_xlfn.XLOOKUP(C:C,'Resource Table'!A:A,'Resource Table'!B:B,"NOT FOUND",0,1)</f>
        <v>Dedicated</v>
      </c>
      <c r="O1578" t="str">
        <f>_xlfn.XLOOKUP(N:N,'Resource Table'!B:B,'Resource Table'!C:C,"n/a",0,1)</f>
        <v>AFS Dedicated Tech</v>
      </c>
      <c r="P1578" t="str">
        <f>_xlfn.XLOOKUP(N:N,'Resource Table'!B:B,'Resource Table'!D:D,"n/a",0,1)</f>
        <v>Dedicated</v>
      </c>
    </row>
    <row r="1579" spans="1:16" x14ac:dyDescent="0.45">
      <c r="A1579" t="s">
        <v>5403</v>
      </c>
      <c r="B1579" t="s">
        <v>5421</v>
      </c>
      <c r="C1579" t="s">
        <v>5425</v>
      </c>
      <c r="D1579" t="s">
        <v>9833</v>
      </c>
      <c r="E1579" t="s">
        <v>8911</v>
      </c>
      <c r="F1579" t="s">
        <v>13514</v>
      </c>
      <c r="G1579" t="s">
        <v>13515</v>
      </c>
      <c r="H1579" t="s">
        <v>13569</v>
      </c>
      <c r="I1579" t="s">
        <v>29</v>
      </c>
      <c r="J1579" t="s">
        <v>13463</v>
      </c>
      <c r="K1579">
        <v>2</v>
      </c>
      <c r="L1579" t="s">
        <v>13468</v>
      </c>
      <c r="M1579" t="s">
        <v>20</v>
      </c>
      <c r="N1579" t="str">
        <f>_xlfn.XLOOKUP(C:C,'Resource Table'!A:A,'Resource Table'!B:B,"NOT FOUND",0,1)</f>
        <v>Dedicated</v>
      </c>
      <c r="O1579" t="str">
        <f>_xlfn.XLOOKUP(N:N,'Resource Table'!B:B,'Resource Table'!C:C,"n/a",0,1)</f>
        <v>AFS Dedicated Tech</v>
      </c>
      <c r="P1579" t="str">
        <f>_xlfn.XLOOKUP(N:N,'Resource Table'!B:B,'Resource Table'!D:D,"n/a",0,1)</f>
        <v>Dedicated</v>
      </c>
    </row>
    <row r="1580" spans="1:16" x14ac:dyDescent="0.45">
      <c r="A1580" t="s">
        <v>5403</v>
      </c>
      <c r="B1580" t="s">
        <v>5421</v>
      </c>
      <c r="C1580" t="s">
        <v>5425</v>
      </c>
      <c r="D1580" t="s">
        <v>9834</v>
      </c>
      <c r="E1580" t="s">
        <v>9828</v>
      </c>
      <c r="F1580" t="s">
        <v>13629</v>
      </c>
      <c r="G1580" t="s">
        <v>9828</v>
      </c>
      <c r="H1580" t="s">
        <v>13632</v>
      </c>
      <c r="I1580" t="s">
        <v>29</v>
      </c>
      <c r="J1580" t="s">
        <v>13463</v>
      </c>
      <c r="K1580">
        <v>1</v>
      </c>
      <c r="L1580" t="s">
        <v>13503</v>
      </c>
      <c r="M1580" t="s">
        <v>20</v>
      </c>
      <c r="N1580" t="str">
        <f>_xlfn.XLOOKUP(C:C,'Resource Table'!A:A,'Resource Table'!B:B,"NOT FOUND",0,1)</f>
        <v>Dedicated</v>
      </c>
      <c r="O1580" t="str">
        <f>_xlfn.XLOOKUP(N:N,'Resource Table'!B:B,'Resource Table'!C:C,"n/a",0,1)</f>
        <v>AFS Dedicated Tech</v>
      </c>
      <c r="P1580" t="str">
        <f>_xlfn.XLOOKUP(N:N,'Resource Table'!B:B,'Resource Table'!D:D,"n/a",0,1)</f>
        <v>Dedicated</v>
      </c>
    </row>
    <row r="1581" spans="1:16" x14ac:dyDescent="0.45">
      <c r="A1581" t="s">
        <v>5403</v>
      </c>
      <c r="B1581" t="s">
        <v>5421</v>
      </c>
      <c r="C1581" t="s">
        <v>5425</v>
      </c>
      <c r="D1581" t="s">
        <v>5865</v>
      </c>
      <c r="E1581" t="s">
        <v>8911</v>
      </c>
      <c r="F1581" t="s">
        <v>13473</v>
      </c>
      <c r="G1581" t="s">
        <v>13474</v>
      </c>
      <c r="H1581" t="s">
        <v>13475</v>
      </c>
      <c r="I1581" t="s">
        <v>6479</v>
      </c>
      <c r="J1581" t="s">
        <v>13463</v>
      </c>
      <c r="K1581">
        <v>1</v>
      </c>
      <c r="L1581" t="s">
        <v>13480</v>
      </c>
      <c r="M1581" t="s">
        <v>20</v>
      </c>
      <c r="N1581" t="str">
        <f>_xlfn.XLOOKUP(C:C,'Resource Table'!A:A,'Resource Table'!B:B,"NOT FOUND",0,1)</f>
        <v>Dedicated</v>
      </c>
      <c r="O1581" t="str">
        <f>_xlfn.XLOOKUP(N:N,'Resource Table'!B:B,'Resource Table'!C:C,"n/a",0,1)</f>
        <v>AFS Dedicated Tech</v>
      </c>
      <c r="P1581" t="str">
        <f>_xlfn.XLOOKUP(N:N,'Resource Table'!B:B,'Resource Table'!D:D,"n/a",0,1)</f>
        <v>Dedicated</v>
      </c>
    </row>
    <row r="1582" spans="1:16" x14ac:dyDescent="0.45">
      <c r="A1582" t="s">
        <v>5403</v>
      </c>
      <c r="B1582" t="s">
        <v>5421</v>
      </c>
      <c r="C1582" t="s">
        <v>5425</v>
      </c>
      <c r="D1582" t="s">
        <v>9207</v>
      </c>
      <c r="E1582" t="s">
        <v>8911</v>
      </c>
      <c r="F1582" t="s">
        <v>13473</v>
      </c>
      <c r="G1582" t="s">
        <v>13640</v>
      </c>
      <c r="H1582" t="s">
        <v>13641</v>
      </c>
      <c r="I1582" t="s">
        <v>6479</v>
      </c>
      <c r="J1582" t="s">
        <v>13463</v>
      </c>
      <c r="K1582">
        <v>1</v>
      </c>
      <c r="L1582" t="s">
        <v>13472</v>
      </c>
      <c r="M1582" t="s">
        <v>13466</v>
      </c>
      <c r="N1582" t="str">
        <f>_xlfn.XLOOKUP(C:C,'Resource Table'!A:A,'Resource Table'!B:B,"NOT FOUND",0,1)</f>
        <v>Dedicated</v>
      </c>
      <c r="O1582" t="str">
        <f>_xlfn.XLOOKUP(N:N,'Resource Table'!B:B,'Resource Table'!C:C,"n/a",0,1)</f>
        <v>AFS Dedicated Tech</v>
      </c>
      <c r="P1582" t="str">
        <f>_xlfn.XLOOKUP(N:N,'Resource Table'!B:B,'Resource Table'!D:D,"n/a",0,1)</f>
        <v>Dedicated</v>
      </c>
    </row>
    <row r="1583" spans="1:16" x14ac:dyDescent="0.45">
      <c r="A1583" t="s">
        <v>5403</v>
      </c>
      <c r="B1583" t="s">
        <v>5421</v>
      </c>
      <c r="C1583" t="s">
        <v>5425</v>
      </c>
      <c r="D1583" t="s">
        <v>9835</v>
      </c>
      <c r="E1583" t="s">
        <v>8911</v>
      </c>
      <c r="F1583" t="s">
        <v>13473</v>
      </c>
      <c r="G1583" t="s">
        <v>13640</v>
      </c>
      <c r="H1583" t="s">
        <v>13642</v>
      </c>
      <c r="I1583" t="s">
        <v>6479</v>
      </c>
      <c r="J1583" t="s">
        <v>13463</v>
      </c>
      <c r="K1583">
        <v>0</v>
      </c>
      <c r="L1583" t="s">
        <v>20</v>
      </c>
      <c r="M1583" t="s">
        <v>20</v>
      </c>
      <c r="N1583" t="str">
        <f>_xlfn.XLOOKUP(C:C,'Resource Table'!A:A,'Resource Table'!B:B,"NOT FOUND",0,1)</f>
        <v>Dedicated</v>
      </c>
      <c r="O1583" t="str">
        <f>_xlfn.XLOOKUP(N:N,'Resource Table'!B:B,'Resource Table'!C:C,"n/a",0,1)</f>
        <v>AFS Dedicated Tech</v>
      </c>
      <c r="P1583" t="str">
        <f>_xlfn.XLOOKUP(N:N,'Resource Table'!B:B,'Resource Table'!D:D,"n/a",0,1)</f>
        <v>Dedicated</v>
      </c>
    </row>
    <row r="1584" spans="1:16" x14ac:dyDescent="0.45">
      <c r="A1584" t="s">
        <v>5403</v>
      </c>
      <c r="B1584" t="s">
        <v>5421</v>
      </c>
      <c r="C1584" t="s">
        <v>5425</v>
      </c>
      <c r="D1584" t="s">
        <v>9836</v>
      </c>
      <c r="E1584" t="s">
        <v>8911</v>
      </c>
      <c r="F1584" t="s">
        <v>13460</v>
      </c>
      <c r="G1584" t="s">
        <v>13576</v>
      </c>
      <c r="H1584" t="s">
        <v>13626</v>
      </c>
      <c r="I1584" t="s">
        <v>6479</v>
      </c>
      <c r="J1584" t="s">
        <v>13463</v>
      </c>
      <c r="K1584">
        <v>0</v>
      </c>
      <c r="L1584" t="s">
        <v>20</v>
      </c>
      <c r="M1584" t="s">
        <v>20</v>
      </c>
      <c r="N1584" t="str">
        <f>_xlfn.XLOOKUP(C:C,'Resource Table'!A:A,'Resource Table'!B:B,"NOT FOUND",0,1)</f>
        <v>Dedicated</v>
      </c>
      <c r="O1584" t="str">
        <f>_xlfn.XLOOKUP(N:N,'Resource Table'!B:B,'Resource Table'!C:C,"n/a",0,1)</f>
        <v>AFS Dedicated Tech</v>
      </c>
      <c r="P1584" t="str">
        <f>_xlfn.XLOOKUP(N:N,'Resource Table'!B:B,'Resource Table'!D:D,"n/a",0,1)</f>
        <v>Dedicated</v>
      </c>
    </row>
    <row r="1585" spans="1:16" x14ac:dyDescent="0.45">
      <c r="A1585" t="s">
        <v>5403</v>
      </c>
      <c r="B1585" t="s">
        <v>5421</v>
      </c>
      <c r="C1585" t="s">
        <v>5425</v>
      </c>
      <c r="D1585" t="s">
        <v>9824</v>
      </c>
      <c r="E1585" t="s">
        <v>8911</v>
      </c>
      <c r="F1585" t="s">
        <v>13473</v>
      </c>
      <c r="G1585" t="s">
        <v>13623</v>
      </c>
      <c r="H1585" t="s">
        <v>13625</v>
      </c>
      <c r="I1585" t="s">
        <v>6479</v>
      </c>
      <c r="J1585" t="s">
        <v>13463</v>
      </c>
      <c r="K1585">
        <v>1</v>
      </c>
      <c r="L1585" t="s">
        <v>13499</v>
      </c>
      <c r="M1585" t="s">
        <v>13505</v>
      </c>
      <c r="N1585" t="str">
        <f>_xlfn.XLOOKUP(C:C,'Resource Table'!A:A,'Resource Table'!B:B,"NOT FOUND",0,1)</f>
        <v>Dedicated</v>
      </c>
      <c r="O1585" t="str">
        <f>_xlfn.XLOOKUP(N:N,'Resource Table'!B:B,'Resource Table'!C:C,"n/a",0,1)</f>
        <v>AFS Dedicated Tech</v>
      </c>
      <c r="P1585" t="str">
        <f>_xlfn.XLOOKUP(N:N,'Resource Table'!B:B,'Resource Table'!D:D,"n/a",0,1)</f>
        <v>Dedicated</v>
      </c>
    </row>
    <row r="1586" spans="1:16" x14ac:dyDescent="0.45">
      <c r="A1586" t="s">
        <v>5403</v>
      </c>
      <c r="B1586" t="s">
        <v>5421</v>
      </c>
      <c r="C1586" t="s">
        <v>5453</v>
      </c>
      <c r="D1586" t="s">
        <v>5470</v>
      </c>
      <c r="E1586" t="s">
        <v>8911</v>
      </c>
      <c r="F1586" t="s">
        <v>13473</v>
      </c>
      <c r="G1586" t="s">
        <v>13474</v>
      </c>
      <c r="H1586" t="s">
        <v>13517</v>
      </c>
      <c r="I1586" t="s">
        <v>29</v>
      </c>
      <c r="J1586" t="s">
        <v>13463</v>
      </c>
      <c r="K1586">
        <v>6</v>
      </c>
      <c r="L1586" t="s">
        <v>13529</v>
      </c>
      <c r="M1586" t="s">
        <v>13493</v>
      </c>
      <c r="N1586" t="str">
        <f>_xlfn.XLOOKUP(C:C,'Resource Table'!A:A,'Resource Table'!B:B,"NOT FOUND",0,1)</f>
        <v>Dedicated</v>
      </c>
      <c r="O1586" t="str">
        <f>_xlfn.XLOOKUP(N:N,'Resource Table'!B:B,'Resource Table'!C:C,"n/a",0,1)</f>
        <v>AFS Dedicated Tech</v>
      </c>
      <c r="P1586" t="str">
        <f>_xlfn.XLOOKUP(N:N,'Resource Table'!B:B,'Resource Table'!D:D,"n/a",0,1)</f>
        <v>Dedicated</v>
      </c>
    </row>
    <row r="1587" spans="1:16" x14ac:dyDescent="0.45">
      <c r="A1587" t="s">
        <v>5399</v>
      </c>
      <c r="B1587" t="s">
        <v>5410</v>
      </c>
      <c r="C1587" t="s">
        <v>5476</v>
      </c>
      <c r="D1587" t="s">
        <v>1890</v>
      </c>
      <c r="E1587" t="s">
        <v>8911</v>
      </c>
      <c r="F1587" t="s">
        <v>13473</v>
      </c>
      <c r="G1587" t="s">
        <v>13623</v>
      </c>
      <c r="H1587" t="s">
        <v>13625</v>
      </c>
      <c r="I1587" t="s">
        <v>6479</v>
      </c>
      <c r="J1587" t="s">
        <v>13463</v>
      </c>
      <c r="K1587">
        <v>1</v>
      </c>
      <c r="L1587" t="s">
        <v>13497</v>
      </c>
      <c r="M1587" t="s">
        <v>13464</v>
      </c>
      <c r="N1587" t="str">
        <f>_xlfn.XLOOKUP(C:C,'Resource Table'!A:A,'Resource Table'!B:B,"NOT FOUND",0,1)</f>
        <v>Ralph Mann</v>
      </c>
      <c r="O1587" t="str">
        <f>_xlfn.XLOOKUP(N:N,'Resource Table'!B:B,'Resource Table'!C:C,"n/a",0,1)</f>
        <v>rmann@ameritfleet.com</v>
      </c>
      <c r="P1587" t="str">
        <f>_xlfn.XLOOKUP(N:N,'Resource Table'!B:B,'Resource Table'!D:D,"n/a",0,1)</f>
        <v>Vended Repair</v>
      </c>
    </row>
    <row r="1588" spans="1:16" x14ac:dyDescent="0.45">
      <c r="A1588" t="s">
        <v>5407</v>
      </c>
      <c r="B1588" t="s">
        <v>5491</v>
      </c>
      <c r="C1588" t="s">
        <v>5512</v>
      </c>
      <c r="D1588" t="s">
        <v>2962</v>
      </c>
      <c r="E1588" t="s">
        <v>8911</v>
      </c>
      <c r="F1588" t="s">
        <v>13460</v>
      </c>
      <c r="G1588" t="s">
        <v>13576</v>
      </c>
      <c r="H1588" t="s">
        <v>13577</v>
      </c>
      <c r="I1588" t="s">
        <v>29</v>
      </c>
      <c r="J1588" t="s">
        <v>13463</v>
      </c>
      <c r="K1588">
        <v>4</v>
      </c>
      <c r="L1588" t="s">
        <v>13536</v>
      </c>
      <c r="M1588" t="s">
        <v>13505</v>
      </c>
      <c r="N1588" t="str">
        <f>_xlfn.XLOOKUP(C:C,'Resource Table'!A:A,'Resource Table'!B:B,"NOT FOUND",0,1)</f>
        <v>Dedicated</v>
      </c>
      <c r="O1588" t="str">
        <f>_xlfn.XLOOKUP(N:N,'Resource Table'!B:B,'Resource Table'!C:C,"n/a",0,1)</f>
        <v>AFS Dedicated Tech</v>
      </c>
      <c r="P1588" t="str">
        <f>_xlfn.XLOOKUP(N:N,'Resource Table'!B:B,'Resource Table'!D:D,"n/a",0,1)</f>
        <v>Dedicated</v>
      </c>
    </row>
    <row r="1589" spans="1:16" x14ac:dyDescent="0.45">
      <c r="A1589" t="s">
        <v>5407</v>
      </c>
      <c r="B1589" t="s">
        <v>5491</v>
      </c>
      <c r="C1589" t="s">
        <v>5499</v>
      </c>
      <c r="D1589" t="s">
        <v>9837</v>
      </c>
      <c r="E1589" t="s">
        <v>8911</v>
      </c>
      <c r="F1589" t="s">
        <v>13473</v>
      </c>
      <c r="G1589" t="s">
        <v>13640</v>
      </c>
      <c r="H1589" t="s">
        <v>13641</v>
      </c>
      <c r="I1589" t="s">
        <v>6479</v>
      </c>
      <c r="J1589" t="s">
        <v>13463</v>
      </c>
      <c r="K1589">
        <v>1</v>
      </c>
      <c r="L1589" t="s">
        <v>13491</v>
      </c>
      <c r="M1589" t="s">
        <v>13505</v>
      </c>
      <c r="N1589" t="str">
        <f>_xlfn.XLOOKUP(C:C,'Resource Table'!A:A,'Resource Table'!B:B,"NOT FOUND",0,1)</f>
        <v>Dedicated</v>
      </c>
      <c r="O1589" t="str">
        <f>_xlfn.XLOOKUP(N:N,'Resource Table'!B:B,'Resource Table'!C:C,"n/a",0,1)</f>
        <v>AFS Dedicated Tech</v>
      </c>
      <c r="P1589" t="str">
        <f>_xlfn.XLOOKUP(N:N,'Resource Table'!B:B,'Resource Table'!D:D,"n/a",0,1)</f>
        <v>Dedicated</v>
      </c>
    </row>
    <row r="1590" spans="1:16" x14ac:dyDescent="0.45">
      <c r="A1590" t="s">
        <v>5407</v>
      </c>
      <c r="B1590" t="s">
        <v>5491</v>
      </c>
      <c r="C1590" t="s">
        <v>5499</v>
      </c>
      <c r="D1590" t="s">
        <v>2610</v>
      </c>
      <c r="E1590" t="s">
        <v>8911</v>
      </c>
      <c r="F1590" t="s">
        <v>13473</v>
      </c>
      <c r="G1590" t="s">
        <v>13623</v>
      </c>
      <c r="H1590" t="s">
        <v>13625</v>
      </c>
      <c r="I1590" t="s">
        <v>6479</v>
      </c>
      <c r="J1590" t="s">
        <v>13463</v>
      </c>
      <c r="K1590">
        <v>2</v>
      </c>
      <c r="L1590" t="s">
        <v>13543</v>
      </c>
      <c r="M1590" t="s">
        <v>13505</v>
      </c>
      <c r="N1590" t="str">
        <f>_xlfn.XLOOKUP(C:C,'Resource Table'!A:A,'Resource Table'!B:B,"NOT FOUND",0,1)</f>
        <v>Dedicated</v>
      </c>
      <c r="O1590" t="str">
        <f>_xlfn.XLOOKUP(N:N,'Resource Table'!B:B,'Resource Table'!C:C,"n/a",0,1)</f>
        <v>AFS Dedicated Tech</v>
      </c>
      <c r="P1590" t="str">
        <f>_xlfn.XLOOKUP(N:N,'Resource Table'!B:B,'Resource Table'!D:D,"n/a",0,1)</f>
        <v>Dedicated</v>
      </c>
    </row>
    <row r="1591" spans="1:16" x14ac:dyDescent="0.45">
      <c r="A1591" t="s">
        <v>5407</v>
      </c>
      <c r="B1591" t="s">
        <v>5491</v>
      </c>
      <c r="C1591" t="s">
        <v>5499</v>
      </c>
      <c r="D1591" t="s">
        <v>609</v>
      </c>
      <c r="E1591" t="s">
        <v>8911</v>
      </c>
      <c r="F1591" t="s">
        <v>13473</v>
      </c>
      <c r="G1591" t="s">
        <v>13636</v>
      </c>
      <c r="H1591" t="s">
        <v>13643</v>
      </c>
      <c r="I1591" t="s">
        <v>6479</v>
      </c>
      <c r="J1591" t="s">
        <v>13463</v>
      </c>
      <c r="K1591">
        <v>1</v>
      </c>
      <c r="L1591" t="s">
        <v>13534</v>
      </c>
      <c r="M1591" t="s">
        <v>13505</v>
      </c>
      <c r="N1591" t="str">
        <f>_xlfn.XLOOKUP(C:C,'Resource Table'!A:A,'Resource Table'!B:B,"NOT FOUND",0,1)</f>
        <v>Dedicated</v>
      </c>
      <c r="O1591" t="str">
        <f>_xlfn.XLOOKUP(N:N,'Resource Table'!B:B,'Resource Table'!C:C,"n/a",0,1)</f>
        <v>AFS Dedicated Tech</v>
      </c>
      <c r="P1591" t="str">
        <f>_xlfn.XLOOKUP(N:N,'Resource Table'!B:B,'Resource Table'!D:D,"n/a",0,1)</f>
        <v>Dedicated</v>
      </c>
    </row>
    <row r="1592" spans="1:16" x14ac:dyDescent="0.45">
      <c r="A1592" t="s">
        <v>5431</v>
      </c>
      <c r="B1592" t="s">
        <v>5431</v>
      </c>
      <c r="C1592" t="s">
        <v>5497</v>
      </c>
      <c r="D1592" t="s">
        <v>9838</v>
      </c>
      <c r="E1592" t="s">
        <v>8911</v>
      </c>
      <c r="F1592" t="s">
        <v>13473</v>
      </c>
      <c r="G1592" t="s">
        <v>13640</v>
      </c>
      <c r="H1592" t="s">
        <v>13642</v>
      </c>
      <c r="I1592" t="s">
        <v>6479</v>
      </c>
      <c r="J1592" t="s">
        <v>13463</v>
      </c>
      <c r="K1592">
        <v>3</v>
      </c>
      <c r="L1592" t="s">
        <v>13529</v>
      </c>
      <c r="M1592" t="s">
        <v>13466</v>
      </c>
      <c r="N1592" t="str">
        <f>_xlfn.XLOOKUP(C:C,'Resource Table'!A:A,'Resource Table'!B:B,"NOT FOUND",0,1)</f>
        <v>Dedicated</v>
      </c>
      <c r="O1592" t="str">
        <f>_xlfn.XLOOKUP(N:N,'Resource Table'!B:B,'Resource Table'!C:C,"n/a",0,1)</f>
        <v>AFS Dedicated Tech</v>
      </c>
      <c r="P1592" t="str">
        <f>_xlfn.XLOOKUP(N:N,'Resource Table'!B:B,'Resource Table'!D:D,"n/a",0,1)</f>
        <v>Dedicated</v>
      </c>
    </row>
    <row r="1593" spans="1:16" x14ac:dyDescent="0.45">
      <c r="A1593" t="s">
        <v>5431</v>
      </c>
      <c r="B1593" t="s">
        <v>5431</v>
      </c>
      <c r="C1593" t="s">
        <v>5497</v>
      </c>
      <c r="D1593" t="s">
        <v>9839</v>
      </c>
      <c r="E1593" t="s">
        <v>8911</v>
      </c>
      <c r="F1593" t="s">
        <v>13473</v>
      </c>
      <c r="G1593" t="s">
        <v>13623</v>
      </c>
      <c r="H1593" t="s">
        <v>13625</v>
      </c>
      <c r="I1593" t="s">
        <v>6479</v>
      </c>
      <c r="J1593" t="s">
        <v>13463</v>
      </c>
      <c r="K1593">
        <v>3</v>
      </c>
      <c r="L1593" t="s">
        <v>13529</v>
      </c>
      <c r="M1593" t="s">
        <v>13466</v>
      </c>
      <c r="N1593" t="str">
        <f>_xlfn.XLOOKUP(C:C,'Resource Table'!A:A,'Resource Table'!B:B,"NOT FOUND",0,1)</f>
        <v>Dedicated</v>
      </c>
      <c r="O1593" t="str">
        <f>_xlfn.XLOOKUP(N:N,'Resource Table'!B:B,'Resource Table'!C:C,"n/a",0,1)</f>
        <v>AFS Dedicated Tech</v>
      </c>
      <c r="P1593" t="str">
        <f>_xlfn.XLOOKUP(N:N,'Resource Table'!B:B,'Resource Table'!D:D,"n/a",0,1)</f>
        <v>Dedicated</v>
      </c>
    </row>
    <row r="1594" spans="1:16" x14ac:dyDescent="0.45">
      <c r="A1594" t="s">
        <v>5431</v>
      </c>
      <c r="B1594" t="s">
        <v>5431</v>
      </c>
      <c r="C1594" t="s">
        <v>5786</v>
      </c>
      <c r="D1594" t="s">
        <v>3523</v>
      </c>
      <c r="E1594" t="s">
        <v>8911</v>
      </c>
      <c r="F1594" t="s">
        <v>13629</v>
      </c>
      <c r="G1594" t="s">
        <v>13630</v>
      </c>
      <c r="H1594" t="s">
        <v>13644</v>
      </c>
      <c r="I1594" t="s">
        <v>29</v>
      </c>
      <c r="J1594" t="s">
        <v>13463</v>
      </c>
      <c r="K1594">
        <v>3</v>
      </c>
      <c r="L1594" t="s">
        <v>13536</v>
      </c>
      <c r="M1594" t="s">
        <v>13556</v>
      </c>
      <c r="N1594" t="str">
        <f>_xlfn.XLOOKUP(C:C,'Resource Table'!A:A,'Resource Table'!B:B,"NOT FOUND",0,1)</f>
        <v>Brittany Williams</v>
      </c>
      <c r="O1594" t="str">
        <f>_xlfn.XLOOKUP(N:N,'Resource Table'!B:B,'Resource Table'!C:C,"n/a",0,1)</f>
        <v>bwilliams5@ameritfleet.com</v>
      </c>
      <c r="P1594" t="str">
        <f>_xlfn.XLOOKUP(N:N,'Resource Table'!B:B,'Resource Table'!D:D,"n/a",0,1)</f>
        <v>Vended Repair</v>
      </c>
    </row>
    <row r="1595" spans="1:16" x14ac:dyDescent="0.45">
      <c r="A1595" t="s">
        <v>5431</v>
      </c>
      <c r="B1595" t="s">
        <v>5431</v>
      </c>
      <c r="C1595" t="s">
        <v>5786</v>
      </c>
      <c r="D1595" t="s">
        <v>2885</v>
      </c>
      <c r="E1595" t="s">
        <v>8911</v>
      </c>
      <c r="F1595" t="s">
        <v>13460</v>
      </c>
      <c r="G1595" t="s">
        <v>13576</v>
      </c>
      <c r="H1595" t="s">
        <v>13626</v>
      </c>
      <c r="I1595" t="s">
        <v>6479</v>
      </c>
      <c r="J1595" t="s">
        <v>13463</v>
      </c>
      <c r="K1595">
        <v>0</v>
      </c>
      <c r="L1595" t="s">
        <v>20</v>
      </c>
      <c r="M1595" t="s">
        <v>20</v>
      </c>
      <c r="N1595" t="str">
        <f>_xlfn.XLOOKUP(C:C,'Resource Table'!A:A,'Resource Table'!B:B,"NOT FOUND",0,1)</f>
        <v>Brittany Williams</v>
      </c>
      <c r="O1595" t="str">
        <f>_xlfn.XLOOKUP(N:N,'Resource Table'!B:B,'Resource Table'!C:C,"n/a",0,1)</f>
        <v>bwilliams5@ameritfleet.com</v>
      </c>
      <c r="P1595" t="str">
        <f>_xlfn.XLOOKUP(N:N,'Resource Table'!B:B,'Resource Table'!D:D,"n/a",0,1)</f>
        <v>Vended Repair</v>
      </c>
    </row>
    <row r="1596" spans="1:16" x14ac:dyDescent="0.45">
      <c r="A1596" t="s">
        <v>5443</v>
      </c>
      <c r="B1596" t="s">
        <v>5450</v>
      </c>
      <c r="C1596" t="s">
        <v>5527</v>
      </c>
      <c r="D1596" t="s">
        <v>13060</v>
      </c>
      <c r="E1596" t="s">
        <v>8911</v>
      </c>
      <c r="F1596" t="s">
        <v>13633</v>
      </c>
      <c r="G1596" t="s">
        <v>13645</v>
      </c>
      <c r="H1596" t="s">
        <v>13646</v>
      </c>
      <c r="I1596" t="s">
        <v>6479</v>
      </c>
      <c r="J1596" t="s">
        <v>13463</v>
      </c>
      <c r="K1596">
        <v>0</v>
      </c>
      <c r="L1596" t="s">
        <v>20</v>
      </c>
      <c r="M1596" t="s">
        <v>20</v>
      </c>
      <c r="N1596" t="str">
        <f>_xlfn.XLOOKUP(C:C,'Resource Table'!A:A,'Resource Table'!B:B,"NOT FOUND",0,1)</f>
        <v>Hollie Francis</v>
      </c>
      <c r="O1596" t="str">
        <f>_xlfn.XLOOKUP(N:N,'Resource Table'!B:B,'Resource Table'!C:C,"n/a",0,1)</f>
        <v>hfrancis@ameritfleet.com</v>
      </c>
      <c r="P1596" t="str">
        <f>_xlfn.XLOOKUP(N:N,'Resource Table'!B:B,'Resource Table'!D:D,"n/a",0,1)</f>
        <v>Vended Repair</v>
      </c>
    </row>
    <row r="1597" spans="1:16" x14ac:dyDescent="0.45">
      <c r="A1597" t="s">
        <v>5443</v>
      </c>
      <c r="B1597" t="s">
        <v>5450</v>
      </c>
      <c r="C1597" t="s">
        <v>5527</v>
      </c>
      <c r="D1597" t="s">
        <v>9840</v>
      </c>
      <c r="E1597" t="s">
        <v>8911</v>
      </c>
      <c r="F1597" t="s">
        <v>13460</v>
      </c>
      <c r="G1597" t="s">
        <v>13576</v>
      </c>
      <c r="H1597" t="s">
        <v>13647</v>
      </c>
      <c r="I1597" t="s">
        <v>6479</v>
      </c>
      <c r="J1597" t="s">
        <v>13463</v>
      </c>
      <c r="K1597">
        <v>0</v>
      </c>
      <c r="L1597" t="s">
        <v>20</v>
      </c>
      <c r="M1597" t="s">
        <v>20</v>
      </c>
      <c r="N1597" t="str">
        <f>_xlfn.XLOOKUP(C:C,'Resource Table'!A:A,'Resource Table'!B:B,"NOT FOUND",0,1)</f>
        <v>Hollie Francis</v>
      </c>
      <c r="O1597" t="str">
        <f>_xlfn.XLOOKUP(N:N,'Resource Table'!B:B,'Resource Table'!C:C,"n/a",0,1)</f>
        <v>hfrancis@ameritfleet.com</v>
      </c>
      <c r="P1597" t="str">
        <f>_xlfn.XLOOKUP(N:N,'Resource Table'!B:B,'Resource Table'!D:D,"n/a",0,1)</f>
        <v>Vended Repair</v>
      </c>
    </row>
    <row r="1598" spans="1:16" x14ac:dyDescent="0.45">
      <c r="A1598" t="s">
        <v>5443</v>
      </c>
      <c r="B1598" t="s">
        <v>5450</v>
      </c>
      <c r="C1598" t="s">
        <v>5594</v>
      </c>
      <c r="D1598" t="s">
        <v>1056</v>
      </c>
      <c r="E1598" t="s">
        <v>8911</v>
      </c>
      <c r="F1598" t="s">
        <v>13629</v>
      </c>
      <c r="G1598" t="s">
        <v>13630</v>
      </c>
      <c r="H1598" t="s">
        <v>13631</v>
      </c>
      <c r="I1598" t="s">
        <v>6479</v>
      </c>
      <c r="J1598" t="s">
        <v>13463</v>
      </c>
      <c r="K1598">
        <v>2</v>
      </c>
      <c r="L1598" t="s">
        <v>13540</v>
      </c>
      <c r="M1598" t="s">
        <v>13505</v>
      </c>
      <c r="N1598" t="str">
        <f>_xlfn.XLOOKUP(C:C,'Resource Table'!A:A,'Resource Table'!B:B,"NOT FOUND",0,1)</f>
        <v>Hollie Francis</v>
      </c>
      <c r="O1598" t="str">
        <f>_xlfn.XLOOKUP(N:N,'Resource Table'!B:B,'Resource Table'!C:C,"n/a",0,1)</f>
        <v>hfrancis@ameritfleet.com</v>
      </c>
      <c r="P1598" t="str">
        <f>_xlfn.XLOOKUP(N:N,'Resource Table'!B:B,'Resource Table'!D:D,"n/a",0,1)</f>
        <v>Vended Repair</v>
      </c>
    </row>
    <row r="1599" spans="1:16" x14ac:dyDescent="0.45">
      <c r="A1599" t="s">
        <v>5443</v>
      </c>
      <c r="B1599" t="s">
        <v>5450</v>
      </c>
      <c r="C1599" t="s">
        <v>5582</v>
      </c>
      <c r="D1599" t="s">
        <v>9841</v>
      </c>
      <c r="E1599" t="s">
        <v>8911</v>
      </c>
      <c r="F1599" t="s">
        <v>13460</v>
      </c>
      <c r="G1599" t="s">
        <v>13576</v>
      </c>
      <c r="H1599" t="s">
        <v>13626</v>
      </c>
      <c r="I1599" t="s">
        <v>6479</v>
      </c>
      <c r="J1599" t="s">
        <v>13463</v>
      </c>
      <c r="K1599">
        <v>0</v>
      </c>
      <c r="L1599" t="s">
        <v>20</v>
      </c>
      <c r="M1599" t="s">
        <v>20</v>
      </c>
      <c r="N1599" t="str">
        <f>_xlfn.XLOOKUP(C:C,'Resource Table'!A:A,'Resource Table'!B:B,"NOT FOUND",0,1)</f>
        <v>Dedicated</v>
      </c>
      <c r="O1599" t="str">
        <f>_xlfn.XLOOKUP(N:N,'Resource Table'!B:B,'Resource Table'!C:C,"n/a",0,1)</f>
        <v>AFS Dedicated Tech</v>
      </c>
      <c r="P1599" t="str">
        <f>_xlfn.XLOOKUP(N:N,'Resource Table'!B:B,'Resource Table'!D:D,"n/a",0,1)</f>
        <v>Dedicated</v>
      </c>
    </row>
    <row r="1600" spans="1:16" x14ac:dyDescent="0.45">
      <c r="A1600" t="s">
        <v>5443</v>
      </c>
      <c r="B1600" t="s">
        <v>5450</v>
      </c>
      <c r="C1600" t="s">
        <v>5582</v>
      </c>
      <c r="D1600" t="s">
        <v>9842</v>
      </c>
      <c r="E1600" t="s">
        <v>8911</v>
      </c>
      <c r="F1600" t="s">
        <v>13473</v>
      </c>
      <c r="G1600" t="s">
        <v>13623</v>
      </c>
      <c r="H1600" t="s">
        <v>13625</v>
      </c>
      <c r="I1600" t="s">
        <v>6479</v>
      </c>
      <c r="J1600" t="s">
        <v>13463</v>
      </c>
      <c r="K1600">
        <v>0</v>
      </c>
      <c r="L1600" t="s">
        <v>20</v>
      </c>
      <c r="M1600" t="s">
        <v>20</v>
      </c>
      <c r="N1600" t="str">
        <f>_xlfn.XLOOKUP(C:C,'Resource Table'!A:A,'Resource Table'!B:B,"NOT FOUND",0,1)</f>
        <v>Dedicated</v>
      </c>
      <c r="O1600" t="str">
        <f>_xlfn.XLOOKUP(N:N,'Resource Table'!B:B,'Resource Table'!C:C,"n/a",0,1)</f>
        <v>AFS Dedicated Tech</v>
      </c>
      <c r="P1600" t="str">
        <f>_xlfn.XLOOKUP(N:N,'Resource Table'!B:B,'Resource Table'!D:D,"n/a",0,1)</f>
        <v>Dedicated</v>
      </c>
    </row>
    <row r="1601" spans="1:16" x14ac:dyDescent="0.45">
      <c r="A1601" t="s">
        <v>5443</v>
      </c>
      <c r="B1601" t="s">
        <v>5450</v>
      </c>
      <c r="C1601" t="s">
        <v>5582</v>
      </c>
      <c r="D1601" t="s">
        <v>9843</v>
      </c>
      <c r="E1601" t="s">
        <v>8911</v>
      </c>
      <c r="F1601" t="s">
        <v>13633</v>
      </c>
      <c r="G1601" t="s">
        <v>13648</v>
      </c>
      <c r="H1601" t="s">
        <v>13649</v>
      </c>
      <c r="I1601" t="s">
        <v>29</v>
      </c>
      <c r="J1601" t="s">
        <v>13463</v>
      </c>
      <c r="K1601">
        <v>1</v>
      </c>
      <c r="L1601" t="s">
        <v>13487</v>
      </c>
      <c r="M1601" t="s">
        <v>20</v>
      </c>
      <c r="N1601" t="str">
        <f>_xlfn.XLOOKUP(C:C,'Resource Table'!A:A,'Resource Table'!B:B,"NOT FOUND",0,1)</f>
        <v>Dedicated</v>
      </c>
      <c r="O1601" t="str">
        <f>_xlfn.XLOOKUP(N:N,'Resource Table'!B:B,'Resource Table'!C:C,"n/a",0,1)</f>
        <v>AFS Dedicated Tech</v>
      </c>
      <c r="P1601" t="str">
        <f>_xlfn.XLOOKUP(N:N,'Resource Table'!B:B,'Resource Table'!D:D,"n/a",0,1)</f>
        <v>Dedicated</v>
      </c>
    </row>
    <row r="1602" spans="1:16" x14ac:dyDescent="0.45">
      <c r="A1602" t="s">
        <v>5443</v>
      </c>
      <c r="B1602" t="s">
        <v>5450</v>
      </c>
      <c r="C1602" t="s">
        <v>5582</v>
      </c>
      <c r="D1602" t="s">
        <v>9844</v>
      </c>
      <c r="E1602" t="s">
        <v>8911</v>
      </c>
      <c r="F1602" t="s">
        <v>13460</v>
      </c>
      <c r="G1602" t="s">
        <v>13576</v>
      </c>
      <c r="H1602" t="s">
        <v>13626</v>
      </c>
      <c r="I1602" t="s">
        <v>6479</v>
      </c>
      <c r="J1602" t="s">
        <v>13463</v>
      </c>
      <c r="K1602">
        <v>0</v>
      </c>
      <c r="L1602" t="s">
        <v>20</v>
      </c>
      <c r="M1602" t="s">
        <v>20</v>
      </c>
      <c r="N1602" t="str">
        <f>_xlfn.XLOOKUP(C:C,'Resource Table'!A:A,'Resource Table'!B:B,"NOT FOUND",0,1)</f>
        <v>Dedicated</v>
      </c>
      <c r="O1602" t="str">
        <f>_xlfn.XLOOKUP(N:N,'Resource Table'!B:B,'Resource Table'!C:C,"n/a",0,1)</f>
        <v>AFS Dedicated Tech</v>
      </c>
      <c r="P1602" t="str">
        <f>_xlfn.XLOOKUP(N:N,'Resource Table'!B:B,'Resource Table'!D:D,"n/a",0,1)</f>
        <v>Dedicated</v>
      </c>
    </row>
    <row r="1603" spans="1:16" x14ac:dyDescent="0.45">
      <c r="A1603" t="s">
        <v>5443</v>
      </c>
      <c r="B1603" t="s">
        <v>5450</v>
      </c>
      <c r="C1603" t="s">
        <v>5571</v>
      </c>
      <c r="D1603" t="s">
        <v>2461</v>
      </c>
      <c r="E1603" t="s">
        <v>8911</v>
      </c>
      <c r="F1603" t="s">
        <v>13460</v>
      </c>
      <c r="G1603" t="s">
        <v>13576</v>
      </c>
      <c r="H1603" t="s">
        <v>13626</v>
      </c>
      <c r="I1603" t="s">
        <v>6479</v>
      </c>
      <c r="J1603" t="s">
        <v>13463</v>
      </c>
      <c r="K1603">
        <v>1</v>
      </c>
      <c r="L1603" t="s">
        <v>13540</v>
      </c>
      <c r="M1603" t="s">
        <v>13464</v>
      </c>
      <c r="N1603" t="str">
        <f>_xlfn.XLOOKUP(C:C,'Resource Table'!A:A,'Resource Table'!B:B,"NOT FOUND",0,1)</f>
        <v>Hollie Francis</v>
      </c>
      <c r="O1603" t="str">
        <f>_xlfn.XLOOKUP(N:N,'Resource Table'!B:B,'Resource Table'!C:C,"n/a",0,1)</f>
        <v>hfrancis@ameritfleet.com</v>
      </c>
      <c r="P1603" t="str">
        <f>_xlfn.XLOOKUP(N:N,'Resource Table'!B:B,'Resource Table'!D:D,"n/a",0,1)</f>
        <v>Vended Repair</v>
      </c>
    </row>
    <row r="1604" spans="1:16" x14ac:dyDescent="0.45">
      <c r="A1604" t="s">
        <v>5443</v>
      </c>
      <c r="B1604" t="s">
        <v>5524</v>
      </c>
      <c r="C1604" t="s">
        <v>5753</v>
      </c>
      <c r="D1604" t="s">
        <v>9845</v>
      </c>
      <c r="E1604" t="s">
        <v>8911</v>
      </c>
      <c r="F1604" t="s">
        <v>13473</v>
      </c>
      <c r="G1604" t="s">
        <v>13640</v>
      </c>
      <c r="H1604" t="s">
        <v>13641</v>
      </c>
      <c r="I1604" t="s">
        <v>6479</v>
      </c>
      <c r="J1604" t="s">
        <v>13463</v>
      </c>
      <c r="K1604">
        <v>0</v>
      </c>
      <c r="L1604" t="s">
        <v>20</v>
      </c>
      <c r="M1604" t="s">
        <v>20</v>
      </c>
      <c r="N1604" t="str">
        <f>_xlfn.XLOOKUP(C:C,'Resource Table'!A:A,'Resource Table'!B:B,"NOT FOUND",0,1)</f>
        <v>Hollie Francis</v>
      </c>
      <c r="O1604" t="str">
        <f>_xlfn.XLOOKUP(N:N,'Resource Table'!B:B,'Resource Table'!C:C,"n/a",0,1)</f>
        <v>hfrancis@ameritfleet.com</v>
      </c>
      <c r="P1604" t="str">
        <f>_xlfn.XLOOKUP(N:N,'Resource Table'!B:B,'Resource Table'!D:D,"n/a",0,1)</f>
        <v>Vended Repair</v>
      </c>
    </row>
    <row r="1605" spans="1:16" x14ac:dyDescent="0.45">
      <c r="A1605" t="s">
        <v>5399</v>
      </c>
      <c r="B1605" t="s">
        <v>5412</v>
      </c>
      <c r="C1605" t="s">
        <v>5507</v>
      </c>
      <c r="D1605" t="s">
        <v>701</v>
      </c>
      <c r="E1605" t="s">
        <v>8911</v>
      </c>
      <c r="F1605" t="s">
        <v>13460</v>
      </c>
      <c r="G1605" t="s">
        <v>13576</v>
      </c>
      <c r="H1605" t="s">
        <v>13577</v>
      </c>
      <c r="I1605" t="s">
        <v>6479</v>
      </c>
      <c r="J1605" t="s">
        <v>13463</v>
      </c>
      <c r="K1605">
        <v>1</v>
      </c>
      <c r="L1605" t="s">
        <v>13528</v>
      </c>
      <c r="M1605" t="s">
        <v>13528</v>
      </c>
      <c r="N1605" t="str">
        <f>_xlfn.XLOOKUP(C:C,'Resource Table'!A:A,'Resource Table'!B:B,"NOT FOUND",0,1)</f>
        <v>Ralph Mann</v>
      </c>
      <c r="O1605" t="str">
        <f>_xlfn.XLOOKUP(N:N,'Resource Table'!B:B,'Resource Table'!C:C,"n/a",0,1)</f>
        <v>rmann@ameritfleet.com</v>
      </c>
      <c r="P1605" t="str">
        <f>_xlfn.XLOOKUP(N:N,'Resource Table'!B:B,'Resource Table'!D:D,"n/a",0,1)</f>
        <v>Vended Repair</v>
      </c>
    </row>
    <row r="1606" spans="1:16" x14ac:dyDescent="0.45">
      <c r="A1606" t="s">
        <v>5399</v>
      </c>
      <c r="B1606" t="s">
        <v>5400</v>
      </c>
      <c r="C1606" t="s">
        <v>5560</v>
      </c>
      <c r="D1606" t="s">
        <v>9846</v>
      </c>
      <c r="E1606" t="s">
        <v>8911</v>
      </c>
      <c r="F1606" t="s">
        <v>13514</v>
      </c>
      <c r="G1606" t="s">
        <v>13650</v>
      </c>
      <c r="H1606" t="s">
        <v>13651</v>
      </c>
      <c r="I1606" t="s">
        <v>29</v>
      </c>
      <c r="J1606" t="s">
        <v>13463</v>
      </c>
      <c r="K1606">
        <v>2</v>
      </c>
      <c r="L1606" t="s">
        <v>13536</v>
      </c>
      <c r="M1606" t="s">
        <v>20</v>
      </c>
      <c r="N1606" t="str">
        <f>_xlfn.XLOOKUP(C:C,'Resource Table'!A:A,'Resource Table'!B:B,"NOT FOUND",0,1)</f>
        <v>Dedicated</v>
      </c>
      <c r="O1606" t="str">
        <f>_xlfn.XLOOKUP(N:N,'Resource Table'!B:B,'Resource Table'!C:C,"n/a",0,1)</f>
        <v>AFS Dedicated Tech</v>
      </c>
      <c r="P1606" t="str">
        <f>_xlfn.XLOOKUP(N:N,'Resource Table'!B:B,'Resource Table'!D:D,"n/a",0,1)</f>
        <v>Dedicated</v>
      </c>
    </row>
    <row r="1607" spans="1:16" x14ac:dyDescent="0.45">
      <c r="A1607" t="s">
        <v>5399</v>
      </c>
      <c r="B1607" t="s">
        <v>5410</v>
      </c>
      <c r="C1607" t="s">
        <v>5503</v>
      </c>
      <c r="D1607" t="s">
        <v>1748</v>
      </c>
      <c r="E1607" t="s">
        <v>8911</v>
      </c>
      <c r="F1607" t="s">
        <v>13460</v>
      </c>
      <c r="G1607" t="s">
        <v>13476</v>
      </c>
      <c r="H1607" t="s">
        <v>13652</v>
      </c>
      <c r="I1607" t="s">
        <v>6479</v>
      </c>
      <c r="J1607" t="s">
        <v>13463</v>
      </c>
      <c r="K1607">
        <v>5</v>
      </c>
      <c r="L1607" t="s">
        <v>13561</v>
      </c>
      <c r="M1607" t="s">
        <v>13466</v>
      </c>
      <c r="N1607" t="str">
        <f>_xlfn.XLOOKUP(C:C,'Resource Table'!A:A,'Resource Table'!B:B,"NOT FOUND",0,1)</f>
        <v>Dedicated</v>
      </c>
      <c r="O1607" t="str">
        <f>_xlfn.XLOOKUP(N:N,'Resource Table'!B:B,'Resource Table'!C:C,"n/a",0,1)</f>
        <v>AFS Dedicated Tech</v>
      </c>
      <c r="P1607" t="str">
        <f>_xlfn.XLOOKUP(N:N,'Resource Table'!B:B,'Resource Table'!D:D,"n/a",0,1)</f>
        <v>Dedicated</v>
      </c>
    </row>
    <row r="1608" spans="1:16" x14ac:dyDescent="0.45">
      <c r="A1608" t="s">
        <v>5399</v>
      </c>
      <c r="B1608" t="s">
        <v>5400</v>
      </c>
      <c r="C1608" t="s">
        <v>5401</v>
      </c>
      <c r="D1608" t="s">
        <v>9847</v>
      </c>
      <c r="E1608" t="s">
        <v>8911</v>
      </c>
      <c r="F1608" t="s">
        <v>13514</v>
      </c>
      <c r="G1608" t="s">
        <v>13653</v>
      </c>
      <c r="H1608" t="s">
        <v>13605</v>
      </c>
      <c r="I1608" t="s">
        <v>29</v>
      </c>
      <c r="J1608" t="s">
        <v>13463</v>
      </c>
      <c r="K1608">
        <v>1</v>
      </c>
      <c r="L1608" t="s">
        <v>13519</v>
      </c>
      <c r="M1608" t="s">
        <v>13513</v>
      </c>
      <c r="N1608" t="str">
        <f>_xlfn.XLOOKUP(C:C,'Resource Table'!A:A,'Resource Table'!B:B,"NOT FOUND",0,1)</f>
        <v>Dedicated</v>
      </c>
      <c r="O1608" t="str">
        <f>_xlfn.XLOOKUP(N:N,'Resource Table'!B:B,'Resource Table'!C:C,"n/a",0,1)</f>
        <v>AFS Dedicated Tech</v>
      </c>
      <c r="P1608" t="str">
        <f>_xlfn.XLOOKUP(N:N,'Resource Table'!B:B,'Resource Table'!D:D,"n/a",0,1)</f>
        <v>Dedicated</v>
      </c>
    </row>
    <row r="1609" spans="1:16" x14ac:dyDescent="0.45">
      <c r="A1609" t="s">
        <v>5399</v>
      </c>
      <c r="B1609" t="s">
        <v>5400</v>
      </c>
      <c r="C1609" t="s">
        <v>5401</v>
      </c>
      <c r="D1609" t="s">
        <v>9849</v>
      </c>
      <c r="E1609" t="s">
        <v>8911</v>
      </c>
      <c r="F1609" t="s">
        <v>13460</v>
      </c>
      <c r="G1609" t="s">
        <v>13576</v>
      </c>
      <c r="H1609" t="s">
        <v>13626</v>
      </c>
      <c r="I1609" t="s">
        <v>6479</v>
      </c>
      <c r="J1609" t="s">
        <v>13463</v>
      </c>
      <c r="K1609">
        <v>0</v>
      </c>
      <c r="L1609" t="s">
        <v>20</v>
      </c>
      <c r="M1609" t="s">
        <v>20</v>
      </c>
      <c r="N1609" t="str">
        <f>_xlfn.XLOOKUP(C:C,'Resource Table'!A:A,'Resource Table'!B:B,"NOT FOUND",0,1)</f>
        <v>Dedicated</v>
      </c>
      <c r="O1609" t="str">
        <f>_xlfn.XLOOKUP(N:N,'Resource Table'!B:B,'Resource Table'!C:C,"n/a",0,1)</f>
        <v>AFS Dedicated Tech</v>
      </c>
      <c r="P1609" t="str">
        <f>_xlfn.XLOOKUP(N:N,'Resource Table'!B:B,'Resource Table'!D:D,"n/a",0,1)</f>
        <v>Dedicated</v>
      </c>
    </row>
    <row r="1610" spans="1:16" x14ac:dyDescent="0.45">
      <c r="A1610" t="s">
        <v>5399</v>
      </c>
      <c r="B1610" t="s">
        <v>5400</v>
      </c>
      <c r="C1610" t="s">
        <v>5401</v>
      </c>
      <c r="D1610" t="s">
        <v>9850</v>
      </c>
      <c r="E1610" t="s">
        <v>8911</v>
      </c>
      <c r="F1610" t="s">
        <v>13473</v>
      </c>
      <c r="G1610" t="s">
        <v>13623</v>
      </c>
      <c r="H1610" t="s">
        <v>13625</v>
      </c>
      <c r="I1610" t="s">
        <v>6479</v>
      </c>
      <c r="J1610" t="s">
        <v>13463</v>
      </c>
      <c r="K1610">
        <v>0</v>
      </c>
      <c r="L1610" t="s">
        <v>20</v>
      </c>
      <c r="M1610" t="s">
        <v>20</v>
      </c>
      <c r="N1610" t="str">
        <f>_xlfn.XLOOKUP(C:C,'Resource Table'!A:A,'Resource Table'!B:B,"NOT FOUND",0,1)</f>
        <v>Dedicated</v>
      </c>
      <c r="O1610" t="str">
        <f>_xlfn.XLOOKUP(N:N,'Resource Table'!B:B,'Resource Table'!C:C,"n/a",0,1)</f>
        <v>AFS Dedicated Tech</v>
      </c>
      <c r="P1610" t="str">
        <f>_xlfn.XLOOKUP(N:N,'Resource Table'!B:B,'Resource Table'!D:D,"n/a",0,1)</f>
        <v>Dedicated</v>
      </c>
    </row>
    <row r="1611" spans="1:16" x14ac:dyDescent="0.45">
      <c r="A1611" t="s">
        <v>5399</v>
      </c>
      <c r="B1611" t="s">
        <v>5400</v>
      </c>
      <c r="C1611" t="s">
        <v>5401</v>
      </c>
      <c r="D1611" t="s">
        <v>9851</v>
      </c>
      <c r="E1611" t="s">
        <v>8911</v>
      </c>
      <c r="F1611" t="s">
        <v>13525</v>
      </c>
      <c r="G1611" t="s">
        <v>13582</v>
      </c>
      <c r="H1611" t="s">
        <v>13583</v>
      </c>
      <c r="I1611" t="s">
        <v>6479</v>
      </c>
      <c r="J1611" t="s">
        <v>13463</v>
      </c>
      <c r="K1611">
        <v>0</v>
      </c>
      <c r="L1611" t="s">
        <v>20</v>
      </c>
      <c r="M1611" t="s">
        <v>20</v>
      </c>
      <c r="N1611" t="str">
        <f>_xlfn.XLOOKUP(C:C,'Resource Table'!A:A,'Resource Table'!B:B,"NOT FOUND",0,1)</f>
        <v>Dedicated</v>
      </c>
      <c r="O1611" t="str">
        <f>_xlfn.XLOOKUP(N:N,'Resource Table'!B:B,'Resource Table'!C:C,"n/a",0,1)</f>
        <v>AFS Dedicated Tech</v>
      </c>
      <c r="P1611" t="str">
        <f>_xlfn.XLOOKUP(N:N,'Resource Table'!B:B,'Resource Table'!D:D,"n/a",0,1)</f>
        <v>Dedicated</v>
      </c>
    </row>
    <row r="1612" spans="1:16" x14ac:dyDescent="0.45">
      <c r="A1612" t="s">
        <v>5399</v>
      </c>
      <c r="B1612" t="s">
        <v>5400</v>
      </c>
      <c r="C1612" t="s">
        <v>5401</v>
      </c>
      <c r="D1612" t="s">
        <v>9852</v>
      </c>
      <c r="E1612" t="s">
        <v>8911</v>
      </c>
      <c r="F1612" t="s">
        <v>13473</v>
      </c>
      <c r="G1612" t="s">
        <v>13640</v>
      </c>
      <c r="H1612" t="s">
        <v>13642</v>
      </c>
      <c r="I1612" t="s">
        <v>6479</v>
      </c>
      <c r="J1612" t="s">
        <v>13463</v>
      </c>
      <c r="K1612">
        <v>0</v>
      </c>
      <c r="L1612" t="s">
        <v>20</v>
      </c>
      <c r="M1612" t="s">
        <v>20</v>
      </c>
      <c r="N1612" t="str">
        <f>_xlfn.XLOOKUP(C:C,'Resource Table'!A:A,'Resource Table'!B:B,"NOT FOUND",0,1)</f>
        <v>Dedicated</v>
      </c>
      <c r="O1612" t="str">
        <f>_xlfn.XLOOKUP(N:N,'Resource Table'!B:B,'Resource Table'!C:C,"n/a",0,1)</f>
        <v>AFS Dedicated Tech</v>
      </c>
      <c r="P1612" t="str">
        <f>_xlfn.XLOOKUP(N:N,'Resource Table'!B:B,'Resource Table'!D:D,"n/a",0,1)</f>
        <v>Dedicated</v>
      </c>
    </row>
    <row r="1613" spans="1:16" x14ac:dyDescent="0.45">
      <c r="A1613" t="s">
        <v>5399</v>
      </c>
      <c r="B1613" t="s">
        <v>5400</v>
      </c>
      <c r="C1613" t="s">
        <v>5401</v>
      </c>
      <c r="D1613" t="s">
        <v>9853</v>
      </c>
      <c r="E1613" t="s">
        <v>8911</v>
      </c>
      <c r="F1613" t="s">
        <v>13460</v>
      </c>
      <c r="G1613" t="s">
        <v>13576</v>
      </c>
      <c r="H1613" t="s">
        <v>13577</v>
      </c>
      <c r="I1613" t="s">
        <v>6479</v>
      </c>
      <c r="J1613" t="s">
        <v>13463</v>
      </c>
      <c r="K1613">
        <v>0</v>
      </c>
      <c r="L1613" t="s">
        <v>20</v>
      </c>
      <c r="M1613" t="s">
        <v>20</v>
      </c>
      <c r="N1613" t="str">
        <f>_xlfn.XLOOKUP(C:C,'Resource Table'!A:A,'Resource Table'!B:B,"NOT FOUND",0,1)</f>
        <v>Dedicated</v>
      </c>
      <c r="O1613" t="str">
        <f>_xlfn.XLOOKUP(N:N,'Resource Table'!B:B,'Resource Table'!C:C,"n/a",0,1)</f>
        <v>AFS Dedicated Tech</v>
      </c>
      <c r="P1613" t="str">
        <f>_xlfn.XLOOKUP(N:N,'Resource Table'!B:B,'Resource Table'!D:D,"n/a",0,1)</f>
        <v>Dedicated</v>
      </c>
    </row>
    <row r="1614" spans="1:16" x14ac:dyDescent="0.45">
      <c r="A1614" t="s">
        <v>5399</v>
      </c>
      <c r="B1614" t="s">
        <v>5400</v>
      </c>
      <c r="C1614" t="s">
        <v>5508</v>
      </c>
      <c r="D1614" t="s">
        <v>5177</v>
      </c>
      <c r="E1614" t="s">
        <v>8911</v>
      </c>
      <c r="F1614" t="s">
        <v>13473</v>
      </c>
      <c r="G1614" t="s">
        <v>13474</v>
      </c>
      <c r="H1614" t="s">
        <v>13517</v>
      </c>
      <c r="I1614" t="s">
        <v>29</v>
      </c>
      <c r="J1614" t="s">
        <v>13463</v>
      </c>
      <c r="K1614">
        <v>2</v>
      </c>
      <c r="L1614" t="s">
        <v>13464</v>
      </c>
      <c r="M1614" t="s">
        <v>13507</v>
      </c>
      <c r="N1614" t="str">
        <f>_xlfn.XLOOKUP(C:C,'Resource Table'!A:A,'Resource Table'!B:B,"NOT FOUND",0,1)</f>
        <v>Ralph Mann</v>
      </c>
      <c r="O1614" t="str">
        <f>_xlfn.XLOOKUP(N:N,'Resource Table'!B:B,'Resource Table'!C:C,"n/a",0,1)</f>
        <v>rmann@ameritfleet.com</v>
      </c>
      <c r="P1614" t="str">
        <f>_xlfn.XLOOKUP(N:N,'Resource Table'!B:B,'Resource Table'!D:D,"n/a",0,1)</f>
        <v>Vended Repair</v>
      </c>
    </row>
    <row r="1615" spans="1:16" x14ac:dyDescent="0.45">
      <c r="A1615" t="s">
        <v>5399</v>
      </c>
      <c r="B1615" t="s">
        <v>5400</v>
      </c>
      <c r="C1615" t="s">
        <v>5508</v>
      </c>
      <c r="D1615" t="s">
        <v>1349</v>
      </c>
      <c r="E1615" t="s">
        <v>8911</v>
      </c>
      <c r="F1615" t="s">
        <v>13633</v>
      </c>
      <c r="G1615" t="s">
        <v>13645</v>
      </c>
      <c r="H1615" t="s">
        <v>13646</v>
      </c>
      <c r="I1615" t="s">
        <v>29</v>
      </c>
      <c r="J1615" t="s">
        <v>13463</v>
      </c>
      <c r="K1615">
        <v>2</v>
      </c>
      <c r="L1615" t="s">
        <v>13479</v>
      </c>
      <c r="M1615" t="s">
        <v>13505</v>
      </c>
      <c r="N1615" t="str">
        <f>_xlfn.XLOOKUP(C:C,'Resource Table'!A:A,'Resource Table'!B:B,"NOT FOUND",0,1)</f>
        <v>Ralph Mann</v>
      </c>
      <c r="O1615" t="str">
        <f>_xlfn.XLOOKUP(N:N,'Resource Table'!B:B,'Resource Table'!C:C,"n/a",0,1)</f>
        <v>rmann@ameritfleet.com</v>
      </c>
      <c r="P1615" t="str">
        <f>_xlfn.XLOOKUP(N:N,'Resource Table'!B:B,'Resource Table'!D:D,"n/a",0,1)</f>
        <v>Vended Repair</v>
      </c>
    </row>
    <row r="1616" spans="1:16" x14ac:dyDescent="0.45">
      <c r="A1616" t="s">
        <v>5399</v>
      </c>
      <c r="B1616" t="s">
        <v>5412</v>
      </c>
      <c r="C1616" t="s">
        <v>5413</v>
      </c>
      <c r="D1616" t="s">
        <v>9854</v>
      </c>
      <c r="E1616" t="s">
        <v>8911</v>
      </c>
      <c r="F1616" t="s">
        <v>13460</v>
      </c>
      <c r="G1616" t="s">
        <v>13576</v>
      </c>
      <c r="H1616" t="s">
        <v>13626</v>
      </c>
      <c r="I1616" t="s">
        <v>6479</v>
      </c>
      <c r="J1616" t="s">
        <v>13463</v>
      </c>
      <c r="K1616">
        <v>0</v>
      </c>
      <c r="L1616" t="s">
        <v>20</v>
      </c>
      <c r="M1616" t="s">
        <v>20</v>
      </c>
      <c r="N1616" t="str">
        <f>_xlfn.XLOOKUP(C:C,'Resource Table'!A:A,'Resource Table'!B:B,"NOT FOUND",0,1)</f>
        <v>Dedicated</v>
      </c>
      <c r="O1616" t="str">
        <f>_xlfn.XLOOKUP(N:N,'Resource Table'!B:B,'Resource Table'!C:C,"n/a",0,1)</f>
        <v>AFS Dedicated Tech</v>
      </c>
      <c r="P1616" t="str">
        <f>_xlfn.XLOOKUP(N:N,'Resource Table'!B:B,'Resource Table'!D:D,"n/a",0,1)</f>
        <v>Dedicated</v>
      </c>
    </row>
    <row r="1617" spans="1:16" x14ac:dyDescent="0.45">
      <c r="A1617" t="s">
        <v>5403</v>
      </c>
      <c r="B1617" t="s">
        <v>5404</v>
      </c>
      <c r="C1617" t="s">
        <v>5429</v>
      </c>
      <c r="D1617" t="s">
        <v>9855</v>
      </c>
      <c r="E1617" t="s">
        <v>8911</v>
      </c>
      <c r="F1617" t="s">
        <v>13629</v>
      </c>
      <c r="G1617" t="s">
        <v>13638</v>
      </c>
      <c r="H1617" t="s">
        <v>13639</v>
      </c>
      <c r="I1617" t="s">
        <v>29</v>
      </c>
      <c r="J1617" t="s">
        <v>13463</v>
      </c>
      <c r="K1617">
        <v>1</v>
      </c>
      <c r="L1617" t="s">
        <v>13536</v>
      </c>
      <c r="M1617" t="s">
        <v>20</v>
      </c>
      <c r="N1617" t="str">
        <f>_xlfn.XLOOKUP(C:C,'Resource Table'!A:A,'Resource Table'!B:B,"NOT FOUND",0,1)</f>
        <v>Dedicated</v>
      </c>
      <c r="O1617" t="str">
        <f>_xlfn.XLOOKUP(N:N,'Resource Table'!B:B,'Resource Table'!C:C,"n/a",0,1)</f>
        <v>AFS Dedicated Tech</v>
      </c>
      <c r="P1617" t="str">
        <f>_xlfn.XLOOKUP(N:N,'Resource Table'!B:B,'Resource Table'!D:D,"n/a",0,1)</f>
        <v>Dedicated</v>
      </c>
    </row>
    <row r="1618" spans="1:16" x14ac:dyDescent="0.45">
      <c r="A1618" t="s">
        <v>5403</v>
      </c>
      <c r="B1618" t="s">
        <v>5404</v>
      </c>
      <c r="C1618" t="s">
        <v>5405</v>
      </c>
      <c r="D1618" t="s">
        <v>9856</v>
      </c>
      <c r="E1618" t="s">
        <v>8911</v>
      </c>
      <c r="F1618" t="s">
        <v>13525</v>
      </c>
      <c r="G1618" t="s">
        <v>13656</v>
      </c>
      <c r="H1618" t="s">
        <v>13657</v>
      </c>
      <c r="I1618" t="s">
        <v>6479</v>
      </c>
      <c r="J1618" t="s">
        <v>13463</v>
      </c>
      <c r="K1618">
        <v>1</v>
      </c>
      <c r="L1618" t="s">
        <v>13468</v>
      </c>
      <c r="M1618" t="s">
        <v>20</v>
      </c>
      <c r="N1618" t="str">
        <f>_xlfn.XLOOKUP(C:C,'Resource Table'!A:A,'Resource Table'!B:B,"NOT FOUND",0,1)</f>
        <v>Dedicated</v>
      </c>
      <c r="O1618" t="str">
        <f>_xlfn.XLOOKUP(N:N,'Resource Table'!B:B,'Resource Table'!C:C,"n/a",0,1)</f>
        <v>AFS Dedicated Tech</v>
      </c>
      <c r="P1618" t="str">
        <f>_xlfn.XLOOKUP(N:N,'Resource Table'!B:B,'Resource Table'!D:D,"n/a",0,1)</f>
        <v>Dedicated</v>
      </c>
    </row>
    <row r="1619" spans="1:16" x14ac:dyDescent="0.45">
      <c r="A1619" t="s">
        <v>5403</v>
      </c>
      <c r="B1619" t="s">
        <v>5404</v>
      </c>
      <c r="C1619" t="s">
        <v>5418</v>
      </c>
      <c r="D1619" t="s">
        <v>9857</v>
      </c>
      <c r="E1619" t="s">
        <v>8911</v>
      </c>
      <c r="F1619" t="s">
        <v>13473</v>
      </c>
      <c r="G1619" t="s">
        <v>13640</v>
      </c>
      <c r="H1619" t="s">
        <v>13642</v>
      </c>
      <c r="I1619" t="s">
        <v>6479</v>
      </c>
      <c r="J1619" t="s">
        <v>13463</v>
      </c>
      <c r="K1619">
        <v>1</v>
      </c>
      <c r="L1619" t="s">
        <v>13480</v>
      </c>
      <c r="M1619" t="s">
        <v>20</v>
      </c>
      <c r="N1619" t="str">
        <f>_xlfn.XLOOKUP(C:C,'Resource Table'!A:A,'Resource Table'!B:B,"NOT FOUND",0,1)</f>
        <v>Dedicated</v>
      </c>
      <c r="O1619" t="str">
        <f>_xlfn.XLOOKUP(N:N,'Resource Table'!B:B,'Resource Table'!C:C,"n/a",0,1)</f>
        <v>AFS Dedicated Tech</v>
      </c>
      <c r="P1619" t="str">
        <f>_xlfn.XLOOKUP(N:N,'Resource Table'!B:B,'Resource Table'!D:D,"n/a",0,1)</f>
        <v>Dedicated</v>
      </c>
    </row>
    <row r="1620" spans="1:16" x14ac:dyDescent="0.45">
      <c r="A1620" t="s">
        <v>5403</v>
      </c>
      <c r="B1620" t="s">
        <v>5416</v>
      </c>
      <c r="C1620" t="s">
        <v>5627</v>
      </c>
      <c r="D1620" t="s">
        <v>1600</v>
      </c>
      <c r="E1620" t="s">
        <v>8911</v>
      </c>
      <c r="F1620" t="s">
        <v>13473</v>
      </c>
      <c r="G1620" t="s">
        <v>13474</v>
      </c>
      <c r="H1620" t="s">
        <v>13475</v>
      </c>
      <c r="I1620" t="s">
        <v>6479</v>
      </c>
      <c r="J1620" t="s">
        <v>13463</v>
      </c>
      <c r="K1620">
        <v>4</v>
      </c>
      <c r="L1620" t="s">
        <v>13504</v>
      </c>
      <c r="M1620" t="s">
        <v>13505</v>
      </c>
      <c r="N1620" t="str">
        <f>_xlfn.XLOOKUP(C:C,'Resource Table'!A:A,'Resource Table'!B:B,"NOT FOUND",0,1)</f>
        <v>Brittany Williams</v>
      </c>
      <c r="O1620" t="str">
        <f>_xlfn.XLOOKUP(N:N,'Resource Table'!B:B,'Resource Table'!C:C,"n/a",0,1)</f>
        <v>bwilliams5@ameritfleet.com</v>
      </c>
      <c r="P1620" t="str">
        <f>_xlfn.XLOOKUP(N:N,'Resource Table'!B:B,'Resource Table'!D:D,"n/a",0,1)</f>
        <v>Vended Repair</v>
      </c>
    </row>
    <row r="1621" spans="1:16" x14ac:dyDescent="0.45">
      <c r="A1621" t="s">
        <v>5403</v>
      </c>
      <c r="B1621" t="s">
        <v>5416</v>
      </c>
      <c r="C1621" t="s">
        <v>5474</v>
      </c>
      <c r="D1621" t="s">
        <v>9081</v>
      </c>
      <c r="E1621" t="s">
        <v>8911</v>
      </c>
      <c r="F1621" t="s">
        <v>13629</v>
      </c>
      <c r="G1621" t="s">
        <v>13638</v>
      </c>
      <c r="H1621" t="s">
        <v>13658</v>
      </c>
      <c r="I1621" t="s">
        <v>6479</v>
      </c>
      <c r="J1621" t="s">
        <v>13463</v>
      </c>
      <c r="K1621">
        <v>1</v>
      </c>
      <c r="L1621" t="s">
        <v>13468</v>
      </c>
      <c r="M1621" t="s">
        <v>20</v>
      </c>
      <c r="N1621" t="str">
        <f>_xlfn.XLOOKUP(C:C,'Resource Table'!A:A,'Resource Table'!B:B,"NOT FOUND",0,1)</f>
        <v>Dedicated</v>
      </c>
      <c r="O1621" t="str">
        <f>_xlfn.XLOOKUP(N:N,'Resource Table'!B:B,'Resource Table'!C:C,"n/a",0,1)</f>
        <v>AFS Dedicated Tech</v>
      </c>
      <c r="P1621" t="str">
        <f>_xlfn.XLOOKUP(N:N,'Resource Table'!B:B,'Resource Table'!D:D,"n/a",0,1)</f>
        <v>Dedicated</v>
      </c>
    </row>
    <row r="1622" spans="1:16" x14ac:dyDescent="0.45">
      <c r="A1622" t="s">
        <v>5403</v>
      </c>
      <c r="B1622" t="s">
        <v>5416</v>
      </c>
      <c r="C1622" t="s">
        <v>5474</v>
      </c>
      <c r="D1622" t="s">
        <v>9858</v>
      </c>
      <c r="E1622" t="s">
        <v>8911</v>
      </c>
      <c r="F1622" t="s">
        <v>13629</v>
      </c>
      <c r="G1622" t="s">
        <v>13630</v>
      </c>
      <c r="H1622" t="s">
        <v>13644</v>
      </c>
      <c r="I1622" t="s">
        <v>6479</v>
      </c>
      <c r="J1622" t="s">
        <v>13463</v>
      </c>
      <c r="K1622">
        <v>1</v>
      </c>
      <c r="L1622" t="s">
        <v>13466</v>
      </c>
      <c r="M1622" t="s">
        <v>20</v>
      </c>
      <c r="N1622" t="str">
        <f>_xlfn.XLOOKUP(C:C,'Resource Table'!A:A,'Resource Table'!B:B,"NOT FOUND",0,1)</f>
        <v>Dedicated</v>
      </c>
      <c r="O1622" t="str">
        <f>_xlfn.XLOOKUP(N:N,'Resource Table'!B:B,'Resource Table'!C:C,"n/a",0,1)</f>
        <v>AFS Dedicated Tech</v>
      </c>
      <c r="P1622" t="str">
        <f>_xlfn.XLOOKUP(N:N,'Resource Table'!B:B,'Resource Table'!D:D,"n/a",0,1)</f>
        <v>Dedicated</v>
      </c>
    </row>
    <row r="1623" spans="1:16" x14ac:dyDescent="0.45">
      <c r="A1623" t="s">
        <v>5403</v>
      </c>
      <c r="B1623" t="s">
        <v>5416</v>
      </c>
      <c r="C1623" t="s">
        <v>5598</v>
      </c>
      <c r="D1623" t="s">
        <v>13102</v>
      </c>
      <c r="E1623" t="s">
        <v>8911</v>
      </c>
      <c r="F1623" t="s">
        <v>13659</v>
      </c>
      <c r="G1623" t="s">
        <v>12076</v>
      </c>
      <c r="H1623" t="s">
        <v>13660</v>
      </c>
      <c r="I1623" t="s">
        <v>6479</v>
      </c>
      <c r="J1623" t="s">
        <v>13463</v>
      </c>
      <c r="K1623">
        <v>0</v>
      </c>
      <c r="L1623" t="s">
        <v>20</v>
      </c>
      <c r="M1623" t="s">
        <v>20</v>
      </c>
      <c r="N1623" t="str">
        <f>_xlfn.XLOOKUP(C:C,'Resource Table'!A:A,'Resource Table'!B:B,"NOT FOUND",0,1)</f>
        <v>Dedicated</v>
      </c>
      <c r="O1623" t="str">
        <f>_xlfn.XLOOKUP(N:N,'Resource Table'!B:B,'Resource Table'!C:C,"n/a",0,1)</f>
        <v>AFS Dedicated Tech</v>
      </c>
      <c r="P1623" t="str">
        <f>_xlfn.XLOOKUP(N:N,'Resource Table'!B:B,'Resource Table'!D:D,"n/a",0,1)</f>
        <v>Dedicated</v>
      </c>
    </row>
    <row r="1624" spans="1:16" x14ac:dyDescent="0.45">
      <c r="A1624" t="s">
        <v>5403</v>
      </c>
      <c r="B1624" t="s">
        <v>5416</v>
      </c>
      <c r="C1624" t="s">
        <v>5598</v>
      </c>
      <c r="D1624" t="s">
        <v>9859</v>
      </c>
      <c r="E1624" t="s">
        <v>8911</v>
      </c>
      <c r="F1624" t="s">
        <v>13514</v>
      </c>
      <c r="G1624" t="s">
        <v>13661</v>
      </c>
      <c r="H1624" t="s">
        <v>13662</v>
      </c>
      <c r="I1624" t="s">
        <v>29</v>
      </c>
      <c r="J1624" t="s">
        <v>13463</v>
      </c>
      <c r="K1624">
        <v>1</v>
      </c>
      <c r="L1624" t="s">
        <v>13487</v>
      </c>
      <c r="M1624" t="s">
        <v>20</v>
      </c>
      <c r="N1624" t="str">
        <f>_xlfn.XLOOKUP(C:C,'Resource Table'!A:A,'Resource Table'!B:B,"NOT FOUND",0,1)</f>
        <v>Dedicated</v>
      </c>
      <c r="O1624" t="str">
        <f>_xlfn.XLOOKUP(N:N,'Resource Table'!B:B,'Resource Table'!C:C,"n/a",0,1)</f>
        <v>AFS Dedicated Tech</v>
      </c>
      <c r="P1624" t="str">
        <f>_xlfn.XLOOKUP(N:N,'Resource Table'!B:B,'Resource Table'!D:D,"n/a",0,1)</f>
        <v>Dedicated</v>
      </c>
    </row>
    <row r="1625" spans="1:16" x14ac:dyDescent="0.45">
      <c r="A1625" t="s">
        <v>5403</v>
      </c>
      <c r="B1625" t="s">
        <v>5416</v>
      </c>
      <c r="C1625" t="s">
        <v>5598</v>
      </c>
      <c r="D1625" t="s">
        <v>9861</v>
      </c>
      <c r="E1625" t="s">
        <v>8911</v>
      </c>
      <c r="F1625" t="s">
        <v>13629</v>
      </c>
      <c r="G1625" t="s">
        <v>13630</v>
      </c>
      <c r="H1625" t="s">
        <v>13663</v>
      </c>
      <c r="I1625" t="s">
        <v>29</v>
      </c>
      <c r="J1625" t="s">
        <v>13463</v>
      </c>
      <c r="K1625">
        <v>2</v>
      </c>
      <c r="L1625" t="s">
        <v>13543</v>
      </c>
      <c r="M1625" t="s">
        <v>13489</v>
      </c>
      <c r="N1625" t="str">
        <f>_xlfn.XLOOKUP(C:C,'Resource Table'!A:A,'Resource Table'!B:B,"NOT FOUND",0,1)</f>
        <v>Dedicated</v>
      </c>
      <c r="O1625" t="str">
        <f>_xlfn.XLOOKUP(N:N,'Resource Table'!B:B,'Resource Table'!C:C,"n/a",0,1)</f>
        <v>AFS Dedicated Tech</v>
      </c>
      <c r="P1625" t="str">
        <f>_xlfn.XLOOKUP(N:N,'Resource Table'!B:B,'Resource Table'!D:D,"n/a",0,1)</f>
        <v>Dedicated</v>
      </c>
    </row>
    <row r="1626" spans="1:16" x14ac:dyDescent="0.45">
      <c r="A1626" t="s">
        <v>5403</v>
      </c>
      <c r="B1626" t="s">
        <v>5416</v>
      </c>
      <c r="C1626" t="s">
        <v>5598</v>
      </c>
      <c r="D1626" t="s">
        <v>9862</v>
      </c>
      <c r="E1626" t="s">
        <v>9828</v>
      </c>
      <c r="F1626" t="s">
        <v>13629</v>
      </c>
      <c r="G1626" t="s">
        <v>9828</v>
      </c>
      <c r="H1626" t="s">
        <v>13664</v>
      </c>
      <c r="I1626" t="s">
        <v>29</v>
      </c>
      <c r="J1626" t="s">
        <v>13463</v>
      </c>
      <c r="K1626">
        <v>1</v>
      </c>
      <c r="L1626" t="s">
        <v>13483</v>
      </c>
      <c r="M1626" t="s">
        <v>13544</v>
      </c>
      <c r="N1626" t="str">
        <f>_xlfn.XLOOKUP(C:C,'Resource Table'!A:A,'Resource Table'!B:B,"NOT FOUND",0,1)</f>
        <v>Dedicated</v>
      </c>
      <c r="O1626" t="str">
        <f>_xlfn.XLOOKUP(N:N,'Resource Table'!B:B,'Resource Table'!C:C,"n/a",0,1)</f>
        <v>AFS Dedicated Tech</v>
      </c>
      <c r="P1626" t="str">
        <f>_xlfn.XLOOKUP(N:N,'Resource Table'!B:B,'Resource Table'!D:D,"n/a",0,1)</f>
        <v>Dedicated</v>
      </c>
    </row>
    <row r="1627" spans="1:16" x14ac:dyDescent="0.45">
      <c r="A1627" t="s">
        <v>5403</v>
      </c>
      <c r="B1627" t="s">
        <v>5416</v>
      </c>
      <c r="C1627" t="s">
        <v>5598</v>
      </c>
      <c r="D1627" t="s">
        <v>13103</v>
      </c>
      <c r="E1627" t="s">
        <v>8911</v>
      </c>
      <c r="F1627" t="s">
        <v>13659</v>
      </c>
      <c r="G1627" t="s">
        <v>12076</v>
      </c>
      <c r="H1627" t="s">
        <v>13660</v>
      </c>
      <c r="I1627" t="s">
        <v>6479</v>
      </c>
      <c r="J1627" t="s">
        <v>13463</v>
      </c>
      <c r="K1627">
        <v>0</v>
      </c>
      <c r="L1627" t="s">
        <v>20</v>
      </c>
      <c r="M1627" t="s">
        <v>20</v>
      </c>
      <c r="N1627" t="str">
        <f>_xlfn.XLOOKUP(C:C,'Resource Table'!A:A,'Resource Table'!B:B,"NOT FOUND",0,1)</f>
        <v>Dedicated</v>
      </c>
      <c r="O1627" t="str">
        <f>_xlfn.XLOOKUP(N:N,'Resource Table'!B:B,'Resource Table'!C:C,"n/a",0,1)</f>
        <v>AFS Dedicated Tech</v>
      </c>
      <c r="P1627" t="str">
        <f>_xlfn.XLOOKUP(N:N,'Resource Table'!B:B,'Resource Table'!D:D,"n/a",0,1)</f>
        <v>Dedicated</v>
      </c>
    </row>
    <row r="1628" spans="1:16" x14ac:dyDescent="0.45">
      <c r="A1628" t="s">
        <v>5403</v>
      </c>
      <c r="B1628" t="s">
        <v>5416</v>
      </c>
      <c r="C1628" t="s">
        <v>5598</v>
      </c>
      <c r="D1628" t="s">
        <v>9863</v>
      </c>
      <c r="E1628" t="s">
        <v>8911</v>
      </c>
      <c r="F1628" t="s">
        <v>13473</v>
      </c>
      <c r="G1628" t="s">
        <v>13640</v>
      </c>
      <c r="H1628" t="s">
        <v>13641</v>
      </c>
      <c r="I1628" t="s">
        <v>6479</v>
      </c>
      <c r="J1628" t="s">
        <v>13463</v>
      </c>
      <c r="K1628">
        <v>1</v>
      </c>
      <c r="L1628" t="s">
        <v>13543</v>
      </c>
      <c r="M1628" t="s">
        <v>13469</v>
      </c>
      <c r="N1628" t="str">
        <f>_xlfn.XLOOKUP(C:C,'Resource Table'!A:A,'Resource Table'!B:B,"NOT FOUND",0,1)</f>
        <v>Dedicated</v>
      </c>
      <c r="O1628" t="str">
        <f>_xlfn.XLOOKUP(N:N,'Resource Table'!B:B,'Resource Table'!C:C,"n/a",0,1)</f>
        <v>AFS Dedicated Tech</v>
      </c>
      <c r="P1628" t="str">
        <f>_xlfn.XLOOKUP(N:N,'Resource Table'!B:B,'Resource Table'!D:D,"n/a",0,1)</f>
        <v>Dedicated</v>
      </c>
    </row>
    <row r="1629" spans="1:16" x14ac:dyDescent="0.45">
      <c r="A1629" t="s">
        <v>5403</v>
      </c>
      <c r="B1629" t="s">
        <v>5416</v>
      </c>
      <c r="C1629" t="s">
        <v>5435</v>
      </c>
      <c r="D1629" t="s">
        <v>5246</v>
      </c>
      <c r="E1629" t="s">
        <v>8911</v>
      </c>
      <c r="F1629" t="s">
        <v>13525</v>
      </c>
      <c r="G1629" t="s">
        <v>9828</v>
      </c>
      <c r="H1629" t="s">
        <v>13665</v>
      </c>
      <c r="I1629" t="s">
        <v>6479</v>
      </c>
      <c r="J1629" t="s">
        <v>13463</v>
      </c>
      <c r="K1629">
        <v>1</v>
      </c>
      <c r="L1629" t="s">
        <v>13480</v>
      </c>
      <c r="M1629" t="s">
        <v>20</v>
      </c>
      <c r="N1629" t="str">
        <f>_xlfn.XLOOKUP(C:C,'Resource Table'!A:A,'Resource Table'!B:B,"NOT FOUND",0,1)</f>
        <v>Dedicated</v>
      </c>
      <c r="O1629" t="str">
        <f>_xlfn.XLOOKUP(N:N,'Resource Table'!B:B,'Resource Table'!C:C,"n/a",0,1)</f>
        <v>AFS Dedicated Tech</v>
      </c>
      <c r="P1629" t="str">
        <f>_xlfn.XLOOKUP(N:N,'Resource Table'!B:B,'Resource Table'!D:D,"n/a",0,1)</f>
        <v>Dedicated</v>
      </c>
    </row>
    <row r="1630" spans="1:16" x14ac:dyDescent="0.45">
      <c r="A1630" t="s">
        <v>5403</v>
      </c>
      <c r="B1630" t="s">
        <v>5416</v>
      </c>
      <c r="C1630" t="s">
        <v>5435</v>
      </c>
      <c r="D1630" t="s">
        <v>9864</v>
      </c>
      <c r="E1630" t="s">
        <v>8911</v>
      </c>
      <c r="F1630" t="s">
        <v>13473</v>
      </c>
      <c r="G1630" t="s">
        <v>13640</v>
      </c>
      <c r="H1630" t="s">
        <v>13641</v>
      </c>
      <c r="I1630" t="s">
        <v>6479</v>
      </c>
      <c r="J1630" t="s">
        <v>13463</v>
      </c>
      <c r="K1630">
        <v>2</v>
      </c>
      <c r="L1630" t="s">
        <v>13497</v>
      </c>
      <c r="M1630" t="s">
        <v>13544</v>
      </c>
      <c r="N1630" t="str">
        <f>_xlfn.XLOOKUP(C:C,'Resource Table'!A:A,'Resource Table'!B:B,"NOT FOUND",0,1)</f>
        <v>Dedicated</v>
      </c>
      <c r="O1630" t="str">
        <f>_xlfn.XLOOKUP(N:N,'Resource Table'!B:B,'Resource Table'!C:C,"n/a",0,1)</f>
        <v>AFS Dedicated Tech</v>
      </c>
      <c r="P1630" t="str">
        <f>_xlfn.XLOOKUP(N:N,'Resource Table'!B:B,'Resource Table'!D:D,"n/a",0,1)</f>
        <v>Dedicated</v>
      </c>
    </row>
    <row r="1631" spans="1:16" x14ac:dyDescent="0.45">
      <c r="A1631" t="s">
        <v>5403</v>
      </c>
      <c r="B1631" t="s">
        <v>5416</v>
      </c>
      <c r="C1631" t="s">
        <v>5435</v>
      </c>
      <c r="D1631" t="s">
        <v>9865</v>
      </c>
      <c r="E1631" t="s">
        <v>8911</v>
      </c>
      <c r="F1631" t="s">
        <v>13525</v>
      </c>
      <c r="G1631" t="s">
        <v>13666</v>
      </c>
      <c r="H1631" t="s">
        <v>13667</v>
      </c>
      <c r="I1631" t="s">
        <v>6479</v>
      </c>
      <c r="J1631" t="s">
        <v>13463</v>
      </c>
      <c r="K1631">
        <v>0</v>
      </c>
      <c r="L1631" t="s">
        <v>20</v>
      </c>
      <c r="M1631" t="s">
        <v>20</v>
      </c>
      <c r="N1631" t="str">
        <f>_xlfn.XLOOKUP(C:C,'Resource Table'!A:A,'Resource Table'!B:B,"NOT FOUND",0,1)</f>
        <v>Dedicated</v>
      </c>
      <c r="O1631" t="str">
        <f>_xlfn.XLOOKUP(N:N,'Resource Table'!B:B,'Resource Table'!C:C,"n/a",0,1)</f>
        <v>AFS Dedicated Tech</v>
      </c>
      <c r="P1631" t="str">
        <f>_xlfn.XLOOKUP(N:N,'Resource Table'!B:B,'Resource Table'!D:D,"n/a",0,1)</f>
        <v>Dedicated</v>
      </c>
    </row>
    <row r="1632" spans="1:16" x14ac:dyDescent="0.45">
      <c r="A1632" t="s">
        <v>5403</v>
      </c>
      <c r="B1632" t="s">
        <v>5416</v>
      </c>
      <c r="C1632" t="s">
        <v>5435</v>
      </c>
      <c r="D1632" t="s">
        <v>9866</v>
      </c>
      <c r="E1632" t="s">
        <v>8911</v>
      </c>
      <c r="F1632" t="s">
        <v>13473</v>
      </c>
      <c r="G1632" t="s">
        <v>13474</v>
      </c>
      <c r="H1632" t="s">
        <v>13492</v>
      </c>
      <c r="I1632" t="s">
        <v>6479</v>
      </c>
      <c r="J1632" t="s">
        <v>13463</v>
      </c>
      <c r="K1632">
        <v>0</v>
      </c>
      <c r="L1632" t="s">
        <v>20</v>
      </c>
      <c r="M1632" t="s">
        <v>20</v>
      </c>
      <c r="N1632" t="str">
        <f>_xlfn.XLOOKUP(C:C,'Resource Table'!A:A,'Resource Table'!B:B,"NOT FOUND",0,1)</f>
        <v>Dedicated</v>
      </c>
      <c r="O1632" t="str">
        <f>_xlfn.XLOOKUP(N:N,'Resource Table'!B:B,'Resource Table'!C:C,"n/a",0,1)</f>
        <v>AFS Dedicated Tech</v>
      </c>
      <c r="P1632" t="str">
        <f>_xlfn.XLOOKUP(N:N,'Resource Table'!B:B,'Resource Table'!D:D,"n/a",0,1)</f>
        <v>Dedicated</v>
      </c>
    </row>
    <row r="1633" spans="1:16" x14ac:dyDescent="0.45">
      <c r="A1633" t="s">
        <v>5403</v>
      </c>
      <c r="B1633" t="s">
        <v>5416</v>
      </c>
      <c r="C1633" t="s">
        <v>5435</v>
      </c>
      <c r="D1633" t="s">
        <v>13104</v>
      </c>
      <c r="E1633" t="s">
        <v>8911</v>
      </c>
      <c r="F1633" t="s">
        <v>13629</v>
      </c>
      <c r="G1633" t="s">
        <v>13638</v>
      </c>
      <c r="H1633" t="s">
        <v>13639</v>
      </c>
      <c r="I1633" t="s">
        <v>6479</v>
      </c>
      <c r="J1633" t="s">
        <v>13463</v>
      </c>
      <c r="K1633">
        <v>0</v>
      </c>
      <c r="L1633" t="s">
        <v>20</v>
      </c>
      <c r="M1633" t="s">
        <v>20</v>
      </c>
      <c r="N1633" t="str">
        <f>_xlfn.XLOOKUP(C:C,'Resource Table'!A:A,'Resource Table'!B:B,"NOT FOUND",0,1)</f>
        <v>Dedicated</v>
      </c>
      <c r="O1633" t="str">
        <f>_xlfn.XLOOKUP(N:N,'Resource Table'!B:B,'Resource Table'!C:C,"n/a",0,1)</f>
        <v>AFS Dedicated Tech</v>
      </c>
      <c r="P1633" t="str">
        <f>_xlfn.XLOOKUP(N:N,'Resource Table'!B:B,'Resource Table'!D:D,"n/a",0,1)</f>
        <v>Dedicated</v>
      </c>
    </row>
    <row r="1634" spans="1:16" x14ac:dyDescent="0.45">
      <c r="A1634" t="s">
        <v>5403</v>
      </c>
      <c r="B1634" t="s">
        <v>5416</v>
      </c>
      <c r="C1634" t="s">
        <v>5435</v>
      </c>
      <c r="D1634" t="s">
        <v>9867</v>
      </c>
      <c r="E1634" t="s">
        <v>8911</v>
      </c>
      <c r="F1634" t="s">
        <v>13473</v>
      </c>
      <c r="G1634" t="s">
        <v>13474</v>
      </c>
      <c r="H1634" t="s">
        <v>13492</v>
      </c>
      <c r="I1634" t="s">
        <v>6479</v>
      </c>
      <c r="J1634" t="s">
        <v>13463</v>
      </c>
      <c r="K1634">
        <v>1</v>
      </c>
      <c r="L1634" t="s">
        <v>13499</v>
      </c>
      <c r="M1634" t="s">
        <v>13466</v>
      </c>
      <c r="N1634" t="str">
        <f>_xlfn.XLOOKUP(C:C,'Resource Table'!A:A,'Resource Table'!B:B,"NOT FOUND",0,1)</f>
        <v>Dedicated</v>
      </c>
      <c r="O1634" t="str">
        <f>_xlfn.XLOOKUP(N:N,'Resource Table'!B:B,'Resource Table'!C:C,"n/a",0,1)</f>
        <v>AFS Dedicated Tech</v>
      </c>
      <c r="P1634" t="str">
        <f>_xlfn.XLOOKUP(N:N,'Resource Table'!B:B,'Resource Table'!D:D,"n/a",0,1)</f>
        <v>Dedicated</v>
      </c>
    </row>
    <row r="1635" spans="1:16" x14ac:dyDescent="0.45">
      <c r="A1635" t="s">
        <v>5403</v>
      </c>
      <c r="B1635" t="s">
        <v>5421</v>
      </c>
      <c r="C1635" t="s">
        <v>5471</v>
      </c>
      <c r="D1635" t="s">
        <v>9868</v>
      </c>
      <c r="E1635" t="s">
        <v>9828</v>
      </c>
      <c r="F1635" t="s">
        <v>13629</v>
      </c>
      <c r="G1635" t="s">
        <v>9828</v>
      </c>
      <c r="H1635" t="s">
        <v>13632</v>
      </c>
      <c r="I1635" t="s">
        <v>29</v>
      </c>
      <c r="J1635" t="s">
        <v>13463</v>
      </c>
      <c r="K1635">
        <v>2</v>
      </c>
      <c r="L1635" t="s">
        <v>13469</v>
      </c>
      <c r="M1635" t="s">
        <v>13668</v>
      </c>
      <c r="N1635" t="str">
        <f>_xlfn.XLOOKUP(C:C,'Resource Table'!A:A,'Resource Table'!B:B,"NOT FOUND",0,1)</f>
        <v>Dedicated</v>
      </c>
      <c r="O1635" t="str">
        <f>_xlfn.XLOOKUP(N:N,'Resource Table'!B:B,'Resource Table'!C:C,"n/a",0,1)</f>
        <v>AFS Dedicated Tech</v>
      </c>
      <c r="P1635" t="str">
        <f>_xlfn.XLOOKUP(N:N,'Resource Table'!B:B,'Resource Table'!D:D,"n/a",0,1)</f>
        <v>Dedicated</v>
      </c>
    </row>
    <row r="1636" spans="1:16" x14ac:dyDescent="0.45">
      <c r="A1636" t="s">
        <v>5403</v>
      </c>
      <c r="B1636" t="s">
        <v>5421</v>
      </c>
      <c r="C1636" t="s">
        <v>5471</v>
      </c>
      <c r="D1636" t="s">
        <v>9869</v>
      </c>
      <c r="E1636" t="s">
        <v>9828</v>
      </c>
      <c r="F1636" t="s">
        <v>13514</v>
      </c>
      <c r="G1636" t="s">
        <v>9828</v>
      </c>
      <c r="H1636" t="s">
        <v>13669</v>
      </c>
      <c r="I1636" t="s">
        <v>6479</v>
      </c>
      <c r="J1636" t="s">
        <v>13463</v>
      </c>
      <c r="K1636">
        <v>1</v>
      </c>
      <c r="L1636" t="s">
        <v>13536</v>
      </c>
      <c r="M1636" t="s">
        <v>20</v>
      </c>
      <c r="N1636" t="str">
        <f>_xlfn.XLOOKUP(C:C,'Resource Table'!A:A,'Resource Table'!B:B,"NOT FOUND",0,1)</f>
        <v>Dedicated</v>
      </c>
      <c r="O1636" t="str">
        <f>_xlfn.XLOOKUP(N:N,'Resource Table'!B:B,'Resource Table'!C:C,"n/a",0,1)</f>
        <v>AFS Dedicated Tech</v>
      </c>
      <c r="P1636" t="str">
        <f>_xlfn.XLOOKUP(N:N,'Resource Table'!B:B,'Resource Table'!D:D,"n/a",0,1)</f>
        <v>Dedicated</v>
      </c>
    </row>
    <row r="1637" spans="1:16" x14ac:dyDescent="0.45">
      <c r="A1637" t="s">
        <v>5403</v>
      </c>
      <c r="B1637" t="s">
        <v>5421</v>
      </c>
      <c r="C1637" t="s">
        <v>5471</v>
      </c>
      <c r="D1637" t="s">
        <v>9871</v>
      </c>
      <c r="E1637" t="s">
        <v>8911</v>
      </c>
      <c r="F1637" t="s">
        <v>13473</v>
      </c>
      <c r="G1637" t="s">
        <v>13640</v>
      </c>
      <c r="H1637" t="s">
        <v>13642</v>
      </c>
      <c r="I1637" t="s">
        <v>6479</v>
      </c>
      <c r="J1637" t="s">
        <v>13463</v>
      </c>
      <c r="K1637">
        <v>1</v>
      </c>
      <c r="L1637" t="s">
        <v>13544</v>
      </c>
      <c r="M1637" t="s">
        <v>20</v>
      </c>
      <c r="N1637" t="str">
        <f>_xlfn.XLOOKUP(C:C,'Resource Table'!A:A,'Resource Table'!B:B,"NOT FOUND",0,1)</f>
        <v>Dedicated</v>
      </c>
      <c r="O1637" t="str">
        <f>_xlfn.XLOOKUP(N:N,'Resource Table'!B:B,'Resource Table'!C:C,"n/a",0,1)</f>
        <v>AFS Dedicated Tech</v>
      </c>
      <c r="P1637" t="str">
        <f>_xlfn.XLOOKUP(N:N,'Resource Table'!B:B,'Resource Table'!D:D,"n/a",0,1)</f>
        <v>Dedicated</v>
      </c>
    </row>
    <row r="1638" spans="1:16" x14ac:dyDescent="0.45">
      <c r="A1638" t="s">
        <v>5403</v>
      </c>
      <c r="B1638" t="s">
        <v>5421</v>
      </c>
      <c r="C1638" t="s">
        <v>5471</v>
      </c>
      <c r="D1638" t="s">
        <v>9872</v>
      </c>
      <c r="E1638" t="s">
        <v>8911</v>
      </c>
      <c r="F1638" t="s">
        <v>13460</v>
      </c>
      <c r="G1638" t="s">
        <v>13476</v>
      </c>
      <c r="H1638" t="s">
        <v>13533</v>
      </c>
      <c r="I1638" t="s">
        <v>29</v>
      </c>
      <c r="J1638" t="s">
        <v>13463</v>
      </c>
      <c r="K1638">
        <v>2</v>
      </c>
      <c r="L1638" t="s">
        <v>13544</v>
      </c>
      <c r="M1638" t="s">
        <v>13508</v>
      </c>
      <c r="N1638" t="str">
        <f>_xlfn.XLOOKUP(C:C,'Resource Table'!A:A,'Resource Table'!B:B,"NOT FOUND",0,1)</f>
        <v>Dedicated</v>
      </c>
      <c r="O1638" t="str">
        <f>_xlfn.XLOOKUP(N:N,'Resource Table'!B:B,'Resource Table'!C:C,"n/a",0,1)</f>
        <v>AFS Dedicated Tech</v>
      </c>
      <c r="P1638" t="str">
        <f>_xlfn.XLOOKUP(N:N,'Resource Table'!B:B,'Resource Table'!D:D,"n/a",0,1)</f>
        <v>Dedicated</v>
      </c>
    </row>
    <row r="1639" spans="1:16" x14ac:dyDescent="0.45">
      <c r="A1639" t="s">
        <v>5403</v>
      </c>
      <c r="B1639" t="s">
        <v>5421</v>
      </c>
      <c r="C1639" t="s">
        <v>5471</v>
      </c>
      <c r="D1639" t="s">
        <v>5730</v>
      </c>
      <c r="E1639" t="s">
        <v>8911</v>
      </c>
      <c r="F1639" t="s">
        <v>13473</v>
      </c>
      <c r="G1639" t="s">
        <v>13474</v>
      </c>
      <c r="H1639" t="s">
        <v>13517</v>
      </c>
      <c r="I1639" t="s">
        <v>29</v>
      </c>
      <c r="J1639" t="s">
        <v>13463</v>
      </c>
      <c r="K1639">
        <v>2</v>
      </c>
      <c r="L1639" t="s">
        <v>13512</v>
      </c>
      <c r="M1639" t="s">
        <v>13493</v>
      </c>
      <c r="N1639" t="str">
        <f>_xlfn.XLOOKUP(C:C,'Resource Table'!A:A,'Resource Table'!B:B,"NOT FOUND",0,1)</f>
        <v>Dedicated</v>
      </c>
      <c r="O1639" t="str">
        <f>_xlfn.XLOOKUP(N:N,'Resource Table'!B:B,'Resource Table'!C:C,"n/a",0,1)</f>
        <v>AFS Dedicated Tech</v>
      </c>
      <c r="P1639" t="str">
        <f>_xlfn.XLOOKUP(N:N,'Resource Table'!B:B,'Resource Table'!D:D,"n/a",0,1)</f>
        <v>Dedicated</v>
      </c>
    </row>
    <row r="1640" spans="1:16" x14ac:dyDescent="0.45">
      <c r="A1640" t="s">
        <v>5403</v>
      </c>
      <c r="B1640" t="s">
        <v>5421</v>
      </c>
      <c r="C1640" t="s">
        <v>5471</v>
      </c>
      <c r="D1640" t="s">
        <v>9873</v>
      </c>
      <c r="E1640" t="s">
        <v>8911</v>
      </c>
      <c r="F1640" t="s">
        <v>13629</v>
      </c>
      <c r="G1640" t="s">
        <v>13630</v>
      </c>
      <c r="H1640" t="s">
        <v>13663</v>
      </c>
      <c r="I1640" t="s">
        <v>6479</v>
      </c>
      <c r="J1640" t="s">
        <v>13463</v>
      </c>
      <c r="K1640">
        <v>0</v>
      </c>
      <c r="L1640" t="s">
        <v>20</v>
      </c>
      <c r="M1640" t="s">
        <v>20</v>
      </c>
      <c r="N1640" t="str">
        <f>_xlfn.XLOOKUP(C:C,'Resource Table'!A:A,'Resource Table'!B:B,"NOT FOUND",0,1)</f>
        <v>Dedicated</v>
      </c>
      <c r="O1640" t="str">
        <f>_xlfn.XLOOKUP(N:N,'Resource Table'!B:B,'Resource Table'!C:C,"n/a",0,1)</f>
        <v>AFS Dedicated Tech</v>
      </c>
      <c r="P1640" t="str">
        <f>_xlfn.XLOOKUP(N:N,'Resource Table'!B:B,'Resource Table'!D:D,"n/a",0,1)</f>
        <v>Dedicated</v>
      </c>
    </row>
    <row r="1641" spans="1:16" x14ac:dyDescent="0.45">
      <c r="A1641" t="s">
        <v>5403</v>
      </c>
      <c r="B1641" t="s">
        <v>5421</v>
      </c>
      <c r="C1641" t="s">
        <v>5471</v>
      </c>
      <c r="D1641" t="s">
        <v>9874</v>
      </c>
      <c r="E1641" t="s">
        <v>8911</v>
      </c>
      <c r="F1641" t="s">
        <v>13670</v>
      </c>
      <c r="G1641" t="s">
        <v>12076</v>
      </c>
      <c r="H1641" t="s">
        <v>13671</v>
      </c>
      <c r="I1641" t="s">
        <v>6479</v>
      </c>
      <c r="J1641" t="s">
        <v>13463</v>
      </c>
      <c r="K1641">
        <v>0</v>
      </c>
      <c r="L1641" t="s">
        <v>20</v>
      </c>
      <c r="M1641" t="s">
        <v>20</v>
      </c>
      <c r="N1641" t="str">
        <f>_xlfn.XLOOKUP(C:C,'Resource Table'!A:A,'Resource Table'!B:B,"NOT FOUND",0,1)</f>
        <v>Dedicated</v>
      </c>
      <c r="O1641" t="str">
        <f>_xlfn.XLOOKUP(N:N,'Resource Table'!B:B,'Resource Table'!C:C,"n/a",0,1)</f>
        <v>AFS Dedicated Tech</v>
      </c>
      <c r="P1641" t="str">
        <f>_xlfn.XLOOKUP(N:N,'Resource Table'!B:B,'Resource Table'!D:D,"n/a",0,1)</f>
        <v>Dedicated</v>
      </c>
    </row>
    <row r="1642" spans="1:16" x14ac:dyDescent="0.45">
      <c r="A1642" t="s">
        <v>5403</v>
      </c>
      <c r="B1642" t="s">
        <v>5421</v>
      </c>
      <c r="C1642" t="s">
        <v>5471</v>
      </c>
      <c r="D1642" t="s">
        <v>9875</v>
      </c>
      <c r="E1642" t="s">
        <v>9828</v>
      </c>
      <c r="F1642" t="s">
        <v>13629</v>
      </c>
      <c r="G1642" t="s">
        <v>9828</v>
      </c>
      <c r="H1642" t="s">
        <v>13664</v>
      </c>
      <c r="I1642" t="s">
        <v>6479</v>
      </c>
      <c r="J1642" t="s">
        <v>13463</v>
      </c>
      <c r="K1642">
        <v>2</v>
      </c>
      <c r="L1642" t="s">
        <v>13483</v>
      </c>
      <c r="M1642" t="s">
        <v>20</v>
      </c>
      <c r="N1642" t="str">
        <f>_xlfn.XLOOKUP(C:C,'Resource Table'!A:A,'Resource Table'!B:B,"NOT FOUND",0,1)</f>
        <v>Dedicated</v>
      </c>
      <c r="O1642" t="str">
        <f>_xlfn.XLOOKUP(N:N,'Resource Table'!B:B,'Resource Table'!C:C,"n/a",0,1)</f>
        <v>AFS Dedicated Tech</v>
      </c>
      <c r="P1642" t="str">
        <f>_xlfn.XLOOKUP(N:N,'Resource Table'!B:B,'Resource Table'!D:D,"n/a",0,1)</f>
        <v>Dedicated</v>
      </c>
    </row>
    <row r="1643" spans="1:16" x14ac:dyDescent="0.45">
      <c r="A1643" t="s">
        <v>5403</v>
      </c>
      <c r="B1643" t="s">
        <v>5404</v>
      </c>
      <c r="C1643" t="s">
        <v>5423</v>
      </c>
      <c r="D1643" t="s">
        <v>9876</v>
      </c>
      <c r="E1643" t="s">
        <v>8911</v>
      </c>
      <c r="F1643" t="s">
        <v>13633</v>
      </c>
      <c r="G1643" t="s">
        <v>13634</v>
      </c>
      <c r="H1643" t="s">
        <v>13635</v>
      </c>
      <c r="I1643" t="s">
        <v>6479</v>
      </c>
      <c r="J1643" t="s">
        <v>13463</v>
      </c>
      <c r="K1643">
        <v>0</v>
      </c>
      <c r="L1643" t="s">
        <v>20</v>
      </c>
      <c r="M1643" t="s">
        <v>20</v>
      </c>
      <c r="N1643" t="str">
        <f>_xlfn.XLOOKUP(C:C,'Resource Table'!A:A,'Resource Table'!B:B,"NOT FOUND",0,1)</f>
        <v>Dedicated</v>
      </c>
      <c r="O1643" t="str">
        <f>_xlfn.XLOOKUP(N:N,'Resource Table'!B:B,'Resource Table'!C:C,"n/a",0,1)</f>
        <v>AFS Dedicated Tech</v>
      </c>
      <c r="P1643" t="str">
        <f>_xlfn.XLOOKUP(N:N,'Resource Table'!B:B,'Resource Table'!D:D,"n/a",0,1)</f>
        <v>Dedicated</v>
      </c>
    </row>
    <row r="1644" spans="1:16" x14ac:dyDescent="0.45">
      <c r="A1644" t="s">
        <v>5403</v>
      </c>
      <c r="B1644" t="s">
        <v>5404</v>
      </c>
      <c r="C1644" t="s">
        <v>5423</v>
      </c>
      <c r="D1644" t="s">
        <v>9877</v>
      </c>
      <c r="E1644" t="s">
        <v>8911</v>
      </c>
      <c r="F1644" t="s">
        <v>13460</v>
      </c>
      <c r="G1644" t="s">
        <v>13476</v>
      </c>
      <c r="H1644" t="s">
        <v>13571</v>
      </c>
      <c r="I1644" t="s">
        <v>29</v>
      </c>
      <c r="J1644" t="s">
        <v>13463</v>
      </c>
      <c r="K1644">
        <v>0</v>
      </c>
      <c r="L1644" t="s">
        <v>20</v>
      </c>
      <c r="M1644" t="s">
        <v>20</v>
      </c>
      <c r="N1644" t="str">
        <f>_xlfn.XLOOKUP(C:C,'Resource Table'!A:A,'Resource Table'!B:B,"NOT FOUND",0,1)</f>
        <v>Dedicated</v>
      </c>
      <c r="O1644" t="str">
        <f>_xlfn.XLOOKUP(N:N,'Resource Table'!B:B,'Resource Table'!C:C,"n/a",0,1)</f>
        <v>AFS Dedicated Tech</v>
      </c>
      <c r="P1644" t="str">
        <f>_xlfn.XLOOKUP(N:N,'Resource Table'!B:B,'Resource Table'!D:D,"n/a",0,1)</f>
        <v>Dedicated</v>
      </c>
    </row>
    <row r="1645" spans="1:16" x14ac:dyDescent="0.45">
      <c r="A1645" t="s">
        <v>5403</v>
      </c>
      <c r="B1645" t="s">
        <v>5404</v>
      </c>
      <c r="C1645" t="s">
        <v>5423</v>
      </c>
      <c r="D1645" t="s">
        <v>9860</v>
      </c>
      <c r="E1645" t="s">
        <v>8911</v>
      </c>
      <c r="F1645" t="s">
        <v>13460</v>
      </c>
      <c r="G1645" t="s">
        <v>13576</v>
      </c>
      <c r="H1645" t="s">
        <v>13647</v>
      </c>
      <c r="I1645" t="s">
        <v>6479</v>
      </c>
      <c r="J1645" t="s">
        <v>13463</v>
      </c>
      <c r="K1645">
        <v>3</v>
      </c>
      <c r="L1645" t="s">
        <v>13520</v>
      </c>
      <c r="M1645" t="s">
        <v>13487</v>
      </c>
      <c r="N1645" t="str">
        <f>_xlfn.XLOOKUP(C:C,'Resource Table'!A:A,'Resource Table'!B:B,"NOT FOUND",0,1)</f>
        <v>Dedicated</v>
      </c>
      <c r="O1645" t="str">
        <f>_xlfn.XLOOKUP(N:N,'Resource Table'!B:B,'Resource Table'!C:C,"n/a",0,1)</f>
        <v>AFS Dedicated Tech</v>
      </c>
      <c r="P1645" t="str">
        <f>_xlfn.XLOOKUP(N:N,'Resource Table'!B:B,'Resource Table'!D:D,"n/a",0,1)</f>
        <v>Dedicated</v>
      </c>
    </row>
    <row r="1646" spans="1:16" x14ac:dyDescent="0.45">
      <c r="A1646" t="s">
        <v>5403</v>
      </c>
      <c r="B1646" t="s">
        <v>5416</v>
      </c>
      <c r="C1646" t="s">
        <v>5448</v>
      </c>
      <c r="D1646" t="s">
        <v>9878</v>
      </c>
      <c r="E1646" t="s">
        <v>8911</v>
      </c>
      <c r="F1646" t="s">
        <v>13525</v>
      </c>
      <c r="G1646" t="s">
        <v>13656</v>
      </c>
      <c r="H1646" t="s">
        <v>13657</v>
      </c>
      <c r="I1646" t="s">
        <v>29</v>
      </c>
      <c r="J1646" t="s">
        <v>13463</v>
      </c>
      <c r="K1646">
        <v>1</v>
      </c>
      <c r="L1646" t="s">
        <v>13503</v>
      </c>
      <c r="M1646" t="s">
        <v>20</v>
      </c>
      <c r="N1646" t="str">
        <f>_xlfn.XLOOKUP(C:C,'Resource Table'!A:A,'Resource Table'!B:B,"NOT FOUND",0,1)</f>
        <v>Dedicated</v>
      </c>
      <c r="O1646" t="str">
        <f>_xlfn.XLOOKUP(N:N,'Resource Table'!B:B,'Resource Table'!C:C,"n/a",0,1)</f>
        <v>AFS Dedicated Tech</v>
      </c>
      <c r="P1646" t="str">
        <f>_xlfn.XLOOKUP(N:N,'Resource Table'!B:B,'Resource Table'!D:D,"n/a",0,1)</f>
        <v>Dedicated</v>
      </c>
    </row>
    <row r="1647" spans="1:16" x14ac:dyDescent="0.45">
      <c r="A1647" t="s">
        <v>5403</v>
      </c>
      <c r="B1647" t="s">
        <v>5416</v>
      </c>
      <c r="C1647" t="s">
        <v>5448</v>
      </c>
      <c r="D1647" t="s">
        <v>9879</v>
      </c>
      <c r="E1647" t="s">
        <v>8911</v>
      </c>
      <c r="F1647" t="s">
        <v>13460</v>
      </c>
      <c r="G1647" t="s">
        <v>13576</v>
      </c>
      <c r="H1647" t="s">
        <v>13672</v>
      </c>
      <c r="I1647" t="s">
        <v>29</v>
      </c>
      <c r="J1647" t="s">
        <v>13463</v>
      </c>
      <c r="K1647">
        <v>1</v>
      </c>
      <c r="L1647" t="s">
        <v>13503</v>
      </c>
      <c r="M1647" t="s">
        <v>20</v>
      </c>
      <c r="N1647" t="str">
        <f>_xlfn.XLOOKUP(C:C,'Resource Table'!A:A,'Resource Table'!B:B,"NOT FOUND",0,1)</f>
        <v>Dedicated</v>
      </c>
      <c r="O1647" t="str">
        <f>_xlfn.XLOOKUP(N:N,'Resource Table'!B:B,'Resource Table'!C:C,"n/a",0,1)</f>
        <v>AFS Dedicated Tech</v>
      </c>
      <c r="P1647" t="str">
        <f>_xlfn.XLOOKUP(N:N,'Resource Table'!B:B,'Resource Table'!D:D,"n/a",0,1)</f>
        <v>Dedicated</v>
      </c>
    </row>
    <row r="1648" spans="1:16" x14ac:dyDescent="0.45">
      <c r="A1648" t="s">
        <v>5403</v>
      </c>
      <c r="B1648" t="s">
        <v>5421</v>
      </c>
      <c r="C1648" t="s">
        <v>5516</v>
      </c>
      <c r="D1648" t="s">
        <v>5827</v>
      </c>
      <c r="E1648" t="s">
        <v>8911</v>
      </c>
      <c r="F1648" t="s">
        <v>13473</v>
      </c>
      <c r="G1648" t="s">
        <v>13474</v>
      </c>
      <c r="H1648" t="s">
        <v>13475</v>
      </c>
      <c r="I1648" t="s">
        <v>29</v>
      </c>
      <c r="J1648" t="s">
        <v>13463</v>
      </c>
      <c r="K1648">
        <v>1</v>
      </c>
      <c r="L1648" t="s">
        <v>13468</v>
      </c>
      <c r="M1648" t="s">
        <v>20</v>
      </c>
      <c r="N1648" t="str">
        <f>_xlfn.XLOOKUP(C:C,'Resource Table'!A:A,'Resource Table'!B:B,"NOT FOUND",0,1)</f>
        <v>Brittany Williams</v>
      </c>
      <c r="O1648" t="str">
        <f>_xlfn.XLOOKUP(N:N,'Resource Table'!B:B,'Resource Table'!C:C,"n/a",0,1)</f>
        <v>bwilliams5@ameritfleet.com</v>
      </c>
      <c r="P1648" t="str">
        <f>_xlfn.XLOOKUP(N:N,'Resource Table'!B:B,'Resource Table'!D:D,"n/a",0,1)</f>
        <v>Vended Repair</v>
      </c>
    </row>
    <row r="1649" spans="1:16" x14ac:dyDescent="0.45">
      <c r="A1649" t="s">
        <v>5403</v>
      </c>
      <c r="B1649" t="s">
        <v>5421</v>
      </c>
      <c r="C1649" t="s">
        <v>5516</v>
      </c>
      <c r="D1649" t="s">
        <v>540</v>
      </c>
      <c r="E1649" t="s">
        <v>8911</v>
      </c>
      <c r="F1649" t="s">
        <v>13473</v>
      </c>
      <c r="G1649" t="s">
        <v>13474</v>
      </c>
      <c r="H1649" t="s">
        <v>13475</v>
      </c>
      <c r="I1649" t="s">
        <v>29</v>
      </c>
      <c r="J1649" t="s">
        <v>13463</v>
      </c>
      <c r="K1649">
        <v>2</v>
      </c>
      <c r="L1649" t="s">
        <v>13503</v>
      </c>
      <c r="M1649" t="s">
        <v>13591</v>
      </c>
      <c r="N1649" t="str">
        <f>_xlfn.XLOOKUP(C:C,'Resource Table'!A:A,'Resource Table'!B:B,"NOT FOUND",0,1)</f>
        <v>Brittany Williams</v>
      </c>
      <c r="O1649" t="str">
        <f>_xlfn.XLOOKUP(N:N,'Resource Table'!B:B,'Resource Table'!C:C,"n/a",0,1)</f>
        <v>bwilliams5@ameritfleet.com</v>
      </c>
      <c r="P1649" t="str">
        <f>_xlfn.XLOOKUP(N:N,'Resource Table'!B:B,'Resource Table'!D:D,"n/a",0,1)</f>
        <v>Vended Repair</v>
      </c>
    </row>
    <row r="1650" spans="1:16" x14ac:dyDescent="0.45">
      <c r="A1650" t="s">
        <v>5403</v>
      </c>
      <c r="B1650" t="s">
        <v>5421</v>
      </c>
      <c r="C1650" t="s">
        <v>5516</v>
      </c>
      <c r="D1650" t="s">
        <v>908</v>
      </c>
      <c r="E1650" t="s">
        <v>8911</v>
      </c>
      <c r="F1650" t="s">
        <v>13473</v>
      </c>
      <c r="G1650" t="s">
        <v>13474</v>
      </c>
      <c r="H1650" t="s">
        <v>13475</v>
      </c>
      <c r="I1650" t="s">
        <v>29</v>
      </c>
      <c r="J1650" t="s">
        <v>13463</v>
      </c>
      <c r="K1650">
        <v>3</v>
      </c>
      <c r="L1650" t="s">
        <v>13466</v>
      </c>
      <c r="M1650" t="s">
        <v>13591</v>
      </c>
      <c r="N1650" t="str">
        <f>_xlfn.XLOOKUP(C:C,'Resource Table'!A:A,'Resource Table'!B:B,"NOT FOUND",0,1)</f>
        <v>Brittany Williams</v>
      </c>
      <c r="O1650" t="str">
        <f>_xlfn.XLOOKUP(N:N,'Resource Table'!B:B,'Resource Table'!C:C,"n/a",0,1)</f>
        <v>bwilliams5@ameritfleet.com</v>
      </c>
      <c r="P1650" t="str">
        <f>_xlfn.XLOOKUP(N:N,'Resource Table'!B:B,'Resource Table'!D:D,"n/a",0,1)</f>
        <v>Vended Repair</v>
      </c>
    </row>
    <row r="1651" spans="1:16" x14ac:dyDescent="0.45">
      <c r="A1651" t="s">
        <v>5407</v>
      </c>
      <c r="B1651" t="s">
        <v>5408</v>
      </c>
      <c r="C1651" t="s">
        <v>5504</v>
      </c>
      <c r="D1651" t="s">
        <v>9880</v>
      </c>
      <c r="E1651" t="s">
        <v>8911</v>
      </c>
      <c r="F1651" t="s">
        <v>13514</v>
      </c>
      <c r="G1651" t="s">
        <v>13515</v>
      </c>
      <c r="H1651" t="s">
        <v>13516</v>
      </c>
      <c r="I1651" t="s">
        <v>6479</v>
      </c>
      <c r="J1651" t="s">
        <v>13463</v>
      </c>
      <c r="K1651">
        <v>0</v>
      </c>
      <c r="L1651" t="s">
        <v>20</v>
      </c>
      <c r="M1651" t="s">
        <v>20</v>
      </c>
      <c r="N1651" t="str">
        <f>_xlfn.XLOOKUP(C:C,'Resource Table'!A:A,'Resource Table'!B:B,"NOT FOUND",0,1)</f>
        <v>Dedicated</v>
      </c>
      <c r="O1651" t="str">
        <f>_xlfn.XLOOKUP(N:N,'Resource Table'!B:B,'Resource Table'!C:C,"n/a",0,1)</f>
        <v>AFS Dedicated Tech</v>
      </c>
      <c r="P1651" t="str">
        <f>_xlfn.XLOOKUP(N:N,'Resource Table'!B:B,'Resource Table'!D:D,"n/a",0,1)</f>
        <v>Dedicated</v>
      </c>
    </row>
    <row r="1652" spans="1:16" x14ac:dyDescent="0.45">
      <c r="A1652" t="s">
        <v>5407</v>
      </c>
      <c r="B1652" t="s">
        <v>5408</v>
      </c>
      <c r="C1652" t="s">
        <v>5504</v>
      </c>
      <c r="D1652" t="s">
        <v>9881</v>
      </c>
      <c r="E1652" t="s">
        <v>8911</v>
      </c>
      <c r="F1652" t="s">
        <v>13514</v>
      </c>
      <c r="G1652" t="s">
        <v>13627</v>
      </c>
      <c r="H1652" t="s">
        <v>13673</v>
      </c>
      <c r="I1652" t="s">
        <v>6479</v>
      </c>
      <c r="J1652" t="s">
        <v>13463</v>
      </c>
      <c r="K1652">
        <v>0</v>
      </c>
      <c r="L1652" t="s">
        <v>20</v>
      </c>
      <c r="M1652" t="s">
        <v>20</v>
      </c>
      <c r="N1652" t="str">
        <f>_xlfn.XLOOKUP(C:C,'Resource Table'!A:A,'Resource Table'!B:B,"NOT FOUND",0,1)</f>
        <v>Dedicated</v>
      </c>
      <c r="O1652" t="str">
        <f>_xlfn.XLOOKUP(N:N,'Resource Table'!B:B,'Resource Table'!C:C,"n/a",0,1)</f>
        <v>AFS Dedicated Tech</v>
      </c>
      <c r="P1652" t="str">
        <f>_xlfn.XLOOKUP(N:N,'Resource Table'!B:B,'Resource Table'!D:D,"n/a",0,1)</f>
        <v>Dedicated</v>
      </c>
    </row>
    <row r="1653" spans="1:16" x14ac:dyDescent="0.45">
      <c r="A1653" t="s">
        <v>5407</v>
      </c>
      <c r="B1653" t="s">
        <v>5408</v>
      </c>
      <c r="C1653" t="s">
        <v>5548</v>
      </c>
      <c r="D1653" t="s">
        <v>9882</v>
      </c>
      <c r="E1653" t="s">
        <v>8911</v>
      </c>
      <c r="F1653" t="s">
        <v>13473</v>
      </c>
      <c r="G1653" t="s">
        <v>13623</v>
      </c>
      <c r="H1653" t="s">
        <v>13625</v>
      </c>
      <c r="I1653" t="s">
        <v>6479</v>
      </c>
      <c r="J1653" t="s">
        <v>13463</v>
      </c>
      <c r="K1653">
        <v>0</v>
      </c>
      <c r="L1653" t="s">
        <v>20</v>
      </c>
      <c r="M1653" t="s">
        <v>20</v>
      </c>
      <c r="N1653" t="str">
        <f>_xlfn.XLOOKUP(C:C,'Resource Table'!A:A,'Resource Table'!B:B,"NOT FOUND",0,1)</f>
        <v>Dedicated</v>
      </c>
      <c r="O1653" t="str">
        <f>_xlfn.XLOOKUP(N:N,'Resource Table'!B:B,'Resource Table'!C:C,"n/a",0,1)</f>
        <v>AFS Dedicated Tech</v>
      </c>
      <c r="P1653" t="str">
        <f>_xlfn.XLOOKUP(N:N,'Resource Table'!B:B,'Resource Table'!D:D,"n/a",0,1)</f>
        <v>Dedicated</v>
      </c>
    </row>
    <row r="1654" spans="1:16" x14ac:dyDescent="0.45">
      <c r="A1654" t="s">
        <v>5407</v>
      </c>
      <c r="B1654" t="s">
        <v>5408</v>
      </c>
      <c r="C1654" t="s">
        <v>5548</v>
      </c>
      <c r="D1654" t="s">
        <v>9883</v>
      </c>
      <c r="E1654" t="s">
        <v>8911</v>
      </c>
      <c r="F1654" t="s">
        <v>13473</v>
      </c>
      <c r="G1654" t="s">
        <v>13640</v>
      </c>
      <c r="H1654" t="s">
        <v>13642</v>
      </c>
      <c r="I1654" t="s">
        <v>6479</v>
      </c>
      <c r="J1654" t="s">
        <v>13463</v>
      </c>
      <c r="K1654">
        <v>1</v>
      </c>
      <c r="L1654" t="s">
        <v>13468</v>
      </c>
      <c r="M1654" t="s">
        <v>20</v>
      </c>
      <c r="N1654" t="str">
        <f>_xlfn.XLOOKUP(C:C,'Resource Table'!A:A,'Resource Table'!B:B,"NOT FOUND",0,1)</f>
        <v>Dedicated</v>
      </c>
      <c r="O1654" t="str">
        <f>_xlfn.XLOOKUP(N:N,'Resource Table'!B:B,'Resource Table'!C:C,"n/a",0,1)</f>
        <v>AFS Dedicated Tech</v>
      </c>
      <c r="P1654" t="str">
        <f>_xlfn.XLOOKUP(N:N,'Resource Table'!B:B,'Resource Table'!D:D,"n/a",0,1)</f>
        <v>Dedicated</v>
      </c>
    </row>
    <row r="1655" spans="1:16" x14ac:dyDescent="0.45">
      <c r="A1655" t="s">
        <v>5407</v>
      </c>
      <c r="B1655" t="s">
        <v>5408</v>
      </c>
      <c r="C1655" t="s">
        <v>5548</v>
      </c>
      <c r="D1655" t="s">
        <v>9884</v>
      </c>
      <c r="E1655" t="s">
        <v>8911</v>
      </c>
      <c r="F1655" t="s">
        <v>13525</v>
      </c>
      <c r="G1655" t="s">
        <v>9828</v>
      </c>
      <c r="H1655" t="s">
        <v>13665</v>
      </c>
      <c r="I1655" t="s">
        <v>6479</v>
      </c>
      <c r="J1655" t="s">
        <v>13463</v>
      </c>
      <c r="K1655">
        <v>1</v>
      </c>
      <c r="L1655" t="s">
        <v>13493</v>
      </c>
      <c r="M1655" t="s">
        <v>13513</v>
      </c>
      <c r="N1655" t="str">
        <f>_xlfn.XLOOKUP(C:C,'Resource Table'!A:A,'Resource Table'!B:B,"NOT FOUND",0,1)</f>
        <v>Dedicated</v>
      </c>
      <c r="O1655" t="str">
        <f>_xlfn.XLOOKUP(N:N,'Resource Table'!B:B,'Resource Table'!C:C,"n/a",0,1)</f>
        <v>AFS Dedicated Tech</v>
      </c>
      <c r="P1655" t="str">
        <f>_xlfn.XLOOKUP(N:N,'Resource Table'!B:B,'Resource Table'!D:D,"n/a",0,1)</f>
        <v>Dedicated</v>
      </c>
    </row>
    <row r="1656" spans="1:16" x14ac:dyDescent="0.45">
      <c r="A1656" t="s">
        <v>5407</v>
      </c>
      <c r="B1656" t="s">
        <v>5408</v>
      </c>
      <c r="C1656" t="s">
        <v>5548</v>
      </c>
      <c r="D1656" t="s">
        <v>9885</v>
      </c>
      <c r="E1656" t="s">
        <v>8911</v>
      </c>
      <c r="F1656" t="s">
        <v>13525</v>
      </c>
      <c r="G1656" t="s">
        <v>9828</v>
      </c>
      <c r="H1656" t="s">
        <v>13665</v>
      </c>
      <c r="I1656" t="s">
        <v>29</v>
      </c>
      <c r="J1656" t="s">
        <v>13463</v>
      </c>
      <c r="K1656">
        <v>2</v>
      </c>
      <c r="L1656" t="s">
        <v>13519</v>
      </c>
      <c r="M1656" t="s">
        <v>13572</v>
      </c>
      <c r="N1656" t="str">
        <f>_xlfn.XLOOKUP(C:C,'Resource Table'!A:A,'Resource Table'!B:B,"NOT FOUND",0,1)</f>
        <v>Dedicated</v>
      </c>
      <c r="O1656" t="str">
        <f>_xlfn.XLOOKUP(N:N,'Resource Table'!B:B,'Resource Table'!C:C,"n/a",0,1)</f>
        <v>AFS Dedicated Tech</v>
      </c>
      <c r="P1656" t="str">
        <f>_xlfn.XLOOKUP(N:N,'Resource Table'!B:B,'Resource Table'!D:D,"n/a",0,1)</f>
        <v>Dedicated</v>
      </c>
    </row>
    <row r="1657" spans="1:16" x14ac:dyDescent="0.45">
      <c r="A1657" t="s">
        <v>5407</v>
      </c>
      <c r="B1657" t="s">
        <v>5408</v>
      </c>
      <c r="C1657" t="s">
        <v>5548</v>
      </c>
      <c r="D1657" t="s">
        <v>3013</v>
      </c>
      <c r="E1657" t="s">
        <v>8911</v>
      </c>
      <c r="F1657" t="s">
        <v>13473</v>
      </c>
      <c r="G1657" t="s">
        <v>13640</v>
      </c>
      <c r="H1657" t="s">
        <v>13641</v>
      </c>
      <c r="I1657" t="s">
        <v>6479</v>
      </c>
      <c r="J1657" t="s">
        <v>13463</v>
      </c>
      <c r="K1657">
        <v>1</v>
      </c>
      <c r="L1657" t="s">
        <v>13543</v>
      </c>
      <c r="M1657" t="s">
        <v>13505</v>
      </c>
      <c r="N1657" t="str">
        <f>_xlfn.XLOOKUP(C:C,'Resource Table'!A:A,'Resource Table'!B:B,"NOT FOUND",0,1)</f>
        <v>Dedicated</v>
      </c>
      <c r="O1657" t="str">
        <f>_xlfn.XLOOKUP(N:N,'Resource Table'!B:B,'Resource Table'!C:C,"n/a",0,1)</f>
        <v>AFS Dedicated Tech</v>
      </c>
      <c r="P1657" t="str">
        <f>_xlfn.XLOOKUP(N:N,'Resource Table'!B:B,'Resource Table'!D:D,"n/a",0,1)</f>
        <v>Dedicated</v>
      </c>
    </row>
    <row r="1658" spans="1:16" x14ac:dyDescent="0.45">
      <c r="A1658" t="s">
        <v>5407</v>
      </c>
      <c r="B1658" t="s">
        <v>5408</v>
      </c>
      <c r="C1658" t="s">
        <v>5548</v>
      </c>
      <c r="D1658" t="s">
        <v>9886</v>
      </c>
      <c r="E1658" t="s">
        <v>8911</v>
      </c>
      <c r="F1658" t="s">
        <v>13473</v>
      </c>
      <c r="G1658" t="s">
        <v>13640</v>
      </c>
      <c r="H1658" t="s">
        <v>13641</v>
      </c>
      <c r="I1658" t="s">
        <v>6479</v>
      </c>
      <c r="J1658" t="s">
        <v>13463</v>
      </c>
      <c r="K1658">
        <v>0</v>
      </c>
      <c r="L1658" t="s">
        <v>20</v>
      </c>
      <c r="M1658" t="s">
        <v>20</v>
      </c>
      <c r="N1658" t="str">
        <f>_xlfn.XLOOKUP(C:C,'Resource Table'!A:A,'Resource Table'!B:B,"NOT FOUND",0,1)</f>
        <v>Dedicated</v>
      </c>
      <c r="O1658" t="str">
        <f>_xlfn.XLOOKUP(N:N,'Resource Table'!B:B,'Resource Table'!C:C,"n/a",0,1)</f>
        <v>AFS Dedicated Tech</v>
      </c>
      <c r="P1658" t="str">
        <f>_xlfn.XLOOKUP(N:N,'Resource Table'!B:B,'Resource Table'!D:D,"n/a",0,1)</f>
        <v>Dedicated</v>
      </c>
    </row>
    <row r="1659" spans="1:16" x14ac:dyDescent="0.45">
      <c r="A1659" t="s">
        <v>5407</v>
      </c>
      <c r="B1659" t="s">
        <v>5408</v>
      </c>
      <c r="C1659" t="s">
        <v>5548</v>
      </c>
      <c r="D1659" t="s">
        <v>9887</v>
      </c>
      <c r="E1659" t="s">
        <v>8911</v>
      </c>
      <c r="F1659" t="s">
        <v>13514</v>
      </c>
      <c r="G1659" t="s">
        <v>13573</v>
      </c>
      <c r="H1659" t="s">
        <v>13674</v>
      </c>
      <c r="I1659" t="s">
        <v>6479</v>
      </c>
      <c r="J1659" t="s">
        <v>13463</v>
      </c>
      <c r="K1659">
        <v>0</v>
      </c>
      <c r="L1659" t="s">
        <v>20</v>
      </c>
      <c r="M1659" t="s">
        <v>20</v>
      </c>
      <c r="N1659" t="str">
        <f>_xlfn.XLOOKUP(C:C,'Resource Table'!A:A,'Resource Table'!B:B,"NOT FOUND",0,1)</f>
        <v>Dedicated</v>
      </c>
      <c r="O1659" t="str">
        <f>_xlfn.XLOOKUP(N:N,'Resource Table'!B:B,'Resource Table'!C:C,"n/a",0,1)</f>
        <v>AFS Dedicated Tech</v>
      </c>
      <c r="P1659" t="str">
        <f>_xlfn.XLOOKUP(N:N,'Resource Table'!B:B,'Resource Table'!D:D,"n/a",0,1)</f>
        <v>Dedicated</v>
      </c>
    </row>
    <row r="1660" spans="1:16" x14ac:dyDescent="0.45">
      <c r="A1660" t="s">
        <v>5443</v>
      </c>
      <c r="B1660" t="s">
        <v>5524</v>
      </c>
      <c r="C1660" t="s">
        <v>5534</v>
      </c>
      <c r="D1660" t="s">
        <v>9888</v>
      </c>
      <c r="E1660" t="s">
        <v>8911</v>
      </c>
      <c r="F1660" t="s">
        <v>13473</v>
      </c>
      <c r="G1660" t="s">
        <v>13474</v>
      </c>
      <c r="H1660" t="s">
        <v>13517</v>
      </c>
      <c r="I1660" t="s">
        <v>6479</v>
      </c>
      <c r="J1660" t="s">
        <v>13463</v>
      </c>
      <c r="K1660">
        <v>0</v>
      </c>
      <c r="L1660" t="s">
        <v>20</v>
      </c>
      <c r="M1660" t="s">
        <v>20</v>
      </c>
      <c r="N1660" t="str">
        <f>_xlfn.XLOOKUP(C:C,'Resource Table'!A:A,'Resource Table'!B:B,"NOT FOUND",0,1)</f>
        <v>Dedicated</v>
      </c>
      <c r="O1660" t="str">
        <f>_xlfn.XLOOKUP(N:N,'Resource Table'!B:B,'Resource Table'!C:C,"n/a",0,1)</f>
        <v>AFS Dedicated Tech</v>
      </c>
      <c r="P1660" t="str">
        <f>_xlfn.XLOOKUP(N:N,'Resource Table'!B:B,'Resource Table'!D:D,"n/a",0,1)</f>
        <v>Dedicated</v>
      </c>
    </row>
    <row r="1661" spans="1:16" x14ac:dyDescent="0.45">
      <c r="A1661" t="s">
        <v>5443</v>
      </c>
      <c r="B1661" t="s">
        <v>5524</v>
      </c>
      <c r="C1661" t="s">
        <v>5534</v>
      </c>
      <c r="D1661" t="s">
        <v>9889</v>
      </c>
      <c r="E1661" t="s">
        <v>8911</v>
      </c>
      <c r="F1661" t="s">
        <v>13473</v>
      </c>
      <c r="G1661" t="s">
        <v>13474</v>
      </c>
      <c r="H1661" t="s">
        <v>13475</v>
      </c>
      <c r="I1661" t="s">
        <v>6479</v>
      </c>
      <c r="J1661" t="s">
        <v>13463</v>
      </c>
      <c r="K1661">
        <v>0</v>
      </c>
      <c r="L1661" t="s">
        <v>20</v>
      </c>
      <c r="M1661" t="s">
        <v>20</v>
      </c>
      <c r="N1661" t="str">
        <f>_xlfn.XLOOKUP(C:C,'Resource Table'!A:A,'Resource Table'!B:B,"NOT FOUND",0,1)</f>
        <v>Dedicated</v>
      </c>
      <c r="O1661" t="str">
        <f>_xlfn.XLOOKUP(N:N,'Resource Table'!B:B,'Resource Table'!C:C,"n/a",0,1)</f>
        <v>AFS Dedicated Tech</v>
      </c>
      <c r="P1661" t="str">
        <f>_xlfn.XLOOKUP(N:N,'Resource Table'!B:B,'Resource Table'!D:D,"n/a",0,1)</f>
        <v>Dedicated</v>
      </c>
    </row>
    <row r="1662" spans="1:16" x14ac:dyDescent="0.45">
      <c r="A1662" t="s">
        <v>5443</v>
      </c>
      <c r="B1662" t="s">
        <v>5444</v>
      </c>
      <c r="C1662" t="s">
        <v>5895</v>
      </c>
      <c r="D1662" t="s">
        <v>9890</v>
      </c>
      <c r="E1662" t="s">
        <v>8911</v>
      </c>
      <c r="F1662" t="s">
        <v>13473</v>
      </c>
      <c r="G1662" t="s">
        <v>13474</v>
      </c>
      <c r="H1662" t="s">
        <v>13521</v>
      </c>
      <c r="I1662" t="s">
        <v>6479</v>
      </c>
      <c r="J1662" t="s">
        <v>13463</v>
      </c>
      <c r="K1662">
        <v>2</v>
      </c>
      <c r="L1662" t="s">
        <v>13503</v>
      </c>
      <c r="M1662" t="s">
        <v>13468</v>
      </c>
      <c r="N1662" t="str">
        <f>_xlfn.XLOOKUP(C:C,'Resource Table'!A:A,'Resource Table'!B:B,"NOT FOUND",0,1)</f>
        <v>Hollie Francis</v>
      </c>
      <c r="O1662" t="str">
        <f>_xlfn.XLOOKUP(N:N,'Resource Table'!B:B,'Resource Table'!C:C,"n/a",0,1)</f>
        <v>hfrancis@ameritfleet.com</v>
      </c>
      <c r="P1662" t="str">
        <f>_xlfn.XLOOKUP(N:N,'Resource Table'!B:B,'Resource Table'!D:D,"n/a",0,1)</f>
        <v>Vended Repair</v>
      </c>
    </row>
    <row r="1663" spans="1:16" x14ac:dyDescent="0.45">
      <c r="A1663" t="s">
        <v>5443</v>
      </c>
      <c r="B1663" t="s">
        <v>5444</v>
      </c>
      <c r="C1663" t="s">
        <v>5466</v>
      </c>
      <c r="D1663" t="s">
        <v>9891</v>
      </c>
      <c r="E1663" t="s">
        <v>8911</v>
      </c>
      <c r="F1663" t="s">
        <v>13473</v>
      </c>
      <c r="G1663" t="s">
        <v>13623</v>
      </c>
      <c r="H1663" t="s">
        <v>13625</v>
      </c>
      <c r="I1663" t="s">
        <v>6479</v>
      </c>
      <c r="J1663" t="s">
        <v>13463</v>
      </c>
      <c r="K1663">
        <v>0</v>
      </c>
      <c r="L1663" t="s">
        <v>20</v>
      </c>
      <c r="M1663" t="s">
        <v>20</v>
      </c>
      <c r="N1663" t="str">
        <f>_xlfn.XLOOKUP(C:C,'Resource Table'!A:A,'Resource Table'!B:B,"NOT FOUND",0,1)</f>
        <v>Dedicated</v>
      </c>
      <c r="O1663" t="str">
        <f>_xlfn.XLOOKUP(N:N,'Resource Table'!B:B,'Resource Table'!C:C,"n/a",0,1)</f>
        <v>AFS Dedicated Tech</v>
      </c>
      <c r="P1663" t="str">
        <f>_xlfn.XLOOKUP(N:N,'Resource Table'!B:B,'Resource Table'!D:D,"n/a",0,1)</f>
        <v>Dedicated</v>
      </c>
    </row>
    <row r="1664" spans="1:16" x14ac:dyDescent="0.45">
      <c r="A1664" t="s">
        <v>5443</v>
      </c>
      <c r="B1664" t="s">
        <v>5444</v>
      </c>
      <c r="C1664" t="s">
        <v>5466</v>
      </c>
      <c r="D1664" t="s">
        <v>9892</v>
      </c>
      <c r="E1664" t="s">
        <v>8911</v>
      </c>
      <c r="F1664" t="s">
        <v>13473</v>
      </c>
      <c r="G1664" t="s">
        <v>13474</v>
      </c>
      <c r="H1664" t="s">
        <v>13517</v>
      </c>
      <c r="I1664" t="s">
        <v>29</v>
      </c>
      <c r="J1664" t="s">
        <v>13463</v>
      </c>
      <c r="K1664">
        <v>1</v>
      </c>
      <c r="L1664" t="s">
        <v>13534</v>
      </c>
      <c r="M1664" t="s">
        <v>13507</v>
      </c>
      <c r="N1664" t="str">
        <f>_xlfn.XLOOKUP(C:C,'Resource Table'!A:A,'Resource Table'!B:B,"NOT FOUND",0,1)</f>
        <v>Dedicated</v>
      </c>
      <c r="O1664" t="str">
        <f>_xlfn.XLOOKUP(N:N,'Resource Table'!B:B,'Resource Table'!C:C,"n/a",0,1)</f>
        <v>AFS Dedicated Tech</v>
      </c>
      <c r="P1664" t="str">
        <f>_xlfn.XLOOKUP(N:N,'Resource Table'!B:B,'Resource Table'!D:D,"n/a",0,1)</f>
        <v>Dedicated</v>
      </c>
    </row>
    <row r="1665" spans="1:16" x14ac:dyDescent="0.45">
      <c r="A1665" t="s">
        <v>5443</v>
      </c>
      <c r="B1665" t="s">
        <v>5444</v>
      </c>
      <c r="C1665" t="s">
        <v>5553</v>
      </c>
      <c r="D1665" t="s">
        <v>6830</v>
      </c>
      <c r="E1665" t="s">
        <v>8911</v>
      </c>
      <c r="F1665" t="s">
        <v>13473</v>
      </c>
      <c r="G1665" t="s">
        <v>13474</v>
      </c>
      <c r="H1665" t="s">
        <v>13492</v>
      </c>
      <c r="I1665" t="s">
        <v>29</v>
      </c>
      <c r="J1665" t="s">
        <v>13463</v>
      </c>
      <c r="K1665">
        <v>2</v>
      </c>
      <c r="L1665" t="s">
        <v>13524</v>
      </c>
      <c r="M1665" t="s">
        <v>13493</v>
      </c>
      <c r="N1665" t="str">
        <f>_xlfn.XLOOKUP(C:C,'Resource Table'!A:A,'Resource Table'!B:B,"NOT FOUND",0,1)</f>
        <v>Hollie Francis</v>
      </c>
      <c r="O1665" t="str">
        <f>_xlfn.XLOOKUP(N:N,'Resource Table'!B:B,'Resource Table'!C:C,"n/a",0,1)</f>
        <v>hfrancis@ameritfleet.com</v>
      </c>
      <c r="P1665" t="str">
        <f>_xlfn.XLOOKUP(N:N,'Resource Table'!B:B,'Resource Table'!D:D,"n/a",0,1)</f>
        <v>Vended Repair</v>
      </c>
    </row>
    <row r="1666" spans="1:16" x14ac:dyDescent="0.45">
      <c r="A1666" t="s">
        <v>5443</v>
      </c>
      <c r="B1666" t="s">
        <v>5444</v>
      </c>
      <c r="C1666" t="s">
        <v>5460</v>
      </c>
      <c r="D1666" t="s">
        <v>9893</v>
      </c>
      <c r="E1666" t="s">
        <v>8911</v>
      </c>
      <c r="F1666" t="s">
        <v>13473</v>
      </c>
      <c r="G1666" t="s">
        <v>13623</v>
      </c>
      <c r="H1666" t="s">
        <v>13625</v>
      </c>
      <c r="I1666" t="s">
        <v>6479</v>
      </c>
      <c r="J1666" t="s">
        <v>13463</v>
      </c>
      <c r="K1666">
        <v>0</v>
      </c>
      <c r="L1666" t="s">
        <v>20</v>
      </c>
      <c r="M1666" t="s">
        <v>20</v>
      </c>
      <c r="N1666" t="str">
        <f>_xlfn.XLOOKUP(C:C,'Resource Table'!A:A,'Resource Table'!B:B,"NOT FOUND",0,1)</f>
        <v>Dedicated</v>
      </c>
      <c r="O1666" t="str">
        <f>_xlfn.XLOOKUP(N:N,'Resource Table'!B:B,'Resource Table'!C:C,"n/a",0,1)</f>
        <v>AFS Dedicated Tech</v>
      </c>
      <c r="P1666" t="str">
        <f>_xlfn.XLOOKUP(N:N,'Resource Table'!B:B,'Resource Table'!D:D,"n/a",0,1)</f>
        <v>Dedicated</v>
      </c>
    </row>
    <row r="1667" spans="1:16" x14ac:dyDescent="0.45">
      <c r="A1667" t="s">
        <v>5443</v>
      </c>
      <c r="B1667" t="s">
        <v>5444</v>
      </c>
      <c r="C1667" t="s">
        <v>5445</v>
      </c>
      <c r="D1667" t="s">
        <v>9894</v>
      </c>
      <c r="E1667" t="s">
        <v>8911</v>
      </c>
      <c r="F1667" t="s">
        <v>13473</v>
      </c>
      <c r="G1667" t="s">
        <v>13623</v>
      </c>
      <c r="H1667" t="s">
        <v>13624</v>
      </c>
      <c r="I1667" t="s">
        <v>6479</v>
      </c>
      <c r="J1667" t="s">
        <v>13463</v>
      </c>
      <c r="K1667">
        <v>1</v>
      </c>
      <c r="L1667" t="s">
        <v>13537</v>
      </c>
      <c r="M1667" t="s">
        <v>20</v>
      </c>
      <c r="N1667" t="str">
        <f>_xlfn.XLOOKUP(C:C,'Resource Table'!A:A,'Resource Table'!B:B,"NOT FOUND",0,1)</f>
        <v>Dedicated</v>
      </c>
      <c r="O1667" t="str">
        <f>_xlfn.XLOOKUP(N:N,'Resource Table'!B:B,'Resource Table'!C:C,"n/a",0,1)</f>
        <v>AFS Dedicated Tech</v>
      </c>
      <c r="P1667" t="str">
        <f>_xlfn.XLOOKUP(N:N,'Resource Table'!B:B,'Resource Table'!D:D,"n/a",0,1)</f>
        <v>Dedicated</v>
      </c>
    </row>
    <row r="1668" spans="1:16" x14ac:dyDescent="0.45">
      <c r="A1668" t="s">
        <v>5443</v>
      </c>
      <c r="B1668" t="s">
        <v>5444</v>
      </c>
      <c r="C1668" t="s">
        <v>5549</v>
      </c>
      <c r="D1668" t="s">
        <v>9895</v>
      </c>
      <c r="E1668" t="s">
        <v>8911</v>
      </c>
      <c r="F1668" t="s">
        <v>13473</v>
      </c>
      <c r="G1668" t="s">
        <v>13623</v>
      </c>
      <c r="H1668" t="s">
        <v>13675</v>
      </c>
      <c r="I1668" t="s">
        <v>6479</v>
      </c>
      <c r="J1668" t="s">
        <v>13463</v>
      </c>
      <c r="K1668">
        <v>1</v>
      </c>
      <c r="L1668" t="s">
        <v>13536</v>
      </c>
      <c r="M1668" t="s">
        <v>20</v>
      </c>
      <c r="N1668" t="str">
        <f>_xlfn.XLOOKUP(C:C,'Resource Table'!A:A,'Resource Table'!B:B,"NOT FOUND",0,1)</f>
        <v>Dedicated</v>
      </c>
      <c r="O1668" t="str">
        <f>_xlfn.XLOOKUP(N:N,'Resource Table'!B:B,'Resource Table'!C:C,"n/a",0,1)</f>
        <v>AFS Dedicated Tech</v>
      </c>
      <c r="P1668" t="str">
        <f>_xlfn.XLOOKUP(N:N,'Resource Table'!B:B,'Resource Table'!D:D,"n/a",0,1)</f>
        <v>Dedicated</v>
      </c>
    </row>
    <row r="1669" spans="1:16" x14ac:dyDescent="0.45">
      <c r="A1669" t="s">
        <v>5443</v>
      </c>
      <c r="B1669" t="s">
        <v>5458</v>
      </c>
      <c r="C1669" t="s">
        <v>5604</v>
      </c>
      <c r="D1669" t="s">
        <v>2630</v>
      </c>
      <c r="E1669" t="s">
        <v>8911</v>
      </c>
      <c r="F1669" t="s">
        <v>13473</v>
      </c>
      <c r="G1669" t="s">
        <v>13474</v>
      </c>
      <c r="H1669" t="s">
        <v>13492</v>
      </c>
      <c r="I1669" t="s">
        <v>6479</v>
      </c>
      <c r="J1669" t="s">
        <v>13463</v>
      </c>
      <c r="K1669">
        <v>1</v>
      </c>
      <c r="L1669" t="s">
        <v>13530</v>
      </c>
      <c r="M1669" t="s">
        <v>13484</v>
      </c>
      <c r="N1669" t="str">
        <f>_xlfn.XLOOKUP(C:C,'Resource Table'!A:A,'Resource Table'!B:B,"NOT FOUND",0,1)</f>
        <v>Hollie Francis</v>
      </c>
      <c r="O1669" t="str">
        <f>_xlfn.XLOOKUP(N:N,'Resource Table'!B:B,'Resource Table'!C:C,"n/a",0,1)</f>
        <v>hfrancis@ameritfleet.com</v>
      </c>
      <c r="P1669" t="str">
        <f>_xlfn.XLOOKUP(N:N,'Resource Table'!B:B,'Resource Table'!D:D,"n/a",0,1)</f>
        <v>Vended Repair</v>
      </c>
    </row>
    <row r="1670" spans="1:16" x14ac:dyDescent="0.45">
      <c r="A1670" t="s">
        <v>5443</v>
      </c>
      <c r="B1670" t="s">
        <v>5458</v>
      </c>
      <c r="C1670" t="s">
        <v>5604</v>
      </c>
      <c r="D1670" t="s">
        <v>9896</v>
      </c>
      <c r="E1670" t="s">
        <v>8911</v>
      </c>
      <c r="F1670" t="s">
        <v>13473</v>
      </c>
      <c r="G1670" t="s">
        <v>13474</v>
      </c>
      <c r="H1670" t="s">
        <v>13475</v>
      </c>
      <c r="I1670" t="s">
        <v>29</v>
      </c>
      <c r="J1670" t="s">
        <v>13463</v>
      </c>
      <c r="K1670">
        <v>1</v>
      </c>
      <c r="L1670" t="s">
        <v>13479</v>
      </c>
      <c r="M1670" t="s">
        <v>13505</v>
      </c>
      <c r="N1670" t="str">
        <f>_xlfn.XLOOKUP(C:C,'Resource Table'!A:A,'Resource Table'!B:B,"NOT FOUND",0,1)</f>
        <v>Hollie Francis</v>
      </c>
      <c r="O1670" t="str">
        <f>_xlfn.XLOOKUP(N:N,'Resource Table'!B:B,'Resource Table'!C:C,"n/a",0,1)</f>
        <v>hfrancis@ameritfleet.com</v>
      </c>
      <c r="P1670" t="str">
        <f>_xlfn.XLOOKUP(N:N,'Resource Table'!B:B,'Resource Table'!D:D,"n/a",0,1)</f>
        <v>Vended Repair</v>
      </c>
    </row>
    <row r="1671" spans="1:16" x14ac:dyDescent="0.45">
      <c r="A1671" t="s">
        <v>5443</v>
      </c>
      <c r="B1671" t="s">
        <v>5458</v>
      </c>
      <c r="C1671" t="s">
        <v>6279</v>
      </c>
      <c r="D1671" t="s">
        <v>9897</v>
      </c>
      <c r="E1671" t="s">
        <v>8911</v>
      </c>
      <c r="F1671" t="s">
        <v>13473</v>
      </c>
      <c r="G1671" t="s">
        <v>13474</v>
      </c>
      <c r="H1671" t="s">
        <v>13521</v>
      </c>
      <c r="I1671" t="s">
        <v>6479</v>
      </c>
      <c r="J1671" t="s">
        <v>13463</v>
      </c>
      <c r="K1671">
        <v>0</v>
      </c>
      <c r="L1671" t="s">
        <v>20</v>
      </c>
      <c r="M1671" t="s">
        <v>20</v>
      </c>
      <c r="N1671" t="str">
        <f>_xlfn.XLOOKUP(C:C,'Resource Table'!A:A,'Resource Table'!B:B,"NOT FOUND",0,1)</f>
        <v>Hollie Francis</v>
      </c>
      <c r="O1671" t="str">
        <f>_xlfn.XLOOKUP(N:N,'Resource Table'!B:B,'Resource Table'!C:C,"n/a",0,1)</f>
        <v>hfrancis@ameritfleet.com</v>
      </c>
      <c r="P1671" t="str">
        <f>_xlfn.XLOOKUP(N:N,'Resource Table'!B:B,'Resource Table'!D:D,"n/a",0,1)</f>
        <v>Vended Repair</v>
      </c>
    </row>
    <row r="1672" spans="1:16" x14ac:dyDescent="0.45">
      <c r="A1672" t="s">
        <v>5443</v>
      </c>
      <c r="B1672" t="s">
        <v>5458</v>
      </c>
      <c r="C1672" t="s">
        <v>5521</v>
      </c>
      <c r="D1672" t="s">
        <v>9898</v>
      </c>
      <c r="E1672" t="s">
        <v>8911</v>
      </c>
      <c r="F1672" t="s">
        <v>13473</v>
      </c>
      <c r="G1672" t="s">
        <v>13623</v>
      </c>
      <c r="H1672" t="s">
        <v>13624</v>
      </c>
      <c r="I1672" t="s">
        <v>29</v>
      </c>
      <c r="J1672" t="s">
        <v>13463</v>
      </c>
      <c r="K1672">
        <v>1</v>
      </c>
      <c r="L1672" t="s">
        <v>13489</v>
      </c>
      <c r="M1672" t="s">
        <v>20</v>
      </c>
      <c r="N1672" t="str">
        <f>_xlfn.XLOOKUP(C:C,'Resource Table'!A:A,'Resource Table'!B:B,"NOT FOUND",0,1)</f>
        <v>Dedicated</v>
      </c>
      <c r="O1672" t="str">
        <f>_xlfn.XLOOKUP(N:N,'Resource Table'!B:B,'Resource Table'!C:C,"n/a",0,1)</f>
        <v>AFS Dedicated Tech</v>
      </c>
      <c r="P1672" t="str">
        <f>_xlfn.XLOOKUP(N:N,'Resource Table'!B:B,'Resource Table'!D:D,"n/a",0,1)</f>
        <v>Dedicated</v>
      </c>
    </row>
    <row r="1673" spans="1:16" x14ac:dyDescent="0.45">
      <c r="A1673" t="s">
        <v>5443</v>
      </c>
      <c r="B1673" t="s">
        <v>5458</v>
      </c>
      <c r="C1673" t="s">
        <v>5521</v>
      </c>
      <c r="D1673" t="s">
        <v>9899</v>
      </c>
      <c r="E1673" t="s">
        <v>8911</v>
      </c>
      <c r="F1673" t="s">
        <v>13473</v>
      </c>
      <c r="G1673" t="s">
        <v>13623</v>
      </c>
      <c r="H1673" t="s">
        <v>13675</v>
      </c>
      <c r="I1673" t="s">
        <v>6479</v>
      </c>
      <c r="J1673" t="s">
        <v>13463</v>
      </c>
      <c r="K1673">
        <v>0</v>
      </c>
      <c r="L1673" t="s">
        <v>20</v>
      </c>
      <c r="M1673" t="s">
        <v>20</v>
      </c>
      <c r="N1673" t="str">
        <f>_xlfn.XLOOKUP(C:C,'Resource Table'!A:A,'Resource Table'!B:B,"NOT FOUND",0,1)</f>
        <v>Dedicated</v>
      </c>
      <c r="O1673" t="str">
        <f>_xlfn.XLOOKUP(N:N,'Resource Table'!B:B,'Resource Table'!C:C,"n/a",0,1)</f>
        <v>AFS Dedicated Tech</v>
      </c>
      <c r="P1673" t="str">
        <f>_xlfn.XLOOKUP(N:N,'Resource Table'!B:B,'Resource Table'!D:D,"n/a",0,1)</f>
        <v>Dedicated</v>
      </c>
    </row>
    <row r="1674" spans="1:16" x14ac:dyDescent="0.45">
      <c r="A1674" t="s">
        <v>5443</v>
      </c>
      <c r="B1674" t="s">
        <v>5444</v>
      </c>
      <c r="C1674" t="s">
        <v>6029</v>
      </c>
      <c r="D1674" t="s">
        <v>2446</v>
      </c>
      <c r="E1674" t="s">
        <v>8911</v>
      </c>
      <c r="F1674" t="s">
        <v>13473</v>
      </c>
      <c r="G1674" t="s">
        <v>13474</v>
      </c>
      <c r="H1674" t="s">
        <v>13521</v>
      </c>
      <c r="I1674" t="s">
        <v>6479</v>
      </c>
      <c r="J1674" t="s">
        <v>13463</v>
      </c>
      <c r="K1674">
        <v>4</v>
      </c>
      <c r="L1674" t="s">
        <v>13497</v>
      </c>
      <c r="M1674" t="s">
        <v>13505</v>
      </c>
      <c r="N1674" t="str">
        <f>_xlfn.XLOOKUP(C:C,'Resource Table'!A:A,'Resource Table'!B:B,"NOT FOUND",0,1)</f>
        <v>Hollie Francis</v>
      </c>
      <c r="O1674" t="str">
        <f>_xlfn.XLOOKUP(N:N,'Resource Table'!B:B,'Resource Table'!C:C,"n/a",0,1)</f>
        <v>hfrancis@ameritfleet.com</v>
      </c>
      <c r="P1674" t="str">
        <f>_xlfn.XLOOKUP(N:N,'Resource Table'!B:B,'Resource Table'!D:D,"n/a",0,1)</f>
        <v>Vended Repair</v>
      </c>
    </row>
    <row r="1675" spans="1:16" x14ac:dyDescent="0.45">
      <c r="A1675" t="s">
        <v>5443</v>
      </c>
      <c r="B1675" t="s">
        <v>5458</v>
      </c>
      <c r="C1675" t="s">
        <v>5459</v>
      </c>
      <c r="D1675" t="s">
        <v>8303</v>
      </c>
      <c r="E1675" t="s">
        <v>8911</v>
      </c>
      <c r="F1675" t="s">
        <v>13473</v>
      </c>
      <c r="G1675" t="s">
        <v>13474</v>
      </c>
      <c r="H1675" t="s">
        <v>13517</v>
      </c>
      <c r="I1675" t="s">
        <v>6479</v>
      </c>
      <c r="J1675" t="s">
        <v>13463</v>
      </c>
      <c r="K1675">
        <v>1</v>
      </c>
      <c r="L1675" t="s">
        <v>13536</v>
      </c>
      <c r="M1675" t="s">
        <v>13472</v>
      </c>
      <c r="N1675" t="str">
        <f>_xlfn.XLOOKUP(C:C,'Resource Table'!A:A,'Resource Table'!B:B,"NOT FOUND",0,1)</f>
        <v>Dedicated</v>
      </c>
      <c r="O1675" t="str">
        <f>_xlfn.XLOOKUP(N:N,'Resource Table'!B:B,'Resource Table'!C:C,"n/a",0,1)</f>
        <v>AFS Dedicated Tech</v>
      </c>
      <c r="P1675" t="str">
        <f>_xlfn.XLOOKUP(N:N,'Resource Table'!B:B,'Resource Table'!D:D,"n/a",0,1)</f>
        <v>Dedicated</v>
      </c>
    </row>
    <row r="1676" spans="1:16" x14ac:dyDescent="0.45">
      <c r="A1676" t="s">
        <v>5443</v>
      </c>
      <c r="B1676" t="s">
        <v>5458</v>
      </c>
      <c r="C1676" t="s">
        <v>5459</v>
      </c>
      <c r="D1676" t="s">
        <v>9900</v>
      </c>
      <c r="E1676" t="s">
        <v>8911</v>
      </c>
      <c r="F1676" t="s">
        <v>13473</v>
      </c>
      <c r="G1676" t="s">
        <v>13474</v>
      </c>
      <c r="H1676" t="s">
        <v>13475</v>
      </c>
      <c r="I1676" t="s">
        <v>6479</v>
      </c>
      <c r="J1676" t="s">
        <v>13463</v>
      </c>
      <c r="K1676">
        <v>1</v>
      </c>
      <c r="L1676" t="s">
        <v>13466</v>
      </c>
      <c r="M1676" t="s">
        <v>20</v>
      </c>
      <c r="N1676" t="str">
        <f>_xlfn.XLOOKUP(C:C,'Resource Table'!A:A,'Resource Table'!B:B,"NOT FOUND",0,1)</f>
        <v>Dedicated</v>
      </c>
      <c r="O1676" t="str">
        <f>_xlfn.XLOOKUP(N:N,'Resource Table'!B:B,'Resource Table'!C:C,"n/a",0,1)</f>
        <v>AFS Dedicated Tech</v>
      </c>
      <c r="P1676" t="str">
        <f>_xlfn.XLOOKUP(N:N,'Resource Table'!B:B,'Resource Table'!D:D,"n/a",0,1)</f>
        <v>Dedicated</v>
      </c>
    </row>
    <row r="1677" spans="1:16" x14ac:dyDescent="0.45">
      <c r="A1677" t="s">
        <v>5443</v>
      </c>
      <c r="B1677" t="s">
        <v>5458</v>
      </c>
      <c r="C1677" t="s">
        <v>5479</v>
      </c>
      <c r="D1677" t="s">
        <v>9901</v>
      </c>
      <c r="E1677" t="s">
        <v>8911</v>
      </c>
      <c r="F1677" t="s">
        <v>13473</v>
      </c>
      <c r="G1677" t="s">
        <v>13623</v>
      </c>
      <c r="H1677" t="s">
        <v>13675</v>
      </c>
      <c r="I1677" t="s">
        <v>6479</v>
      </c>
      <c r="J1677" t="s">
        <v>13463</v>
      </c>
      <c r="K1677">
        <v>1</v>
      </c>
      <c r="L1677" t="s">
        <v>13548</v>
      </c>
      <c r="M1677" t="s">
        <v>20</v>
      </c>
      <c r="N1677" t="str">
        <f>_xlfn.XLOOKUP(C:C,'Resource Table'!A:A,'Resource Table'!B:B,"NOT FOUND",0,1)</f>
        <v>Dedicated</v>
      </c>
      <c r="O1677" t="str">
        <f>_xlfn.XLOOKUP(N:N,'Resource Table'!B:B,'Resource Table'!C:C,"n/a",0,1)</f>
        <v>AFS Dedicated Tech</v>
      </c>
      <c r="P1677" t="str">
        <f>_xlfn.XLOOKUP(N:N,'Resource Table'!B:B,'Resource Table'!D:D,"n/a",0,1)</f>
        <v>Dedicated</v>
      </c>
    </row>
    <row r="1678" spans="1:16" x14ac:dyDescent="0.45">
      <c r="A1678" t="s">
        <v>5443</v>
      </c>
      <c r="B1678" t="s">
        <v>5458</v>
      </c>
      <c r="C1678" t="s">
        <v>5616</v>
      </c>
      <c r="D1678" t="s">
        <v>9902</v>
      </c>
      <c r="E1678" t="s">
        <v>8911</v>
      </c>
      <c r="F1678" t="s">
        <v>13473</v>
      </c>
      <c r="G1678" t="s">
        <v>13474</v>
      </c>
      <c r="H1678" t="s">
        <v>13521</v>
      </c>
      <c r="I1678" t="s">
        <v>6479</v>
      </c>
      <c r="J1678" t="s">
        <v>13463</v>
      </c>
      <c r="K1678">
        <v>1</v>
      </c>
      <c r="L1678" t="s">
        <v>13468</v>
      </c>
      <c r="M1678" t="s">
        <v>20</v>
      </c>
      <c r="N1678" t="str">
        <f>_xlfn.XLOOKUP(C:C,'Resource Table'!A:A,'Resource Table'!B:B,"NOT FOUND",0,1)</f>
        <v>Dedicated</v>
      </c>
      <c r="O1678" t="str">
        <f>_xlfn.XLOOKUP(N:N,'Resource Table'!B:B,'Resource Table'!C:C,"n/a",0,1)</f>
        <v>AFS Dedicated Tech</v>
      </c>
      <c r="P1678" t="str">
        <f>_xlfn.XLOOKUP(N:N,'Resource Table'!B:B,'Resource Table'!D:D,"n/a",0,1)</f>
        <v>Dedicated</v>
      </c>
    </row>
    <row r="1679" spans="1:16" x14ac:dyDescent="0.45">
      <c r="A1679" t="s">
        <v>5443</v>
      </c>
      <c r="B1679" t="s">
        <v>5458</v>
      </c>
      <c r="C1679" t="s">
        <v>5494</v>
      </c>
      <c r="D1679" t="s">
        <v>9903</v>
      </c>
      <c r="E1679" t="s">
        <v>8911</v>
      </c>
      <c r="F1679" t="s">
        <v>13473</v>
      </c>
      <c r="G1679" t="s">
        <v>13474</v>
      </c>
      <c r="H1679" t="s">
        <v>13521</v>
      </c>
      <c r="I1679" t="s">
        <v>6479</v>
      </c>
      <c r="J1679" t="s">
        <v>13463</v>
      </c>
      <c r="K1679">
        <v>0</v>
      </c>
      <c r="L1679" t="s">
        <v>20</v>
      </c>
      <c r="M1679" t="s">
        <v>20</v>
      </c>
      <c r="N1679" t="str">
        <f>_xlfn.XLOOKUP(C:C,'Resource Table'!A:A,'Resource Table'!B:B,"NOT FOUND",0,1)</f>
        <v>Dedicated</v>
      </c>
      <c r="O1679" t="str">
        <f>_xlfn.XLOOKUP(N:N,'Resource Table'!B:B,'Resource Table'!C:C,"n/a",0,1)</f>
        <v>AFS Dedicated Tech</v>
      </c>
      <c r="P1679" t="str">
        <f>_xlfn.XLOOKUP(N:N,'Resource Table'!B:B,'Resource Table'!D:D,"n/a",0,1)</f>
        <v>Dedicated</v>
      </c>
    </row>
    <row r="1680" spans="1:16" x14ac:dyDescent="0.45">
      <c r="A1680" t="s">
        <v>5443</v>
      </c>
      <c r="B1680" t="s">
        <v>5458</v>
      </c>
      <c r="C1680" t="s">
        <v>5494</v>
      </c>
      <c r="D1680" t="s">
        <v>9904</v>
      </c>
      <c r="E1680" t="s">
        <v>8911</v>
      </c>
      <c r="F1680" t="s">
        <v>13473</v>
      </c>
      <c r="G1680" t="s">
        <v>13474</v>
      </c>
      <c r="H1680" t="s">
        <v>13492</v>
      </c>
      <c r="I1680" t="s">
        <v>6479</v>
      </c>
      <c r="J1680" t="s">
        <v>13463</v>
      </c>
      <c r="K1680">
        <v>0</v>
      </c>
      <c r="L1680" t="s">
        <v>20</v>
      </c>
      <c r="M1680" t="s">
        <v>20</v>
      </c>
      <c r="N1680" t="str">
        <f>_xlfn.XLOOKUP(C:C,'Resource Table'!A:A,'Resource Table'!B:B,"NOT FOUND",0,1)</f>
        <v>Dedicated</v>
      </c>
      <c r="O1680" t="str">
        <f>_xlfn.XLOOKUP(N:N,'Resource Table'!B:B,'Resource Table'!C:C,"n/a",0,1)</f>
        <v>AFS Dedicated Tech</v>
      </c>
      <c r="P1680" t="str">
        <f>_xlfn.XLOOKUP(N:N,'Resource Table'!B:B,'Resource Table'!D:D,"n/a",0,1)</f>
        <v>Dedicated</v>
      </c>
    </row>
    <row r="1681" spans="1:16" x14ac:dyDescent="0.45">
      <c r="A1681" t="s">
        <v>5443</v>
      </c>
      <c r="B1681" t="s">
        <v>5458</v>
      </c>
      <c r="C1681" t="s">
        <v>5608</v>
      </c>
      <c r="D1681" t="s">
        <v>12073</v>
      </c>
      <c r="E1681" t="s">
        <v>12074</v>
      </c>
      <c r="F1681" t="s">
        <v>13460</v>
      </c>
      <c r="G1681" t="s">
        <v>13676</v>
      </c>
      <c r="H1681" t="s">
        <v>13677</v>
      </c>
      <c r="I1681" t="s">
        <v>6479</v>
      </c>
      <c r="J1681" t="s">
        <v>13463</v>
      </c>
      <c r="K1681">
        <v>0</v>
      </c>
      <c r="L1681" t="s">
        <v>20</v>
      </c>
      <c r="M1681" t="s">
        <v>20</v>
      </c>
      <c r="N1681" t="str">
        <f>_xlfn.XLOOKUP(C:C,'Resource Table'!A:A,'Resource Table'!B:B,"NOT FOUND",0,1)</f>
        <v>Dedicated</v>
      </c>
      <c r="O1681" t="str">
        <f>_xlfn.XLOOKUP(N:N,'Resource Table'!B:B,'Resource Table'!C:C,"n/a",0,1)</f>
        <v>AFS Dedicated Tech</v>
      </c>
      <c r="P1681" t="str">
        <f>_xlfn.XLOOKUP(N:N,'Resource Table'!B:B,'Resource Table'!D:D,"n/a",0,1)</f>
        <v>Dedicated</v>
      </c>
    </row>
    <row r="1682" spans="1:16" x14ac:dyDescent="0.45">
      <c r="A1682" t="s">
        <v>5403</v>
      </c>
      <c r="B1682" t="s">
        <v>5421</v>
      </c>
      <c r="C1682" t="s">
        <v>5425</v>
      </c>
      <c r="D1682" t="s">
        <v>12075</v>
      </c>
      <c r="E1682" t="s">
        <v>12076</v>
      </c>
      <c r="F1682" t="s">
        <v>13659</v>
      </c>
      <c r="G1682" t="s">
        <v>12076</v>
      </c>
      <c r="H1682" t="s">
        <v>13660</v>
      </c>
      <c r="I1682" t="s">
        <v>6479</v>
      </c>
      <c r="J1682" t="s">
        <v>13463</v>
      </c>
      <c r="K1682">
        <v>0</v>
      </c>
      <c r="L1682" t="s">
        <v>20</v>
      </c>
      <c r="M1682" t="s">
        <v>20</v>
      </c>
      <c r="N1682" t="str">
        <f>_xlfn.XLOOKUP(C:C,'Resource Table'!A:A,'Resource Table'!B:B,"NOT FOUND",0,1)</f>
        <v>Dedicated</v>
      </c>
      <c r="O1682" t="str">
        <f>_xlfn.XLOOKUP(N:N,'Resource Table'!B:B,'Resource Table'!C:C,"n/a",0,1)</f>
        <v>AFS Dedicated Tech</v>
      </c>
      <c r="P1682" t="str">
        <f>_xlfn.XLOOKUP(N:N,'Resource Table'!B:B,'Resource Table'!D:D,"n/a",0,1)</f>
        <v>Dedicated</v>
      </c>
    </row>
    <row r="1683" spans="1:16" x14ac:dyDescent="0.45">
      <c r="A1683" t="s">
        <v>5403</v>
      </c>
      <c r="B1683" t="s">
        <v>5421</v>
      </c>
      <c r="C1683" t="s">
        <v>5425</v>
      </c>
      <c r="D1683" t="s">
        <v>12077</v>
      </c>
      <c r="E1683" t="s">
        <v>12074</v>
      </c>
      <c r="F1683" t="s">
        <v>13460</v>
      </c>
      <c r="G1683" t="s">
        <v>13481</v>
      </c>
      <c r="H1683" t="s">
        <v>13485</v>
      </c>
      <c r="I1683" t="s">
        <v>6479</v>
      </c>
      <c r="J1683" t="s">
        <v>13463</v>
      </c>
      <c r="K1683">
        <v>0</v>
      </c>
      <c r="L1683" t="s">
        <v>20</v>
      </c>
      <c r="M1683" t="s">
        <v>20</v>
      </c>
      <c r="N1683" t="str">
        <f>_xlfn.XLOOKUP(C:C,'Resource Table'!A:A,'Resource Table'!B:B,"NOT FOUND",0,1)</f>
        <v>Dedicated</v>
      </c>
      <c r="O1683" t="str">
        <f>_xlfn.XLOOKUP(N:N,'Resource Table'!B:B,'Resource Table'!C:C,"n/a",0,1)</f>
        <v>AFS Dedicated Tech</v>
      </c>
      <c r="P1683" t="str">
        <f>_xlfn.XLOOKUP(N:N,'Resource Table'!B:B,'Resource Table'!D:D,"n/a",0,1)</f>
        <v>Dedicated</v>
      </c>
    </row>
    <row r="1684" spans="1:16" x14ac:dyDescent="0.45">
      <c r="A1684" t="s">
        <v>5403</v>
      </c>
      <c r="B1684" t="s">
        <v>5421</v>
      </c>
      <c r="C1684" t="s">
        <v>5425</v>
      </c>
      <c r="D1684" t="s">
        <v>12078</v>
      </c>
      <c r="E1684" t="s">
        <v>12074</v>
      </c>
      <c r="F1684" t="s">
        <v>13460</v>
      </c>
      <c r="G1684" t="s">
        <v>13678</v>
      </c>
      <c r="H1684" t="s">
        <v>13679</v>
      </c>
      <c r="I1684" t="s">
        <v>6479</v>
      </c>
      <c r="J1684" t="s">
        <v>13463</v>
      </c>
      <c r="K1684">
        <v>0</v>
      </c>
      <c r="L1684" t="s">
        <v>20</v>
      </c>
      <c r="M1684" t="s">
        <v>20</v>
      </c>
      <c r="N1684" t="str">
        <f>_xlfn.XLOOKUP(C:C,'Resource Table'!A:A,'Resource Table'!B:B,"NOT FOUND",0,1)</f>
        <v>Dedicated</v>
      </c>
      <c r="O1684" t="str">
        <f>_xlfn.XLOOKUP(N:N,'Resource Table'!B:B,'Resource Table'!C:C,"n/a",0,1)</f>
        <v>AFS Dedicated Tech</v>
      </c>
      <c r="P1684" t="str">
        <f>_xlfn.XLOOKUP(N:N,'Resource Table'!B:B,'Resource Table'!D:D,"n/a",0,1)</f>
        <v>Dedicated</v>
      </c>
    </row>
    <row r="1685" spans="1:16" x14ac:dyDescent="0.45">
      <c r="A1685" t="s">
        <v>5403</v>
      </c>
      <c r="B1685" t="s">
        <v>5421</v>
      </c>
      <c r="C1685" t="s">
        <v>5425</v>
      </c>
      <c r="D1685" t="s">
        <v>12079</v>
      </c>
      <c r="E1685" t="s">
        <v>12074</v>
      </c>
      <c r="F1685" t="s">
        <v>13460</v>
      </c>
      <c r="G1685" t="s">
        <v>13676</v>
      </c>
      <c r="H1685" t="s">
        <v>13680</v>
      </c>
      <c r="I1685" t="s">
        <v>6479</v>
      </c>
      <c r="J1685" t="s">
        <v>13463</v>
      </c>
      <c r="K1685">
        <v>0</v>
      </c>
      <c r="L1685" t="s">
        <v>20</v>
      </c>
      <c r="M1685" t="s">
        <v>20</v>
      </c>
      <c r="N1685" t="str">
        <f>_xlfn.XLOOKUP(C:C,'Resource Table'!A:A,'Resource Table'!B:B,"NOT FOUND",0,1)</f>
        <v>Dedicated</v>
      </c>
      <c r="O1685" t="str">
        <f>_xlfn.XLOOKUP(N:N,'Resource Table'!B:B,'Resource Table'!C:C,"n/a",0,1)</f>
        <v>AFS Dedicated Tech</v>
      </c>
      <c r="P1685" t="str">
        <f>_xlfn.XLOOKUP(N:N,'Resource Table'!B:B,'Resource Table'!D:D,"n/a",0,1)</f>
        <v>Dedicated</v>
      </c>
    </row>
    <row r="1686" spans="1:16" x14ac:dyDescent="0.45">
      <c r="A1686" t="s">
        <v>5403</v>
      </c>
      <c r="B1686" t="s">
        <v>5421</v>
      </c>
      <c r="C1686" t="s">
        <v>5453</v>
      </c>
      <c r="D1686" t="s">
        <v>6424</v>
      </c>
      <c r="E1686" t="s">
        <v>12074</v>
      </c>
      <c r="F1686" t="s">
        <v>13514</v>
      </c>
      <c r="G1686" t="s">
        <v>13515</v>
      </c>
      <c r="H1686" t="s">
        <v>13516</v>
      </c>
      <c r="I1686" t="s">
        <v>6479</v>
      </c>
      <c r="J1686" t="s">
        <v>13463</v>
      </c>
      <c r="K1686">
        <v>0</v>
      </c>
      <c r="L1686" t="s">
        <v>20</v>
      </c>
      <c r="M1686" t="s">
        <v>20</v>
      </c>
      <c r="N1686" t="str">
        <f>_xlfn.XLOOKUP(C:C,'Resource Table'!A:A,'Resource Table'!B:B,"NOT FOUND",0,1)</f>
        <v>Dedicated</v>
      </c>
      <c r="O1686" t="str">
        <f>_xlfn.XLOOKUP(N:N,'Resource Table'!B:B,'Resource Table'!C:C,"n/a",0,1)</f>
        <v>AFS Dedicated Tech</v>
      </c>
      <c r="P1686" t="str">
        <f>_xlfn.XLOOKUP(N:N,'Resource Table'!B:B,'Resource Table'!D:D,"n/a",0,1)</f>
        <v>Dedicated</v>
      </c>
    </row>
    <row r="1687" spans="1:16" x14ac:dyDescent="0.45">
      <c r="A1687" t="s">
        <v>5403</v>
      </c>
      <c r="B1687" t="s">
        <v>5421</v>
      </c>
      <c r="C1687" t="s">
        <v>5453</v>
      </c>
      <c r="D1687" t="s">
        <v>12080</v>
      </c>
      <c r="E1687" t="s">
        <v>12074</v>
      </c>
      <c r="F1687" t="s">
        <v>13562</v>
      </c>
      <c r="G1687" t="s">
        <v>13681</v>
      </c>
      <c r="H1687" t="s">
        <v>13682</v>
      </c>
      <c r="I1687" t="s">
        <v>6479</v>
      </c>
      <c r="J1687" t="s">
        <v>13463</v>
      </c>
      <c r="K1687">
        <v>0</v>
      </c>
      <c r="L1687" t="s">
        <v>20</v>
      </c>
      <c r="M1687" t="s">
        <v>20</v>
      </c>
      <c r="N1687" t="str">
        <f>_xlfn.XLOOKUP(C:C,'Resource Table'!A:A,'Resource Table'!B:B,"NOT FOUND",0,1)</f>
        <v>Dedicated</v>
      </c>
      <c r="O1687" t="str">
        <f>_xlfn.XLOOKUP(N:N,'Resource Table'!B:B,'Resource Table'!C:C,"n/a",0,1)</f>
        <v>AFS Dedicated Tech</v>
      </c>
      <c r="P1687" t="str">
        <f>_xlfn.XLOOKUP(N:N,'Resource Table'!B:B,'Resource Table'!D:D,"n/a",0,1)</f>
        <v>Dedicated</v>
      </c>
    </row>
    <row r="1688" spans="1:16" x14ac:dyDescent="0.45">
      <c r="A1688" t="s">
        <v>5431</v>
      </c>
      <c r="B1688" t="s">
        <v>5431</v>
      </c>
      <c r="C1688" t="s">
        <v>5472</v>
      </c>
      <c r="D1688" t="s">
        <v>12081</v>
      </c>
      <c r="E1688" t="s">
        <v>12074</v>
      </c>
      <c r="F1688" t="s">
        <v>13460</v>
      </c>
      <c r="G1688" t="s">
        <v>13481</v>
      </c>
      <c r="H1688" t="s">
        <v>13485</v>
      </c>
      <c r="I1688" t="s">
        <v>6479</v>
      </c>
      <c r="J1688" t="s">
        <v>13463</v>
      </c>
      <c r="K1688">
        <v>0</v>
      </c>
      <c r="L1688" t="s">
        <v>20</v>
      </c>
      <c r="M1688" t="s">
        <v>20</v>
      </c>
      <c r="N1688" t="str">
        <f>_xlfn.XLOOKUP(C:C,'Resource Table'!A:A,'Resource Table'!B:B,"NOT FOUND",0,1)</f>
        <v>Dedicated</v>
      </c>
      <c r="O1688" t="str">
        <f>_xlfn.XLOOKUP(N:N,'Resource Table'!B:B,'Resource Table'!C:C,"n/a",0,1)</f>
        <v>AFS Dedicated Tech</v>
      </c>
      <c r="P1688" t="str">
        <f>_xlfn.XLOOKUP(N:N,'Resource Table'!B:B,'Resource Table'!D:D,"n/a",0,1)</f>
        <v>Dedicated</v>
      </c>
    </row>
    <row r="1689" spans="1:16" x14ac:dyDescent="0.45">
      <c r="A1689" t="s">
        <v>5431</v>
      </c>
      <c r="B1689" t="s">
        <v>5431</v>
      </c>
      <c r="C1689" t="s">
        <v>5472</v>
      </c>
      <c r="D1689" t="s">
        <v>12082</v>
      </c>
      <c r="E1689" t="s">
        <v>12074</v>
      </c>
      <c r="F1689" t="s">
        <v>13460</v>
      </c>
      <c r="G1689" t="s">
        <v>13676</v>
      </c>
      <c r="H1689" t="s">
        <v>13680</v>
      </c>
      <c r="I1689" t="s">
        <v>6479</v>
      </c>
      <c r="J1689" t="s">
        <v>13463</v>
      </c>
      <c r="K1689">
        <v>0</v>
      </c>
      <c r="L1689" t="s">
        <v>20</v>
      </c>
      <c r="M1689" t="s">
        <v>20</v>
      </c>
      <c r="N1689" t="str">
        <f>_xlfn.XLOOKUP(C:C,'Resource Table'!A:A,'Resource Table'!B:B,"NOT FOUND",0,1)</f>
        <v>Dedicated</v>
      </c>
      <c r="O1689" t="str">
        <f>_xlfn.XLOOKUP(N:N,'Resource Table'!B:B,'Resource Table'!C:C,"n/a",0,1)</f>
        <v>AFS Dedicated Tech</v>
      </c>
      <c r="P1689" t="str">
        <f>_xlfn.XLOOKUP(N:N,'Resource Table'!B:B,'Resource Table'!D:D,"n/a",0,1)</f>
        <v>Dedicated</v>
      </c>
    </row>
    <row r="1690" spans="1:16" x14ac:dyDescent="0.45">
      <c r="A1690" t="s">
        <v>5407</v>
      </c>
      <c r="B1690" t="s">
        <v>5491</v>
      </c>
      <c r="C1690" t="s">
        <v>5512</v>
      </c>
      <c r="D1690" t="s">
        <v>9905</v>
      </c>
      <c r="E1690" t="s">
        <v>12074</v>
      </c>
      <c r="F1690" t="s">
        <v>13460</v>
      </c>
      <c r="G1690" t="s">
        <v>13676</v>
      </c>
      <c r="H1690" t="s">
        <v>13680</v>
      </c>
      <c r="I1690" t="s">
        <v>6479</v>
      </c>
      <c r="J1690" t="s">
        <v>13463</v>
      </c>
      <c r="K1690">
        <v>0</v>
      </c>
      <c r="L1690" t="s">
        <v>20</v>
      </c>
      <c r="M1690" t="s">
        <v>20</v>
      </c>
      <c r="N1690" t="str">
        <f>_xlfn.XLOOKUP(C:C,'Resource Table'!A:A,'Resource Table'!B:B,"NOT FOUND",0,1)</f>
        <v>Dedicated</v>
      </c>
      <c r="O1690" t="str">
        <f>_xlfn.XLOOKUP(N:N,'Resource Table'!B:B,'Resource Table'!C:C,"n/a",0,1)</f>
        <v>AFS Dedicated Tech</v>
      </c>
      <c r="P1690" t="str">
        <f>_xlfn.XLOOKUP(N:N,'Resource Table'!B:B,'Resource Table'!D:D,"n/a",0,1)</f>
        <v>Dedicated</v>
      </c>
    </row>
    <row r="1691" spans="1:16" x14ac:dyDescent="0.45">
      <c r="A1691" t="s">
        <v>5407</v>
      </c>
      <c r="B1691" t="s">
        <v>5491</v>
      </c>
      <c r="C1691" t="s">
        <v>5545</v>
      </c>
      <c r="D1691" t="s">
        <v>12083</v>
      </c>
      <c r="E1691" t="s">
        <v>12074</v>
      </c>
      <c r="F1691" t="s">
        <v>13460</v>
      </c>
      <c r="G1691" t="s">
        <v>13481</v>
      </c>
      <c r="H1691" t="s">
        <v>13485</v>
      </c>
      <c r="I1691" t="s">
        <v>29</v>
      </c>
      <c r="J1691" t="s">
        <v>13486</v>
      </c>
      <c r="K1691">
        <v>2</v>
      </c>
      <c r="L1691" t="s">
        <v>13503</v>
      </c>
      <c r="M1691" t="s">
        <v>13505</v>
      </c>
      <c r="N1691" t="str">
        <f>_xlfn.XLOOKUP(C:C,'Resource Table'!A:A,'Resource Table'!B:B,"NOT FOUND",0,1)</f>
        <v>James Hopkins</v>
      </c>
      <c r="O1691" t="str">
        <f>_xlfn.XLOOKUP(N:N,'Resource Table'!B:B,'Resource Table'!C:C,"n/a",0,1)</f>
        <v>jhopkins5@ameritfleet.com</v>
      </c>
      <c r="P1691" t="str">
        <f>_xlfn.XLOOKUP(N:N,'Resource Table'!B:B,'Resource Table'!D:D,"n/a",0,1)</f>
        <v>Vended Repair</v>
      </c>
    </row>
    <row r="1692" spans="1:16" x14ac:dyDescent="0.45">
      <c r="A1692" t="s">
        <v>5407</v>
      </c>
      <c r="B1692" t="s">
        <v>5491</v>
      </c>
      <c r="C1692" t="s">
        <v>5499</v>
      </c>
      <c r="D1692" t="s">
        <v>1093</v>
      </c>
      <c r="E1692" t="s">
        <v>12074</v>
      </c>
      <c r="F1692" t="s">
        <v>13562</v>
      </c>
      <c r="G1692" t="s">
        <v>13683</v>
      </c>
      <c r="H1692" t="s">
        <v>13684</v>
      </c>
      <c r="I1692" t="s">
        <v>29</v>
      </c>
      <c r="J1692" t="s">
        <v>13463</v>
      </c>
      <c r="K1692">
        <v>4</v>
      </c>
      <c r="L1692" t="s">
        <v>13497</v>
      </c>
      <c r="M1692" t="s">
        <v>13505</v>
      </c>
      <c r="N1692" t="str">
        <f>_xlfn.XLOOKUP(C:C,'Resource Table'!A:A,'Resource Table'!B:B,"NOT FOUND",0,1)</f>
        <v>Dedicated</v>
      </c>
      <c r="O1692" t="str">
        <f>_xlfn.XLOOKUP(N:N,'Resource Table'!B:B,'Resource Table'!C:C,"n/a",0,1)</f>
        <v>AFS Dedicated Tech</v>
      </c>
      <c r="P1692" t="str">
        <f>_xlfn.XLOOKUP(N:N,'Resource Table'!B:B,'Resource Table'!D:D,"n/a",0,1)</f>
        <v>Dedicated</v>
      </c>
    </row>
    <row r="1693" spans="1:16" x14ac:dyDescent="0.45">
      <c r="A1693" t="s">
        <v>5407</v>
      </c>
      <c r="B1693" t="s">
        <v>5491</v>
      </c>
      <c r="C1693" t="s">
        <v>5499</v>
      </c>
      <c r="D1693" t="s">
        <v>11238</v>
      </c>
      <c r="E1693" t="s">
        <v>12074</v>
      </c>
      <c r="F1693" t="s">
        <v>13460</v>
      </c>
      <c r="G1693" t="s">
        <v>13685</v>
      </c>
      <c r="H1693" t="s">
        <v>13686</v>
      </c>
      <c r="I1693" t="s">
        <v>29</v>
      </c>
      <c r="J1693" t="s">
        <v>13463</v>
      </c>
      <c r="K1693">
        <v>3</v>
      </c>
      <c r="L1693" t="s">
        <v>13540</v>
      </c>
      <c r="M1693" t="s">
        <v>13505</v>
      </c>
      <c r="N1693" t="str">
        <f>_xlfn.XLOOKUP(C:C,'Resource Table'!A:A,'Resource Table'!B:B,"NOT FOUND",0,1)</f>
        <v>Dedicated</v>
      </c>
      <c r="O1693" t="str">
        <f>_xlfn.XLOOKUP(N:N,'Resource Table'!B:B,'Resource Table'!C:C,"n/a",0,1)</f>
        <v>AFS Dedicated Tech</v>
      </c>
      <c r="P1693" t="str">
        <f>_xlfn.XLOOKUP(N:N,'Resource Table'!B:B,'Resource Table'!D:D,"n/a",0,1)</f>
        <v>Dedicated</v>
      </c>
    </row>
    <row r="1694" spans="1:16" x14ac:dyDescent="0.45">
      <c r="A1694" t="s">
        <v>5407</v>
      </c>
      <c r="B1694" t="s">
        <v>5491</v>
      </c>
      <c r="C1694" t="s">
        <v>5492</v>
      </c>
      <c r="D1694" t="s">
        <v>12084</v>
      </c>
      <c r="E1694" t="s">
        <v>12074</v>
      </c>
      <c r="F1694" t="s">
        <v>13460</v>
      </c>
      <c r="G1694" t="s">
        <v>13461</v>
      </c>
      <c r="H1694" t="s">
        <v>13555</v>
      </c>
      <c r="I1694" t="s">
        <v>6479</v>
      </c>
      <c r="J1694" t="s">
        <v>13463</v>
      </c>
      <c r="K1694">
        <v>0</v>
      </c>
      <c r="L1694" t="s">
        <v>20</v>
      </c>
      <c r="M1694" t="s">
        <v>20</v>
      </c>
      <c r="N1694" t="str">
        <f>_xlfn.XLOOKUP(C:C,'Resource Table'!A:A,'Resource Table'!B:B,"NOT FOUND",0,1)</f>
        <v>Dedicated</v>
      </c>
      <c r="O1694" t="str">
        <f>_xlfn.XLOOKUP(N:N,'Resource Table'!B:B,'Resource Table'!C:C,"n/a",0,1)</f>
        <v>AFS Dedicated Tech</v>
      </c>
      <c r="P1694" t="str">
        <f>_xlfn.XLOOKUP(N:N,'Resource Table'!B:B,'Resource Table'!D:D,"n/a",0,1)</f>
        <v>Dedicated</v>
      </c>
    </row>
    <row r="1695" spans="1:16" x14ac:dyDescent="0.45">
      <c r="A1695" t="s">
        <v>5431</v>
      </c>
      <c r="B1695" t="s">
        <v>5431</v>
      </c>
      <c r="C1695" t="s">
        <v>5532</v>
      </c>
      <c r="D1695" t="s">
        <v>10938</v>
      </c>
      <c r="E1695" t="s">
        <v>12074</v>
      </c>
      <c r="F1695" t="s">
        <v>13460</v>
      </c>
      <c r="G1695" t="s">
        <v>13676</v>
      </c>
      <c r="H1695" t="s">
        <v>13680</v>
      </c>
      <c r="I1695" t="s">
        <v>6479</v>
      </c>
      <c r="J1695" t="s">
        <v>13463</v>
      </c>
      <c r="K1695">
        <v>1</v>
      </c>
      <c r="L1695" t="s">
        <v>13566</v>
      </c>
      <c r="M1695" t="s">
        <v>13505</v>
      </c>
      <c r="N1695" t="str">
        <f>_xlfn.XLOOKUP(C:C,'Resource Table'!A:A,'Resource Table'!B:B,"NOT FOUND",0,1)</f>
        <v>Brittany Williams</v>
      </c>
      <c r="O1695" t="str">
        <f>_xlfn.XLOOKUP(N:N,'Resource Table'!B:B,'Resource Table'!C:C,"n/a",0,1)</f>
        <v>bwilliams5@ameritfleet.com</v>
      </c>
      <c r="P1695" t="str">
        <f>_xlfn.XLOOKUP(N:N,'Resource Table'!B:B,'Resource Table'!D:D,"n/a",0,1)</f>
        <v>Vended Repair</v>
      </c>
    </row>
    <row r="1696" spans="1:16" x14ac:dyDescent="0.45">
      <c r="A1696" t="s">
        <v>5431</v>
      </c>
      <c r="B1696" t="s">
        <v>5431</v>
      </c>
      <c r="C1696" t="s">
        <v>5543</v>
      </c>
      <c r="D1696" t="s">
        <v>12085</v>
      </c>
      <c r="E1696" t="s">
        <v>12074</v>
      </c>
      <c r="F1696" t="s">
        <v>13460</v>
      </c>
      <c r="G1696" t="s">
        <v>13687</v>
      </c>
      <c r="H1696" t="s">
        <v>13688</v>
      </c>
      <c r="I1696" t="s">
        <v>6479</v>
      </c>
      <c r="J1696" t="s">
        <v>13463</v>
      </c>
      <c r="K1696">
        <v>0</v>
      </c>
      <c r="L1696" t="s">
        <v>20</v>
      </c>
      <c r="M1696" t="s">
        <v>20</v>
      </c>
      <c r="N1696" t="str">
        <f>_xlfn.XLOOKUP(C:C,'Resource Table'!A:A,'Resource Table'!B:B,"NOT FOUND",0,1)</f>
        <v>Dedicated</v>
      </c>
      <c r="O1696" t="str">
        <f>_xlfn.XLOOKUP(N:N,'Resource Table'!B:B,'Resource Table'!C:C,"n/a",0,1)</f>
        <v>AFS Dedicated Tech</v>
      </c>
      <c r="P1696" t="str">
        <f>_xlfn.XLOOKUP(N:N,'Resource Table'!B:B,'Resource Table'!D:D,"n/a",0,1)</f>
        <v>Dedicated</v>
      </c>
    </row>
    <row r="1697" spans="1:16" x14ac:dyDescent="0.45">
      <c r="A1697" t="s">
        <v>5443</v>
      </c>
      <c r="B1697" t="s">
        <v>5524</v>
      </c>
      <c r="C1697" t="s">
        <v>5570</v>
      </c>
      <c r="D1697" t="s">
        <v>12086</v>
      </c>
      <c r="E1697" t="s">
        <v>12074</v>
      </c>
      <c r="F1697" t="s">
        <v>13689</v>
      </c>
      <c r="G1697" t="s">
        <v>13690</v>
      </c>
      <c r="H1697" t="s">
        <v>13691</v>
      </c>
      <c r="I1697" t="s">
        <v>6479</v>
      </c>
      <c r="J1697" t="s">
        <v>13463</v>
      </c>
      <c r="K1697">
        <v>0</v>
      </c>
      <c r="L1697" t="s">
        <v>20</v>
      </c>
      <c r="M1697" t="s">
        <v>20</v>
      </c>
      <c r="N1697" t="str">
        <f>_xlfn.XLOOKUP(C:C,'Resource Table'!A:A,'Resource Table'!B:B,"NOT FOUND",0,1)</f>
        <v>Hollie Francis</v>
      </c>
      <c r="O1697" t="str">
        <f>_xlfn.XLOOKUP(N:N,'Resource Table'!B:B,'Resource Table'!C:C,"n/a",0,1)</f>
        <v>hfrancis@ameritfleet.com</v>
      </c>
      <c r="P1697" t="str">
        <f>_xlfn.XLOOKUP(N:N,'Resource Table'!B:B,'Resource Table'!D:D,"n/a",0,1)</f>
        <v>Vended Repair</v>
      </c>
    </row>
    <row r="1698" spans="1:16" x14ac:dyDescent="0.45">
      <c r="A1698" t="s">
        <v>5443</v>
      </c>
      <c r="B1698" t="s">
        <v>5524</v>
      </c>
      <c r="C1698" t="s">
        <v>5567</v>
      </c>
      <c r="D1698" t="s">
        <v>12087</v>
      </c>
      <c r="E1698" t="s">
        <v>12074</v>
      </c>
      <c r="F1698" t="s">
        <v>13689</v>
      </c>
      <c r="G1698" t="s">
        <v>13690</v>
      </c>
      <c r="H1698" t="s">
        <v>13691</v>
      </c>
      <c r="I1698" t="s">
        <v>6479</v>
      </c>
      <c r="J1698" t="s">
        <v>13463</v>
      </c>
      <c r="K1698">
        <v>0</v>
      </c>
      <c r="L1698" t="s">
        <v>20</v>
      </c>
      <c r="M1698" t="s">
        <v>20</v>
      </c>
      <c r="N1698" t="str">
        <f>_xlfn.XLOOKUP(C:C,'Resource Table'!A:A,'Resource Table'!B:B,"NOT FOUND",0,1)</f>
        <v>Hollie Francis</v>
      </c>
      <c r="O1698" t="str">
        <f>_xlfn.XLOOKUP(N:N,'Resource Table'!B:B,'Resource Table'!C:C,"n/a",0,1)</f>
        <v>hfrancis@ameritfleet.com</v>
      </c>
      <c r="P1698" t="str">
        <f>_xlfn.XLOOKUP(N:N,'Resource Table'!B:B,'Resource Table'!D:D,"n/a",0,1)</f>
        <v>Vended Repair</v>
      </c>
    </row>
    <row r="1699" spans="1:16" x14ac:dyDescent="0.45">
      <c r="A1699" t="s">
        <v>5443</v>
      </c>
      <c r="B1699" t="s">
        <v>5450</v>
      </c>
      <c r="C1699" t="s">
        <v>5639</v>
      </c>
      <c r="D1699" t="s">
        <v>7015</v>
      </c>
      <c r="E1699" t="s">
        <v>12074</v>
      </c>
      <c r="F1699" t="s">
        <v>13689</v>
      </c>
      <c r="G1699" t="s">
        <v>13690</v>
      </c>
      <c r="H1699" t="s">
        <v>13691</v>
      </c>
      <c r="I1699" t="s">
        <v>6479</v>
      </c>
      <c r="J1699" t="s">
        <v>13463</v>
      </c>
      <c r="K1699">
        <v>2</v>
      </c>
      <c r="L1699" t="s">
        <v>13542</v>
      </c>
      <c r="M1699" t="s">
        <v>13505</v>
      </c>
      <c r="N1699" t="str">
        <f>_xlfn.XLOOKUP(C:C,'Resource Table'!A:A,'Resource Table'!B:B,"NOT FOUND",0,1)</f>
        <v>Hollie Francis</v>
      </c>
      <c r="O1699" t="str">
        <f>_xlfn.XLOOKUP(N:N,'Resource Table'!B:B,'Resource Table'!C:C,"n/a",0,1)</f>
        <v>hfrancis@ameritfleet.com</v>
      </c>
      <c r="P1699" t="str">
        <f>_xlfn.XLOOKUP(N:N,'Resource Table'!B:B,'Resource Table'!D:D,"n/a",0,1)</f>
        <v>Vended Repair</v>
      </c>
    </row>
    <row r="1700" spans="1:16" x14ac:dyDescent="0.45">
      <c r="A1700" t="s">
        <v>5443</v>
      </c>
      <c r="B1700" t="s">
        <v>5450</v>
      </c>
      <c r="C1700" t="s">
        <v>5639</v>
      </c>
      <c r="D1700" t="s">
        <v>11239</v>
      </c>
      <c r="E1700" t="s">
        <v>12074</v>
      </c>
      <c r="F1700" t="s">
        <v>13460</v>
      </c>
      <c r="G1700" t="s">
        <v>13676</v>
      </c>
      <c r="H1700" t="s">
        <v>13680</v>
      </c>
      <c r="I1700" t="s">
        <v>29</v>
      </c>
      <c r="J1700" t="s">
        <v>13463</v>
      </c>
      <c r="K1700">
        <v>1</v>
      </c>
      <c r="L1700" t="s">
        <v>13491</v>
      </c>
      <c r="M1700" t="s">
        <v>13505</v>
      </c>
      <c r="N1700" t="str">
        <f>_xlfn.XLOOKUP(C:C,'Resource Table'!A:A,'Resource Table'!B:B,"NOT FOUND",0,1)</f>
        <v>Hollie Francis</v>
      </c>
      <c r="O1700" t="str">
        <f>_xlfn.XLOOKUP(N:N,'Resource Table'!B:B,'Resource Table'!C:C,"n/a",0,1)</f>
        <v>hfrancis@ameritfleet.com</v>
      </c>
      <c r="P1700" t="str">
        <f>_xlfn.XLOOKUP(N:N,'Resource Table'!B:B,'Resource Table'!D:D,"n/a",0,1)</f>
        <v>Vended Repair</v>
      </c>
    </row>
    <row r="1701" spans="1:16" x14ac:dyDescent="0.45">
      <c r="A1701" t="s">
        <v>5443</v>
      </c>
      <c r="B1701" t="s">
        <v>5450</v>
      </c>
      <c r="C1701" t="s">
        <v>5527</v>
      </c>
      <c r="D1701" t="s">
        <v>7645</v>
      </c>
      <c r="E1701" t="s">
        <v>12074</v>
      </c>
      <c r="F1701" t="s">
        <v>13689</v>
      </c>
      <c r="G1701" t="s">
        <v>13690</v>
      </c>
      <c r="H1701" t="s">
        <v>13691</v>
      </c>
      <c r="I1701" t="s">
        <v>6479</v>
      </c>
      <c r="J1701" t="s">
        <v>13463</v>
      </c>
      <c r="K1701">
        <v>1</v>
      </c>
      <c r="L1701" t="s">
        <v>13542</v>
      </c>
      <c r="M1701" t="s">
        <v>13505</v>
      </c>
      <c r="N1701" t="str">
        <f>_xlfn.XLOOKUP(C:C,'Resource Table'!A:A,'Resource Table'!B:B,"NOT FOUND",0,1)</f>
        <v>Hollie Francis</v>
      </c>
      <c r="O1701" t="str">
        <f>_xlfn.XLOOKUP(N:N,'Resource Table'!B:B,'Resource Table'!C:C,"n/a",0,1)</f>
        <v>hfrancis@ameritfleet.com</v>
      </c>
      <c r="P1701" t="str">
        <f>_xlfn.XLOOKUP(N:N,'Resource Table'!B:B,'Resource Table'!D:D,"n/a",0,1)</f>
        <v>Vended Repair</v>
      </c>
    </row>
    <row r="1702" spans="1:16" x14ac:dyDescent="0.45">
      <c r="A1702" t="s">
        <v>5443</v>
      </c>
      <c r="B1702" t="s">
        <v>5450</v>
      </c>
      <c r="C1702" t="s">
        <v>5582</v>
      </c>
      <c r="D1702" t="s">
        <v>12088</v>
      </c>
      <c r="E1702" t="s">
        <v>12074</v>
      </c>
      <c r="F1702" t="s">
        <v>13460</v>
      </c>
      <c r="G1702" t="s">
        <v>13687</v>
      </c>
      <c r="H1702" t="s">
        <v>13688</v>
      </c>
      <c r="I1702" t="s">
        <v>6479</v>
      </c>
      <c r="J1702" t="s">
        <v>13463</v>
      </c>
      <c r="K1702">
        <v>0</v>
      </c>
      <c r="L1702" t="s">
        <v>20</v>
      </c>
      <c r="M1702" t="s">
        <v>20</v>
      </c>
      <c r="N1702" t="str">
        <f>_xlfn.XLOOKUP(C:C,'Resource Table'!A:A,'Resource Table'!B:B,"NOT FOUND",0,1)</f>
        <v>Dedicated</v>
      </c>
      <c r="O1702" t="str">
        <f>_xlfn.XLOOKUP(N:N,'Resource Table'!B:B,'Resource Table'!C:C,"n/a",0,1)</f>
        <v>AFS Dedicated Tech</v>
      </c>
      <c r="P1702" t="str">
        <f>_xlfn.XLOOKUP(N:N,'Resource Table'!B:B,'Resource Table'!D:D,"n/a",0,1)</f>
        <v>Dedicated</v>
      </c>
    </row>
    <row r="1703" spans="1:16" x14ac:dyDescent="0.45">
      <c r="A1703" t="s">
        <v>5443</v>
      </c>
      <c r="B1703" t="s">
        <v>5450</v>
      </c>
      <c r="C1703" t="s">
        <v>5558</v>
      </c>
      <c r="D1703" t="s">
        <v>6611</v>
      </c>
      <c r="E1703" t="s">
        <v>12074</v>
      </c>
      <c r="F1703" t="s">
        <v>13460</v>
      </c>
      <c r="G1703" t="s">
        <v>13676</v>
      </c>
      <c r="H1703" t="s">
        <v>13680</v>
      </c>
      <c r="I1703" t="s">
        <v>6479</v>
      </c>
      <c r="J1703" t="s">
        <v>13463</v>
      </c>
      <c r="K1703">
        <v>1</v>
      </c>
      <c r="L1703" t="s">
        <v>13464</v>
      </c>
      <c r="M1703" t="s">
        <v>13544</v>
      </c>
      <c r="N1703" t="str">
        <f>_xlfn.XLOOKUP(C:C,'Resource Table'!A:A,'Resource Table'!B:B,"NOT FOUND",0,1)</f>
        <v>Hollie Francis</v>
      </c>
      <c r="O1703" t="str">
        <f>_xlfn.XLOOKUP(N:N,'Resource Table'!B:B,'Resource Table'!C:C,"n/a",0,1)</f>
        <v>hfrancis@ameritfleet.com</v>
      </c>
      <c r="P1703" t="str">
        <f>_xlfn.XLOOKUP(N:N,'Resource Table'!B:B,'Resource Table'!D:D,"n/a",0,1)</f>
        <v>Vended Repair</v>
      </c>
    </row>
    <row r="1704" spans="1:16" x14ac:dyDescent="0.45">
      <c r="A1704" t="s">
        <v>5443</v>
      </c>
      <c r="B1704" t="s">
        <v>5450</v>
      </c>
      <c r="C1704" t="s">
        <v>5571</v>
      </c>
      <c r="D1704" t="s">
        <v>2683</v>
      </c>
      <c r="E1704" t="s">
        <v>12074</v>
      </c>
      <c r="F1704" t="s">
        <v>13460</v>
      </c>
      <c r="G1704" t="s">
        <v>13678</v>
      </c>
      <c r="H1704" t="s">
        <v>13692</v>
      </c>
      <c r="I1704" t="s">
        <v>6479</v>
      </c>
      <c r="J1704" t="s">
        <v>13463</v>
      </c>
      <c r="K1704">
        <v>2</v>
      </c>
      <c r="L1704" t="s">
        <v>13540</v>
      </c>
      <c r="M1704" t="s">
        <v>13505</v>
      </c>
      <c r="N1704" t="str">
        <f>_xlfn.XLOOKUP(C:C,'Resource Table'!A:A,'Resource Table'!B:B,"NOT FOUND",0,1)</f>
        <v>Hollie Francis</v>
      </c>
      <c r="O1704" t="str">
        <f>_xlfn.XLOOKUP(N:N,'Resource Table'!B:B,'Resource Table'!C:C,"n/a",0,1)</f>
        <v>hfrancis@ameritfleet.com</v>
      </c>
      <c r="P1704" t="str">
        <f>_xlfn.XLOOKUP(N:N,'Resource Table'!B:B,'Resource Table'!D:D,"n/a",0,1)</f>
        <v>Vended Repair</v>
      </c>
    </row>
    <row r="1705" spans="1:16" x14ac:dyDescent="0.45">
      <c r="A1705" t="s">
        <v>5443</v>
      </c>
      <c r="B1705" t="s">
        <v>5450</v>
      </c>
      <c r="C1705" t="s">
        <v>5731</v>
      </c>
      <c r="D1705" t="s">
        <v>2189</v>
      </c>
      <c r="E1705" t="s">
        <v>12074</v>
      </c>
      <c r="F1705" t="s">
        <v>13460</v>
      </c>
      <c r="G1705" t="s">
        <v>13676</v>
      </c>
      <c r="H1705" t="s">
        <v>13680</v>
      </c>
      <c r="I1705" t="s">
        <v>6479</v>
      </c>
      <c r="J1705" t="s">
        <v>13463</v>
      </c>
      <c r="K1705">
        <v>0</v>
      </c>
      <c r="L1705" t="s">
        <v>20</v>
      </c>
      <c r="M1705" t="s">
        <v>20</v>
      </c>
      <c r="N1705" t="str">
        <f>_xlfn.XLOOKUP(C:C,'Resource Table'!A:A,'Resource Table'!B:B,"NOT FOUND",0,1)</f>
        <v>Hollie Francis</v>
      </c>
      <c r="O1705" t="str">
        <f>_xlfn.XLOOKUP(N:N,'Resource Table'!B:B,'Resource Table'!C:C,"n/a",0,1)</f>
        <v>hfrancis@ameritfleet.com</v>
      </c>
      <c r="P1705" t="str">
        <f>_xlfn.XLOOKUP(N:N,'Resource Table'!B:B,'Resource Table'!D:D,"n/a",0,1)</f>
        <v>Vended Repair</v>
      </c>
    </row>
    <row r="1706" spans="1:16" x14ac:dyDescent="0.45">
      <c r="A1706" t="s">
        <v>5443</v>
      </c>
      <c r="B1706" t="s">
        <v>5524</v>
      </c>
      <c r="C1706" t="s">
        <v>5753</v>
      </c>
      <c r="D1706" t="s">
        <v>824</v>
      </c>
      <c r="E1706" t="s">
        <v>12074</v>
      </c>
      <c r="F1706" t="s">
        <v>13460</v>
      </c>
      <c r="G1706" t="s">
        <v>13676</v>
      </c>
      <c r="H1706" t="s">
        <v>13693</v>
      </c>
      <c r="I1706" t="s">
        <v>6479</v>
      </c>
      <c r="J1706" t="s">
        <v>13463</v>
      </c>
      <c r="K1706">
        <v>0</v>
      </c>
      <c r="L1706" t="s">
        <v>20</v>
      </c>
      <c r="M1706" t="s">
        <v>20</v>
      </c>
      <c r="N1706" t="str">
        <f>_xlfn.XLOOKUP(C:C,'Resource Table'!A:A,'Resource Table'!B:B,"NOT FOUND",0,1)</f>
        <v>Hollie Francis</v>
      </c>
      <c r="O1706" t="str">
        <f>_xlfn.XLOOKUP(N:N,'Resource Table'!B:B,'Resource Table'!C:C,"n/a",0,1)</f>
        <v>hfrancis@ameritfleet.com</v>
      </c>
      <c r="P1706" t="str">
        <f>_xlfn.XLOOKUP(N:N,'Resource Table'!B:B,'Resource Table'!D:D,"n/a",0,1)</f>
        <v>Vended Repair</v>
      </c>
    </row>
    <row r="1707" spans="1:16" x14ac:dyDescent="0.45">
      <c r="A1707" t="s">
        <v>5443</v>
      </c>
      <c r="B1707" t="s">
        <v>5524</v>
      </c>
      <c r="C1707" t="s">
        <v>5989</v>
      </c>
      <c r="D1707" t="s">
        <v>12089</v>
      </c>
      <c r="E1707" t="s">
        <v>12074</v>
      </c>
      <c r="F1707" t="s">
        <v>13694</v>
      </c>
      <c r="G1707" t="s">
        <v>13695</v>
      </c>
      <c r="H1707" t="s">
        <v>13696</v>
      </c>
      <c r="I1707" t="s">
        <v>6479</v>
      </c>
      <c r="J1707" t="s">
        <v>13463</v>
      </c>
      <c r="K1707">
        <v>0</v>
      </c>
      <c r="L1707" t="s">
        <v>20</v>
      </c>
      <c r="M1707" t="s">
        <v>20</v>
      </c>
      <c r="N1707" t="str">
        <f>_xlfn.XLOOKUP(C:C,'Resource Table'!A:A,'Resource Table'!B:B,"NOT FOUND",0,1)</f>
        <v>Hollie Francis</v>
      </c>
      <c r="O1707" t="str">
        <f>_xlfn.XLOOKUP(N:N,'Resource Table'!B:B,'Resource Table'!C:C,"n/a",0,1)</f>
        <v>hfrancis@ameritfleet.com</v>
      </c>
      <c r="P1707" t="str">
        <f>_xlfn.XLOOKUP(N:N,'Resource Table'!B:B,'Resource Table'!D:D,"n/a",0,1)</f>
        <v>Vended Repair</v>
      </c>
    </row>
    <row r="1708" spans="1:16" x14ac:dyDescent="0.45">
      <c r="A1708" t="s">
        <v>5443</v>
      </c>
      <c r="B1708" t="s">
        <v>5524</v>
      </c>
      <c r="C1708" t="s">
        <v>5541</v>
      </c>
      <c r="D1708" t="s">
        <v>12090</v>
      </c>
      <c r="E1708" t="s">
        <v>12074</v>
      </c>
      <c r="F1708" t="s">
        <v>13460</v>
      </c>
      <c r="G1708" t="s">
        <v>13697</v>
      </c>
      <c r="H1708" t="s">
        <v>13698</v>
      </c>
      <c r="I1708" t="s">
        <v>29</v>
      </c>
      <c r="J1708" t="s">
        <v>13463</v>
      </c>
      <c r="K1708">
        <v>1</v>
      </c>
      <c r="L1708" t="s">
        <v>13487</v>
      </c>
      <c r="M1708" t="s">
        <v>20</v>
      </c>
      <c r="N1708" t="str">
        <f>_xlfn.XLOOKUP(C:C,'Resource Table'!A:A,'Resource Table'!B:B,"NOT FOUND",0,1)</f>
        <v>Dedicated</v>
      </c>
      <c r="O1708" t="str">
        <f>_xlfn.XLOOKUP(N:N,'Resource Table'!B:B,'Resource Table'!C:C,"n/a",0,1)</f>
        <v>AFS Dedicated Tech</v>
      </c>
      <c r="P1708" t="str">
        <f>_xlfn.XLOOKUP(N:N,'Resource Table'!B:B,'Resource Table'!D:D,"n/a",0,1)</f>
        <v>Dedicated</v>
      </c>
    </row>
    <row r="1709" spans="1:16" x14ac:dyDescent="0.45">
      <c r="A1709" t="s">
        <v>5443</v>
      </c>
      <c r="B1709" t="s">
        <v>5524</v>
      </c>
      <c r="C1709" t="s">
        <v>5541</v>
      </c>
      <c r="D1709" t="s">
        <v>12091</v>
      </c>
      <c r="E1709" t="s">
        <v>12074</v>
      </c>
      <c r="F1709" t="s">
        <v>13460</v>
      </c>
      <c r="G1709" t="s">
        <v>13476</v>
      </c>
      <c r="H1709" t="s">
        <v>13699</v>
      </c>
      <c r="I1709" t="s">
        <v>6479</v>
      </c>
      <c r="J1709" t="s">
        <v>13463</v>
      </c>
      <c r="K1709">
        <v>0</v>
      </c>
      <c r="L1709" t="s">
        <v>20</v>
      </c>
      <c r="M1709" t="s">
        <v>20</v>
      </c>
      <c r="N1709" t="str">
        <f>_xlfn.XLOOKUP(C:C,'Resource Table'!A:A,'Resource Table'!B:B,"NOT FOUND",0,1)</f>
        <v>Dedicated</v>
      </c>
      <c r="O1709" t="str">
        <f>_xlfn.XLOOKUP(N:N,'Resource Table'!B:B,'Resource Table'!C:C,"n/a",0,1)</f>
        <v>AFS Dedicated Tech</v>
      </c>
      <c r="P1709" t="str">
        <f>_xlfn.XLOOKUP(N:N,'Resource Table'!B:B,'Resource Table'!D:D,"n/a",0,1)</f>
        <v>Dedicated</v>
      </c>
    </row>
    <row r="1710" spans="1:16" x14ac:dyDescent="0.45">
      <c r="A1710" t="s">
        <v>5443</v>
      </c>
      <c r="B1710" t="s">
        <v>5524</v>
      </c>
      <c r="C1710" t="s">
        <v>5525</v>
      </c>
      <c r="D1710" t="s">
        <v>7745</v>
      </c>
      <c r="E1710" t="s">
        <v>12074</v>
      </c>
      <c r="F1710" t="s">
        <v>13460</v>
      </c>
      <c r="G1710" t="s">
        <v>13700</v>
      </c>
      <c r="H1710" t="s">
        <v>13701</v>
      </c>
      <c r="I1710" t="s">
        <v>29</v>
      </c>
      <c r="J1710" t="s">
        <v>13463</v>
      </c>
      <c r="K1710">
        <v>1</v>
      </c>
      <c r="L1710" t="s">
        <v>13542</v>
      </c>
      <c r="M1710" t="s">
        <v>13513</v>
      </c>
      <c r="N1710" t="str">
        <f>_xlfn.XLOOKUP(C:C,'Resource Table'!A:A,'Resource Table'!B:B,"NOT FOUND",0,1)</f>
        <v>Hollie Francis</v>
      </c>
      <c r="O1710" t="str">
        <f>_xlfn.XLOOKUP(N:N,'Resource Table'!B:B,'Resource Table'!C:C,"n/a",0,1)</f>
        <v>hfrancis@ameritfleet.com</v>
      </c>
      <c r="P1710" t="str">
        <f>_xlfn.XLOOKUP(N:N,'Resource Table'!B:B,'Resource Table'!D:D,"n/a",0,1)</f>
        <v>Vended Repair</v>
      </c>
    </row>
    <row r="1711" spans="1:16" x14ac:dyDescent="0.45">
      <c r="A1711" t="s">
        <v>5399</v>
      </c>
      <c r="B1711" t="s">
        <v>5412</v>
      </c>
      <c r="C1711" t="s">
        <v>5507</v>
      </c>
      <c r="D1711" t="s">
        <v>558</v>
      </c>
      <c r="E1711" t="s">
        <v>12074</v>
      </c>
      <c r="F1711" t="s">
        <v>13460</v>
      </c>
      <c r="G1711" t="s">
        <v>13676</v>
      </c>
      <c r="H1711" t="s">
        <v>13702</v>
      </c>
      <c r="I1711" t="s">
        <v>6479</v>
      </c>
      <c r="J1711" t="s">
        <v>13463</v>
      </c>
      <c r="K1711">
        <v>1</v>
      </c>
      <c r="L1711" t="s">
        <v>13528</v>
      </c>
      <c r="M1711" t="s">
        <v>13528</v>
      </c>
      <c r="N1711" t="str">
        <f>_xlfn.XLOOKUP(C:C,'Resource Table'!A:A,'Resource Table'!B:B,"NOT FOUND",0,1)</f>
        <v>Ralph Mann</v>
      </c>
      <c r="O1711" t="str">
        <f>_xlfn.XLOOKUP(N:N,'Resource Table'!B:B,'Resource Table'!C:C,"n/a",0,1)</f>
        <v>rmann@ameritfleet.com</v>
      </c>
      <c r="P1711" t="str">
        <f>_xlfn.XLOOKUP(N:N,'Resource Table'!B:B,'Resource Table'!D:D,"n/a",0,1)</f>
        <v>Vended Repair</v>
      </c>
    </row>
    <row r="1712" spans="1:16" x14ac:dyDescent="0.45">
      <c r="A1712" t="s">
        <v>5399</v>
      </c>
      <c r="B1712" t="s">
        <v>5412</v>
      </c>
      <c r="C1712" t="s">
        <v>5500</v>
      </c>
      <c r="D1712" t="s">
        <v>344</v>
      </c>
      <c r="E1712" t="s">
        <v>12074</v>
      </c>
      <c r="F1712" t="s">
        <v>13460</v>
      </c>
      <c r="G1712" t="s">
        <v>13676</v>
      </c>
      <c r="H1712" t="s">
        <v>13702</v>
      </c>
      <c r="I1712" t="s">
        <v>6479</v>
      </c>
      <c r="J1712" t="s">
        <v>13463</v>
      </c>
      <c r="K1712">
        <v>1</v>
      </c>
      <c r="L1712" t="s">
        <v>13528</v>
      </c>
      <c r="M1712" t="s">
        <v>13528</v>
      </c>
      <c r="N1712" t="str">
        <f>_xlfn.XLOOKUP(C:C,'Resource Table'!A:A,'Resource Table'!B:B,"NOT FOUND",0,1)</f>
        <v>Ralph Mann</v>
      </c>
      <c r="O1712" t="str">
        <f>_xlfn.XLOOKUP(N:N,'Resource Table'!B:B,'Resource Table'!C:C,"n/a",0,1)</f>
        <v>rmann@ameritfleet.com</v>
      </c>
      <c r="P1712" t="str">
        <f>_xlfn.XLOOKUP(N:N,'Resource Table'!B:B,'Resource Table'!D:D,"n/a",0,1)</f>
        <v>Vended Repair</v>
      </c>
    </row>
    <row r="1713" spans="1:16" x14ac:dyDescent="0.45">
      <c r="A1713" t="s">
        <v>5399</v>
      </c>
      <c r="B1713" t="s">
        <v>5412</v>
      </c>
      <c r="C1713" t="s">
        <v>5428</v>
      </c>
      <c r="D1713" t="s">
        <v>13105</v>
      </c>
      <c r="E1713" t="s">
        <v>12074</v>
      </c>
      <c r="F1713" t="s">
        <v>13460</v>
      </c>
      <c r="G1713" t="s">
        <v>13461</v>
      </c>
      <c r="H1713" t="s">
        <v>13703</v>
      </c>
      <c r="I1713" t="s">
        <v>6479</v>
      </c>
      <c r="J1713" t="s">
        <v>13463</v>
      </c>
      <c r="K1713">
        <v>0</v>
      </c>
      <c r="L1713" t="s">
        <v>20</v>
      </c>
      <c r="M1713" t="s">
        <v>20</v>
      </c>
      <c r="N1713" t="str">
        <f>_xlfn.XLOOKUP(C:C,'Resource Table'!A:A,'Resource Table'!B:B,"NOT FOUND",0,1)</f>
        <v>Dedicated</v>
      </c>
      <c r="O1713" t="str">
        <f>_xlfn.XLOOKUP(N:N,'Resource Table'!B:B,'Resource Table'!C:C,"n/a",0,1)</f>
        <v>AFS Dedicated Tech</v>
      </c>
      <c r="P1713" t="str">
        <f>_xlfn.XLOOKUP(N:N,'Resource Table'!B:B,'Resource Table'!D:D,"n/a",0,1)</f>
        <v>Dedicated</v>
      </c>
    </row>
    <row r="1714" spans="1:16" x14ac:dyDescent="0.45">
      <c r="A1714" t="s">
        <v>5399</v>
      </c>
      <c r="B1714" t="s">
        <v>5412</v>
      </c>
      <c r="C1714" t="s">
        <v>5428</v>
      </c>
      <c r="D1714" t="s">
        <v>12092</v>
      </c>
      <c r="E1714" t="s">
        <v>12074</v>
      </c>
      <c r="F1714" t="s">
        <v>13514</v>
      </c>
      <c r="G1714" t="s">
        <v>13653</v>
      </c>
      <c r="H1714" t="s">
        <v>13704</v>
      </c>
      <c r="I1714" t="s">
        <v>6479</v>
      </c>
      <c r="J1714" t="s">
        <v>13463</v>
      </c>
      <c r="K1714">
        <v>0</v>
      </c>
      <c r="L1714" t="s">
        <v>20</v>
      </c>
      <c r="M1714" t="s">
        <v>20</v>
      </c>
      <c r="N1714" t="str">
        <f>_xlfn.XLOOKUP(C:C,'Resource Table'!A:A,'Resource Table'!B:B,"NOT FOUND",0,1)</f>
        <v>Dedicated</v>
      </c>
      <c r="O1714" t="str">
        <f>_xlfn.XLOOKUP(N:N,'Resource Table'!B:B,'Resource Table'!C:C,"n/a",0,1)</f>
        <v>AFS Dedicated Tech</v>
      </c>
      <c r="P1714" t="str">
        <f>_xlfn.XLOOKUP(N:N,'Resource Table'!B:B,'Resource Table'!D:D,"n/a",0,1)</f>
        <v>Dedicated</v>
      </c>
    </row>
    <row r="1715" spans="1:16" x14ac:dyDescent="0.45">
      <c r="A1715" t="s">
        <v>5399</v>
      </c>
      <c r="B1715" t="s">
        <v>5412</v>
      </c>
      <c r="C1715" t="s">
        <v>5428</v>
      </c>
      <c r="D1715" t="s">
        <v>12093</v>
      </c>
      <c r="E1715" t="s">
        <v>12074</v>
      </c>
      <c r="F1715" t="s">
        <v>13460</v>
      </c>
      <c r="G1715" t="s">
        <v>13676</v>
      </c>
      <c r="H1715" t="s">
        <v>13702</v>
      </c>
      <c r="I1715" t="s">
        <v>6479</v>
      </c>
      <c r="J1715" t="s">
        <v>13463</v>
      </c>
      <c r="K1715">
        <v>0</v>
      </c>
      <c r="L1715" t="s">
        <v>20</v>
      </c>
      <c r="M1715" t="s">
        <v>20</v>
      </c>
      <c r="N1715" t="str">
        <f>_xlfn.XLOOKUP(C:C,'Resource Table'!A:A,'Resource Table'!B:B,"NOT FOUND",0,1)</f>
        <v>Dedicated</v>
      </c>
      <c r="O1715" t="str">
        <f>_xlfn.XLOOKUP(N:N,'Resource Table'!B:B,'Resource Table'!C:C,"n/a",0,1)</f>
        <v>AFS Dedicated Tech</v>
      </c>
      <c r="P1715" t="str">
        <f>_xlfn.XLOOKUP(N:N,'Resource Table'!B:B,'Resource Table'!D:D,"n/a",0,1)</f>
        <v>Dedicated</v>
      </c>
    </row>
    <row r="1716" spans="1:16" x14ac:dyDescent="0.45">
      <c r="A1716" t="s">
        <v>5399</v>
      </c>
      <c r="B1716" t="s">
        <v>5400</v>
      </c>
      <c r="C1716" t="s">
        <v>5560</v>
      </c>
      <c r="D1716" t="s">
        <v>12094</v>
      </c>
      <c r="E1716" t="s">
        <v>12074</v>
      </c>
      <c r="F1716" t="s">
        <v>13619</v>
      </c>
      <c r="G1716" t="s">
        <v>13705</v>
      </c>
      <c r="H1716" t="s">
        <v>13706</v>
      </c>
      <c r="I1716" t="s">
        <v>29</v>
      </c>
      <c r="J1716" t="s">
        <v>13463</v>
      </c>
      <c r="K1716">
        <v>3</v>
      </c>
      <c r="L1716" t="s">
        <v>13470</v>
      </c>
      <c r="M1716" t="s">
        <v>13544</v>
      </c>
      <c r="N1716" t="str">
        <f>_xlfn.XLOOKUP(C:C,'Resource Table'!A:A,'Resource Table'!B:B,"NOT FOUND",0,1)</f>
        <v>Dedicated</v>
      </c>
      <c r="O1716" t="str">
        <f>_xlfn.XLOOKUP(N:N,'Resource Table'!B:B,'Resource Table'!C:C,"n/a",0,1)</f>
        <v>AFS Dedicated Tech</v>
      </c>
      <c r="P1716" t="str">
        <f>_xlfn.XLOOKUP(N:N,'Resource Table'!B:B,'Resource Table'!D:D,"n/a",0,1)</f>
        <v>Dedicated</v>
      </c>
    </row>
    <row r="1717" spans="1:16" x14ac:dyDescent="0.45">
      <c r="A1717" t="s">
        <v>5399</v>
      </c>
      <c r="B1717" t="s">
        <v>5400</v>
      </c>
      <c r="C1717" t="s">
        <v>5843</v>
      </c>
      <c r="D1717" t="s">
        <v>13106</v>
      </c>
      <c r="E1717" t="s">
        <v>20</v>
      </c>
      <c r="F1717" t="s">
        <v>13460</v>
      </c>
      <c r="G1717" t="s">
        <v>13697</v>
      </c>
      <c r="H1717" t="s">
        <v>13707</v>
      </c>
      <c r="I1717" t="s">
        <v>6479</v>
      </c>
      <c r="J1717" t="s">
        <v>13463</v>
      </c>
      <c r="K1717">
        <v>0</v>
      </c>
      <c r="L1717" t="s">
        <v>20</v>
      </c>
      <c r="M1717" t="s">
        <v>20</v>
      </c>
      <c r="N1717" t="str">
        <f>_xlfn.XLOOKUP(C:C,'Resource Table'!A:A,'Resource Table'!B:B,"NOT FOUND",0,1)</f>
        <v>Ralph Mann</v>
      </c>
      <c r="O1717" t="str">
        <f>_xlfn.XLOOKUP(N:N,'Resource Table'!B:B,'Resource Table'!C:C,"n/a",0,1)</f>
        <v>rmann@ameritfleet.com</v>
      </c>
      <c r="P1717" t="str">
        <f>_xlfn.XLOOKUP(N:N,'Resource Table'!B:B,'Resource Table'!D:D,"n/a",0,1)</f>
        <v>Vended Repair</v>
      </c>
    </row>
    <row r="1718" spans="1:16" x14ac:dyDescent="0.45">
      <c r="A1718" t="s">
        <v>5399</v>
      </c>
      <c r="B1718" t="s">
        <v>5400</v>
      </c>
      <c r="C1718" t="s">
        <v>5671</v>
      </c>
      <c r="D1718" t="s">
        <v>12095</v>
      </c>
      <c r="E1718" t="s">
        <v>12074</v>
      </c>
      <c r="F1718" t="s">
        <v>13525</v>
      </c>
      <c r="G1718" t="s">
        <v>13585</v>
      </c>
      <c r="H1718" t="s">
        <v>13586</v>
      </c>
      <c r="I1718" t="s">
        <v>6479</v>
      </c>
      <c r="J1718" t="s">
        <v>13463</v>
      </c>
      <c r="K1718">
        <v>0</v>
      </c>
      <c r="L1718" t="s">
        <v>20</v>
      </c>
      <c r="M1718" t="s">
        <v>20</v>
      </c>
      <c r="N1718" t="str">
        <f>_xlfn.XLOOKUP(C:C,'Resource Table'!A:A,'Resource Table'!B:B,"NOT FOUND",0,1)</f>
        <v>Dedicated</v>
      </c>
      <c r="O1718" t="str">
        <f>_xlfn.XLOOKUP(N:N,'Resource Table'!B:B,'Resource Table'!C:C,"n/a",0,1)</f>
        <v>AFS Dedicated Tech</v>
      </c>
      <c r="P1718" t="str">
        <f>_xlfn.XLOOKUP(N:N,'Resource Table'!B:B,'Resource Table'!D:D,"n/a",0,1)</f>
        <v>Dedicated</v>
      </c>
    </row>
    <row r="1719" spans="1:16" x14ac:dyDescent="0.45">
      <c r="A1719" t="s">
        <v>5399</v>
      </c>
      <c r="B1719" t="s">
        <v>5400</v>
      </c>
      <c r="C1719" t="s">
        <v>5671</v>
      </c>
      <c r="D1719" t="s">
        <v>12096</v>
      </c>
      <c r="E1719" t="s">
        <v>12074</v>
      </c>
      <c r="F1719" t="s">
        <v>13694</v>
      </c>
      <c r="G1719" t="s">
        <v>13708</v>
      </c>
      <c r="H1719" t="s">
        <v>13709</v>
      </c>
      <c r="I1719" t="s">
        <v>29</v>
      </c>
      <c r="J1719" t="s">
        <v>13463</v>
      </c>
      <c r="K1719">
        <v>2</v>
      </c>
      <c r="L1719" t="s">
        <v>13519</v>
      </c>
      <c r="M1719" t="s">
        <v>13493</v>
      </c>
      <c r="N1719" t="str">
        <f>_xlfn.XLOOKUP(C:C,'Resource Table'!A:A,'Resource Table'!B:B,"NOT FOUND",0,1)</f>
        <v>Dedicated</v>
      </c>
      <c r="O1719" t="str">
        <f>_xlfn.XLOOKUP(N:N,'Resource Table'!B:B,'Resource Table'!C:C,"n/a",0,1)</f>
        <v>AFS Dedicated Tech</v>
      </c>
      <c r="P1719" t="str">
        <f>_xlfn.XLOOKUP(N:N,'Resource Table'!B:B,'Resource Table'!D:D,"n/a",0,1)</f>
        <v>Dedicated</v>
      </c>
    </row>
    <row r="1720" spans="1:16" x14ac:dyDescent="0.45">
      <c r="A1720" t="s">
        <v>5399</v>
      </c>
      <c r="B1720" t="s">
        <v>5400</v>
      </c>
      <c r="C1720" t="s">
        <v>5610</v>
      </c>
      <c r="D1720" t="s">
        <v>2045</v>
      </c>
      <c r="E1720" t="s">
        <v>12074</v>
      </c>
      <c r="F1720" t="s">
        <v>13460</v>
      </c>
      <c r="G1720" t="s">
        <v>13676</v>
      </c>
      <c r="H1720" t="s">
        <v>13702</v>
      </c>
      <c r="I1720" t="s">
        <v>29</v>
      </c>
      <c r="J1720" t="s">
        <v>13463</v>
      </c>
      <c r="K1720">
        <v>1</v>
      </c>
      <c r="L1720" t="s">
        <v>13543</v>
      </c>
      <c r="M1720" t="s">
        <v>13464</v>
      </c>
      <c r="N1720" t="str">
        <f>_xlfn.XLOOKUP(C:C,'Resource Table'!A:A,'Resource Table'!B:B,"NOT FOUND",0,1)</f>
        <v>Ralph Mann</v>
      </c>
      <c r="O1720" t="str">
        <f>_xlfn.XLOOKUP(N:N,'Resource Table'!B:B,'Resource Table'!C:C,"n/a",0,1)</f>
        <v>rmann@ameritfleet.com</v>
      </c>
      <c r="P1720" t="str">
        <f>_xlfn.XLOOKUP(N:N,'Resource Table'!B:B,'Resource Table'!D:D,"n/a",0,1)</f>
        <v>Vended Repair</v>
      </c>
    </row>
    <row r="1721" spans="1:16" x14ac:dyDescent="0.45">
      <c r="A1721" t="s">
        <v>5399</v>
      </c>
      <c r="B1721" t="s">
        <v>5400</v>
      </c>
      <c r="C1721" t="s">
        <v>5401</v>
      </c>
      <c r="D1721" t="s">
        <v>12097</v>
      </c>
      <c r="E1721" t="s">
        <v>12074</v>
      </c>
      <c r="F1721" t="s">
        <v>13525</v>
      </c>
      <c r="G1721" t="s">
        <v>13585</v>
      </c>
      <c r="H1721" t="s">
        <v>13586</v>
      </c>
      <c r="I1721" t="s">
        <v>29</v>
      </c>
      <c r="J1721" t="s">
        <v>13463</v>
      </c>
      <c r="K1721">
        <v>1</v>
      </c>
      <c r="L1721" t="s">
        <v>13503</v>
      </c>
      <c r="M1721" t="s">
        <v>20</v>
      </c>
      <c r="N1721" t="str">
        <f>_xlfn.XLOOKUP(C:C,'Resource Table'!A:A,'Resource Table'!B:B,"NOT FOUND",0,1)</f>
        <v>Dedicated</v>
      </c>
      <c r="O1721" t="str">
        <f>_xlfn.XLOOKUP(N:N,'Resource Table'!B:B,'Resource Table'!C:C,"n/a",0,1)</f>
        <v>AFS Dedicated Tech</v>
      </c>
      <c r="P1721" t="str">
        <f>_xlfn.XLOOKUP(N:N,'Resource Table'!B:B,'Resource Table'!D:D,"n/a",0,1)</f>
        <v>Dedicated</v>
      </c>
    </row>
    <row r="1722" spans="1:16" x14ac:dyDescent="0.45">
      <c r="A1722" t="s">
        <v>5399</v>
      </c>
      <c r="B1722" t="s">
        <v>5400</v>
      </c>
      <c r="C1722" t="s">
        <v>5401</v>
      </c>
      <c r="D1722" t="s">
        <v>12098</v>
      </c>
      <c r="E1722" t="s">
        <v>12074</v>
      </c>
      <c r="F1722" t="s">
        <v>13460</v>
      </c>
      <c r="G1722" t="s">
        <v>13481</v>
      </c>
      <c r="H1722" t="s">
        <v>13485</v>
      </c>
      <c r="I1722" t="s">
        <v>6479</v>
      </c>
      <c r="J1722" t="s">
        <v>13463</v>
      </c>
      <c r="K1722">
        <v>0</v>
      </c>
      <c r="L1722" t="s">
        <v>20</v>
      </c>
      <c r="M1722" t="s">
        <v>20</v>
      </c>
      <c r="N1722" t="str">
        <f>_xlfn.XLOOKUP(C:C,'Resource Table'!A:A,'Resource Table'!B:B,"NOT FOUND",0,1)</f>
        <v>Dedicated</v>
      </c>
      <c r="O1722" t="str">
        <f>_xlfn.XLOOKUP(N:N,'Resource Table'!B:B,'Resource Table'!C:C,"n/a",0,1)</f>
        <v>AFS Dedicated Tech</v>
      </c>
      <c r="P1722" t="str">
        <f>_xlfn.XLOOKUP(N:N,'Resource Table'!B:B,'Resource Table'!D:D,"n/a",0,1)</f>
        <v>Dedicated</v>
      </c>
    </row>
    <row r="1723" spans="1:16" x14ac:dyDescent="0.45">
      <c r="A1723" t="s">
        <v>5399</v>
      </c>
      <c r="B1723" t="s">
        <v>5400</v>
      </c>
      <c r="C1723" t="s">
        <v>5401</v>
      </c>
      <c r="D1723" t="s">
        <v>9848</v>
      </c>
      <c r="E1723" t="s">
        <v>12074</v>
      </c>
      <c r="F1723" t="s">
        <v>13562</v>
      </c>
      <c r="G1723" t="s">
        <v>13654</v>
      </c>
      <c r="H1723" t="s">
        <v>13655</v>
      </c>
      <c r="I1723" t="s">
        <v>6479</v>
      </c>
      <c r="J1723" t="s">
        <v>13463</v>
      </c>
      <c r="K1723">
        <v>0</v>
      </c>
      <c r="L1723" t="s">
        <v>20</v>
      </c>
      <c r="M1723" t="s">
        <v>20</v>
      </c>
      <c r="N1723" t="str">
        <f>_xlfn.XLOOKUP(C:C,'Resource Table'!A:A,'Resource Table'!B:B,"NOT FOUND",0,1)</f>
        <v>Dedicated</v>
      </c>
      <c r="O1723" t="str">
        <f>_xlfn.XLOOKUP(N:N,'Resource Table'!B:B,'Resource Table'!C:C,"n/a",0,1)</f>
        <v>AFS Dedicated Tech</v>
      </c>
      <c r="P1723" t="str">
        <f>_xlfn.XLOOKUP(N:N,'Resource Table'!B:B,'Resource Table'!D:D,"n/a",0,1)</f>
        <v>Dedicated</v>
      </c>
    </row>
    <row r="1724" spans="1:16" x14ac:dyDescent="0.45">
      <c r="A1724" t="s">
        <v>5399</v>
      </c>
      <c r="B1724" t="s">
        <v>5400</v>
      </c>
      <c r="C1724" t="s">
        <v>5401</v>
      </c>
      <c r="D1724" t="s">
        <v>12099</v>
      </c>
      <c r="E1724" t="s">
        <v>12074</v>
      </c>
      <c r="F1724" t="s">
        <v>13460</v>
      </c>
      <c r="G1724" t="s">
        <v>13476</v>
      </c>
      <c r="H1724" t="s">
        <v>13477</v>
      </c>
      <c r="I1724" t="s">
        <v>6479</v>
      </c>
      <c r="J1724" t="s">
        <v>13463</v>
      </c>
      <c r="K1724">
        <v>2</v>
      </c>
      <c r="L1724" t="s">
        <v>13480</v>
      </c>
      <c r="M1724" t="s">
        <v>20</v>
      </c>
      <c r="N1724" t="str">
        <f>_xlfn.XLOOKUP(C:C,'Resource Table'!A:A,'Resource Table'!B:B,"NOT FOUND",0,1)</f>
        <v>Dedicated</v>
      </c>
      <c r="O1724" t="str">
        <f>_xlfn.XLOOKUP(N:N,'Resource Table'!B:B,'Resource Table'!C:C,"n/a",0,1)</f>
        <v>AFS Dedicated Tech</v>
      </c>
      <c r="P1724" t="str">
        <f>_xlfn.XLOOKUP(N:N,'Resource Table'!B:B,'Resource Table'!D:D,"n/a",0,1)</f>
        <v>Dedicated</v>
      </c>
    </row>
    <row r="1725" spans="1:16" x14ac:dyDescent="0.45">
      <c r="A1725" t="s">
        <v>5399</v>
      </c>
      <c r="B1725" t="s">
        <v>5400</v>
      </c>
      <c r="C1725" t="s">
        <v>5401</v>
      </c>
      <c r="D1725" t="s">
        <v>12100</v>
      </c>
      <c r="E1725" t="s">
        <v>12074</v>
      </c>
      <c r="F1725" t="s">
        <v>13460</v>
      </c>
      <c r="G1725" t="s">
        <v>13461</v>
      </c>
      <c r="H1725" t="s">
        <v>13465</v>
      </c>
      <c r="I1725" t="s">
        <v>29</v>
      </c>
      <c r="J1725" t="s">
        <v>13463</v>
      </c>
      <c r="K1725">
        <v>1</v>
      </c>
      <c r="L1725" t="s">
        <v>13503</v>
      </c>
      <c r="M1725" t="s">
        <v>20</v>
      </c>
      <c r="N1725" t="str">
        <f>_xlfn.XLOOKUP(C:C,'Resource Table'!A:A,'Resource Table'!B:B,"NOT FOUND",0,1)</f>
        <v>Dedicated</v>
      </c>
      <c r="O1725" t="str">
        <f>_xlfn.XLOOKUP(N:N,'Resource Table'!B:B,'Resource Table'!C:C,"n/a",0,1)</f>
        <v>AFS Dedicated Tech</v>
      </c>
      <c r="P1725" t="str">
        <f>_xlfn.XLOOKUP(N:N,'Resource Table'!B:B,'Resource Table'!D:D,"n/a",0,1)</f>
        <v>Dedicated</v>
      </c>
    </row>
    <row r="1726" spans="1:16" x14ac:dyDescent="0.45">
      <c r="A1726" t="s">
        <v>5399</v>
      </c>
      <c r="B1726" t="s">
        <v>5400</v>
      </c>
      <c r="C1726" t="s">
        <v>5401</v>
      </c>
      <c r="D1726" t="s">
        <v>12101</v>
      </c>
      <c r="E1726" t="s">
        <v>12074</v>
      </c>
      <c r="F1726" t="s">
        <v>13460</v>
      </c>
      <c r="G1726" t="s">
        <v>13678</v>
      </c>
      <c r="H1726" t="s">
        <v>13692</v>
      </c>
      <c r="I1726" t="s">
        <v>6479</v>
      </c>
      <c r="J1726" t="s">
        <v>13463</v>
      </c>
      <c r="K1726">
        <v>1</v>
      </c>
      <c r="L1726" t="s">
        <v>13468</v>
      </c>
      <c r="M1726" t="s">
        <v>20</v>
      </c>
      <c r="N1726" t="str">
        <f>_xlfn.XLOOKUP(C:C,'Resource Table'!A:A,'Resource Table'!B:B,"NOT FOUND",0,1)</f>
        <v>Dedicated</v>
      </c>
      <c r="O1726" t="str">
        <f>_xlfn.XLOOKUP(N:N,'Resource Table'!B:B,'Resource Table'!C:C,"n/a",0,1)</f>
        <v>AFS Dedicated Tech</v>
      </c>
      <c r="P1726" t="str">
        <f>_xlfn.XLOOKUP(N:N,'Resource Table'!B:B,'Resource Table'!D:D,"n/a",0,1)</f>
        <v>Dedicated</v>
      </c>
    </row>
    <row r="1727" spans="1:16" x14ac:dyDescent="0.45">
      <c r="A1727" t="s">
        <v>5399</v>
      </c>
      <c r="B1727" t="s">
        <v>5400</v>
      </c>
      <c r="C1727" t="s">
        <v>5401</v>
      </c>
      <c r="D1727" t="s">
        <v>12102</v>
      </c>
      <c r="E1727" t="s">
        <v>12074</v>
      </c>
      <c r="F1727" t="s">
        <v>13460</v>
      </c>
      <c r="G1727" t="s">
        <v>13710</v>
      </c>
      <c r="H1727" t="s">
        <v>13711</v>
      </c>
      <c r="I1727" t="s">
        <v>6479</v>
      </c>
      <c r="J1727" t="s">
        <v>13463</v>
      </c>
      <c r="K1727">
        <v>0</v>
      </c>
      <c r="L1727" t="s">
        <v>20</v>
      </c>
      <c r="M1727" t="s">
        <v>20</v>
      </c>
      <c r="N1727" t="str">
        <f>_xlfn.XLOOKUP(C:C,'Resource Table'!A:A,'Resource Table'!B:B,"NOT FOUND",0,1)</f>
        <v>Dedicated</v>
      </c>
      <c r="O1727" t="str">
        <f>_xlfn.XLOOKUP(N:N,'Resource Table'!B:B,'Resource Table'!C:C,"n/a",0,1)</f>
        <v>AFS Dedicated Tech</v>
      </c>
      <c r="P1727" t="str">
        <f>_xlfn.XLOOKUP(N:N,'Resource Table'!B:B,'Resource Table'!D:D,"n/a",0,1)</f>
        <v>Dedicated</v>
      </c>
    </row>
    <row r="1728" spans="1:16" x14ac:dyDescent="0.45">
      <c r="A1728" t="s">
        <v>5399</v>
      </c>
      <c r="B1728" t="s">
        <v>5400</v>
      </c>
      <c r="C1728" t="s">
        <v>5508</v>
      </c>
      <c r="D1728" t="s">
        <v>12103</v>
      </c>
      <c r="E1728" t="s">
        <v>12074</v>
      </c>
      <c r="F1728" t="s">
        <v>13460</v>
      </c>
      <c r="G1728" t="s">
        <v>13710</v>
      </c>
      <c r="H1728" t="s">
        <v>13711</v>
      </c>
      <c r="I1728" t="s">
        <v>6479</v>
      </c>
      <c r="J1728" t="s">
        <v>13463</v>
      </c>
      <c r="K1728">
        <v>0</v>
      </c>
      <c r="L1728" t="s">
        <v>20</v>
      </c>
      <c r="M1728" t="s">
        <v>20</v>
      </c>
      <c r="N1728" t="str">
        <f>_xlfn.XLOOKUP(C:C,'Resource Table'!A:A,'Resource Table'!B:B,"NOT FOUND",0,1)</f>
        <v>Ralph Mann</v>
      </c>
      <c r="O1728" t="str">
        <f>_xlfn.XLOOKUP(N:N,'Resource Table'!B:B,'Resource Table'!C:C,"n/a",0,1)</f>
        <v>rmann@ameritfleet.com</v>
      </c>
      <c r="P1728" t="str">
        <f>_xlfn.XLOOKUP(N:N,'Resource Table'!B:B,'Resource Table'!D:D,"n/a",0,1)</f>
        <v>Vended Repair</v>
      </c>
    </row>
    <row r="1729" spans="1:16" x14ac:dyDescent="0.45">
      <c r="A1729" t="s">
        <v>5403</v>
      </c>
      <c r="B1729" t="s">
        <v>5404</v>
      </c>
      <c r="C1729" t="s">
        <v>5405</v>
      </c>
      <c r="D1729" t="s">
        <v>12104</v>
      </c>
      <c r="E1729" t="s">
        <v>12074</v>
      </c>
      <c r="F1729" t="s">
        <v>13460</v>
      </c>
      <c r="G1729" t="s">
        <v>13461</v>
      </c>
      <c r="H1729" t="s">
        <v>13555</v>
      </c>
      <c r="I1729" t="s">
        <v>6479</v>
      </c>
      <c r="J1729" t="s">
        <v>13463</v>
      </c>
      <c r="K1729">
        <v>0</v>
      </c>
      <c r="L1729" t="s">
        <v>20</v>
      </c>
      <c r="M1729" t="s">
        <v>20</v>
      </c>
      <c r="N1729" t="str">
        <f>_xlfn.XLOOKUP(C:C,'Resource Table'!A:A,'Resource Table'!B:B,"NOT FOUND",0,1)</f>
        <v>Dedicated</v>
      </c>
      <c r="O1729" t="str">
        <f>_xlfn.XLOOKUP(N:N,'Resource Table'!B:B,'Resource Table'!C:C,"n/a",0,1)</f>
        <v>AFS Dedicated Tech</v>
      </c>
      <c r="P1729" t="str">
        <f>_xlfn.XLOOKUP(N:N,'Resource Table'!B:B,'Resource Table'!D:D,"n/a",0,1)</f>
        <v>Dedicated</v>
      </c>
    </row>
    <row r="1730" spans="1:16" x14ac:dyDescent="0.45">
      <c r="A1730" t="s">
        <v>5403</v>
      </c>
      <c r="B1730" t="s">
        <v>5404</v>
      </c>
      <c r="C1730" t="s">
        <v>5405</v>
      </c>
      <c r="D1730" t="s">
        <v>13107</v>
      </c>
      <c r="E1730" t="s">
        <v>20</v>
      </c>
      <c r="F1730" t="s">
        <v>13460</v>
      </c>
      <c r="G1730" t="s">
        <v>13481</v>
      </c>
      <c r="H1730" t="s">
        <v>13485</v>
      </c>
      <c r="I1730" t="s">
        <v>6479</v>
      </c>
      <c r="J1730" t="s">
        <v>13463</v>
      </c>
      <c r="K1730">
        <v>0</v>
      </c>
      <c r="L1730" t="s">
        <v>20</v>
      </c>
      <c r="M1730" t="s">
        <v>20</v>
      </c>
      <c r="N1730" t="str">
        <f>_xlfn.XLOOKUP(C:C,'Resource Table'!A:A,'Resource Table'!B:B,"NOT FOUND",0,1)</f>
        <v>Dedicated</v>
      </c>
      <c r="O1730" t="str">
        <f>_xlfn.XLOOKUP(N:N,'Resource Table'!B:B,'Resource Table'!C:C,"n/a",0,1)</f>
        <v>AFS Dedicated Tech</v>
      </c>
      <c r="P1730" t="str">
        <f>_xlfn.XLOOKUP(N:N,'Resource Table'!B:B,'Resource Table'!D:D,"n/a",0,1)</f>
        <v>Dedicated</v>
      </c>
    </row>
    <row r="1731" spans="1:16" x14ac:dyDescent="0.45">
      <c r="A1731" t="s">
        <v>5403</v>
      </c>
      <c r="B1731" t="s">
        <v>5404</v>
      </c>
      <c r="C1731" t="s">
        <v>5418</v>
      </c>
      <c r="D1731" t="s">
        <v>12105</v>
      </c>
      <c r="E1731" t="s">
        <v>12074</v>
      </c>
      <c r="F1731" t="s">
        <v>13460</v>
      </c>
      <c r="G1731" t="s">
        <v>13481</v>
      </c>
      <c r="H1731" t="s">
        <v>13485</v>
      </c>
      <c r="I1731" t="s">
        <v>6479</v>
      </c>
      <c r="J1731" t="s">
        <v>13463</v>
      </c>
      <c r="K1731">
        <v>0</v>
      </c>
      <c r="L1731" t="s">
        <v>20</v>
      </c>
      <c r="M1731" t="s">
        <v>20</v>
      </c>
      <c r="N1731" t="str">
        <f>_xlfn.XLOOKUP(C:C,'Resource Table'!A:A,'Resource Table'!B:B,"NOT FOUND",0,1)</f>
        <v>Dedicated</v>
      </c>
      <c r="O1731" t="str">
        <f>_xlfn.XLOOKUP(N:N,'Resource Table'!B:B,'Resource Table'!C:C,"n/a",0,1)</f>
        <v>AFS Dedicated Tech</v>
      </c>
      <c r="P1731" t="str">
        <f>_xlfn.XLOOKUP(N:N,'Resource Table'!B:B,'Resource Table'!D:D,"n/a",0,1)</f>
        <v>Dedicated</v>
      </c>
    </row>
    <row r="1732" spans="1:16" x14ac:dyDescent="0.45">
      <c r="A1732" t="s">
        <v>5403</v>
      </c>
      <c r="B1732" t="s">
        <v>5416</v>
      </c>
      <c r="C1732" t="s">
        <v>5441</v>
      </c>
      <c r="D1732" t="s">
        <v>13108</v>
      </c>
      <c r="E1732" t="s">
        <v>12076</v>
      </c>
      <c r="F1732" t="s">
        <v>13712</v>
      </c>
      <c r="G1732" t="s">
        <v>12076</v>
      </c>
      <c r="H1732" t="s">
        <v>13713</v>
      </c>
      <c r="I1732" t="s">
        <v>6479</v>
      </c>
      <c r="J1732" t="s">
        <v>13463</v>
      </c>
      <c r="K1732">
        <v>0</v>
      </c>
      <c r="L1732" t="s">
        <v>20</v>
      </c>
      <c r="M1732" t="s">
        <v>20</v>
      </c>
      <c r="N1732" t="str">
        <f>_xlfn.XLOOKUP(C:C,'Resource Table'!A:A,'Resource Table'!B:B,"NOT FOUND",0,1)</f>
        <v>Dedicated</v>
      </c>
      <c r="O1732" t="str">
        <f>_xlfn.XLOOKUP(N:N,'Resource Table'!B:B,'Resource Table'!C:C,"n/a",0,1)</f>
        <v>AFS Dedicated Tech</v>
      </c>
      <c r="P1732" t="str">
        <f>_xlfn.XLOOKUP(N:N,'Resource Table'!B:B,'Resource Table'!D:D,"n/a",0,1)</f>
        <v>Dedicated</v>
      </c>
    </row>
    <row r="1733" spans="1:16" x14ac:dyDescent="0.45">
      <c r="A1733" t="s">
        <v>5403</v>
      </c>
      <c r="B1733" t="s">
        <v>5416</v>
      </c>
      <c r="C1733" t="s">
        <v>5598</v>
      </c>
      <c r="D1733" t="s">
        <v>12106</v>
      </c>
      <c r="E1733" t="s">
        <v>12076</v>
      </c>
      <c r="F1733" t="s">
        <v>13670</v>
      </c>
      <c r="G1733" t="s">
        <v>12076</v>
      </c>
      <c r="H1733" t="s">
        <v>13714</v>
      </c>
      <c r="I1733" t="s">
        <v>29</v>
      </c>
      <c r="J1733" t="s">
        <v>13463</v>
      </c>
      <c r="K1733">
        <v>1</v>
      </c>
      <c r="L1733" t="s">
        <v>13466</v>
      </c>
      <c r="M1733" t="s">
        <v>20</v>
      </c>
      <c r="N1733" t="str">
        <f>_xlfn.XLOOKUP(C:C,'Resource Table'!A:A,'Resource Table'!B:B,"NOT FOUND",0,1)</f>
        <v>Dedicated</v>
      </c>
      <c r="O1733" t="str">
        <f>_xlfn.XLOOKUP(N:N,'Resource Table'!B:B,'Resource Table'!C:C,"n/a",0,1)</f>
        <v>AFS Dedicated Tech</v>
      </c>
      <c r="P1733" t="str">
        <f>_xlfn.XLOOKUP(N:N,'Resource Table'!B:B,'Resource Table'!D:D,"n/a",0,1)</f>
        <v>Dedicated</v>
      </c>
    </row>
    <row r="1734" spans="1:16" x14ac:dyDescent="0.45">
      <c r="A1734" t="s">
        <v>5403</v>
      </c>
      <c r="B1734" t="s">
        <v>5416</v>
      </c>
      <c r="C1734" t="s">
        <v>5598</v>
      </c>
      <c r="D1734" t="s">
        <v>12107</v>
      </c>
      <c r="E1734" t="s">
        <v>12076</v>
      </c>
      <c r="F1734" t="s">
        <v>13670</v>
      </c>
      <c r="G1734" t="s">
        <v>12076</v>
      </c>
      <c r="H1734" t="s">
        <v>13715</v>
      </c>
      <c r="I1734" t="s">
        <v>6479</v>
      </c>
      <c r="J1734" t="s">
        <v>13463</v>
      </c>
      <c r="K1734">
        <v>1</v>
      </c>
      <c r="L1734" t="s">
        <v>13536</v>
      </c>
      <c r="M1734" t="s">
        <v>20</v>
      </c>
      <c r="N1734" t="str">
        <f>_xlfn.XLOOKUP(C:C,'Resource Table'!A:A,'Resource Table'!B:B,"NOT FOUND",0,1)</f>
        <v>Dedicated</v>
      </c>
      <c r="O1734" t="str">
        <f>_xlfn.XLOOKUP(N:N,'Resource Table'!B:B,'Resource Table'!C:C,"n/a",0,1)</f>
        <v>AFS Dedicated Tech</v>
      </c>
      <c r="P1734" t="str">
        <f>_xlfn.XLOOKUP(N:N,'Resource Table'!B:B,'Resource Table'!D:D,"n/a",0,1)</f>
        <v>Dedicated</v>
      </c>
    </row>
    <row r="1735" spans="1:16" x14ac:dyDescent="0.45">
      <c r="A1735" t="s">
        <v>5403</v>
      </c>
      <c r="B1735" t="s">
        <v>5416</v>
      </c>
      <c r="C1735" t="s">
        <v>5598</v>
      </c>
      <c r="D1735" t="s">
        <v>13061</v>
      </c>
      <c r="E1735" t="s">
        <v>12076</v>
      </c>
      <c r="F1735" t="s">
        <v>13712</v>
      </c>
      <c r="G1735" t="s">
        <v>12076</v>
      </c>
      <c r="H1735" t="s">
        <v>13716</v>
      </c>
      <c r="I1735" t="s">
        <v>6479</v>
      </c>
      <c r="J1735" t="s">
        <v>13463</v>
      </c>
      <c r="K1735">
        <v>0</v>
      </c>
      <c r="L1735" t="s">
        <v>20</v>
      </c>
      <c r="M1735" t="s">
        <v>20</v>
      </c>
      <c r="N1735" t="str">
        <f>_xlfn.XLOOKUP(C:C,'Resource Table'!A:A,'Resource Table'!B:B,"NOT FOUND",0,1)</f>
        <v>Dedicated</v>
      </c>
      <c r="O1735" t="str">
        <f>_xlfn.XLOOKUP(N:N,'Resource Table'!B:B,'Resource Table'!C:C,"n/a",0,1)</f>
        <v>AFS Dedicated Tech</v>
      </c>
      <c r="P1735" t="str">
        <f>_xlfn.XLOOKUP(N:N,'Resource Table'!B:B,'Resource Table'!D:D,"n/a",0,1)</f>
        <v>Dedicated</v>
      </c>
    </row>
    <row r="1736" spans="1:16" x14ac:dyDescent="0.45">
      <c r="A1736" t="s">
        <v>5403</v>
      </c>
      <c r="B1736" t="s">
        <v>5416</v>
      </c>
      <c r="C1736" t="s">
        <v>5598</v>
      </c>
      <c r="D1736" t="s">
        <v>13109</v>
      </c>
      <c r="E1736" t="s">
        <v>12074</v>
      </c>
      <c r="F1736" t="s">
        <v>13460</v>
      </c>
      <c r="G1736" t="s">
        <v>13676</v>
      </c>
      <c r="H1736" t="s">
        <v>13677</v>
      </c>
      <c r="I1736" t="s">
        <v>6479</v>
      </c>
      <c r="J1736" t="s">
        <v>13463</v>
      </c>
      <c r="K1736">
        <v>0</v>
      </c>
      <c r="L1736" t="s">
        <v>20</v>
      </c>
      <c r="M1736" t="s">
        <v>20</v>
      </c>
      <c r="N1736" t="str">
        <f>_xlfn.XLOOKUP(C:C,'Resource Table'!A:A,'Resource Table'!B:B,"NOT FOUND",0,1)</f>
        <v>Dedicated</v>
      </c>
      <c r="O1736" t="str">
        <f>_xlfn.XLOOKUP(N:N,'Resource Table'!B:B,'Resource Table'!C:C,"n/a",0,1)</f>
        <v>AFS Dedicated Tech</v>
      </c>
      <c r="P1736" t="str">
        <f>_xlfn.XLOOKUP(N:N,'Resource Table'!B:B,'Resource Table'!D:D,"n/a",0,1)</f>
        <v>Dedicated</v>
      </c>
    </row>
    <row r="1737" spans="1:16" x14ac:dyDescent="0.45">
      <c r="A1737" t="s">
        <v>5403</v>
      </c>
      <c r="B1737" t="s">
        <v>5416</v>
      </c>
      <c r="C1737" t="s">
        <v>5435</v>
      </c>
      <c r="D1737" t="s">
        <v>12108</v>
      </c>
      <c r="E1737" t="s">
        <v>12074</v>
      </c>
      <c r="F1737" t="s">
        <v>13460</v>
      </c>
      <c r="G1737" t="s">
        <v>13676</v>
      </c>
      <c r="H1737" t="s">
        <v>13680</v>
      </c>
      <c r="I1737" t="s">
        <v>6479</v>
      </c>
      <c r="J1737" t="s">
        <v>13463</v>
      </c>
      <c r="K1737">
        <v>0</v>
      </c>
      <c r="L1737" t="s">
        <v>20</v>
      </c>
      <c r="M1737" t="s">
        <v>20</v>
      </c>
      <c r="N1737" t="str">
        <f>_xlfn.XLOOKUP(C:C,'Resource Table'!A:A,'Resource Table'!B:B,"NOT FOUND",0,1)</f>
        <v>Dedicated</v>
      </c>
      <c r="O1737" t="str">
        <f>_xlfn.XLOOKUP(N:N,'Resource Table'!B:B,'Resource Table'!C:C,"n/a",0,1)</f>
        <v>AFS Dedicated Tech</v>
      </c>
      <c r="P1737" t="str">
        <f>_xlfn.XLOOKUP(N:N,'Resource Table'!B:B,'Resource Table'!D:D,"n/a",0,1)</f>
        <v>Dedicated</v>
      </c>
    </row>
    <row r="1738" spans="1:16" x14ac:dyDescent="0.45">
      <c r="A1738" t="s">
        <v>5403</v>
      </c>
      <c r="B1738" t="s">
        <v>5416</v>
      </c>
      <c r="C1738" t="s">
        <v>5435</v>
      </c>
      <c r="D1738" t="s">
        <v>12109</v>
      </c>
      <c r="E1738" t="s">
        <v>12074</v>
      </c>
      <c r="F1738" t="s">
        <v>13460</v>
      </c>
      <c r="G1738" t="s">
        <v>13685</v>
      </c>
      <c r="H1738" t="s">
        <v>13717</v>
      </c>
      <c r="I1738" t="s">
        <v>6479</v>
      </c>
      <c r="J1738" t="s">
        <v>13463</v>
      </c>
      <c r="K1738">
        <v>0</v>
      </c>
      <c r="L1738" t="s">
        <v>20</v>
      </c>
      <c r="M1738" t="s">
        <v>20</v>
      </c>
      <c r="N1738" t="str">
        <f>_xlfn.XLOOKUP(C:C,'Resource Table'!A:A,'Resource Table'!B:B,"NOT FOUND",0,1)</f>
        <v>Dedicated</v>
      </c>
      <c r="O1738" t="str">
        <f>_xlfn.XLOOKUP(N:N,'Resource Table'!B:B,'Resource Table'!C:C,"n/a",0,1)</f>
        <v>AFS Dedicated Tech</v>
      </c>
      <c r="P1738" t="str">
        <f>_xlfn.XLOOKUP(N:N,'Resource Table'!B:B,'Resource Table'!D:D,"n/a",0,1)</f>
        <v>Dedicated</v>
      </c>
    </row>
    <row r="1739" spans="1:16" x14ac:dyDescent="0.45">
      <c r="A1739" t="s">
        <v>5403</v>
      </c>
      <c r="B1739" t="s">
        <v>5421</v>
      </c>
      <c r="C1739" t="s">
        <v>5471</v>
      </c>
      <c r="D1739" t="s">
        <v>12110</v>
      </c>
      <c r="E1739" t="s">
        <v>12074</v>
      </c>
      <c r="F1739" t="s">
        <v>13460</v>
      </c>
      <c r="G1739" t="s">
        <v>13461</v>
      </c>
      <c r="H1739" t="s">
        <v>13467</v>
      </c>
      <c r="I1739" t="s">
        <v>29</v>
      </c>
      <c r="J1739" t="s">
        <v>13463</v>
      </c>
      <c r="K1739">
        <v>2</v>
      </c>
      <c r="L1739" t="s">
        <v>13469</v>
      </c>
      <c r="M1739" t="s">
        <v>13668</v>
      </c>
      <c r="N1739" t="str">
        <f>_xlfn.XLOOKUP(C:C,'Resource Table'!A:A,'Resource Table'!B:B,"NOT FOUND",0,1)</f>
        <v>Dedicated</v>
      </c>
      <c r="O1739" t="str">
        <f>_xlfn.XLOOKUP(N:N,'Resource Table'!B:B,'Resource Table'!C:C,"n/a",0,1)</f>
        <v>AFS Dedicated Tech</v>
      </c>
      <c r="P1739" t="str">
        <f>_xlfn.XLOOKUP(N:N,'Resource Table'!B:B,'Resource Table'!D:D,"n/a",0,1)</f>
        <v>Dedicated</v>
      </c>
    </row>
    <row r="1740" spans="1:16" x14ac:dyDescent="0.45">
      <c r="A1740" t="s">
        <v>5407</v>
      </c>
      <c r="B1740" t="s">
        <v>5408</v>
      </c>
      <c r="C1740" t="s">
        <v>5588</v>
      </c>
      <c r="D1740" t="s">
        <v>12111</v>
      </c>
      <c r="E1740" t="s">
        <v>12074</v>
      </c>
      <c r="F1740" t="s">
        <v>13460</v>
      </c>
      <c r="G1740" t="s">
        <v>13676</v>
      </c>
      <c r="H1740" t="s">
        <v>13680</v>
      </c>
      <c r="I1740" t="s">
        <v>6479</v>
      </c>
      <c r="J1740" t="s">
        <v>13463</v>
      </c>
      <c r="K1740">
        <v>0</v>
      </c>
      <c r="L1740" t="s">
        <v>20</v>
      </c>
      <c r="M1740" t="s">
        <v>20</v>
      </c>
      <c r="N1740" t="str">
        <f>_xlfn.XLOOKUP(C:C,'Resource Table'!A:A,'Resource Table'!B:B,"NOT FOUND",0,1)</f>
        <v>Dedicated</v>
      </c>
      <c r="O1740" t="str">
        <f>_xlfn.XLOOKUP(N:N,'Resource Table'!B:B,'Resource Table'!C:C,"n/a",0,1)</f>
        <v>AFS Dedicated Tech</v>
      </c>
      <c r="P1740" t="str">
        <f>_xlfn.XLOOKUP(N:N,'Resource Table'!B:B,'Resource Table'!D:D,"n/a",0,1)</f>
        <v>Dedicated</v>
      </c>
    </row>
    <row r="1741" spans="1:16" x14ac:dyDescent="0.45">
      <c r="A1741" t="s">
        <v>5407</v>
      </c>
      <c r="B1741" t="s">
        <v>5408</v>
      </c>
      <c r="C1741" t="s">
        <v>5504</v>
      </c>
      <c r="D1741" t="s">
        <v>12112</v>
      </c>
      <c r="E1741" t="s">
        <v>12074</v>
      </c>
      <c r="F1741" t="s">
        <v>13460</v>
      </c>
      <c r="G1741" t="s">
        <v>13676</v>
      </c>
      <c r="H1741" t="s">
        <v>13680</v>
      </c>
      <c r="I1741" t="s">
        <v>6479</v>
      </c>
      <c r="J1741" t="s">
        <v>13463</v>
      </c>
      <c r="K1741">
        <v>0</v>
      </c>
      <c r="L1741" t="s">
        <v>20</v>
      </c>
      <c r="M1741" t="s">
        <v>20</v>
      </c>
      <c r="N1741" t="str">
        <f>_xlfn.XLOOKUP(C:C,'Resource Table'!A:A,'Resource Table'!B:B,"NOT FOUND",0,1)</f>
        <v>Dedicated</v>
      </c>
      <c r="O1741" t="str">
        <f>_xlfn.XLOOKUP(N:N,'Resource Table'!B:B,'Resource Table'!C:C,"n/a",0,1)</f>
        <v>AFS Dedicated Tech</v>
      </c>
      <c r="P1741" t="str">
        <f>_xlfn.XLOOKUP(N:N,'Resource Table'!B:B,'Resource Table'!D:D,"n/a",0,1)</f>
        <v>Dedicated</v>
      </c>
    </row>
    <row r="1742" spans="1:16" x14ac:dyDescent="0.45">
      <c r="A1742" t="s">
        <v>5407</v>
      </c>
      <c r="B1742" t="s">
        <v>5408</v>
      </c>
      <c r="C1742" t="s">
        <v>5504</v>
      </c>
      <c r="D1742" t="s">
        <v>12113</v>
      </c>
      <c r="E1742" t="s">
        <v>12074</v>
      </c>
      <c r="F1742" t="s">
        <v>13460</v>
      </c>
      <c r="G1742" t="s">
        <v>13676</v>
      </c>
      <c r="H1742" t="s">
        <v>13718</v>
      </c>
      <c r="I1742" t="s">
        <v>6479</v>
      </c>
      <c r="J1742" t="s">
        <v>13463</v>
      </c>
      <c r="K1742">
        <v>0</v>
      </c>
      <c r="L1742" t="s">
        <v>20</v>
      </c>
      <c r="M1742" t="s">
        <v>20</v>
      </c>
      <c r="N1742" t="str">
        <f>_xlfn.XLOOKUP(C:C,'Resource Table'!A:A,'Resource Table'!B:B,"NOT FOUND",0,1)</f>
        <v>Dedicated</v>
      </c>
      <c r="O1742" t="str">
        <f>_xlfn.XLOOKUP(N:N,'Resource Table'!B:B,'Resource Table'!C:C,"n/a",0,1)</f>
        <v>AFS Dedicated Tech</v>
      </c>
      <c r="P1742" t="str">
        <f>_xlfn.XLOOKUP(N:N,'Resource Table'!B:B,'Resource Table'!D:D,"n/a",0,1)</f>
        <v>Dedicated</v>
      </c>
    </row>
    <row r="1743" spans="1:16" x14ac:dyDescent="0.45">
      <c r="A1743" t="s">
        <v>5407</v>
      </c>
      <c r="B1743" t="s">
        <v>5408</v>
      </c>
      <c r="C1743" t="s">
        <v>5504</v>
      </c>
      <c r="D1743" t="s">
        <v>12114</v>
      </c>
      <c r="E1743" t="s">
        <v>12074</v>
      </c>
      <c r="F1743" t="s">
        <v>13460</v>
      </c>
      <c r="G1743" t="s">
        <v>13461</v>
      </c>
      <c r="H1743" t="s">
        <v>13719</v>
      </c>
      <c r="I1743" t="s">
        <v>6479</v>
      </c>
      <c r="J1743" t="s">
        <v>13463</v>
      </c>
      <c r="K1743">
        <v>0</v>
      </c>
      <c r="L1743" t="s">
        <v>20</v>
      </c>
      <c r="M1743" t="s">
        <v>20</v>
      </c>
      <c r="N1743" t="str">
        <f>_xlfn.XLOOKUP(C:C,'Resource Table'!A:A,'Resource Table'!B:B,"NOT FOUND",0,1)</f>
        <v>Dedicated</v>
      </c>
      <c r="O1743" t="str">
        <f>_xlfn.XLOOKUP(N:N,'Resource Table'!B:B,'Resource Table'!C:C,"n/a",0,1)</f>
        <v>AFS Dedicated Tech</v>
      </c>
      <c r="P1743" t="str">
        <f>_xlfn.XLOOKUP(N:N,'Resource Table'!B:B,'Resource Table'!D:D,"n/a",0,1)</f>
        <v>Dedicated</v>
      </c>
    </row>
    <row r="1744" spans="1:16" x14ac:dyDescent="0.45">
      <c r="A1744" t="s">
        <v>5407</v>
      </c>
      <c r="B1744" t="s">
        <v>5408</v>
      </c>
      <c r="C1744" t="s">
        <v>5490</v>
      </c>
      <c r="D1744" t="s">
        <v>12115</v>
      </c>
      <c r="E1744" t="s">
        <v>12074</v>
      </c>
      <c r="F1744" t="s">
        <v>13460</v>
      </c>
      <c r="G1744" t="s">
        <v>13676</v>
      </c>
      <c r="H1744" t="s">
        <v>13718</v>
      </c>
      <c r="I1744" t="s">
        <v>6479</v>
      </c>
      <c r="J1744" t="s">
        <v>13463</v>
      </c>
      <c r="K1744">
        <v>0</v>
      </c>
      <c r="L1744" t="s">
        <v>20</v>
      </c>
      <c r="M1744" t="s">
        <v>20</v>
      </c>
      <c r="N1744" t="str">
        <f>_xlfn.XLOOKUP(C:C,'Resource Table'!A:A,'Resource Table'!B:B,"NOT FOUND",0,1)</f>
        <v>James Hopkins</v>
      </c>
      <c r="O1744" t="str">
        <f>_xlfn.XLOOKUP(N:N,'Resource Table'!B:B,'Resource Table'!C:C,"n/a",0,1)</f>
        <v>jhopkins5@ameritfleet.com</v>
      </c>
      <c r="P1744" t="str">
        <f>_xlfn.XLOOKUP(N:N,'Resource Table'!B:B,'Resource Table'!D:D,"n/a",0,1)</f>
        <v>Vended Repair</v>
      </c>
    </row>
    <row r="1745" spans="1:16" x14ac:dyDescent="0.45">
      <c r="A1745" t="s">
        <v>5407</v>
      </c>
      <c r="B1745" t="s">
        <v>5408</v>
      </c>
      <c r="C1745" t="s">
        <v>5548</v>
      </c>
      <c r="D1745" t="s">
        <v>12116</v>
      </c>
      <c r="E1745" t="s">
        <v>12074</v>
      </c>
      <c r="F1745" t="s">
        <v>13460</v>
      </c>
      <c r="G1745" t="s">
        <v>13676</v>
      </c>
      <c r="H1745" t="s">
        <v>13680</v>
      </c>
      <c r="I1745" t="s">
        <v>6479</v>
      </c>
      <c r="J1745" t="s">
        <v>13463</v>
      </c>
      <c r="K1745">
        <v>0</v>
      </c>
      <c r="L1745" t="s">
        <v>20</v>
      </c>
      <c r="M1745" t="s">
        <v>20</v>
      </c>
      <c r="N1745" t="str">
        <f>_xlfn.XLOOKUP(C:C,'Resource Table'!A:A,'Resource Table'!B:B,"NOT FOUND",0,1)</f>
        <v>Dedicated</v>
      </c>
      <c r="O1745" t="str">
        <f>_xlfn.XLOOKUP(N:N,'Resource Table'!B:B,'Resource Table'!C:C,"n/a",0,1)</f>
        <v>AFS Dedicated Tech</v>
      </c>
      <c r="P1745" t="str">
        <f>_xlfn.XLOOKUP(N:N,'Resource Table'!B:B,'Resource Table'!D:D,"n/a",0,1)</f>
        <v>Dedicated</v>
      </c>
    </row>
    <row r="1746" spans="1:16" x14ac:dyDescent="0.45">
      <c r="A1746" t="s">
        <v>5407</v>
      </c>
      <c r="B1746" t="s">
        <v>5408</v>
      </c>
      <c r="C1746" t="s">
        <v>5548</v>
      </c>
      <c r="D1746" t="s">
        <v>12117</v>
      </c>
      <c r="E1746" t="s">
        <v>12074</v>
      </c>
      <c r="F1746" t="s">
        <v>13460</v>
      </c>
      <c r="G1746" t="s">
        <v>13685</v>
      </c>
      <c r="H1746" t="s">
        <v>13717</v>
      </c>
      <c r="I1746" t="s">
        <v>6479</v>
      </c>
      <c r="J1746" t="s">
        <v>13463</v>
      </c>
      <c r="K1746">
        <v>0</v>
      </c>
      <c r="L1746" t="s">
        <v>20</v>
      </c>
      <c r="M1746" t="s">
        <v>20</v>
      </c>
      <c r="N1746" t="str">
        <f>_xlfn.XLOOKUP(C:C,'Resource Table'!A:A,'Resource Table'!B:B,"NOT FOUND",0,1)</f>
        <v>Dedicated</v>
      </c>
      <c r="O1746" t="str">
        <f>_xlfn.XLOOKUP(N:N,'Resource Table'!B:B,'Resource Table'!C:C,"n/a",0,1)</f>
        <v>AFS Dedicated Tech</v>
      </c>
      <c r="P1746" t="str">
        <f>_xlfn.XLOOKUP(N:N,'Resource Table'!B:B,'Resource Table'!D:D,"n/a",0,1)</f>
        <v>Dedicated</v>
      </c>
    </row>
    <row r="1747" spans="1:16" x14ac:dyDescent="0.45">
      <c r="A1747" t="s">
        <v>5407</v>
      </c>
      <c r="B1747" t="s">
        <v>5408</v>
      </c>
      <c r="C1747" t="s">
        <v>5548</v>
      </c>
      <c r="D1747" t="s">
        <v>12118</v>
      </c>
      <c r="E1747" t="s">
        <v>12074</v>
      </c>
      <c r="F1747" t="s">
        <v>13689</v>
      </c>
      <c r="G1747" t="s">
        <v>13720</v>
      </c>
      <c r="H1747" t="s">
        <v>13721</v>
      </c>
      <c r="I1747" t="s">
        <v>6479</v>
      </c>
      <c r="J1747" t="s">
        <v>13463</v>
      </c>
      <c r="K1747">
        <v>0</v>
      </c>
      <c r="L1747" t="s">
        <v>20</v>
      </c>
      <c r="M1747" t="s">
        <v>20</v>
      </c>
      <c r="N1747" t="str">
        <f>_xlfn.XLOOKUP(C:C,'Resource Table'!A:A,'Resource Table'!B:B,"NOT FOUND",0,1)</f>
        <v>Dedicated</v>
      </c>
      <c r="O1747" t="str">
        <f>_xlfn.XLOOKUP(N:N,'Resource Table'!B:B,'Resource Table'!C:C,"n/a",0,1)</f>
        <v>AFS Dedicated Tech</v>
      </c>
      <c r="P1747" t="str">
        <f>_xlfn.XLOOKUP(N:N,'Resource Table'!B:B,'Resource Table'!D:D,"n/a",0,1)</f>
        <v>Dedicated</v>
      </c>
    </row>
    <row r="1748" spans="1:16" x14ac:dyDescent="0.45">
      <c r="A1748" t="s">
        <v>5407</v>
      </c>
      <c r="B1748" t="s">
        <v>5408</v>
      </c>
      <c r="C1748" t="s">
        <v>5548</v>
      </c>
      <c r="D1748" t="s">
        <v>12119</v>
      </c>
      <c r="E1748" t="s">
        <v>12074</v>
      </c>
      <c r="F1748" t="s">
        <v>13689</v>
      </c>
      <c r="G1748" t="s">
        <v>13720</v>
      </c>
      <c r="H1748" t="s">
        <v>13722</v>
      </c>
      <c r="I1748" t="s">
        <v>6479</v>
      </c>
      <c r="J1748" t="s">
        <v>13463</v>
      </c>
      <c r="K1748">
        <v>2</v>
      </c>
      <c r="L1748" t="s">
        <v>13466</v>
      </c>
      <c r="M1748" t="s">
        <v>20</v>
      </c>
      <c r="N1748" t="str">
        <f>_xlfn.XLOOKUP(C:C,'Resource Table'!A:A,'Resource Table'!B:B,"NOT FOUND",0,1)</f>
        <v>Dedicated</v>
      </c>
      <c r="O1748" t="str">
        <f>_xlfn.XLOOKUP(N:N,'Resource Table'!B:B,'Resource Table'!C:C,"n/a",0,1)</f>
        <v>AFS Dedicated Tech</v>
      </c>
      <c r="P1748" t="str">
        <f>_xlfn.XLOOKUP(N:N,'Resource Table'!B:B,'Resource Table'!D:D,"n/a",0,1)</f>
        <v>Dedicated</v>
      </c>
    </row>
    <row r="1749" spans="1:16" x14ac:dyDescent="0.45">
      <c r="A1749" t="s">
        <v>5407</v>
      </c>
      <c r="B1749" t="s">
        <v>5408</v>
      </c>
      <c r="C1749" t="s">
        <v>5548</v>
      </c>
      <c r="D1749" t="s">
        <v>12120</v>
      </c>
      <c r="E1749" t="s">
        <v>12074</v>
      </c>
      <c r="F1749" t="s">
        <v>13723</v>
      </c>
      <c r="G1749" t="s">
        <v>13724</v>
      </c>
      <c r="H1749" t="s">
        <v>13725</v>
      </c>
      <c r="I1749" t="s">
        <v>6479</v>
      </c>
      <c r="J1749" t="s">
        <v>13463</v>
      </c>
      <c r="K1749">
        <v>0</v>
      </c>
      <c r="L1749" t="s">
        <v>20</v>
      </c>
      <c r="M1749" t="s">
        <v>20</v>
      </c>
      <c r="N1749" t="str">
        <f>_xlfn.XLOOKUP(C:C,'Resource Table'!A:A,'Resource Table'!B:B,"NOT FOUND",0,1)</f>
        <v>Dedicated</v>
      </c>
      <c r="O1749" t="str">
        <f>_xlfn.XLOOKUP(N:N,'Resource Table'!B:B,'Resource Table'!C:C,"n/a",0,1)</f>
        <v>AFS Dedicated Tech</v>
      </c>
      <c r="P1749" t="str">
        <f>_xlfn.XLOOKUP(N:N,'Resource Table'!B:B,'Resource Table'!D:D,"n/a",0,1)</f>
        <v>Dedicated</v>
      </c>
    </row>
    <row r="1750" spans="1:16" x14ac:dyDescent="0.45">
      <c r="A1750" t="s">
        <v>5407</v>
      </c>
      <c r="B1750" t="s">
        <v>5408</v>
      </c>
      <c r="C1750" t="s">
        <v>5548</v>
      </c>
      <c r="D1750" t="s">
        <v>12121</v>
      </c>
      <c r="E1750" t="s">
        <v>12074</v>
      </c>
      <c r="F1750" t="s">
        <v>13460</v>
      </c>
      <c r="G1750" t="s">
        <v>13676</v>
      </c>
      <c r="H1750" t="s">
        <v>13680</v>
      </c>
      <c r="I1750" t="s">
        <v>6479</v>
      </c>
      <c r="J1750" t="s">
        <v>13463</v>
      </c>
      <c r="K1750">
        <v>0</v>
      </c>
      <c r="L1750" t="s">
        <v>20</v>
      </c>
      <c r="M1750" t="s">
        <v>20</v>
      </c>
      <c r="N1750" t="str">
        <f>_xlfn.XLOOKUP(C:C,'Resource Table'!A:A,'Resource Table'!B:B,"NOT FOUND",0,1)</f>
        <v>Dedicated</v>
      </c>
      <c r="O1750" t="str">
        <f>_xlfn.XLOOKUP(N:N,'Resource Table'!B:B,'Resource Table'!C:C,"n/a",0,1)</f>
        <v>AFS Dedicated Tech</v>
      </c>
      <c r="P1750" t="str">
        <f>_xlfn.XLOOKUP(N:N,'Resource Table'!B:B,'Resource Table'!D:D,"n/a",0,1)</f>
        <v>Dedicated</v>
      </c>
    </row>
    <row r="1751" spans="1:16" x14ac:dyDescent="0.45">
      <c r="A1751" t="s">
        <v>5407</v>
      </c>
      <c r="B1751" t="s">
        <v>5408</v>
      </c>
      <c r="C1751" t="s">
        <v>5548</v>
      </c>
      <c r="D1751" t="s">
        <v>7112</v>
      </c>
      <c r="E1751" t="s">
        <v>12074</v>
      </c>
      <c r="F1751" t="s">
        <v>13619</v>
      </c>
      <c r="G1751" t="s">
        <v>13726</v>
      </c>
      <c r="H1751" t="s">
        <v>13727</v>
      </c>
      <c r="I1751" t="s">
        <v>6479</v>
      </c>
      <c r="J1751" t="s">
        <v>13463</v>
      </c>
      <c r="K1751">
        <v>1</v>
      </c>
      <c r="L1751" t="s">
        <v>13542</v>
      </c>
      <c r="M1751" t="s">
        <v>13505</v>
      </c>
      <c r="N1751" t="str">
        <f>_xlfn.XLOOKUP(C:C,'Resource Table'!A:A,'Resource Table'!B:B,"NOT FOUND",0,1)</f>
        <v>Dedicated</v>
      </c>
      <c r="O1751" t="str">
        <f>_xlfn.XLOOKUP(N:N,'Resource Table'!B:B,'Resource Table'!C:C,"n/a",0,1)</f>
        <v>AFS Dedicated Tech</v>
      </c>
      <c r="P1751" t="str">
        <f>_xlfn.XLOOKUP(N:N,'Resource Table'!B:B,'Resource Table'!D:D,"n/a",0,1)</f>
        <v>Dedicated</v>
      </c>
    </row>
    <row r="1752" spans="1:16" x14ac:dyDescent="0.45">
      <c r="A1752" t="s">
        <v>5443</v>
      </c>
      <c r="B1752" t="s">
        <v>5524</v>
      </c>
      <c r="C1752" t="s">
        <v>5534</v>
      </c>
      <c r="D1752" t="s">
        <v>12122</v>
      </c>
      <c r="E1752" t="s">
        <v>12074</v>
      </c>
      <c r="F1752" t="s">
        <v>13694</v>
      </c>
      <c r="G1752" t="s">
        <v>13728</v>
      </c>
      <c r="H1752" t="s">
        <v>13729</v>
      </c>
      <c r="I1752" t="s">
        <v>29</v>
      </c>
      <c r="J1752" t="s">
        <v>13463</v>
      </c>
      <c r="K1752">
        <v>1</v>
      </c>
      <c r="L1752" t="s">
        <v>13503</v>
      </c>
      <c r="M1752" t="s">
        <v>20</v>
      </c>
      <c r="N1752" t="str">
        <f>_xlfn.XLOOKUP(C:C,'Resource Table'!A:A,'Resource Table'!B:B,"NOT FOUND",0,1)</f>
        <v>Dedicated</v>
      </c>
      <c r="O1752" t="str">
        <f>_xlfn.XLOOKUP(N:N,'Resource Table'!B:B,'Resource Table'!C:C,"n/a",0,1)</f>
        <v>AFS Dedicated Tech</v>
      </c>
      <c r="P1752" t="str">
        <f>_xlfn.XLOOKUP(N:N,'Resource Table'!B:B,'Resource Table'!D:D,"n/a",0,1)</f>
        <v>Dedicated</v>
      </c>
    </row>
    <row r="1753" spans="1:16" x14ac:dyDescent="0.45">
      <c r="A1753" t="s">
        <v>5443</v>
      </c>
      <c r="B1753" t="s">
        <v>5524</v>
      </c>
      <c r="C1753" t="s">
        <v>5534</v>
      </c>
      <c r="D1753" t="s">
        <v>12123</v>
      </c>
      <c r="E1753" t="s">
        <v>12074</v>
      </c>
      <c r="F1753" t="s">
        <v>13689</v>
      </c>
      <c r="G1753" t="s">
        <v>13690</v>
      </c>
      <c r="H1753" t="s">
        <v>13691</v>
      </c>
      <c r="I1753" t="s">
        <v>29</v>
      </c>
      <c r="J1753" t="s">
        <v>13463</v>
      </c>
      <c r="K1753">
        <v>1</v>
      </c>
      <c r="L1753" t="s">
        <v>13468</v>
      </c>
      <c r="M1753" t="s">
        <v>20</v>
      </c>
      <c r="N1753" t="str">
        <f>_xlfn.XLOOKUP(C:C,'Resource Table'!A:A,'Resource Table'!B:B,"NOT FOUND",0,1)</f>
        <v>Dedicated</v>
      </c>
      <c r="O1753" t="str">
        <f>_xlfn.XLOOKUP(N:N,'Resource Table'!B:B,'Resource Table'!C:C,"n/a",0,1)</f>
        <v>AFS Dedicated Tech</v>
      </c>
      <c r="P1753" t="str">
        <f>_xlfn.XLOOKUP(N:N,'Resource Table'!B:B,'Resource Table'!D:D,"n/a",0,1)</f>
        <v>Dedicated</v>
      </c>
    </row>
    <row r="1754" spans="1:16" x14ac:dyDescent="0.45">
      <c r="A1754" t="s">
        <v>5443</v>
      </c>
      <c r="B1754" t="s">
        <v>5524</v>
      </c>
      <c r="C1754" t="s">
        <v>5534</v>
      </c>
      <c r="D1754" t="s">
        <v>12124</v>
      </c>
      <c r="E1754" t="s">
        <v>12074</v>
      </c>
      <c r="F1754" t="s">
        <v>13460</v>
      </c>
      <c r="G1754" t="s">
        <v>13676</v>
      </c>
      <c r="H1754" t="s">
        <v>13680</v>
      </c>
      <c r="I1754" t="s">
        <v>29</v>
      </c>
      <c r="J1754" t="s">
        <v>13463</v>
      </c>
      <c r="K1754">
        <v>1</v>
      </c>
      <c r="L1754" t="s">
        <v>13468</v>
      </c>
      <c r="M1754" t="s">
        <v>20</v>
      </c>
      <c r="N1754" t="str">
        <f>_xlfn.XLOOKUP(C:C,'Resource Table'!A:A,'Resource Table'!B:B,"NOT FOUND",0,1)</f>
        <v>Dedicated</v>
      </c>
      <c r="O1754" t="str">
        <f>_xlfn.XLOOKUP(N:N,'Resource Table'!B:B,'Resource Table'!C:C,"n/a",0,1)</f>
        <v>AFS Dedicated Tech</v>
      </c>
      <c r="P1754" t="str">
        <f>_xlfn.XLOOKUP(N:N,'Resource Table'!B:B,'Resource Table'!D:D,"n/a",0,1)</f>
        <v>Dedicated</v>
      </c>
    </row>
    <row r="1755" spans="1:16" x14ac:dyDescent="0.45">
      <c r="A1755" t="s">
        <v>5443</v>
      </c>
      <c r="B1755" t="s">
        <v>5524</v>
      </c>
      <c r="C1755" t="s">
        <v>5534</v>
      </c>
      <c r="D1755" t="s">
        <v>12125</v>
      </c>
      <c r="E1755" t="s">
        <v>12074</v>
      </c>
      <c r="F1755" t="s">
        <v>13460</v>
      </c>
      <c r="G1755" t="s">
        <v>13461</v>
      </c>
      <c r="H1755" t="s">
        <v>13575</v>
      </c>
      <c r="I1755" t="s">
        <v>29</v>
      </c>
      <c r="J1755" t="s">
        <v>13463</v>
      </c>
      <c r="K1755">
        <v>1</v>
      </c>
      <c r="L1755" t="s">
        <v>13503</v>
      </c>
      <c r="M1755" t="s">
        <v>20</v>
      </c>
      <c r="N1755" t="str">
        <f>_xlfn.XLOOKUP(C:C,'Resource Table'!A:A,'Resource Table'!B:B,"NOT FOUND",0,1)</f>
        <v>Dedicated</v>
      </c>
      <c r="O1755" t="str">
        <f>_xlfn.XLOOKUP(N:N,'Resource Table'!B:B,'Resource Table'!C:C,"n/a",0,1)</f>
        <v>AFS Dedicated Tech</v>
      </c>
      <c r="P1755" t="str">
        <f>_xlfn.XLOOKUP(N:N,'Resource Table'!B:B,'Resource Table'!D:D,"n/a",0,1)</f>
        <v>Dedicated</v>
      </c>
    </row>
    <row r="1756" spans="1:16" x14ac:dyDescent="0.45">
      <c r="A1756" t="s">
        <v>5443</v>
      </c>
      <c r="B1756" t="s">
        <v>5458</v>
      </c>
      <c r="C1756" t="s">
        <v>5519</v>
      </c>
      <c r="D1756" t="s">
        <v>12126</v>
      </c>
      <c r="E1756" t="s">
        <v>12074</v>
      </c>
      <c r="F1756" t="s">
        <v>13460</v>
      </c>
      <c r="G1756" t="s">
        <v>13676</v>
      </c>
      <c r="H1756" t="s">
        <v>13680</v>
      </c>
      <c r="I1756" t="s">
        <v>6479</v>
      </c>
      <c r="J1756" t="s">
        <v>13463</v>
      </c>
      <c r="K1756">
        <v>0</v>
      </c>
      <c r="L1756" t="s">
        <v>20</v>
      </c>
      <c r="M1756" t="s">
        <v>20</v>
      </c>
      <c r="N1756" t="str">
        <f>_xlfn.XLOOKUP(C:C,'Resource Table'!A:A,'Resource Table'!B:B,"NOT FOUND",0,1)</f>
        <v>Dedicated</v>
      </c>
      <c r="O1756" t="str">
        <f>_xlfn.XLOOKUP(N:N,'Resource Table'!B:B,'Resource Table'!C:C,"n/a",0,1)</f>
        <v>AFS Dedicated Tech</v>
      </c>
      <c r="P1756" t="str">
        <f>_xlfn.XLOOKUP(N:N,'Resource Table'!B:B,'Resource Table'!D:D,"n/a",0,1)</f>
        <v>Dedicated</v>
      </c>
    </row>
    <row r="1757" spans="1:16" x14ac:dyDescent="0.45">
      <c r="A1757" t="s">
        <v>5443</v>
      </c>
      <c r="B1757" t="s">
        <v>5444</v>
      </c>
      <c r="C1757" t="s">
        <v>5466</v>
      </c>
      <c r="D1757" t="s">
        <v>12127</v>
      </c>
      <c r="E1757" t="s">
        <v>12074</v>
      </c>
      <c r="F1757" t="s">
        <v>13460</v>
      </c>
      <c r="G1757" t="s">
        <v>13676</v>
      </c>
      <c r="H1757" t="s">
        <v>13693</v>
      </c>
      <c r="I1757" t="s">
        <v>6479</v>
      </c>
      <c r="J1757" t="s">
        <v>13463</v>
      </c>
      <c r="K1757">
        <v>0</v>
      </c>
      <c r="L1757" t="s">
        <v>20</v>
      </c>
      <c r="M1757" t="s">
        <v>20</v>
      </c>
      <c r="N1757" t="str">
        <f>_xlfn.XLOOKUP(C:C,'Resource Table'!A:A,'Resource Table'!B:B,"NOT FOUND",0,1)</f>
        <v>Dedicated</v>
      </c>
      <c r="O1757" t="str">
        <f>_xlfn.XLOOKUP(N:N,'Resource Table'!B:B,'Resource Table'!C:C,"n/a",0,1)</f>
        <v>AFS Dedicated Tech</v>
      </c>
      <c r="P1757" t="str">
        <f>_xlfn.XLOOKUP(N:N,'Resource Table'!B:B,'Resource Table'!D:D,"n/a",0,1)</f>
        <v>Dedicated</v>
      </c>
    </row>
    <row r="1758" spans="1:16" x14ac:dyDescent="0.45">
      <c r="A1758" t="s">
        <v>5443</v>
      </c>
      <c r="B1758" t="s">
        <v>5444</v>
      </c>
      <c r="C1758" t="s">
        <v>5466</v>
      </c>
      <c r="D1758" t="s">
        <v>12128</v>
      </c>
      <c r="E1758" t="s">
        <v>12074</v>
      </c>
      <c r="F1758" t="s">
        <v>13460</v>
      </c>
      <c r="G1758" t="s">
        <v>13676</v>
      </c>
      <c r="H1758" t="s">
        <v>13730</v>
      </c>
      <c r="I1758" t="s">
        <v>29</v>
      </c>
      <c r="J1758" t="s">
        <v>13463</v>
      </c>
      <c r="K1758">
        <v>1</v>
      </c>
      <c r="L1758" t="s">
        <v>13503</v>
      </c>
      <c r="M1758" t="s">
        <v>20</v>
      </c>
      <c r="N1758" t="str">
        <f>_xlfn.XLOOKUP(C:C,'Resource Table'!A:A,'Resource Table'!B:B,"NOT FOUND",0,1)</f>
        <v>Dedicated</v>
      </c>
      <c r="O1758" t="str">
        <f>_xlfn.XLOOKUP(N:N,'Resource Table'!B:B,'Resource Table'!C:C,"n/a",0,1)</f>
        <v>AFS Dedicated Tech</v>
      </c>
      <c r="P1758" t="str">
        <f>_xlfn.XLOOKUP(N:N,'Resource Table'!B:B,'Resource Table'!D:D,"n/a",0,1)</f>
        <v>Dedicated</v>
      </c>
    </row>
    <row r="1759" spans="1:16" x14ac:dyDescent="0.45">
      <c r="A1759" t="s">
        <v>5443</v>
      </c>
      <c r="B1759" t="s">
        <v>5444</v>
      </c>
      <c r="C1759" t="s">
        <v>5466</v>
      </c>
      <c r="D1759" t="s">
        <v>12129</v>
      </c>
      <c r="E1759" t="s">
        <v>12074</v>
      </c>
      <c r="F1759" t="s">
        <v>13712</v>
      </c>
      <c r="G1759" t="s">
        <v>12076</v>
      </c>
      <c r="H1759" t="s">
        <v>13731</v>
      </c>
      <c r="I1759" t="s">
        <v>6479</v>
      </c>
      <c r="J1759" t="s">
        <v>13463</v>
      </c>
      <c r="K1759">
        <v>1</v>
      </c>
      <c r="L1759" t="s">
        <v>13548</v>
      </c>
      <c r="M1759" t="s">
        <v>13472</v>
      </c>
      <c r="N1759" t="str">
        <f>_xlfn.XLOOKUP(C:C,'Resource Table'!A:A,'Resource Table'!B:B,"NOT FOUND",0,1)</f>
        <v>Dedicated</v>
      </c>
      <c r="O1759" t="str">
        <f>_xlfn.XLOOKUP(N:N,'Resource Table'!B:B,'Resource Table'!C:C,"n/a",0,1)</f>
        <v>AFS Dedicated Tech</v>
      </c>
      <c r="P1759" t="str">
        <f>_xlfn.XLOOKUP(N:N,'Resource Table'!B:B,'Resource Table'!D:D,"n/a",0,1)</f>
        <v>Dedicated</v>
      </c>
    </row>
    <row r="1760" spans="1:16" x14ac:dyDescent="0.45">
      <c r="A1760" t="s">
        <v>5443</v>
      </c>
      <c r="B1760" t="s">
        <v>5444</v>
      </c>
      <c r="C1760" t="s">
        <v>5466</v>
      </c>
      <c r="D1760" t="s">
        <v>12130</v>
      </c>
      <c r="E1760" t="s">
        <v>12074</v>
      </c>
      <c r="F1760" t="s">
        <v>13670</v>
      </c>
      <c r="G1760" t="s">
        <v>12076</v>
      </c>
      <c r="H1760" t="s">
        <v>13732</v>
      </c>
      <c r="I1760" t="s">
        <v>29</v>
      </c>
      <c r="J1760" t="s">
        <v>13463</v>
      </c>
      <c r="K1760">
        <v>1</v>
      </c>
      <c r="L1760" t="s">
        <v>13503</v>
      </c>
      <c r="M1760" t="s">
        <v>20</v>
      </c>
      <c r="N1760" t="str">
        <f>_xlfn.XLOOKUP(C:C,'Resource Table'!A:A,'Resource Table'!B:B,"NOT FOUND",0,1)</f>
        <v>Dedicated</v>
      </c>
      <c r="O1760" t="str">
        <f>_xlfn.XLOOKUP(N:N,'Resource Table'!B:B,'Resource Table'!C:C,"n/a",0,1)</f>
        <v>AFS Dedicated Tech</v>
      </c>
      <c r="P1760" t="str">
        <f>_xlfn.XLOOKUP(N:N,'Resource Table'!B:B,'Resource Table'!D:D,"n/a",0,1)</f>
        <v>Dedicated</v>
      </c>
    </row>
    <row r="1761" spans="1:16" x14ac:dyDescent="0.45">
      <c r="A1761" t="s">
        <v>5443</v>
      </c>
      <c r="B1761" t="s">
        <v>5444</v>
      </c>
      <c r="C1761" t="s">
        <v>5460</v>
      </c>
      <c r="D1761" t="s">
        <v>12131</v>
      </c>
      <c r="E1761" t="s">
        <v>12074</v>
      </c>
      <c r="F1761" t="s">
        <v>13460</v>
      </c>
      <c r="G1761" t="s">
        <v>13733</v>
      </c>
      <c r="H1761" t="s">
        <v>13734</v>
      </c>
      <c r="I1761" t="s">
        <v>6479</v>
      </c>
      <c r="J1761" t="s">
        <v>13463</v>
      </c>
      <c r="K1761">
        <v>0</v>
      </c>
      <c r="L1761" t="s">
        <v>20</v>
      </c>
      <c r="M1761" t="s">
        <v>20</v>
      </c>
      <c r="N1761" t="str">
        <f>_xlfn.XLOOKUP(C:C,'Resource Table'!A:A,'Resource Table'!B:B,"NOT FOUND",0,1)</f>
        <v>Dedicated</v>
      </c>
      <c r="O1761" t="str">
        <f>_xlfn.XLOOKUP(N:N,'Resource Table'!B:B,'Resource Table'!C:C,"n/a",0,1)</f>
        <v>AFS Dedicated Tech</v>
      </c>
      <c r="P1761" t="str">
        <f>_xlfn.XLOOKUP(N:N,'Resource Table'!B:B,'Resource Table'!D:D,"n/a",0,1)</f>
        <v>Dedicated</v>
      </c>
    </row>
    <row r="1762" spans="1:16" x14ac:dyDescent="0.45">
      <c r="A1762" t="s">
        <v>5443</v>
      </c>
      <c r="B1762" t="s">
        <v>5444</v>
      </c>
      <c r="C1762" t="s">
        <v>5460</v>
      </c>
      <c r="D1762" t="s">
        <v>12132</v>
      </c>
      <c r="E1762" t="s">
        <v>12074</v>
      </c>
      <c r="F1762" t="s">
        <v>13460</v>
      </c>
      <c r="G1762" t="s">
        <v>13676</v>
      </c>
      <c r="H1762" t="s">
        <v>13730</v>
      </c>
      <c r="I1762" t="s">
        <v>6479</v>
      </c>
      <c r="J1762" t="s">
        <v>13463</v>
      </c>
      <c r="K1762">
        <v>0</v>
      </c>
      <c r="L1762" t="s">
        <v>20</v>
      </c>
      <c r="M1762" t="s">
        <v>20</v>
      </c>
      <c r="N1762" t="str">
        <f>_xlfn.XLOOKUP(C:C,'Resource Table'!A:A,'Resource Table'!B:B,"NOT FOUND",0,1)</f>
        <v>Dedicated</v>
      </c>
      <c r="O1762" t="str">
        <f>_xlfn.XLOOKUP(N:N,'Resource Table'!B:B,'Resource Table'!C:C,"n/a",0,1)</f>
        <v>AFS Dedicated Tech</v>
      </c>
      <c r="P1762" t="str">
        <f>_xlfn.XLOOKUP(N:N,'Resource Table'!B:B,'Resource Table'!D:D,"n/a",0,1)</f>
        <v>Dedicated</v>
      </c>
    </row>
    <row r="1763" spans="1:16" x14ac:dyDescent="0.45">
      <c r="A1763" t="s">
        <v>5443</v>
      </c>
      <c r="B1763" t="s">
        <v>5444</v>
      </c>
      <c r="C1763" t="s">
        <v>5445</v>
      </c>
      <c r="D1763" t="s">
        <v>12133</v>
      </c>
      <c r="E1763" t="s">
        <v>12074</v>
      </c>
      <c r="F1763" t="s">
        <v>13460</v>
      </c>
      <c r="G1763" t="s">
        <v>13461</v>
      </c>
      <c r="H1763" t="s">
        <v>13575</v>
      </c>
      <c r="I1763" t="s">
        <v>6479</v>
      </c>
      <c r="J1763" t="s">
        <v>13463</v>
      </c>
      <c r="K1763">
        <v>0</v>
      </c>
      <c r="L1763" t="s">
        <v>20</v>
      </c>
      <c r="M1763" t="s">
        <v>20</v>
      </c>
      <c r="N1763" t="str">
        <f>_xlfn.XLOOKUP(C:C,'Resource Table'!A:A,'Resource Table'!B:B,"NOT FOUND",0,1)</f>
        <v>Dedicated</v>
      </c>
      <c r="O1763" t="str">
        <f>_xlfn.XLOOKUP(N:N,'Resource Table'!B:B,'Resource Table'!C:C,"n/a",0,1)</f>
        <v>AFS Dedicated Tech</v>
      </c>
      <c r="P1763" t="str">
        <f>_xlfn.XLOOKUP(N:N,'Resource Table'!B:B,'Resource Table'!D:D,"n/a",0,1)</f>
        <v>Dedicated</v>
      </c>
    </row>
    <row r="1764" spans="1:16" x14ac:dyDescent="0.45">
      <c r="A1764" t="s">
        <v>5443</v>
      </c>
      <c r="B1764" t="s">
        <v>5444</v>
      </c>
      <c r="C1764" t="s">
        <v>5445</v>
      </c>
      <c r="D1764" t="s">
        <v>12134</v>
      </c>
      <c r="E1764" t="s">
        <v>12074</v>
      </c>
      <c r="F1764" t="s">
        <v>13460</v>
      </c>
      <c r="G1764" t="s">
        <v>13676</v>
      </c>
      <c r="H1764" t="s">
        <v>13680</v>
      </c>
      <c r="I1764" t="s">
        <v>6479</v>
      </c>
      <c r="J1764" t="s">
        <v>13463</v>
      </c>
      <c r="K1764">
        <v>0</v>
      </c>
      <c r="L1764" t="s">
        <v>20</v>
      </c>
      <c r="M1764" t="s">
        <v>20</v>
      </c>
      <c r="N1764" t="str">
        <f>_xlfn.XLOOKUP(C:C,'Resource Table'!A:A,'Resource Table'!B:B,"NOT FOUND",0,1)</f>
        <v>Dedicated</v>
      </c>
      <c r="O1764" t="str">
        <f>_xlfn.XLOOKUP(N:N,'Resource Table'!B:B,'Resource Table'!C:C,"n/a",0,1)</f>
        <v>AFS Dedicated Tech</v>
      </c>
      <c r="P1764" t="str">
        <f>_xlfn.XLOOKUP(N:N,'Resource Table'!B:B,'Resource Table'!D:D,"n/a",0,1)</f>
        <v>Dedicated</v>
      </c>
    </row>
    <row r="1765" spans="1:16" x14ac:dyDescent="0.45">
      <c r="A1765" t="s">
        <v>5443</v>
      </c>
      <c r="B1765" t="s">
        <v>5444</v>
      </c>
      <c r="C1765" t="s">
        <v>5549</v>
      </c>
      <c r="D1765" t="s">
        <v>12135</v>
      </c>
      <c r="E1765" t="s">
        <v>12074</v>
      </c>
      <c r="F1765" t="s">
        <v>13460</v>
      </c>
      <c r="G1765" t="s">
        <v>13676</v>
      </c>
      <c r="H1765" t="s">
        <v>13730</v>
      </c>
      <c r="I1765" t="s">
        <v>6479</v>
      </c>
      <c r="J1765" t="s">
        <v>13463</v>
      </c>
      <c r="K1765">
        <v>0</v>
      </c>
      <c r="L1765" t="s">
        <v>20</v>
      </c>
      <c r="M1765" t="s">
        <v>20</v>
      </c>
      <c r="N1765" t="str">
        <f>_xlfn.XLOOKUP(C:C,'Resource Table'!A:A,'Resource Table'!B:B,"NOT FOUND",0,1)</f>
        <v>Dedicated</v>
      </c>
      <c r="O1765" t="str">
        <f>_xlfn.XLOOKUP(N:N,'Resource Table'!B:B,'Resource Table'!C:C,"n/a",0,1)</f>
        <v>AFS Dedicated Tech</v>
      </c>
      <c r="P1765" t="str">
        <f>_xlfn.XLOOKUP(N:N,'Resource Table'!B:B,'Resource Table'!D:D,"n/a",0,1)</f>
        <v>Dedicated</v>
      </c>
    </row>
    <row r="1766" spans="1:16" x14ac:dyDescent="0.45">
      <c r="A1766" t="s">
        <v>5443</v>
      </c>
      <c r="B1766" t="s">
        <v>5458</v>
      </c>
      <c r="C1766" t="s">
        <v>5521</v>
      </c>
      <c r="D1766" t="s">
        <v>12136</v>
      </c>
      <c r="E1766" t="s">
        <v>12074</v>
      </c>
      <c r="F1766" t="s">
        <v>13689</v>
      </c>
      <c r="G1766" t="s">
        <v>13690</v>
      </c>
      <c r="H1766" t="s">
        <v>13691</v>
      </c>
      <c r="I1766" t="s">
        <v>6479</v>
      </c>
      <c r="J1766" t="s">
        <v>13463</v>
      </c>
      <c r="K1766">
        <v>0</v>
      </c>
      <c r="L1766" t="s">
        <v>20</v>
      </c>
      <c r="M1766" t="s">
        <v>20</v>
      </c>
      <c r="N1766" t="str">
        <f>_xlfn.XLOOKUP(C:C,'Resource Table'!A:A,'Resource Table'!B:B,"NOT FOUND",0,1)</f>
        <v>Dedicated</v>
      </c>
      <c r="O1766" t="str">
        <f>_xlfn.XLOOKUP(N:N,'Resource Table'!B:B,'Resource Table'!C:C,"n/a",0,1)</f>
        <v>AFS Dedicated Tech</v>
      </c>
      <c r="P1766" t="str">
        <f>_xlfn.XLOOKUP(N:N,'Resource Table'!B:B,'Resource Table'!D:D,"n/a",0,1)</f>
        <v>Dedicated</v>
      </c>
    </row>
    <row r="1767" spans="1:16" x14ac:dyDescent="0.45">
      <c r="A1767" t="s">
        <v>5443</v>
      </c>
      <c r="B1767" t="s">
        <v>5458</v>
      </c>
      <c r="C1767" t="s">
        <v>5459</v>
      </c>
      <c r="D1767" t="s">
        <v>12137</v>
      </c>
      <c r="E1767" t="s">
        <v>12074</v>
      </c>
      <c r="F1767" t="s">
        <v>13460</v>
      </c>
      <c r="G1767" t="s">
        <v>13685</v>
      </c>
      <c r="H1767" t="s">
        <v>13717</v>
      </c>
      <c r="I1767" t="s">
        <v>6479</v>
      </c>
      <c r="J1767" t="s">
        <v>13463</v>
      </c>
      <c r="K1767">
        <v>0</v>
      </c>
      <c r="L1767" t="s">
        <v>20</v>
      </c>
      <c r="M1767" t="s">
        <v>20</v>
      </c>
      <c r="N1767" t="str">
        <f>_xlfn.XLOOKUP(C:C,'Resource Table'!A:A,'Resource Table'!B:B,"NOT FOUND",0,1)</f>
        <v>Dedicated</v>
      </c>
      <c r="O1767" t="str">
        <f>_xlfn.XLOOKUP(N:N,'Resource Table'!B:B,'Resource Table'!C:C,"n/a",0,1)</f>
        <v>AFS Dedicated Tech</v>
      </c>
      <c r="P1767" t="str">
        <f>_xlfn.XLOOKUP(N:N,'Resource Table'!B:B,'Resource Table'!D:D,"n/a",0,1)</f>
        <v>Dedicated</v>
      </c>
    </row>
    <row r="1768" spans="1:16" x14ac:dyDescent="0.45">
      <c r="A1768" t="s">
        <v>5443</v>
      </c>
      <c r="B1768" t="s">
        <v>5458</v>
      </c>
      <c r="C1768" t="s">
        <v>5479</v>
      </c>
      <c r="D1768" t="s">
        <v>12138</v>
      </c>
      <c r="E1768" t="s">
        <v>12074</v>
      </c>
      <c r="F1768" t="s">
        <v>13460</v>
      </c>
      <c r="G1768" t="s">
        <v>13676</v>
      </c>
      <c r="H1768" t="s">
        <v>13730</v>
      </c>
      <c r="I1768" t="s">
        <v>6479</v>
      </c>
      <c r="J1768" t="s">
        <v>13463</v>
      </c>
      <c r="K1768">
        <v>0</v>
      </c>
      <c r="L1768" t="s">
        <v>20</v>
      </c>
      <c r="M1768" t="s">
        <v>20</v>
      </c>
      <c r="N1768" t="str">
        <f>_xlfn.XLOOKUP(C:C,'Resource Table'!A:A,'Resource Table'!B:B,"NOT FOUND",0,1)</f>
        <v>Dedicated</v>
      </c>
      <c r="O1768" t="str">
        <f>_xlfn.XLOOKUP(N:N,'Resource Table'!B:B,'Resource Table'!C:C,"n/a",0,1)</f>
        <v>AFS Dedicated Tech</v>
      </c>
      <c r="P1768" t="str">
        <f>_xlfn.XLOOKUP(N:N,'Resource Table'!B:B,'Resource Table'!D:D,"n/a",0,1)</f>
        <v>Dedicated</v>
      </c>
    </row>
    <row r="1769" spans="1:16" x14ac:dyDescent="0.45">
      <c r="A1769" t="s">
        <v>5443</v>
      </c>
      <c r="B1769" t="s">
        <v>5458</v>
      </c>
      <c r="C1769" t="s">
        <v>5616</v>
      </c>
      <c r="D1769" t="s">
        <v>12139</v>
      </c>
      <c r="E1769" t="s">
        <v>12074</v>
      </c>
      <c r="F1769" t="s">
        <v>13460</v>
      </c>
      <c r="G1769" t="s">
        <v>13676</v>
      </c>
      <c r="H1769" t="s">
        <v>13680</v>
      </c>
      <c r="I1769" t="s">
        <v>6479</v>
      </c>
      <c r="J1769" t="s">
        <v>13463</v>
      </c>
      <c r="K1769">
        <v>0</v>
      </c>
      <c r="L1769" t="s">
        <v>20</v>
      </c>
      <c r="M1769" t="s">
        <v>20</v>
      </c>
      <c r="N1769" t="str">
        <f>_xlfn.XLOOKUP(C:C,'Resource Table'!A:A,'Resource Table'!B:B,"NOT FOUND",0,1)</f>
        <v>Dedicated</v>
      </c>
      <c r="O1769" t="str">
        <f>_xlfn.XLOOKUP(N:N,'Resource Table'!B:B,'Resource Table'!C:C,"n/a",0,1)</f>
        <v>AFS Dedicated Tech</v>
      </c>
      <c r="P1769" t="str">
        <f>_xlfn.XLOOKUP(N:N,'Resource Table'!B:B,'Resource Table'!D:D,"n/a",0,1)</f>
        <v>Dedicated</v>
      </c>
    </row>
    <row r="1770" spans="1:16" x14ac:dyDescent="0.45">
      <c r="A1770" t="s">
        <v>5443</v>
      </c>
      <c r="B1770" t="s">
        <v>5458</v>
      </c>
      <c r="C1770" t="s">
        <v>5616</v>
      </c>
      <c r="D1770" t="s">
        <v>12140</v>
      </c>
      <c r="E1770" t="s">
        <v>12074</v>
      </c>
      <c r="F1770" t="s">
        <v>13460</v>
      </c>
      <c r="G1770" t="s">
        <v>13461</v>
      </c>
      <c r="H1770" t="s">
        <v>13462</v>
      </c>
      <c r="I1770" t="s">
        <v>6479</v>
      </c>
      <c r="J1770" t="s">
        <v>13463</v>
      </c>
      <c r="K1770">
        <v>0</v>
      </c>
      <c r="L1770" t="s">
        <v>20</v>
      </c>
      <c r="M1770" t="s">
        <v>20</v>
      </c>
      <c r="N1770" t="str">
        <f>_xlfn.XLOOKUP(C:C,'Resource Table'!A:A,'Resource Table'!B:B,"NOT FOUND",0,1)</f>
        <v>Dedicated</v>
      </c>
      <c r="O1770" t="str">
        <f>_xlfn.XLOOKUP(N:N,'Resource Table'!B:B,'Resource Table'!C:C,"n/a",0,1)</f>
        <v>AFS Dedicated Tech</v>
      </c>
      <c r="P1770" t="str">
        <f>_xlfn.XLOOKUP(N:N,'Resource Table'!B:B,'Resource Table'!D:D,"n/a",0,1)</f>
        <v>Dedicated</v>
      </c>
    </row>
    <row r="1771" spans="1:16" x14ac:dyDescent="0.45">
      <c r="A1771" t="s">
        <v>5443</v>
      </c>
      <c r="B1771" t="s">
        <v>5458</v>
      </c>
      <c r="C1771" t="s">
        <v>5616</v>
      </c>
      <c r="D1771" t="s">
        <v>12141</v>
      </c>
      <c r="E1771" t="s">
        <v>12074</v>
      </c>
      <c r="F1771" t="s">
        <v>13460</v>
      </c>
      <c r="G1771" t="s">
        <v>13676</v>
      </c>
      <c r="H1771" t="s">
        <v>13680</v>
      </c>
      <c r="I1771" t="s">
        <v>6479</v>
      </c>
      <c r="J1771" t="s">
        <v>13463</v>
      </c>
      <c r="K1771">
        <v>0</v>
      </c>
      <c r="L1771" t="s">
        <v>20</v>
      </c>
      <c r="M1771" t="s">
        <v>20</v>
      </c>
      <c r="N1771" t="str">
        <f>_xlfn.XLOOKUP(C:C,'Resource Table'!A:A,'Resource Table'!B:B,"NOT FOUND",0,1)</f>
        <v>Dedicated</v>
      </c>
      <c r="O1771" t="str">
        <f>_xlfn.XLOOKUP(N:N,'Resource Table'!B:B,'Resource Table'!C:C,"n/a",0,1)</f>
        <v>AFS Dedicated Tech</v>
      </c>
      <c r="P1771" t="str">
        <f>_xlfn.XLOOKUP(N:N,'Resource Table'!B:B,'Resource Table'!D:D,"n/a",0,1)</f>
        <v>Dedicated</v>
      </c>
    </row>
    <row r="1772" spans="1:16" x14ac:dyDescent="0.45">
      <c r="A1772" t="s">
        <v>5443</v>
      </c>
      <c r="B1772" t="s">
        <v>5458</v>
      </c>
      <c r="C1772" t="s">
        <v>5616</v>
      </c>
      <c r="D1772" t="s">
        <v>12142</v>
      </c>
      <c r="E1772" t="s">
        <v>12074</v>
      </c>
      <c r="F1772" t="s">
        <v>13460</v>
      </c>
      <c r="G1772" t="s">
        <v>13687</v>
      </c>
      <c r="H1772" t="s">
        <v>13735</v>
      </c>
      <c r="I1772" t="s">
        <v>6479</v>
      </c>
      <c r="J1772" t="s">
        <v>13463</v>
      </c>
      <c r="K1772">
        <v>0</v>
      </c>
      <c r="L1772" t="s">
        <v>20</v>
      </c>
      <c r="M1772" t="s">
        <v>20</v>
      </c>
      <c r="N1772" t="str">
        <f>_xlfn.XLOOKUP(C:C,'Resource Table'!A:A,'Resource Table'!B:B,"NOT FOUND",0,1)</f>
        <v>Dedicated</v>
      </c>
      <c r="O1772" t="str">
        <f>_xlfn.XLOOKUP(N:N,'Resource Table'!B:B,'Resource Table'!C:C,"n/a",0,1)</f>
        <v>AFS Dedicated Tech</v>
      </c>
      <c r="P1772" t="str">
        <f>_xlfn.XLOOKUP(N:N,'Resource Table'!B:B,'Resource Table'!D:D,"n/a",0,1)</f>
        <v>Dedicated</v>
      </c>
    </row>
    <row r="1773" spans="1:16" x14ac:dyDescent="0.45">
      <c r="A1773" t="s">
        <v>5443</v>
      </c>
      <c r="B1773" t="s">
        <v>5458</v>
      </c>
      <c r="C1773" t="s">
        <v>5616</v>
      </c>
      <c r="D1773" t="s">
        <v>12143</v>
      </c>
      <c r="E1773" t="s">
        <v>12074</v>
      </c>
      <c r="F1773" t="s">
        <v>13460</v>
      </c>
      <c r="G1773" t="s">
        <v>13687</v>
      </c>
      <c r="H1773" t="s">
        <v>13736</v>
      </c>
      <c r="I1773" t="s">
        <v>6479</v>
      </c>
      <c r="J1773" t="s">
        <v>13463</v>
      </c>
      <c r="K1773">
        <v>0</v>
      </c>
      <c r="L1773" t="s">
        <v>20</v>
      </c>
      <c r="M1773" t="s">
        <v>20</v>
      </c>
      <c r="N1773" t="str">
        <f>_xlfn.XLOOKUP(C:C,'Resource Table'!A:A,'Resource Table'!B:B,"NOT FOUND",0,1)</f>
        <v>Dedicated</v>
      </c>
      <c r="O1773" t="str">
        <f>_xlfn.XLOOKUP(N:N,'Resource Table'!B:B,'Resource Table'!C:C,"n/a",0,1)</f>
        <v>AFS Dedicated Tech</v>
      </c>
      <c r="P1773" t="str">
        <f>_xlfn.XLOOKUP(N:N,'Resource Table'!B:B,'Resource Table'!D:D,"n/a",0,1)</f>
        <v>Dedicated</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DCA483-25AC-4C30-83E3-6E58260E9243}">
  <dimension ref="A1:AB129"/>
  <sheetViews>
    <sheetView workbookViewId="0">
      <selection sqref="A1:AB126"/>
    </sheetView>
  </sheetViews>
  <sheetFormatPr defaultRowHeight="14.25" x14ac:dyDescent="0.45"/>
  <cols>
    <col min="1" max="1" width="13.86328125" bestFit="1" customWidth="1"/>
    <col min="2" max="2" width="17.33203125" bestFit="1" customWidth="1"/>
    <col min="3" max="3" width="27.6640625" bestFit="1" customWidth="1"/>
    <col min="9" max="10" width="8.86328125" style="1"/>
    <col min="15" max="16" width="8.86328125" style="1"/>
    <col min="17" max="17" width="19.796875" bestFit="1" customWidth="1"/>
    <col min="18" max="18" width="19" bestFit="1" customWidth="1"/>
    <col min="19" max="19" width="18.33203125" bestFit="1" customWidth="1"/>
    <col min="20" max="20" width="25.6640625" bestFit="1" customWidth="1"/>
    <col min="21" max="21" width="8.86328125" style="1"/>
    <col min="22" max="22" width="17.19921875" style="1" bestFit="1" customWidth="1"/>
    <col min="23" max="24" width="17.796875" bestFit="1" customWidth="1"/>
    <col min="25" max="25" width="16.19921875" bestFit="1" customWidth="1"/>
    <col min="26" max="26" width="23.53125" bestFit="1" customWidth="1"/>
    <col min="27" max="27" width="13.796875" style="1" bestFit="1" customWidth="1"/>
    <col min="28" max="28" width="15.1328125" style="1" bestFit="1" customWidth="1"/>
  </cols>
  <sheetData>
    <row r="1" spans="1:28" x14ac:dyDescent="0.45">
      <c r="A1" t="s">
        <v>6449</v>
      </c>
      <c r="B1" t="s">
        <v>6450</v>
      </c>
      <c r="C1" t="s">
        <v>12051</v>
      </c>
      <c r="D1" t="s">
        <v>12052</v>
      </c>
      <c r="E1" t="s">
        <v>12376</v>
      </c>
      <c r="F1" t="s">
        <v>12053</v>
      </c>
      <c r="G1" t="s">
        <v>12054</v>
      </c>
      <c r="H1" t="s">
        <v>12055</v>
      </c>
      <c r="I1" s="1" t="s">
        <v>12056</v>
      </c>
      <c r="J1" s="1" t="s">
        <v>12057</v>
      </c>
      <c r="K1" t="s">
        <v>12058</v>
      </c>
      <c r="L1" t="s">
        <v>12377</v>
      </c>
      <c r="M1" t="s">
        <v>12059</v>
      </c>
      <c r="N1" t="s">
        <v>12060</v>
      </c>
      <c r="O1" s="1" t="s">
        <v>12061</v>
      </c>
      <c r="P1" s="1" t="s">
        <v>12062</v>
      </c>
      <c r="Q1" t="s">
        <v>12063</v>
      </c>
      <c r="R1" t="s">
        <v>12378</v>
      </c>
      <c r="S1" t="s">
        <v>12064</v>
      </c>
      <c r="T1" t="s">
        <v>12065</v>
      </c>
      <c r="U1" s="1" t="s">
        <v>12066</v>
      </c>
      <c r="V1" s="1" t="s">
        <v>12067</v>
      </c>
      <c r="W1" t="s">
        <v>12068</v>
      </c>
      <c r="X1" t="s">
        <v>12379</v>
      </c>
      <c r="Y1" t="s">
        <v>12069</v>
      </c>
      <c r="Z1" t="s">
        <v>12070</v>
      </c>
      <c r="AA1" s="1" t="s">
        <v>12071</v>
      </c>
      <c r="AB1" s="1" t="s">
        <v>12072</v>
      </c>
    </row>
    <row r="2" spans="1:28" x14ac:dyDescent="0.45">
      <c r="A2" t="s">
        <v>8912</v>
      </c>
      <c r="D2">
        <v>645</v>
      </c>
      <c r="E2">
        <v>656</v>
      </c>
      <c r="F2">
        <v>78</v>
      </c>
      <c r="G2">
        <v>93</v>
      </c>
      <c r="H2">
        <v>-67</v>
      </c>
      <c r="I2" s="1">
        <v>0.88109756100000003</v>
      </c>
      <c r="J2" s="1">
        <v>0.89612403100000004</v>
      </c>
      <c r="K2">
        <v>598</v>
      </c>
      <c r="L2">
        <v>907</v>
      </c>
      <c r="M2">
        <v>198</v>
      </c>
      <c r="N2">
        <v>111</v>
      </c>
      <c r="O2" s="1">
        <v>0.78169790500000003</v>
      </c>
      <c r="P2" s="1">
        <v>1.185618729</v>
      </c>
      <c r="Q2">
        <v>120</v>
      </c>
      <c r="R2">
        <v>116</v>
      </c>
      <c r="S2">
        <v>34</v>
      </c>
      <c r="T2">
        <v>-38</v>
      </c>
      <c r="U2" s="1">
        <v>0.70689655200000001</v>
      </c>
      <c r="V2" s="1">
        <v>0.68333333299999999</v>
      </c>
      <c r="W2">
        <v>1363</v>
      </c>
      <c r="X2">
        <v>1679</v>
      </c>
      <c r="Y2">
        <v>310</v>
      </c>
      <c r="Z2">
        <v>6</v>
      </c>
      <c r="AA2" s="1">
        <v>0.81536628899999997</v>
      </c>
      <c r="AB2" s="1">
        <v>1.004402054</v>
      </c>
    </row>
    <row r="3" spans="1:28" x14ac:dyDescent="0.45">
      <c r="A3" t="s">
        <v>5431</v>
      </c>
      <c r="B3" t="s">
        <v>5431</v>
      </c>
      <c r="C3" t="s">
        <v>5472</v>
      </c>
      <c r="D3">
        <v>13</v>
      </c>
      <c r="E3">
        <v>13</v>
      </c>
      <c r="F3">
        <v>2</v>
      </c>
      <c r="G3">
        <v>3</v>
      </c>
      <c r="H3">
        <v>-2</v>
      </c>
      <c r="I3" s="1">
        <v>0.84615384599999999</v>
      </c>
      <c r="J3" s="1">
        <v>0.84615384599999999</v>
      </c>
      <c r="K3">
        <v>14</v>
      </c>
      <c r="L3">
        <v>18</v>
      </c>
      <c r="M3">
        <v>2</v>
      </c>
      <c r="N3">
        <v>2</v>
      </c>
      <c r="O3" s="1">
        <v>0.88888888899999996</v>
      </c>
      <c r="P3" s="1">
        <v>1.1428571430000001</v>
      </c>
      <c r="Q3">
        <v>0</v>
      </c>
      <c r="R3">
        <v>0</v>
      </c>
      <c r="S3">
        <v>0</v>
      </c>
      <c r="T3">
        <v>0</v>
      </c>
      <c r="W3">
        <v>27</v>
      </c>
      <c r="X3">
        <v>31</v>
      </c>
      <c r="Y3">
        <v>4</v>
      </c>
      <c r="Z3">
        <v>0</v>
      </c>
      <c r="AA3" s="1">
        <v>0.87096774200000004</v>
      </c>
      <c r="AB3" s="1">
        <v>1</v>
      </c>
    </row>
    <row r="4" spans="1:28" x14ac:dyDescent="0.45">
      <c r="A4" t="s">
        <v>5431</v>
      </c>
      <c r="B4" t="s">
        <v>5431</v>
      </c>
      <c r="C4" t="s">
        <v>5432</v>
      </c>
      <c r="D4">
        <v>2</v>
      </c>
      <c r="E4">
        <v>3</v>
      </c>
      <c r="F4">
        <v>0</v>
      </c>
      <c r="G4">
        <v>0</v>
      </c>
      <c r="H4">
        <v>1</v>
      </c>
      <c r="I4" s="1">
        <v>1</v>
      </c>
      <c r="J4" s="1">
        <v>1.5</v>
      </c>
      <c r="K4">
        <v>5</v>
      </c>
      <c r="L4">
        <v>8</v>
      </c>
      <c r="M4">
        <v>0</v>
      </c>
      <c r="N4">
        <v>3</v>
      </c>
      <c r="O4" s="1">
        <v>1</v>
      </c>
      <c r="P4" s="1">
        <v>1.6</v>
      </c>
      <c r="Q4">
        <v>0</v>
      </c>
      <c r="R4">
        <v>0</v>
      </c>
      <c r="S4">
        <v>0</v>
      </c>
      <c r="T4">
        <v>0</v>
      </c>
      <c r="W4">
        <v>7</v>
      </c>
      <c r="X4">
        <v>11</v>
      </c>
      <c r="Y4">
        <v>0</v>
      </c>
      <c r="Z4">
        <v>4</v>
      </c>
      <c r="AA4" s="1">
        <v>1</v>
      </c>
      <c r="AB4" s="1">
        <v>1.571428571</v>
      </c>
    </row>
    <row r="5" spans="1:28" x14ac:dyDescent="0.45">
      <c r="A5" t="s">
        <v>5431</v>
      </c>
      <c r="B5" t="s">
        <v>5431</v>
      </c>
      <c r="C5" t="s">
        <v>5795</v>
      </c>
      <c r="D5">
        <v>4</v>
      </c>
      <c r="E5">
        <v>5</v>
      </c>
      <c r="F5">
        <v>1</v>
      </c>
      <c r="G5">
        <v>1</v>
      </c>
      <c r="H5">
        <v>0</v>
      </c>
      <c r="I5" s="1">
        <v>0.8</v>
      </c>
      <c r="J5" s="1">
        <v>1</v>
      </c>
      <c r="K5">
        <v>2</v>
      </c>
      <c r="L5">
        <v>3</v>
      </c>
      <c r="M5">
        <v>0</v>
      </c>
      <c r="N5">
        <v>1</v>
      </c>
      <c r="O5" s="1">
        <v>1</v>
      </c>
      <c r="P5" s="1">
        <v>1.5</v>
      </c>
      <c r="Q5">
        <v>0</v>
      </c>
      <c r="R5">
        <v>0</v>
      </c>
      <c r="S5">
        <v>0</v>
      </c>
      <c r="T5">
        <v>0</v>
      </c>
      <c r="W5">
        <v>6</v>
      </c>
      <c r="X5">
        <v>8</v>
      </c>
      <c r="Y5">
        <v>1</v>
      </c>
      <c r="Z5">
        <v>1</v>
      </c>
      <c r="AA5" s="1">
        <v>0.875</v>
      </c>
      <c r="AB5" s="1">
        <v>1.1666666670000001</v>
      </c>
    </row>
    <row r="6" spans="1:28" x14ac:dyDescent="0.45">
      <c r="A6" t="s">
        <v>5431</v>
      </c>
      <c r="B6" t="s">
        <v>5431</v>
      </c>
      <c r="C6" t="s">
        <v>5497</v>
      </c>
      <c r="D6">
        <v>12</v>
      </c>
      <c r="E6">
        <v>10</v>
      </c>
      <c r="F6">
        <v>0</v>
      </c>
      <c r="G6">
        <v>1</v>
      </c>
      <c r="H6">
        <v>-2</v>
      </c>
      <c r="I6" s="1">
        <v>1</v>
      </c>
      <c r="J6" s="1">
        <v>0.83333333300000001</v>
      </c>
      <c r="K6">
        <v>4</v>
      </c>
      <c r="L6">
        <v>7</v>
      </c>
      <c r="M6">
        <v>4</v>
      </c>
      <c r="N6">
        <v>-1</v>
      </c>
      <c r="O6" s="1">
        <v>0.428571429</v>
      </c>
      <c r="P6" s="1">
        <v>0.75</v>
      </c>
      <c r="Q6">
        <v>4</v>
      </c>
      <c r="R6">
        <v>2</v>
      </c>
      <c r="S6">
        <v>0</v>
      </c>
      <c r="T6">
        <v>-2</v>
      </c>
      <c r="U6" s="1">
        <v>1</v>
      </c>
      <c r="V6" s="1">
        <v>0.5</v>
      </c>
      <c r="W6">
        <v>20</v>
      </c>
      <c r="X6">
        <v>19</v>
      </c>
      <c r="Y6">
        <v>4</v>
      </c>
      <c r="Z6">
        <v>-5</v>
      </c>
      <c r="AA6" s="1">
        <v>0.78947368399999995</v>
      </c>
      <c r="AB6" s="1">
        <v>0.75</v>
      </c>
    </row>
    <row r="7" spans="1:28" x14ac:dyDescent="0.45">
      <c r="A7" t="s">
        <v>5431</v>
      </c>
      <c r="B7" t="s">
        <v>5431</v>
      </c>
      <c r="C7" t="s">
        <v>5543</v>
      </c>
      <c r="D7">
        <v>0</v>
      </c>
      <c r="E7">
        <v>1</v>
      </c>
      <c r="F7">
        <v>1</v>
      </c>
      <c r="G7">
        <v>0</v>
      </c>
      <c r="H7">
        <v>0</v>
      </c>
      <c r="I7" s="1">
        <v>0</v>
      </c>
      <c r="K7">
        <v>7</v>
      </c>
      <c r="L7">
        <v>12</v>
      </c>
      <c r="M7">
        <v>2</v>
      </c>
      <c r="N7">
        <v>3</v>
      </c>
      <c r="O7" s="1">
        <v>0.83333333300000001</v>
      </c>
      <c r="P7" s="1">
        <v>1.428571429</v>
      </c>
      <c r="Q7">
        <v>0</v>
      </c>
      <c r="R7">
        <v>0</v>
      </c>
      <c r="S7">
        <v>0</v>
      </c>
      <c r="T7">
        <v>0</v>
      </c>
      <c r="W7">
        <v>7</v>
      </c>
      <c r="X7">
        <v>13</v>
      </c>
      <c r="Y7">
        <v>3</v>
      </c>
      <c r="Z7">
        <v>3</v>
      </c>
      <c r="AA7" s="1">
        <v>0.76923076899999998</v>
      </c>
      <c r="AB7" s="1">
        <v>1.428571429</v>
      </c>
    </row>
    <row r="8" spans="1:28" x14ac:dyDescent="0.45">
      <c r="A8" t="s">
        <v>5431</v>
      </c>
      <c r="B8" t="s">
        <v>5431</v>
      </c>
      <c r="C8" t="s">
        <v>5477</v>
      </c>
      <c r="D8">
        <v>8</v>
      </c>
      <c r="E8">
        <v>8</v>
      </c>
      <c r="F8">
        <v>3</v>
      </c>
      <c r="G8">
        <v>3</v>
      </c>
      <c r="H8">
        <v>-3</v>
      </c>
      <c r="I8" s="1">
        <v>0.625</v>
      </c>
      <c r="J8" s="1">
        <v>0.625</v>
      </c>
      <c r="K8">
        <v>5</v>
      </c>
      <c r="L8">
        <v>8</v>
      </c>
      <c r="M8">
        <v>2</v>
      </c>
      <c r="N8">
        <v>1</v>
      </c>
      <c r="O8" s="1">
        <v>0.75</v>
      </c>
      <c r="P8" s="1">
        <v>1.2</v>
      </c>
      <c r="Q8">
        <v>0</v>
      </c>
      <c r="R8">
        <v>0</v>
      </c>
      <c r="S8">
        <v>0</v>
      </c>
      <c r="T8">
        <v>0</v>
      </c>
      <c r="W8">
        <v>13</v>
      </c>
      <c r="X8">
        <v>16</v>
      </c>
      <c r="Y8">
        <v>5</v>
      </c>
      <c r="Z8">
        <v>-2</v>
      </c>
      <c r="AA8" s="1">
        <v>0.6875</v>
      </c>
      <c r="AB8" s="1">
        <v>0.84615384599999999</v>
      </c>
    </row>
    <row r="9" spans="1:28" x14ac:dyDescent="0.45">
      <c r="A9" t="s">
        <v>5431</v>
      </c>
      <c r="B9" t="s">
        <v>5431</v>
      </c>
      <c r="C9" t="s">
        <v>5532</v>
      </c>
      <c r="D9">
        <v>2</v>
      </c>
      <c r="E9">
        <v>2</v>
      </c>
      <c r="F9">
        <v>0</v>
      </c>
      <c r="G9">
        <v>0</v>
      </c>
      <c r="H9">
        <v>0</v>
      </c>
      <c r="I9" s="1">
        <v>1</v>
      </c>
      <c r="J9" s="1">
        <v>1</v>
      </c>
      <c r="K9">
        <v>4</v>
      </c>
      <c r="L9">
        <v>8</v>
      </c>
      <c r="M9">
        <v>0</v>
      </c>
      <c r="N9">
        <v>4</v>
      </c>
      <c r="O9" s="1">
        <v>1</v>
      </c>
      <c r="P9" s="1">
        <v>2</v>
      </c>
      <c r="Q9">
        <v>1</v>
      </c>
      <c r="R9">
        <v>0</v>
      </c>
      <c r="S9">
        <v>0</v>
      </c>
      <c r="T9">
        <v>-1</v>
      </c>
      <c r="V9" s="1">
        <v>0</v>
      </c>
      <c r="W9">
        <v>7</v>
      </c>
      <c r="X9">
        <v>10</v>
      </c>
      <c r="Y9">
        <v>0</v>
      </c>
      <c r="Z9">
        <v>3</v>
      </c>
      <c r="AA9" s="1">
        <v>1</v>
      </c>
      <c r="AB9" s="1">
        <v>1.428571429</v>
      </c>
    </row>
    <row r="10" spans="1:28" x14ac:dyDescent="0.45">
      <c r="A10" t="s">
        <v>5431</v>
      </c>
      <c r="B10" t="s">
        <v>5431</v>
      </c>
      <c r="C10" t="s">
        <v>5674</v>
      </c>
      <c r="D10">
        <v>3</v>
      </c>
      <c r="E10">
        <v>3</v>
      </c>
      <c r="F10">
        <v>1</v>
      </c>
      <c r="G10">
        <v>1</v>
      </c>
      <c r="H10">
        <v>-1</v>
      </c>
      <c r="I10" s="1">
        <v>0.66666666699999999</v>
      </c>
      <c r="J10" s="1">
        <v>0.66666666699999999</v>
      </c>
      <c r="K10">
        <v>3</v>
      </c>
      <c r="L10">
        <v>6</v>
      </c>
      <c r="M10">
        <v>2</v>
      </c>
      <c r="N10">
        <v>1</v>
      </c>
      <c r="O10" s="1">
        <v>0.66666666699999999</v>
      </c>
      <c r="P10" s="1">
        <v>1.3333333329999999</v>
      </c>
      <c r="Q10">
        <v>0</v>
      </c>
      <c r="R10">
        <v>0</v>
      </c>
      <c r="S10">
        <v>0</v>
      </c>
      <c r="T10">
        <v>0</v>
      </c>
      <c r="W10">
        <v>6</v>
      </c>
      <c r="X10">
        <v>9</v>
      </c>
      <c r="Y10">
        <v>3</v>
      </c>
      <c r="Z10">
        <v>0</v>
      </c>
      <c r="AA10" s="1">
        <v>0.66666666699999999</v>
      </c>
      <c r="AB10" s="1">
        <v>1</v>
      </c>
    </row>
    <row r="11" spans="1:28" x14ac:dyDescent="0.45">
      <c r="A11" t="s">
        <v>5431</v>
      </c>
      <c r="B11" t="s">
        <v>5431</v>
      </c>
      <c r="C11" t="s">
        <v>5613</v>
      </c>
      <c r="D11">
        <v>6</v>
      </c>
      <c r="E11">
        <v>6</v>
      </c>
      <c r="F11">
        <v>1</v>
      </c>
      <c r="G11">
        <v>3</v>
      </c>
      <c r="H11">
        <v>-1</v>
      </c>
      <c r="I11" s="1">
        <v>0.83333333300000001</v>
      </c>
      <c r="J11" s="1">
        <v>0.83333333300000001</v>
      </c>
      <c r="K11">
        <v>0</v>
      </c>
      <c r="L11">
        <v>0</v>
      </c>
      <c r="M11">
        <v>0</v>
      </c>
      <c r="N11">
        <v>0</v>
      </c>
      <c r="Q11">
        <v>0</v>
      </c>
      <c r="R11">
        <v>0</v>
      </c>
      <c r="S11">
        <v>0</v>
      </c>
      <c r="T11">
        <v>0</v>
      </c>
      <c r="W11">
        <v>6</v>
      </c>
      <c r="X11">
        <v>6</v>
      </c>
      <c r="Y11">
        <v>1</v>
      </c>
      <c r="Z11">
        <v>-1</v>
      </c>
      <c r="AA11" s="1">
        <v>0.83333333300000001</v>
      </c>
      <c r="AB11" s="1">
        <v>0.83333333300000001</v>
      </c>
    </row>
    <row r="12" spans="1:28" x14ac:dyDescent="0.45">
      <c r="A12" t="s">
        <v>5431</v>
      </c>
      <c r="B12" t="s">
        <v>5431</v>
      </c>
      <c r="C12" t="s">
        <v>5606</v>
      </c>
      <c r="D12">
        <v>5</v>
      </c>
      <c r="E12">
        <v>5</v>
      </c>
      <c r="F12">
        <v>2</v>
      </c>
      <c r="G12">
        <v>0</v>
      </c>
      <c r="H12">
        <v>-2</v>
      </c>
      <c r="I12" s="1">
        <v>0.6</v>
      </c>
      <c r="J12" s="1">
        <v>0.6</v>
      </c>
      <c r="K12">
        <v>1</v>
      </c>
      <c r="L12">
        <v>3</v>
      </c>
      <c r="M12">
        <v>0</v>
      </c>
      <c r="N12">
        <v>2</v>
      </c>
      <c r="O12" s="1">
        <v>1</v>
      </c>
      <c r="P12" s="1">
        <v>3</v>
      </c>
      <c r="Q12">
        <v>0</v>
      </c>
      <c r="R12">
        <v>0</v>
      </c>
      <c r="S12">
        <v>0</v>
      </c>
      <c r="T12">
        <v>0</v>
      </c>
      <c r="W12">
        <v>6</v>
      </c>
      <c r="X12">
        <v>8</v>
      </c>
      <c r="Y12">
        <v>2</v>
      </c>
      <c r="Z12">
        <v>0</v>
      </c>
      <c r="AA12" s="1">
        <v>0.75</v>
      </c>
      <c r="AB12" s="1">
        <v>1</v>
      </c>
    </row>
    <row r="13" spans="1:28" x14ac:dyDescent="0.45">
      <c r="A13" t="s">
        <v>5431</v>
      </c>
      <c r="B13" t="s">
        <v>5431</v>
      </c>
      <c r="C13" t="s">
        <v>5786</v>
      </c>
      <c r="D13">
        <v>2</v>
      </c>
      <c r="E13">
        <v>2</v>
      </c>
      <c r="F13">
        <v>0</v>
      </c>
      <c r="G13">
        <v>0</v>
      </c>
      <c r="H13">
        <v>0</v>
      </c>
      <c r="I13" s="1">
        <v>1</v>
      </c>
      <c r="J13" s="1">
        <v>1</v>
      </c>
      <c r="K13">
        <v>3</v>
      </c>
      <c r="L13">
        <v>4</v>
      </c>
      <c r="M13">
        <v>0</v>
      </c>
      <c r="N13">
        <v>1</v>
      </c>
      <c r="O13" s="1">
        <v>1</v>
      </c>
      <c r="P13" s="1">
        <v>1.3333333329999999</v>
      </c>
      <c r="Q13">
        <v>2</v>
      </c>
      <c r="R13">
        <v>2</v>
      </c>
      <c r="S13">
        <v>1</v>
      </c>
      <c r="T13">
        <v>-1</v>
      </c>
      <c r="U13" s="1">
        <v>0.5</v>
      </c>
      <c r="V13" s="1">
        <v>0.5</v>
      </c>
      <c r="W13">
        <v>7</v>
      </c>
      <c r="X13">
        <v>8</v>
      </c>
      <c r="Y13">
        <v>1</v>
      </c>
      <c r="Z13">
        <v>0</v>
      </c>
      <c r="AA13" s="1">
        <v>0.875</v>
      </c>
      <c r="AB13" s="1">
        <v>1</v>
      </c>
    </row>
    <row r="14" spans="1:28" x14ac:dyDescent="0.45">
      <c r="A14" t="s">
        <v>5431</v>
      </c>
      <c r="B14" t="s">
        <v>5431</v>
      </c>
      <c r="C14" t="s">
        <v>5540</v>
      </c>
      <c r="D14">
        <v>5</v>
      </c>
      <c r="E14">
        <v>5</v>
      </c>
      <c r="F14">
        <v>2</v>
      </c>
      <c r="G14">
        <v>2</v>
      </c>
      <c r="H14">
        <v>-2</v>
      </c>
      <c r="I14" s="1">
        <v>0.6</v>
      </c>
      <c r="J14" s="1">
        <v>0.6</v>
      </c>
      <c r="K14">
        <v>2</v>
      </c>
      <c r="L14">
        <v>4</v>
      </c>
      <c r="M14">
        <v>0</v>
      </c>
      <c r="N14">
        <v>2</v>
      </c>
      <c r="O14" s="1">
        <v>1</v>
      </c>
      <c r="P14" s="1">
        <v>2</v>
      </c>
      <c r="Q14">
        <v>0</v>
      </c>
      <c r="R14">
        <v>0</v>
      </c>
      <c r="S14">
        <v>0</v>
      </c>
      <c r="T14">
        <v>0</v>
      </c>
      <c r="W14">
        <v>7</v>
      </c>
      <c r="X14">
        <v>9</v>
      </c>
      <c r="Y14">
        <v>2</v>
      </c>
      <c r="Z14">
        <v>0</v>
      </c>
      <c r="AA14" s="1">
        <v>0.77777777800000003</v>
      </c>
      <c r="AB14" s="1">
        <v>1</v>
      </c>
    </row>
    <row r="15" spans="1:28" x14ac:dyDescent="0.45">
      <c r="A15" t="s">
        <v>5431</v>
      </c>
      <c r="B15" t="s">
        <v>5431</v>
      </c>
      <c r="C15" t="s">
        <v>5485</v>
      </c>
      <c r="D15">
        <v>3</v>
      </c>
      <c r="E15">
        <v>3</v>
      </c>
      <c r="F15">
        <v>1</v>
      </c>
      <c r="G15">
        <v>1</v>
      </c>
      <c r="H15">
        <v>-1</v>
      </c>
      <c r="I15" s="1">
        <v>0.66666666699999999</v>
      </c>
      <c r="J15" s="1">
        <v>0.66666666699999999</v>
      </c>
      <c r="K15">
        <v>3</v>
      </c>
      <c r="L15">
        <v>3</v>
      </c>
      <c r="M15">
        <v>0</v>
      </c>
      <c r="N15">
        <v>0</v>
      </c>
      <c r="O15" s="1">
        <v>1</v>
      </c>
      <c r="P15" s="1">
        <v>1</v>
      </c>
      <c r="Q15">
        <v>0</v>
      </c>
      <c r="R15">
        <v>0</v>
      </c>
      <c r="S15">
        <v>0</v>
      </c>
      <c r="T15">
        <v>0</v>
      </c>
      <c r="W15">
        <v>6</v>
      </c>
      <c r="X15">
        <v>6</v>
      </c>
      <c r="Y15">
        <v>1</v>
      </c>
      <c r="Z15">
        <v>-1</v>
      </c>
      <c r="AA15" s="1">
        <v>0.83333333300000001</v>
      </c>
      <c r="AB15" s="1">
        <v>0.83333333300000001</v>
      </c>
    </row>
    <row r="16" spans="1:28" x14ac:dyDescent="0.45">
      <c r="A16" t="s">
        <v>5431</v>
      </c>
      <c r="B16" t="s">
        <v>5431</v>
      </c>
      <c r="C16" t="s">
        <v>5669</v>
      </c>
      <c r="D16">
        <v>0</v>
      </c>
      <c r="E16">
        <v>0</v>
      </c>
      <c r="F16">
        <v>0</v>
      </c>
      <c r="G16">
        <v>0</v>
      </c>
      <c r="H16">
        <v>0</v>
      </c>
      <c r="K16">
        <v>3</v>
      </c>
      <c r="L16">
        <v>4</v>
      </c>
      <c r="M16">
        <v>0</v>
      </c>
      <c r="N16">
        <v>1</v>
      </c>
      <c r="O16" s="1">
        <v>1</v>
      </c>
      <c r="P16" s="1">
        <v>1.3333333329999999</v>
      </c>
      <c r="Q16">
        <v>0</v>
      </c>
      <c r="R16">
        <v>0</v>
      </c>
      <c r="S16">
        <v>0</v>
      </c>
      <c r="T16">
        <v>0</v>
      </c>
      <c r="W16">
        <v>3</v>
      </c>
      <c r="X16">
        <v>4</v>
      </c>
      <c r="Y16">
        <v>0</v>
      </c>
      <c r="Z16">
        <v>1</v>
      </c>
      <c r="AA16" s="1">
        <v>1</v>
      </c>
      <c r="AB16" s="1">
        <v>1.3333333329999999</v>
      </c>
    </row>
    <row r="17" spans="1:28" x14ac:dyDescent="0.45">
      <c r="A17" t="s">
        <v>5399</v>
      </c>
      <c r="B17" t="s">
        <v>5410</v>
      </c>
      <c r="C17" t="s">
        <v>5411</v>
      </c>
      <c r="D17">
        <v>3</v>
      </c>
      <c r="E17">
        <v>3</v>
      </c>
      <c r="F17">
        <v>0</v>
      </c>
      <c r="G17">
        <v>3</v>
      </c>
      <c r="H17">
        <v>0</v>
      </c>
      <c r="I17" s="1">
        <v>1</v>
      </c>
      <c r="J17" s="1">
        <v>1</v>
      </c>
      <c r="K17">
        <v>1</v>
      </c>
      <c r="L17">
        <v>2</v>
      </c>
      <c r="M17">
        <v>1</v>
      </c>
      <c r="N17">
        <v>0</v>
      </c>
      <c r="O17" s="1">
        <v>0.5</v>
      </c>
      <c r="P17" s="1">
        <v>1</v>
      </c>
      <c r="Q17">
        <v>1</v>
      </c>
      <c r="R17">
        <v>0</v>
      </c>
      <c r="S17">
        <v>0</v>
      </c>
      <c r="T17">
        <v>-1</v>
      </c>
      <c r="V17" s="1">
        <v>0</v>
      </c>
      <c r="W17">
        <v>5</v>
      </c>
      <c r="X17">
        <v>5</v>
      </c>
      <c r="Y17">
        <v>1</v>
      </c>
      <c r="Z17">
        <v>-1</v>
      </c>
      <c r="AA17" s="1">
        <v>0.8</v>
      </c>
      <c r="AB17" s="1">
        <v>0.8</v>
      </c>
    </row>
    <row r="18" spans="1:28" x14ac:dyDescent="0.45">
      <c r="A18" t="s">
        <v>5399</v>
      </c>
      <c r="B18" t="s">
        <v>5410</v>
      </c>
      <c r="C18" t="s">
        <v>5503</v>
      </c>
      <c r="D18">
        <v>2</v>
      </c>
      <c r="E18">
        <v>3</v>
      </c>
      <c r="F18">
        <v>1</v>
      </c>
      <c r="G18">
        <v>2</v>
      </c>
      <c r="H18">
        <v>0</v>
      </c>
      <c r="I18" s="1">
        <v>0.66666666699999999</v>
      </c>
      <c r="J18" s="1">
        <v>1</v>
      </c>
      <c r="K18">
        <v>6</v>
      </c>
      <c r="L18">
        <v>7</v>
      </c>
      <c r="M18">
        <v>0</v>
      </c>
      <c r="N18">
        <v>1</v>
      </c>
      <c r="O18" s="1">
        <v>1</v>
      </c>
      <c r="P18" s="1">
        <v>1.1666666670000001</v>
      </c>
      <c r="Q18">
        <v>1</v>
      </c>
      <c r="R18">
        <v>1</v>
      </c>
      <c r="S18">
        <v>0</v>
      </c>
      <c r="T18">
        <v>0</v>
      </c>
      <c r="U18" s="1">
        <v>1</v>
      </c>
      <c r="V18" s="1">
        <v>1</v>
      </c>
      <c r="W18">
        <v>9</v>
      </c>
      <c r="X18">
        <v>11</v>
      </c>
      <c r="Y18">
        <v>1</v>
      </c>
      <c r="Z18">
        <v>1</v>
      </c>
      <c r="AA18" s="1">
        <v>0.909090909</v>
      </c>
      <c r="AB18" s="1">
        <v>1.111111111</v>
      </c>
    </row>
    <row r="19" spans="1:28" x14ac:dyDescent="0.45">
      <c r="A19" t="s">
        <v>5399</v>
      </c>
      <c r="B19" t="s">
        <v>5410</v>
      </c>
      <c r="C19" t="s">
        <v>5468</v>
      </c>
      <c r="D19">
        <v>5</v>
      </c>
      <c r="E19">
        <v>4</v>
      </c>
      <c r="F19">
        <v>0</v>
      </c>
      <c r="G19">
        <v>4</v>
      </c>
      <c r="H19">
        <v>-1</v>
      </c>
      <c r="I19" s="1">
        <v>1</v>
      </c>
      <c r="J19" s="1">
        <v>0.8</v>
      </c>
      <c r="K19">
        <v>5</v>
      </c>
      <c r="L19">
        <v>10</v>
      </c>
      <c r="M19">
        <v>3</v>
      </c>
      <c r="N19">
        <v>2</v>
      </c>
      <c r="O19" s="1">
        <v>0.7</v>
      </c>
      <c r="P19" s="1">
        <v>1.4</v>
      </c>
      <c r="Q19">
        <v>1</v>
      </c>
      <c r="R19">
        <v>0</v>
      </c>
      <c r="S19">
        <v>0</v>
      </c>
      <c r="T19">
        <v>-1</v>
      </c>
      <c r="V19" s="1">
        <v>0</v>
      </c>
      <c r="W19">
        <v>11</v>
      </c>
      <c r="X19">
        <v>14</v>
      </c>
      <c r="Y19">
        <v>3</v>
      </c>
      <c r="Z19">
        <v>0</v>
      </c>
      <c r="AA19" s="1">
        <v>0.78571428600000004</v>
      </c>
      <c r="AB19" s="1">
        <v>1</v>
      </c>
    </row>
    <row r="20" spans="1:28" x14ac:dyDescent="0.45">
      <c r="A20" t="s">
        <v>5399</v>
      </c>
      <c r="B20" t="s">
        <v>5410</v>
      </c>
      <c r="C20" t="s">
        <v>5476</v>
      </c>
      <c r="D20">
        <v>1</v>
      </c>
      <c r="E20">
        <v>1</v>
      </c>
      <c r="F20">
        <v>0</v>
      </c>
      <c r="G20">
        <v>0</v>
      </c>
      <c r="H20">
        <v>0</v>
      </c>
      <c r="I20" s="1">
        <v>1</v>
      </c>
      <c r="J20" s="1">
        <v>1</v>
      </c>
      <c r="K20">
        <v>7</v>
      </c>
      <c r="L20">
        <v>9</v>
      </c>
      <c r="M20">
        <v>2</v>
      </c>
      <c r="N20">
        <v>0</v>
      </c>
      <c r="O20" s="1">
        <v>0.77777777800000003</v>
      </c>
      <c r="P20" s="1">
        <v>1</v>
      </c>
      <c r="Q20">
        <v>1</v>
      </c>
      <c r="R20">
        <v>1</v>
      </c>
      <c r="S20">
        <v>0</v>
      </c>
      <c r="T20">
        <v>0</v>
      </c>
      <c r="U20" s="1">
        <v>1</v>
      </c>
      <c r="V20" s="1">
        <v>1</v>
      </c>
      <c r="W20">
        <v>9</v>
      </c>
      <c r="X20">
        <v>11</v>
      </c>
      <c r="Y20">
        <v>2</v>
      </c>
      <c r="Z20">
        <v>0</v>
      </c>
      <c r="AA20" s="1">
        <v>0.81818181800000001</v>
      </c>
      <c r="AB20" s="1">
        <v>1</v>
      </c>
    </row>
    <row r="21" spans="1:28" x14ac:dyDescent="0.45">
      <c r="A21" t="s">
        <v>5399</v>
      </c>
      <c r="B21" t="s">
        <v>5410</v>
      </c>
      <c r="C21" t="s">
        <v>5415</v>
      </c>
      <c r="D21">
        <v>1</v>
      </c>
      <c r="E21">
        <v>1</v>
      </c>
      <c r="F21">
        <v>0</v>
      </c>
      <c r="G21">
        <v>0</v>
      </c>
      <c r="H21">
        <v>0</v>
      </c>
      <c r="I21" s="1">
        <v>1</v>
      </c>
      <c r="J21" s="1">
        <v>1</v>
      </c>
      <c r="K21">
        <v>10</v>
      </c>
      <c r="L21">
        <v>14</v>
      </c>
      <c r="M21">
        <v>2</v>
      </c>
      <c r="N21">
        <v>2</v>
      </c>
      <c r="O21" s="1">
        <v>0.85714285700000004</v>
      </c>
      <c r="P21" s="1">
        <v>1.2</v>
      </c>
      <c r="Q21">
        <v>0</v>
      </c>
      <c r="R21">
        <v>0</v>
      </c>
      <c r="S21">
        <v>0</v>
      </c>
      <c r="T21">
        <v>0</v>
      </c>
      <c r="W21">
        <v>11</v>
      </c>
      <c r="X21">
        <v>15</v>
      </c>
      <c r="Y21">
        <v>2</v>
      </c>
      <c r="Z21">
        <v>2</v>
      </c>
      <c r="AA21" s="1">
        <v>0.86666666699999995</v>
      </c>
      <c r="AB21" s="1">
        <v>1.181818182</v>
      </c>
    </row>
    <row r="22" spans="1:28" x14ac:dyDescent="0.45">
      <c r="A22" t="s">
        <v>5399</v>
      </c>
      <c r="B22" t="s">
        <v>5410</v>
      </c>
      <c r="C22" t="s">
        <v>5636</v>
      </c>
      <c r="D22">
        <v>1</v>
      </c>
      <c r="E22">
        <v>1</v>
      </c>
      <c r="F22">
        <v>0</v>
      </c>
      <c r="G22">
        <v>0</v>
      </c>
      <c r="H22">
        <v>0</v>
      </c>
      <c r="I22" s="1">
        <v>1</v>
      </c>
      <c r="J22" s="1">
        <v>1</v>
      </c>
      <c r="K22">
        <v>8</v>
      </c>
      <c r="L22">
        <v>10</v>
      </c>
      <c r="M22">
        <v>1</v>
      </c>
      <c r="N22">
        <v>1</v>
      </c>
      <c r="O22" s="1">
        <v>0.9</v>
      </c>
      <c r="P22" s="1">
        <v>1.125</v>
      </c>
      <c r="Q22">
        <v>1</v>
      </c>
      <c r="R22">
        <v>0</v>
      </c>
      <c r="S22">
        <v>0</v>
      </c>
      <c r="T22">
        <v>-1</v>
      </c>
      <c r="V22" s="1">
        <v>0</v>
      </c>
      <c r="W22">
        <v>10</v>
      </c>
      <c r="X22">
        <v>11</v>
      </c>
      <c r="Y22">
        <v>1</v>
      </c>
      <c r="Z22">
        <v>0</v>
      </c>
      <c r="AA22" s="1">
        <v>0.909090909</v>
      </c>
      <c r="AB22" s="1">
        <v>1</v>
      </c>
    </row>
    <row r="23" spans="1:28" x14ac:dyDescent="0.45">
      <c r="A23" t="s">
        <v>5399</v>
      </c>
      <c r="B23" t="s">
        <v>5410</v>
      </c>
      <c r="C23" t="s">
        <v>5619</v>
      </c>
      <c r="D23">
        <v>1</v>
      </c>
      <c r="E23">
        <v>1</v>
      </c>
      <c r="F23">
        <v>0</v>
      </c>
      <c r="G23">
        <v>1</v>
      </c>
      <c r="H23">
        <v>0</v>
      </c>
      <c r="I23" s="1">
        <v>1</v>
      </c>
      <c r="J23" s="1">
        <v>1</v>
      </c>
      <c r="K23">
        <v>5</v>
      </c>
      <c r="L23">
        <v>9</v>
      </c>
      <c r="M23">
        <v>0</v>
      </c>
      <c r="N23">
        <v>4</v>
      </c>
      <c r="O23" s="1">
        <v>1</v>
      </c>
      <c r="P23" s="1">
        <v>1.8</v>
      </c>
      <c r="Q23">
        <v>1</v>
      </c>
      <c r="R23">
        <v>0</v>
      </c>
      <c r="S23">
        <v>0</v>
      </c>
      <c r="T23">
        <v>-1</v>
      </c>
      <c r="V23" s="1">
        <v>0</v>
      </c>
      <c r="W23">
        <v>7</v>
      </c>
      <c r="X23">
        <v>10</v>
      </c>
      <c r="Y23">
        <v>0</v>
      </c>
      <c r="Z23">
        <v>3</v>
      </c>
      <c r="AA23" s="1">
        <v>1</v>
      </c>
      <c r="AB23" s="1">
        <v>1.428571429</v>
      </c>
    </row>
    <row r="24" spans="1:28" x14ac:dyDescent="0.45">
      <c r="A24" t="s">
        <v>5399</v>
      </c>
      <c r="B24" t="s">
        <v>5410</v>
      </c>
      <c r="C24" t="s">
        <v>5533</v>
      </c>
      <c r="D24">
        <v>11</v>
      </c>
      <c r="E24">
        <v>12</v>
      </c>
      <c r="F24">
        <v>1</v>
      </c>
      <c r="G24">
        <v>6</v>
      </c>
      <c r="H24">
        <v>0</v>
      </c>
      <c r="I24" s="1">
        <v>0.91666666699999999</v>
      </c>
      <c r="J24" s="1">
        <v>1</v>
      </c>
      <c r="K24">
        <v>5</v>
      </c>
      <c r="L24">
        <v>6</v>
      </c>
      <c r="M24">
        <v>2</v>
      </c>
      <c r="N24">
        <v>-1</v>
      </c>
      <c r="O24" s="1">
        <v>0.66666666699999999</v>
      </c>
      <c r="P24" s="1">
        <v>0.8</v>
      </c>
      <c r="Q24">
        <v>1</v>
      </c>
      <c r="R24">
        <v>0</v>
      </c>
      <c r="S24">
        <v>0</v>
      </c>
      <c r="T24">
        <v>-1</v>
      </c>
      <c r="V24" s="1">
        <v>0</v>
      </c>
      <c r="W24">
        <v>17</v>
      </c>
      <c r="X24">
        <v>18</v>
      </c>
      <c r="Y24">
        <v>3</v>
      </c>
      <c r="Z24">
        <v>-2</v>
      </c>
      <c r="AA24" s="1">
        <v>0.83333333300000001</v>
      </c>
      <c r="AB24" s="1">
        <v>0.88235294099999995</v>
      </c>
    </row>
    <row r="25" spans="1:28" x14ac:dyDescent="0.45">
      <c r="A25" t="s">
        <v>5399</v>
      </c>
      <c r="B25" t="s">
        <v>5410</v>
      </c>
      <c r="C25" t="s">
        <v>5611</v>
      </c>
      <c r="D25">
        <v>3</v>
      </c>
      <c r="E25">
        <v>3</v>
      </c>
      <c r="F25">
        <v>0</v>
      </c>
      <c r="G25">
        <v>0</v>
      </c>
      <c r="H25">
        <v>0</v>
      </c>
      <c r="I25" s="1">
        <v>1</v>
      </c>
      <c r="J25" s="1">
        <v>1</v>
      </c>
      <c r="K25">
        <v>2</v>
      </c>
      <c r="L25">
        <v>3</v>
      </c>
      <c r="M25">
        <v>0</v>
      </c>
      <c r="N25">
        <v>1</v>
      </c>
      <c r="O25" s="1">
        <v>1</v>
      </c>
      <c r="P25" s="1">
        <v>1.5</v>
      </c>
      <c r="Q25">
        <v>0</v>
      </c>
      <c r="R25">
        <v>0</v>
      </c>
      <c r="S25">
        <v>0</v>
      </c>
      <c r="T25">
        <v>0</v>
      </c>
      <c r="W25">
        <v>5</v>
      </c>
      <c r="X25">
        <v>6</v>
      </c>
      <c r="Y25">
        <v>0</v>
      </c>
      <c r="Z25">
        <v>1</v>
      </c>
      <c r="AA25" s="1">
        <v>1</v>
      </c>
      <c r="AB25" s="1">
        <v>1.2</v>
      </c>
    </row>
    <row r="26" spans="1:28" x14ac:dyDescent="0.45">
      <c r="A26" t="s">
        <v>5399</v>
      </c>
      <c r="B26" t="s">
        <v>5412</v>
      </c>
      <c r="C26" t="s">
        <v>5506</v>
      </c>
      <c r="D26">
        <v>2</v>
      </c>
      <c r="E26">
        <v>1</v>
      </c>
      <c r="F26">
        <v>0</v>
      </c>
      <c r="G26">
        <v>0</v>
      </c>
      <c r="H26">
        <v>-1</v>
      </c>
      <c r="I26" s="1">
        <v>1</v>
      </c>
      <c r="J26" s="1">
        <v>0.5</v>
      </c>
      <c r="K26">
        <v>6</v>
      </c>
      <c r="L26">
        <v>10</v>
      </c>
      <c r="M26">
        <v>1</v>
      </c>
      <c r="N26">
        <v>3</v>
      </c>
      <c r="O26" s="1">
        <v>0.9</v>
      </c>
      <c r="P26" s="1">
        <v>1.5</v>
      </c>
      <c r="Q26">
        <v>0</v>
      </c>
      <c r="R26">
        <v>0</v>
      </c>
      <c r="S26">
        <v>0</v>
      </c>
      <c r="T26">
        <v>0</v>
      </c>
      <c r="W26">
        <v>8</v>
      </c>
      <c r="X26">
        <v>11</v>
      </c>
      <c r="Y26">
        <v>1</v>
      </c>
      <c r="Z26">
        <v>2</v>
      </c>
      <c r="AA26" s="1">
        <v>0.909090909</v>
      </c>
      <c r="AB26" s="1">
        <v>1.25</v>
      </c>
    </row>
    <row r="27" spans="1:28" x14ac:dyDescent="0.45">
      <c r="A27" t="s">
        <v>5399</v>
      </c>
      <c r="B27" t="s">
        <v>5412</v>
      </c>
      <c r="C27" t="s">
        <v>5507</v>
      </c>
      <c r="D27">
        <v>10</v>
      </c>
      <c r="E27">
        <v>15</v>
      </c>
      <c r="F27">
        <v>0</v>
      </c>
      <c r="G27">
        <v>3</v>
      </c>
      <c r="H27">
        <v>5</v>
      </c>
      <c r="I27" s="1">
        <v>1</v>
      </c>
      <c r="J27" s="1">
        <v>1.5</v>
      </c>
      <c r="K27">
        <v>3</v>
      </c>
      <c r="L27">
        <v>4</v>
      </c>
      <c r="M27">
        <v>1</v>
      </c>
      <c r="N27">
        <v>0</v>
      </c>
      <c r="O27" s="1">
        <v>0.75</v>
      </c>
      <c r="P27" s="1">
        <v>1</v>
      </c>
      <c r="Q27">
        <v>1</v>
      </c>
      <c r="R27">
        <v>1</v>
      </c>
      <c r="S27">
        <v>0</v>
      </c>
      <c r="T27">
        <v>0</v>
      </c>
      <c r="U27" s="1">
        <v>1</v>
      </c>
      <c r="V27" s="1">
        <v>1</v>
      </c>
      <c r="W27">
        <v>14</v>
      </c>
      <c r="X27">
        <v>20</v>
      </c>
      <c r="Y27">
        <v>1</v>
      </c>
      <c r="Z27">
        <v>5</v>
      </c>
      <c r="AA27" s="1">
        <v>0.95</v>
      </c>
      <c r="AB27" s="1">
        <v>1.3571428569999999</v>
      </c>
    </row>
    <row r="28" spans="1:28" x14ac:dyDescent="0.45">
      <c r="A28" t="s">
        <v>5399</v>
      </c>
      <c r="B28" t="s">
        <v>5412</v>
      </c>
      <c r="C28" t="s">
        <v>5500</v>
      </c>
      <c r="D28">
        <v>6</v>
      </c>
      <c r="E28">
        <v>7</v>
      </c>
      <c r="F28">
        <v>0</v>
      </c>
      <c r="G28">
        <v>5</v>
      </c>
      <c r="H28">
        <v>1</v>
      </c>
      <c r="I28" s="1">
        <v>1</v>
      </c>
      <c r="J28" s="1">
        <v>1.1666666670000001</v>
      </c>
      <c r="K28">
        <v>4</v>
      </c>
      <c r="L28">
        <v>6</v>
      </c>
      <c r="M28">
        <v>2</v>
      </c>
      <c r="N28">
        <v>0</v>
      </c>
      <c r="O28" s="1">
        <v>0.66666666699999999</v>
      </c>
      <c r="P28" s="1">
        <v>1</v>
      </c>
      <c r="Q28">
        <v>1</v>
      </c>
      <c r="R28">
        <v>0</v>
      </c>
      <c r="S28">
        <v>0</v>
      </c>
      <c r="T28">
        <v>-1</v>
      </c>
      <c r="V28" s="1">
        <v>0</v>
      </c>
      <c r="W28">
        <v>11</v>
      </c>
      <c r="X28">
        <v>13</v>
      </c>
      <c r="Y28">
        <v>2</v>
      </c>
      <c r="Z28">
        <v>0</v>
      </c>
      <c r="AA28" s="1">
        <v>0.84615384599999999</v>
      </c>
      <c r="AB28" s="1">
        <v>1</v>
      </c>
    </row>
    <row r="29" spans="1:28" x14ac:dyDescent="0.45">
      <c r="A29" t="s">
        <v>5399</v>
      </c>
      <c r="B29" t="s">
        <v>5412</v>
      </c>
      <c r="C29" t="s">
        <v>5713</v>
      </c>
      <c r="D29">
        <v>2</v>
      </c>
      <c r="E29">
        <v>2</v>
      </c>
      <c r="F29">
        <v>0</v>
      </c>
      <c r="G29">
        <v>0</v>
      </c>
      <c r="H29">
        <v>0</v>
      </c>
      <c r="I29" s="1">
        <v>1</v>
      </c>
      <c r="J29" s="1">
        <v>1</v>
      </c>
      <c r="K29">
        <v>3</v>
      </c>
      <c r="L29">
        <v>4</v>
      </c>
      <c r="M29">
        <v>1</v>
      </c>
      <c r="N29">
        <v>0</v>
      </c>
      <c r="O29" s="1">
        <v>0.75</v>
      </c>
      <c r="P29" s="1">
        <v>1</v>
      </c>
      <c r="Q29">
        <v>1</v>
      </c>
      <c r="R29">
        <v>0</v>
      </c>
      <c r="S29">
        <v>0</v>
      </c>
      <c r="T29">
        <v>-1</v>
      </c>
      <c r="V29" s="1">
        <v>0</v>
      </c>
      <c r="W29">
        <v>6</v>
      </c>
      <c r="X29">
        <v>6</v>
      </c>
      <c r="Y29">
        <v>1</v>
      </c>
      <c r="Z29">
        <v>-1</v>
      </c>
      <c r="AA29" s="1">
        <v>0.83333333300000001</v>
      </c>
      <c r="AB29" s="1">
        <v>0.83333333300000001</v>
      </c>
    </row>
    <row r="30" spans="1:28" x14ac:dyDescent="0.45">
      <c r="A30" t="s">
        <v>5399</v>
      </c>
      <c r="B30" t="s">
        <v>5412</v>
      </c>
      <c r="C30" t="s">
        <v>5428</v>
      </c>
      <c r="D30">
        <v>13</v>
      </c>
      <c r="E30">
        <v>15</v>
      </c>
      <c r="F30">
        <v>2</v>
      </c>
      <c r="G30">
        <v>5</v>
      </c>
      <c r="H30">
        <v>0</v>
      </c>
      <c r="I30" s="1">
        <v>0.86666666699999995</v>
      </c>
      <c r="J30" s="1">
        <v>1</v>
      </c>
      <c r="K30">
        <v>6</v>
      </c>
      <c r="L30">
        <v>13</v>
      </c>
      <c r="M30">
        <v>4</v>
      </c>
      <c r="N30">
        <v>3</v>
      </c>
      <c r="O30" s="1">
        <v>0.69230769199999997</v>
      </c>
      <c r="P30" s="1">
        <v>1.5</v>
      </c>
      <c r="Q30">
        <v>2</v>
      </c>
      <c r="R30">
        <v>0</v>
      </c>
      <c r="S30">
        <v>0</v>
      </c>
      <c r="T30">
        <v>-2</v>
      </c>
      <c r="V30" s="1">
        <v>0</v>
      </c>
      <c r="W30">
        <v>21</v>
      </c>
      <c r="X30">
        <v>28</v>
      </c>
      <c r="Y30">
        <v>6</v>
      </c>
      <c r="Z30">
        <v>1</v>
      </c>
      <c r="AA30" s="1">
        <v>0.78571428600000004</v>
      </c>
      <c r="AB30" s="1">
        <v>1.0476190480000001</v>
      </c>
    </row>
    <row r="31" spans="1:28" x14ac:dyDescent="0.45">
      <c r="A31" t="s">
        <v>5399</v>
      </c>
      <c r="B31" t="s">
        <v>5412</v>
      </c>
      <c r="C31" t="s">
        <v>5531</v>
      </c>
      <c r="D31">
        <v>3</v>
      </c>
      <c r="E31">
        <v>3</v>
      </c>
      <c r="F31">
        <v>0</v>
      </c>
      <c r="G31">
        <v>0</v>
      </c>
      <c r="H31">
        <v>0</v>
      </c>
      <c r="I31" s="1">
        <v>1</v>
      </c>
      <c r="J31" s="1">
        <v>1</v>
      </c>
      <c r="K31">
        <v>3</v>
      </c>
      <c r="L31">
        <v>5</v>
      </c>
      <c r="M31">
        <v>0</v>
      </c>
      <c r="N31">
        <v>2</v>
      </c>
      <c r="O31" s="1">
        <v>1</v>
      </c>
      <c r="P31" s="1">
        <v>1.6666666670000001</v>
      </c>
      <c r="Q31">
        <v>1</v>
      </c>
      <c r="R31">
        <v>0</v>
      </c>
      <c r="S31">
        <v>0</v>
      </c>
      <c r="T31">
        <v>-1</v>
      </c>
      <c r="V31" s="1">
        <v>0</v>
      </c>
      <c r="W31">
        <v>7</v>
      </c>
      <c r="X31">
        <v>8</v>
      </c>
      <c r="Y31">
        <v>0</v>
      </c>
      <c r="Z31">
        <v>1</v>
      </c>
      <c r="AA31" s="1">
        <v>1</v>
      </c>
      <c r="AB31" s="1">
        <v>1.1428571430000001</v>
      </c>
    </row>
    <row r="32" spans="1:28" x14ac:dyDescent="0.45">
      <c r="A32" t="s">
        <v>5399</v>
      </c>
      <c r="B32" t="s">
        <v>5412</v>
      </c>
      <c r="C32" t="s">
        <v>5488</v>
      </c>
      <c r="D32">
        <v>4</v>
      </c>
      <c r="E32">
        <v>3</v>
      </c>
      <c r="F32">
        <v>0</v>
      </c>
      <c r="G32">
        <v>2</v>
      </c>
      <c r="H32">
        <v>-1</v>
      </c>
      <c r="I32" s="1">
        <v>1</v>
      </c>
      <c r="J32" s="1">
        <v>0.75</v>
      </c>
      <c r="K32">
        <v>2</v>
      </c>
      <c r="L32">
        <v>5</v>
      </c>
      <c r="M32">
        <v>1</v>
      </c>
      <c r="N32">
        <v>2</v>
      </c>
      <c r="O32" s="1">
        <v>0.8</v>
      </c>
      <c r="P32" s="1">
        <v>2</v>
      </c>
      <c r="Q32">
        <v>1</v>
      </c>
      <c r="R32">
        <v>0</v>
      </c>
      <c r="S32">
        <v>0</v>
      </c>
      <c r="T32">
        <v>-1</v>
      </c>
      <c r="V32" s="1">
        <v>0</v>
      </c>
      <c r="W32">
        <v>7</v>
      </c>
      <c r="X32">
        <v>8</v>
      </c>
      <c r="Y32">
        <v>1</v>
      </c>
      <c r="Z32">
        <v>0</v>
      </c>
      <c r="AA32" s="1">
        <v>0.875</v>
      </c>
      <c r="AB32" s="1">
        <v>1</v>
      </c>
    </row>
    <row r="33" spans="1:28" x14ac:dyDescent="0.45">
      <c r="A33" t="s">
        <v>5399</v>
      </c>
      <c r="B33" t="s">
        <v>5412</v>
      </c>
      <c r="C33" t="s">
        <v>5413</v>
      </c>
      <c r="D33">
        <v>4</v>
      </c>
      <c r="E33">
        <v>3</v>
      </c>
      <c r="F33">
        <v>0</v>
      </c>
      <c r="G33">
        <v>0</v>
      </c>
      <c r="H33">
        <v>-1</v>
      </c>
      <c r="I33" s="1">
        <v>1</v>
      </c>
      <c r="J33" s="1">
        <v>0.75</v>
      </c>
      <c r="K33">
        <v>11</v>
      </c>
      <c r="L33">
        <v>14</v>
      </c>
      <c r="M33">
        <v>3</v>
      </c>
      <c r="N33">
        <v>0</v>
      </c>
      <c r="O33" s="1">
        <v>0.78571428600000004</v>
      </c>
      <c r="P33" s="1">
        <v>1</v>
      </c>
      <c r="Q33">
        <v>0</v>
      </c>
      <c r="R33">
        <v>1</v>
      </c>
      <c r="S33">
        <v>0</v>
      </c>
      <c r="T33">
        <v>1</v>
      </c>
      <c r="U33" s="1">
        <v>1</v>
      </c>
      <c r="W33">
        <v>15</v>
      </c>
      <c r="X33">
        <v>18</v>
      </c>
      <c r="Y33">
        <v>3</v>
      </c>
      <c r="Z33">
        <v>0</v>
      </c>
      <c r="AA33" s="1">
        <v>0.83333333300000001</v>
      </c>
      <c r="AB33" s="1">
        <v>1</v>
      </c>
    </row>
    <row r="34" spans="1:28" x14ac:dyDescent="0.45">
      <c r="A34" t="s">
        <v>5399</v>
      </c>
      <c r="B34" t="s">
        <v>5412</v>
      </c>
      <c r="C34" t="s">
        <v>5489</v>
      </c>
      <c r="D34">
        <v>3</v>
      </c>
      <c r="E34">
        <v>3</v>
      </c>
      <c r="F34">
        <v>1</v>
      </c>
      <c r="G34">
        <v>0</v>
      </c>
      <c r="H34">
        <v>-1</v>
      </c>
      <c r="I34" s="1">
        <v>0.66666666699999999</v>
      </c>
      <c r="J34" s="1">
        <v>0.66666666699999999</v>
      </c>
      <c r="K34">
        <v>1</v>
      </c>
      <c r="L34">
        <v>3</v>
      </c>
      <c r="M34">
        <v>0</v>
      </c>
      <c r="N34">
        <v>2</v>
      </c>
      <c r="O34" s="1">
        <v>1</v>
      </c>
      <c r="P34" s="1">
        <v>3</v>
      </c>
      <c r="Q34">
        <v>1</v>
      </c>
      <c r="R34">
        <v>0</v>
      </c>
      <c r="S34">
        <v>0</v>
      </c>
      <c r="T34">
        <v>-1</v>
      </c>
      <c r="V34" s="1">
        <v>0</v>
      </c>
      <c r="W34">
        <v>5</v>
      </c>
      <c r="X34">
        <v>6</v>
      </c>
      <c r="Y34">
        <v>1</v>
      </c>
      <c r="Z34">
        <v>0</v>
      </c>
      <c r="AA34" s="1">
        <v>0.83333333300000001</v>
      </c>
      <c r="AB34" s="1">
        <v>1</v>
      </c>
    </row>
    <row r="35" spans="1:28" x14ac:dyDescent="0.45">
      <c r="A35" t="s">
        <v>5399</v>
      </c>
      <c r="B35" t="s">
        <v>5412</v>
      </c>
      <c r="C35" t="s">
        <v>5463</v>
      </c>
      <c r="D35">
        <v>7</v>
      </c>
      <c r="E35">
        <v>5</v>
      </c>
      <c r="F35">
        <v>0</v>
      </c>
      <c r="G35">
        <v>0</v>
      </c>
      <c r="H35">
        <v>-2</v>
      </c>
      <c r="I35" s="1">
        <v>1</v>
      </c>
      <c r="J35" s="1">
        <v>0.71428571399999996</v>
      </c>
      <c r="K35">
        <v>0</v>
      </c>
      <c r="L35">
        <v>3</v>
      </c>
      <c r="M35">
        <v>1</v>
      </c>
      <c r="N35">
        <v>2</v>
      </c>
      <c r="O35" s="1">
        <v>0.66666666699999999</v>
      </c>
      <c r="Q35">
        <v>1</v>
      </c>
      <c r="R35">
        <v>0</v>
      </c>
      <c r="S35">
        <v>0</v>
      </c>
      <c r="T35">
        <v>-1</v>
      </c>
      <c r="V35" s="1">
        <v>0</v>
      </c>
      <c r="W35">
        <v>8</v>
      </c>
      <c r="X35">
        <v>8</v>
      </c>
      <c r="Y35">
        <v>1</v>
      </c>
      <c r="Z35">
        <v>-1</v>
      </c>
      <c r="AA35" s="1">
        <v>0.875</v>
      </c>
      <c r="AB35" s="1">
        <v>0.875</v>
      </c>
    </row>
    <row r="36" spans="1:28" x14ac:dyDescent="0.45">
      <c r="A36" t="s">
        <v>5399</v>
      </c>
      <c r="B36" t="s">
        <v>5400</v>
      </c>
      <c r="C36" t="s">
        <v>5667</v>
      </c>
      <c r="D36">
        <v>6</v>
      </c>
      <c r="E36">
        <v>6</v>
      </c>
      <c r="F36">
        <v>0</v>
      </c>
      <c r="G36">
        <v>0</v>
      </c>
      <c r="H36">
        <v>0</v>
      </c>
      <c r="I36" s="1">
        <v>1</v>
      </c>
      <c r="J36" s="1">
        <v>1</v>
      </c>
      <c r="K36">
        <v>4</v>
      </c>
      <c r="L36">
        <v>6</v>
      </c>
      <c r="M36">
        <v>0</v>
      </c>
      <c r="N36">
        <v>2</v>
      </c>
      <c r="O36" s="1">
        <v>1</v>
      </c>
      <c r="P36" s="1">
        <v>1.5</v>
      </c>
      <c r="Q36">
        <v>0</v>
      </c>
      <c r="R36">
        <v>0</v>
      </c>
      <c r="S36">
        <v>0</v>
      </c>
      <c r="T36">
        <v>0</v>
      </c>
      <c r="W36">
        <v>10</v>
      </c>
      <c r="X36">
        <v>12</v>
      </c>
      <c r="Y36">
        <v>0</v>
      </c>
      <c r="Z36">
        <v>2</v>
      </c>
      <c r="AA36" s="1">
        <v>1</v>
      </c>
      <c r="AB36" s="1">
        <v>1.2</v>
      </c>
    </row>
    <row r="37" spans="1:28" x14ac:dyDescent="0.45">
      <c r="A37" t="s">
        <v>5399</v>
      </c>
      <c r="B37" t="s">
        <v>5400</v>
      </c>
      <c r="C37" t="s">
        <v>5401</v>
      </c>
      <c r="D37">
        <v>19</v>
      </c>
      <c r="E37">
        <v>19</v>
      </c>
      <c r="F37">
        <v>0</v>
      </c>
      <c r="G37">
        <v>0</v>
      </c>
      <c r="H37">
        <v>0</v>
      </c>
      <c r="I37" s="1">
        <v>1</v>
      </c>
      <c r="J37" s="1">
        <v>1</v>
      </c>
      <c r="K37">
        <v>16</v>
      </c>
      <c r="L37">
        <v>20</v>
      </c>
      <c r="M37">
        <v>4</v>
      </c>
      <c r="N37">
        <v>0</v>
      </c>
      <c r="O37" s="1">
        <v>0.8</v>
      </c>
      <c r="P37" s="1">
        <v>1</v>
      </c>
      <c r="Q37">
        <v>6</v>
      </c>
      <c r="R37">
        <v>6</v>
      </c>
      <c r="S37">
        <v>1</v>
      </c>
      <c r="T37">
        <v>-1</v>
      </c>
      <c r="U37" s="1">
        <v>0.83333333300000001</v>
      </c>
      <c r="V37" s="1">
        <v>0.83333333300000001</v>
      </c>
      <c r="W37">
        <v>41</v>
      </c>
      <c r="X37">
        <v>45</v>
      </c>
      <c r="Y37">
        <v>5</v>
      </c>
      <c r="Z37">
        <v>-1</v>
      </c>
      <c r="AA37" s="1">
        <v>0.88888888899999996</v>
      </c>
      <c r="AB37" s="1">
        <v>0.97560975599999999</v>
      </c>
    </row>
    <row r="38" spans="1:28" x14ac:dyDescent="0.45">
      <c r="A38" t="s">
        <v>5399</v>
      </c>
      <c r="B38" t="s">
        <v>5400</v>
      </c>
      <c r="C38" t="s">
        <v>5645</v>
      </c>
      <c r="D38">
        <v>3</v>
      </c>
      <c r="E38">
        <v>3</v>
      </c>
      <c r="F38">
        <v>0</v>
      </c>
      <c r="G38">
        <v>0</v>
      </c>
      <c r="H38">
        <v>0</v>
      </c>
      <c r="I38" s="1">
        <v>1</v>
      </c>
      <c r="J38" s="1">
        <v>1</v>
      </c>
      <c r="K38">
        <v>2</v>
      </c>
      <c r="L38">
        <v>3</v>
      </c>
      <c r="M38">
        <v>0</v>
      </c>
      <c r="N38">
        <v>1</v>
      </c>
      <c r="O38" s="1">
        <v>1</v>
      </c>
      <c r="P38" s="1">
        <v>1.5</v>
      </c>
      <c r="Q38">
        <v>0</v>
      </c>
      <c r="R38">
        <v>0</v>
      </c>
      <c r="S38">
        <v>0</v>
      </c>
      <c r="T38">
        <v>0</v>
      </c>
      <c r="W38">
        <v>5</v>
      </c>
      <c r="X38">
        <v>6</v>
      </c>
      <c r="Y38">
        <v>0</v>
      </c>
      <c r="Z38">
        <v>1</v>
      </c>
      <c r="AA38" s="1">
        <v>1</v>
      </c>
      <c r="AB38" s="1">
        <v>1.2</v>
      </c>
    </row>
    <row r="39" spans="1:28" x14ac:dyDescent="0.45">
      <c r="A39" t="s">
        <v>5399</v>
      </c>
      <c r="B39" t="s">
        <v>5400</v>
      </c>
      <c r="C39" t="s">
        <v>5508</v>
      </c>
      <c r="D39">
        <v>2</v>
      </c>
      <c r="E39">
        <v>3</v>
      </c>
      <c r="F39">
        <v>1</v>
      </c>
      <c r="G39">
        <v>0</v>
      </c>
      <c r="H39">
        <v>0</v>
      </c>
      <c r="I39" s="1">
        <v>0.66666666699999999</v>
      </c>
      <c r="J39" s="1">
        <v>1</v>
      </c>
      <c r="K39">
        <v>4</v>
      </c>
      <c r="L39">
        <v>11</v>
      </c>
      <c r="M39">
        <v>3</v>
      </c>
      <c r="N39">
        <v>4</v>
      </c>
      <c r="O39" s="1">
        <v>0.72727272700000001</v>
      </c>
      <c r="P39" s="1">
        <v>2</v>
      </c>
      <c r="Q39">
        <v>1</v>
      </c>
      <c r="R39">
        <v>2</v>
      </c>
      <c r="S39">
        <v>2</v>
      </c>
      <c r="T39">
        <v>-1</v>
      </c>
      <c r="U39" s="1">
        <v>0</v>
      </c>
      <c r="V39" s="1">
        <v>0</v>
      </c>
      <c r="W39">
        <v>7</v>
      </c>
      <c r="X39">
        <v>16</v>
      </c>
      <c r="Y39">
        <v>6</v>
      </c>
      <c r="Z39">
        <v>3</v>
      </c>
      <c r="AA39" s="1">
        <v>0.625</v>
      </c>
      <c r="AB39" s="1">
        <v>1.428571429</v>
      </c>
    </row>
    <row r="40" spans="1:28" x14ac:dyDescent="0.45">
      <c r="A40" t="s">
        <v>5399</v>
      </c>
      <c r="B40" t="s">
        <v>5400</v>
      </c>
      <c r="C40" t="s">
        <v>5843</v>
      </c>
      <c r="D40">
        <v>2</v>
      </c>
      <c r="E40">
        <v>2</v>
      </c>
      <c r="F40">
        <v>1</v>
      </c>
      <c r="G40">
        <v>1</v>
      </c>
      <c r="H40">
        <v>-1</v>
      </c>
      <c r="I40" s="1">
        <v>0.5</v>
      </c>
      <c r="J40" s="1">
        <v>0.5</v>
      </c>
      <c r="K40">
        <v>2</v>
      </c>
      <c r="L40">
        <v>2</v>
      </c>
      <c r="M40">
        <v>0</v>
      </c>
      <c r="N40">
        <v>0</v>
      </c>
      <c r="O40" s="1">
        <v>1</v>
      </c>
      <c r="P40" s="1">
        <v>1</v>
      </c>
      <c r="Q40">
        <v>1</v>
      </c>
      <c r="R40">
        <v>0</v>
      </c>
      <c r="S40">
        <v>0</v>
      </c>
      <c r="T40">
        <v>-1</v>
      </c>
      <c r="V40" s="1">
        <v>0</v>
      </c>
      <c r="W40">
        <v>5</v>
      </c>
      <c r="X40">
        <v>4</v>
      </c>
      <c r="Y40">
        <v>1</v>
      </c>
      <c r="Z40">
        <v>-2</v>
      </c>
      <c r="AA40" s="1">
        <v>0.75</v>
      </c>
      <c r="AB40" s="1">
        <v>0.6</v>
      </c>
    </row>
    <row r="41" spans="1:28" x14ac:dyDescent="0.45">
      <c r="A41" t="s">
        <v>5399</v>
      </c>
      <c r="B41" t="s">
        <v>5400</v>
      </c>
      <c r="C41" t="s">
        <v>5605</v>
      </c>
      <c r="D41">
        <v>9</v>
      </c>
      <c r="E41">
        <v>10</v>
      </c>
      <c r="F41">
        <v>0</v>
      </c>
      <c r="G41">
        <v>3</v>
      </c>
      <c r="H41">
        <v>1</v>
      </c>
      <c r="I41" s="1">
        <v>1</v>
      </c>
      <c r="J41" s="1">
        <v>1.111111111</v>
      </c>
      <c r="K41">
        <v>2</v>
      </c>
      <c r="L41">
        <v>4</v>
      </c>
      <c r="M41">
        <v>1</v>
      </c>
      <c r="N41">
        <v>1</v>
      </c>
      <c r="O41" s="1">
        <v>0.75</v>
      </c>
      <c r="P41" s="1">
        <v>1.5</v>
      </c>
      <c r="Q41">
        <v>1</v>
      </c>
      <c r="R41">
        <v>0</v>
      </c>
      <c r="S41">
        <v>0</v>
      </c>
      <c r="T41">
        <v>-1</v>
      </c>
      <c r="V41" s="1">
        <v>0</v>
      </c>
      <c r="W41">
        <v>12</v>
      </c>
      <c r="X41">
        <v>14</v>
      </c>
      <c r="Y41">
        <v>1</v>
      </c>
      <c r="Z41">
        <v>1</v>
      </c>
      <c r="AA41" s="1">
        <v>0.928571429</v>
      </c>
      <c r="AB41" s="1">
        <v>1.0833333329999999</v>
      </c>
    </row>
    <row r="42" spans="1:28" x14ac:dyDescent="0.45">
      <c r="A42" t="s">
        <v>5399</v>
      </c>
      <c r="B42" t="s">
        <v>5400</v>
      </c>
      <c r="C42" t="s">
        <v>5630</v>
      </c>
      <c r="D42">
        <v>3</v>
      </c>
      <c r="E42">
        <v>3</v>
      </c>
      <c r="F42">
        <v>1</v>
      </c>
      <c r="G42">
        <v>0</v>
      </c>
      <c r="H42">
        <v>-1</v>
      </c>
      <c r="I42" s="1">
        <v>0.66666666699999999</v>
      </c>
      <c r="J42" s="1">
        <v>0.66666666699999999</v>
      </c>
      <c r="K42">
        <v>3</v>
      </c>
      <c r="L42">
        <v>5</v>
      </c>
      <c r="M42">
        <v>1</v>
      </c>
      <c r="N42">
        <v>1</v>
      </c>
      <c r="O42" s="1">
        <v>0.8</v>
      </c>
      <c r="P42" s="1">
        <v>1.3333333329999999</v>
      </c>
      <c r="Q42">
        <v>1</v>
      </c>
      <c r="R42">
        <v>0</v>
      </c>
      <c r="S42">
        <v>0</v>
      </c>
      <c r="T42">
        <v>-1</v>
      </c>
      <c r="V42" s="1">
        <v>0</v>
      </c>
      <c r="W42">
        <v>7</v>
      </c>
      <c r="X42">
        <v>8</v>
      </c>
      <c r="Y42">
        <v>2</v>
      </c>
      <c r="Z42">
        <v>-1</v>
      </c>
      <c r="AA42" s="1">
        <v>0.75</v>
      </c>
      <c r="AB42" s="1">
        <v>0.85714285700000004</v>
      </c>
    </row>
    <row r="43" spans="1:28" x14ac:dyDescent="0.45">
      <c r="A43" t="s">
        <v>5399</v>
      </c>
      <c r="B43" t="s">
        <v>5400</v>
      </c>
      <c r="C43" t="s">
        <v>5671</v>
      </c>
      <c r="D43">
        <v>8</v>
      </c>
      <c r="E43">
        <v>8</v>
      </c>
      <c r="F43">
        <v>0</v>
      </c>
      <c r="G43">
        <v>0</v>
      </c>
      <c r="H43">
        <v>0</v>
      </c>
      <c r="I43" s="1">
        <v>1</v>
      </c>
      <c r="J43" s="1">
        <v>1</v>
      </c>
      <c r="K43">
        <v>2</v>
      </c>
      <c r="L43">
        <v>3</v>
      </c>
      <c r="M43">
        <v>0</v>
      </c>
      <c r="N43">
        <v>1</v>
      </c>
      <c r="O43" s="1">
        <v>1</v>
      </c>
      <c r="P43" s="1">
        <v>1.5</v>
      </c>
      <c r="Q43">
        <v>0</v>
      </c>
      <c r="R43">
        <v>0</v>
      </c>
      <c r="S43">
        <v>0</v>
      </c>
      <c r="T43">
        <v>0</v>
      </c>
      <c r="W43">
        <v>10</v>
      </c>
      <c r="X43">
        <v>11</v>
      </c>
      <c r="Y43">
        <v>0</v>
      </c>
      <c r="Z43">
        <v>1</v>
      </c>
      <c r="AA43" s="1">
        <v>1</v>
      </c>
      <c r="AB43" s="1">
        <v>1.1000000000000001</v>
      </c>
    </row>
    <row r="44" spans="1:28" x14ac:dyDescent="0.45">
      <c r="A44" t="s">
        <v>5399</v>
      </c>
      <c r="B44" t="s">
        <v>5400</v>
      </c>
      <c r="C44" t="s">
        <v>5610</v>
      </c>
      <c r="D44">
        <v>2</v>
      </c>
      <c r="E44">
        <v>3</v>
      </c>
      <c r="F44">
        <v>1</v>
      </c>
      <c r="G44">
        <v>0</v>
      </c>
      <c r="H44">
        <v>0</v>
      </c>
      <c r="I44" s="1">
        <v>0.66666666699999999</v>
      </c>
      <c r="J44" s="1">
        <v>1</v>
      </c>
      <c r="K44">
        <v>2</v>
      </c>
      <c r="L44">
        <v>3</v>
      </c>
      <c r="M44">
        <v>1</v>
      </c>
      <c r="N44">
        <v>0</v>
      </c>
      <c r="O44" s="1">
        <v>0.66666666699999999</v>
      </c>
      <c r="P44" s="1">
        <v>1</v>
      </c>
      <c r="Q44">
        <v>0</v>
      </c>
      <c r="R44">
        <v>0</v>
      </c>
      <c r="S44">
        <v>0</v>
      </c>
      <c r="T44">
        <v>0</v>
      </c>
      <c r="W44">
        <v>4</v>
      </c>
      <c r="X44">
        <v>6</v>
      </c>
      <c r="Y44">
        <v>2</v>
      </c>
      <c r="Z44">
        <v>0</v>
      </c>
      <c r="AA44" s="1">
        <v>0.66666666699999999</v>
      </c>
      <c r="AB44" s="1">
        <v>1</v>
      </c>
    </row>
    <row r="45" spans="1:28" x14ac:dyDescent="0.45">
      <c r="A45" t="s">
        <v>5399</v>
      </c>
      <c r="B45" t="s">
        <v>5400</v>
      </c>
      <c r="C45" t="s">
        <v>5560</v>
      </c>
      <c r="D45">
        <v>13</v>
      </c>
      <c r="E45">
        <v>14</v>
      </c>
      <c r="F45">
        <v>2</v>
      </c>
      <c r="G45">
        <v>3</v>
      </c>
      <c r="H45">
        <v>-1</v>
      </c>
      <c r="I45" s="1">
        <v>0.85714285700000004</v>
      </c>
      <c r="J45" s="1">
        <v>0.92307692299999999</v>
      </c>
      <c r="K45">
        <v>6</v>
      </c>
      <c r="L45">
        <v>10</v>
      </c>
      <c r="M45">
        <v>2</v>
      </c>
      <c r="N45">
        <v>2</v>
      </c>
      <c r="O45" s="1">
        <v>0.8</v>
      </c>
      <c r="P45" s="1">
        <v>1.3333333329999999</v>
      </c>
      <c r="Q45">
        <v>1</v>
      </c>
      <c r="R45">
        <v>1</v>
      </c>
      <c r="S45">
        <v>1</v>
      </c>
      <c r="T45">
        <v>-1</v>
      </c>
      <c r="U45" s="1">
        <v>0</v>
      </c>
      <c r="V45" s="1">
        <v>0</v>
      </c>
      <c r="W45">
        <v>20</v>
      </c>
      <c r="X45">
        <v>25</v>
      </c>
      <c r="Y45">
        <v>5</v>
      </c>
      <c r="Z45">
        <v>0</v>
      </c>
      <c r="AA45" s="1">
        <v>0.8</v>
      </c>
      <c r="AB45" s="1">
        <v>1</v>
      </c>
    </row>
    <row r="46" spans="1:28" x14ac:dyDescent="0.45">
      <c r="A46" t="s">
        <v>5403</v>
      </c>
      <c r="B46" t="s">
        <v>5421</v>
      </c>
      <c r="C46" t="s">
        <v>5471</v>
      </c>
      <c r="D46">
        <v>12</v>
      </c>
      <c r="E46">
        <v>12</v>
      </c>
      <c r="F46">
        <v>0</v>
      </c>
      <c r="G46">
        <v>0</v>
      </c>
      <c r="H46">
        <v>0</v>
      </c>
      <c r="I46" s="1">
        <v>1</v>
      </c>
      <c r="J46" s="1">
        <v>1</v>
      </c>
      <c r="K46">
        <v>6</v>
      </c>
      <c r="L46">
        <v>14</v>
      </c>
      <c r="M46">
        <v>6</v>
      </c>
      <c r="N46">
        <v>2</v>
      </c>
      <c r="O46" s="1">
        <v>0.571428571</v>
      </c>
      <c r="P46" s="1">
        <v>1.3333333329999999</v>
      </c>
      <c r="Q46">
        <v>5</v>
      </c>
      <c r="R46">
        <v>8</v>
      </c>
      <c r="S46">
        <v>3</v>
      </c>
      <c r="T46">
        <v>0</v>
      </c>
      <c r="U46" s="1">
        <v>0.625</v>
      </c>
      <c r="V46" s="1">
        <v>1</v>
      </c>
      <c r="W46">
        <v>23</v>
      </c>
      <c r="X46">
        <v>34</v>
      </c>
      <c r="Y46">
        <v>9</v>
      </c>
      <c r="Z46">
        <v>2</v>
      </c>
      <c r="AA46" s="1">
        <v>0.735294118</v>
      </c>
      <c r="AB46" s="1">
        <v>1.0869565219999999</v>
      </c>
    </row>
    <row r="47" spans="1:28" x14ac:dyDescent="0.45">
      <c r="A47" t="s">
        <v>5403</v>
      </c>
      <c r="B47" t="s">
        <v>5421</v>
      </c>
      <c r="C47" t="s">
        <v>5453</v>
      </c>
      <c r="D47">
        <v>7</v>
      </c>
      <c r="E47">
        <v>7</v>
      </c>
      <c r="F47">
        <v>1</v>
      </c>
      <c r="G47">
        <v>0</v>
      </c>
      <c r="H47">
        <v>-1</v>
      </c>
      <c r="I47" s="1">
        <v>0.85714285700000004</v>
      </c>
      <c r="J47" s="1">
        <v>0.85714285700000004</v>
      </c>
      <c r="K47">
        <v>16</v>
      </c>
      <c r="L47">
        <v>23</v>
      </c>
      <c r="M47">
        <v>8</v>
      </c>
      <c r="N47">
        <v>-1</v>
      </c>
      <c r="O47" s="1">
        <v>0.65217391300000005</v>
      </c>
      <c r="P47" s="1">
        <v>0.9375</v>
      </c>
      <c r="Q47">
        <v>0</v>
      </c>
      <c r="R47">
        <v>1</v>
      </c>
      <c r="S47">
        <v>1</v>
      </c>
      <c r="T47">
        <v>0</v>
      </c>
      <c r="U47" s="1">
        <v>0</v>
      </c>
      <c r="W47">
        <v>23</v>
      </c>
      <c r="X47">
        <v>31</v>
      </c>
      <c r="Y47">
        <v>10</v>
      </c>
      <c r="Z47">
        <v>-2</v>
      </c>
      <c r="AA47" s="1">
        <v>0.67741935499999995</v>
      </c>
      <c r="AB47" s="1">
        <v>0.91304347799999996</v>
      </c>
    </row>
    <row r="48" spans="1:28" x14ac:dyDescent="0.45">
      <c r="A48" t="s">
        <v>5403</v>
      </c>
      <c r="B48" t="s">
        <v>5421</v>
      </c>
      <c r="C48" t="s">
        <v>5425</v>
      </c>
      <c r="D48">
        <v>27</v>
      </c>
      <c r="E48">
        <v>27</v>
      </c>
      <c r="F48">
        <v>1</v>
      </c>
      <c r="G48">
        <v>1</v>
      </c>
      <c r="H48">
        <v>-1</v>
      </c>
      <c r="I48" s="1">
        <v>0.96296296299999995</v>
      </c>
      <c r="J48" s="1">
        <v>0.96296296299999995</v>
      </c>
      <c r="K48">
        <v>-1</v>
      </c>
      <c r="L48">
        <v>6</v>
      </c>
      <c r="M48">
        <v>4</v>
      </c>
      <c r="N48">
        <v>3</v>
      </c>
      <c r="O48" s="1">
        <v>0.33333333300000001</v>
      </c>
      <c r="P48" s="1">
        <v>-2</v>
      </c>
      <c r="Q48">
        <v>9</v>
      </c>
      <c r="R48">
        <v>17</v>
      </c>
      <c r="S48">
        <v>7</v>
      </c>
      <c r="T48">
        <v>1</v>
      </c>
      <c r="U48" s="1">
        <v>0.58823529399999996</v>
      </c>
      <c r="V48" s="1">
        <v>1.111111111</v>
      </c>
      <c r="W48">
        <v>35</v>
      </c>
      <c r="X48">
        <v>50</v>
      </c>
      <c r="Y48">
        <v>12</v>
      </c>
      <c r="Z48">
        <v>3</v>
      </c>
      <c r="AA48" s="1">
        <v>0.76</v>
      </c>
      <c r="AB48" s="1">
        <v>1.085714286</v>
      </c>
    </row>
    <row r="49" spans="1:28" x14ac:dyDescent="0.45">
      <c r="A49" t="s">
        <v>5403</v>
      </c>
      <c r="B49" t="s">
        <v>5421</v>
      </c>
      <c r="C49" t="s">
        <v>5422</v>
      </c>
      <c r="D49">
        <v>7</v>
      </c>
      <c r="E49">
        <v>7</v>
      </c>
      <c r="F49">
        <v>2</v>
      </c>
      <c r="G49">
        <v>1</v>
      </c>
      <c r="H49">
        <v>-2</v>
      </c>
      <c r="I49" s="1">
        <v>0.71428571399999996</v>
      </c>
      <c r="J49" s="1">
        <v>0.71428571399999996</v>
      </c>
      <c r="K49">
        <v>0</v>
      </c>
      <c r="L49">
        <v>4</v>
      </c>
      <c r="M49">
        <v>2</v>
      </c>
      <c r="N49">
        <v>2</v>
      </c>
      <c r="O49" s="1">
        <v>0.5</v>
      </c>
      <c r="Q49">
        <v>0</v>
      </c>
      <c r="R49">
        <v>0</v>
      </c>
      <c r="S49">
        <v>0</v>
      </c>
      <c r="T49">
        <v>0</v>
      </c>
      <c r="W49">
        <v>7</v>
      </c>
      <c r="X49">
        <v>11</v>
      </c>
      <c r="Y49">
        <v>4</v>
      </c>
      <c r="Z49">
        <v>0</v>
      </c>
      <c r="AA49" s="1">
        <v>0.63636363600000001</v>
      </c>
      <c r="AB49" s="1">
        <v>1</v>
      </c>
    </row>
    <row r="50" spans="1:28" x14ac:dyDescent="0.45">
      <c r="A50" t="s">
        <v>5403</v>
      </c>
      <c r="B50" t="s">
        <v>5421</v>
      </c>
      <c r="C50" t="s">
        <v>5515</v>
      </c>
      <c r="D50">
        <v>7</v>
      </c>
      <c r="E50">
        <v>7</v>
      </c>
      <c r="F50">
        <v>1</v>
      </c>
      <c r="G50">
        <v>2</v>
      </c>
      <c r="H50">
        <v>-1</v>
      </c>
      <c r="I50" s="1">
        <v>0.85714285700000004</v>
      </c>
      <c r="J50" s="1">
        <v>0.85714285700000004</v>
      </c>
      <c r="K50">
        <v>0</v>
      </c>
      <c r="L50">
        <v>3</v>
      </c>
      <c r="M50">
        <v>2</v>
      </c>
      <c r="N50">
        <v>1</v>
      </c>
      <c r="O50" s="1">
        <v>0.33333333300000001</v>
      </c>
      <c r="Q50">
        <v>1</v>
      </c>
      <c r="R50">
        <v>0</v>
      </c>
      <c r="S50">
        <v>0</v>
      </c>
      <c r="T50">
        <v>-1</v>
      </c>
      <c r="V50" s="1">
        <v>0</v>
      </c>
      <c r="W50">
        <v>8</v>
      </c>
      <c r="X50">
        <v>10</v>
      </c>
      <c r="Y50">
        <v>3</v>
      </c>
      <c r="Z50">
        <v>-1</v>
      </c>
      <c r="AA50" s="1">
        <v>0.7</v>
      </c>
      <c r="AB50" s="1">
        <v>0.875</v>
      </c>
    </row>
    <row r="51" spans="1:28" x14ac:dyDescent="0.45">
      <c r="A51" t="s">
        <v>5403</v>
      </c>
      <c r="B51" t="s">
        <v>5421</v>
      </c>
      <c r="C51" t="s">
        <v>5516</v>
      </c>
      <c r="D51">
        <v>7</v>
      </c>
      <c r="E51">
        <v>7</v>
      </c>
      <c r="F51">
        <v>2</v>
      </c>
      <c r="G51">
        <v>0</v>
      </c>
      <c r="H51">
        <v>-2</v>
      </c>
      <c r="I51" s="1">
        <v>0.71428571399999996</v>
      </c>
      <c r="J51" s="1">
        <v>0.71428571399999996</v>
      </c>
      <c r="K51">
        <v>0</v>
      </c>
      <c r="L51">
        <v>3</v>
      </c>
      <c r="M51">
        <v>2</v>
      </c>
      <c r="N51">
        <v>1</v>
      </c>
      <c r="O51" s="1">
        <v>0.33333333300000001</v>
      </c>
      <c r="Q51">
        <v>0</v>
      </c>
      <c r="R51">
        <v>3</v>
      </c>
      <c r="S51">
        <v>3</v>
      </c>
      <c r="T51">
        <v>0</v>
      </c>
      <c r="U51" s="1">
        <v>0</v>
      </c>
      <c r="W51">
        <v>7</v>
      </c>
      <c r="X51">
        <v>13</v>
      </c>
      <c r="Y51">
        <v>7</v>
      </c>
      <c r="Z51">
        <v>-1</v>
      </c>
      <c r="AA51" s="1">
        <v>0.46153846199999998</v>
      </c>
      <c r="AB51" s="1">
        <v>0.85714285700000004</v>
      </c>
    </row>
    <row r="52" spans="1:28" x14ac:dyDescent="0.45">
      <c r="A52" t="s">
        <v>5403</v>
      </c>
      <c r="B52" t="s">
        <v>5416</v>
      </c>
      <c r="C52" t="s">
        <v>5435</v>
      </c>
      <c r="D52">
        <v>6</v>
      </c>
      <c r="E52">
        <v>6</v>
      </c>
      <c r="F52">
        <v>0</v>
      </c>
      <c r="G52">
        <v>0</v>
      </c>
      <c r="H52">
        <v>0</v>
      </c>
      <c r="I52" s="1">
        <v>1</v>
      </c>
      <c r="J52" s="1">
        <v>1</v>
      </c>
      <c r="K52">
        <v>11</v>
      </c>
      <c r="L52">
        <v>16</v>
      </c>
      <c r="M52">
        <v>7</v>
      </c>
      <c r="N52">
        <v>-2</v>
      </c>
      <c r="O52" s="1">
        <v>0.5625</v>
      </c>
      <c r="P52" s="1">
        <v>0.81818181800000001</v>
      </c>
      <c r="Q52">
        <v>5</v>
      </c>
      <c r="R52">
        <v>6</v>
      </c>
      <c r="S52">
        <v>0</v>
      </c>
      <c r="T52">
        <v>1</v>
      </c>
      <c r="U52" s="1">
        <v>1</v>
      </c>
      <c r="V52" s="1">
        <v>1.2</v>
      </c>
      <c r="W52">
        <v>22</v>
      </c>
      <c r="X52">
        <v>28</v>
      </c>
      <c r="Y52">
        <v>7</v>
      </c>
      <c r="Z52">
        <v>-1</v>
      </c>
      <c r="AA52" s="1">
        <v>0.75</v>
      </c>
      <c r="AB52" s="1">
        <v>0.95454545499999999</v>
      </c>
    </row>
    <row r="53" spans="1:28" x14ac:dyDescent="0.45">
      <c r="A53" t="s">
        <v>5403</v>
      </c>
      <c r="B53" t="s">
        <v>5416</v>
      </c>
      <c r="C53" t="s">
        <v>5448</v>
      </c>
      <c r="D53">
        <v>5</v>
      </c>
      <c r="E53">
        <v>5</v>
      </c>
      <c r="F53">
        <v>0</v>
      </c>
      <c r="G53">
        <v>1</v>
      </c>
      <c r="H53">
        <v>0</v>
      </c>
      <c r="I53" s="1">
        <v>1</v>
      </c>
      <c r="J53" s="1">
        <v>1</v>
      </c>
      <c r="K53">
        <v>7</v>
      </c>
      <c r="L53">
        <v>10</v>
      </c>
      <c r="M53">
        <v>2</v>
      </c>
      <c r="N53">
        <v>1</v>
      </c>
      <c r="O53" s="1">
        <v>0.8</v>
      </c>
      <c r="P53" s="1">
        <v>1.1428571430000001</v>
      </c>
      <c r="Q53">
        <v>1</v>
      </c>
      <c r="R53">
        <v>2</v>
      </c>
      <c r="S53">
        <v>2</v>
      </c>
      <c r="T53">
        <v>-1</v>
      </c>
      <c r="U53" s="1">
        <v>0</v>
      </c>
      <c r="V53" s="1">
        <v>0</v>
      </c>
      <c r="W53">
        <v>13</v>
      </c>
      <c r="X53">
        <v>17</v>
      </c>
      <c r="Y53">
        <v>4</v>
      </c>
      <c r="Z53">
        <v>0</v>
      </c>
      <c r="AA53" s="1">
        <v>0.764705882</v>
      </c>
      <c r="AB53" s="1">
        <v>1</v>
      </c>
    </row>
    <row r="54" spans="1:28" x14ac:dyDescent="0.45">
      <c r="A54" t="s">
        <v>5403</v>
      </c>
      <c r="B54" t="s">
        <v>5416</v>
      </c>
      <c r="C54" t="s">
        <v>5727</v>
      </c>
      <c r="D54">
        <v>2</v>
      </c>
      <c r="E54">
        <v>2</v>
      </c>
      <c r="F54">
        <v>0</v>
      </c>
      <c r="G54">
        <v>0</v>
      </c>
      <c r="H54">
        <v>0</v>
      </c>
      <c r="I54" s="1">
        <v>1</v>
      </c>
      <c r="J54" s="1">
        <v>1</v>
      </c>
      <c r="K54">
        <v>3</v>
      </c>
      <c r="L54">
        <v>4</v>
      </c>
      <c r="M54">
        <v>1</v>
      </c>
      <c r="N54">
        <v>0</v>
      </c>
      <c r="O54" s="1">
        <v>0.75</v>
      </c>
      <c r="P54" s="1">
        <v>1</v>
      </c>
      <c r="Q54">
        <v>1</v>
      </c>
      <c r="R54">
        <v>0</v>
      </c>
      <c r="S54">
        <v>0</v>
      </c>
      <c r="T54">
        <v>-1</v>
      </c>
      <c r="V54" s="1">
        <v>0</v>
      </c>
      <c r="W54">
        <v>6</v>
      </c>
      <c r="X54">
        <v>6</v>
      </c>
      <c r="Y54">
        <v>1</v>
      </c>
      <c r="Z54">
        <v>-1</v>
      </c>
      <c r="AA54" s="1">
        <v>0.83333333300000001</v>
      </c>
      <c r="AB54" s="1">
        <v>0.83333333300000001</v>
      </c>
    </row>
    <row r="55" spans="1:28" x14ac:dyDescent="0.45">
      <c r="A55" t="s">
        <v>5403</v>
      </c>
      <c r="B55" t="s">
        <v>5416</v>
      </c>
      <c r="C55" t="s">
        <v>5417</v>
      </c>
      <c r="D55">
        <v>1</v>
      </c>
      <c r="E55">
        <v>1</v>
      </c>
      <c r="F55">
        <v>1</v>
      </c>
      <c r="G55">
        <v>0</v>
      </c>
      <c r="H55">
        <v>-1</v>
      </c>
      <c r="I55" s="1">
        <v>0</v>
      </c>
      <c r="J55" s="1">
        <v>0</v>
      </c>
      <c r="K55">
        <v>3</v>
      </c>
      <c r="L55">
        <v>3</v>
      </c>
      <c r="M55">
        <v>0</v>
      </c>
      <c r="N55">
        <v>0</v>
      </c>
      <c r="O55" s="1">
        <v>1</v>
      </c>
      <c r="P55" s="1">
        <v>1</v>
      </c>
      <c r="Q55">
        <v>0</v>
      </c>
      <c r="R55">
        <v>0</v>
      </c>
      <c r="S55">
        <v>0</v>
      </c>
      <c r="T55">
        <v>0</v>
      </c>
      <c r="W55">
        <v>4</v>
      </c>
      <c r="X55">
        <v>4</v>
      </c>
      <c r="Y55">
        <v>1</v>
      </c>
      <c r="Z55">
        <v>-1</v>
      </c>
      <c r="AA55" s="1">
        <v>0.75</v>
      </c>
      <c r="AB55" s="1">
        <v>0.75</v>
      </c>
    </row>
    <row r="56" spans="1:28" x14ac:dyDescent="0.45">
      <c r="A56" t="s">
        <v>5403</v>
      </c>
      <c r="B56" t="s">
        <v>5416</v>
      </c>
      <c r="C56" t="s">
        <v>5441</v>
      </c>
      <c r="D56">
        <v>5</v>
      </c>
      <c r="E56">
        <v>5</v>
      </c>
      <c r="F56">
        <v>0</v>
      </c>
      <c r="G56">
        <v>0</v>
      </c>
      <c r="H56">
        <v>0</v>
      </c>
      <c r="I56" s="1">
        <v>1</v>
      </c>
      <c r="J56" s="1">
        <v>1</v>
      </c>
      <c r="K56">
        <v>7</v>
      </c>
      <c r="L56">
        <v>9</v>
      </c>
      <c r="M56">
        <v>3</v>
      </c>
      <c r="N56">
        <v>-1</v>
      </c>
      <c r="O56" s="1">
        <v>0.66666666699999999</v>
      </c>
      <c r="P56" s="1">
        <v>0.85714285700000004</v>
      </c>
      <c r="Q56">
        <v>1</v>
      </c>
      <c r="R56">
        <v>0</v>
      </c>
      <c r="S56">
        <v>0</v>
      </c>
      <c r="T56">
        <v>-1</v>
      </c>
      <c r="V56" s="1">
        <v>0</v>
      </c>
      <c r="W56">
        <v>13</v>
      </c>
      <c r="X56">
        <v>14</v>
      </c>
      <c r="Y56">
        <v>3</v>
      </c>
      <c r="Z56">
        <v>-2</v>
      </c>
      <c r="AA56" s="1">
        <v>0.78571428600000004</v>
      </c>
      <c r="AB56" s="1">
        <v>0.84615384599999999</v>
      </c>
    </row>
    <row r="57" spans="1:28" x14ac:dyDescent="0.45">
      <c r="A57" t="s">
        <v>5403</v>
      </c>
      <c r="B57" t="s">
        <v>5416</v>
      </c>
      <c r="C57" t="s">
        <v>5474</v>
      </c>
      <c r="D57">
        <v>3</v>
      </c>
      <c r="E57">
        <v>3</v>
      </c>
      <c r="F57">
        <v>0</v>
      </c>
      <c r="G57">
        <v>0</v>
      </c>
      <c r="H57">
        <v>0</v>
      </c>
      <c r="I57" s="1">
        <v>1</v>
      </c>
      <c r="J57" s="1">
        <v>1</v>
      </c>
      <c r="K57">
        <v>10</v>
      </c>
      <c r="L57">
        <v>16</v>
      </c>
      <c r="M57">
        <v>6</v>
      </c>
      <c r="N57">
        <v>0</v>
      </c>
      <c r="O57" s="1">
        <v>0.625</v>
      </c>
      <c r="P57" s="1">
        <v>1</v>
      </c>
      <c r="Q57">
        <v>1</v>
      </c>
      <c r="R57">
        <v>2</v>
      </c>
      <c r="S57">
        <v>0</v>
      </c>
      <c r="T57">
        <v>1</v>
      </c>
      <c r="U57" s="1">
        <v>1</v>
      </c>
      <c r="V57" s="1">
        <v>2</v>
      </c>
      <c r="W57">
        <v>14</v>
      </c>
      <c r="X57">
        <v>21</v>
      </c>
      <c r="Y57">
        <v>6</v>
      </c>
      <c r="Z57">
        <v>1</v>
      </c>
      <c r="AA57" s="1">
        <v>0.71428571399999996</v>
      </c>
      <c r="AB57" s="1">
        <v>1.071428571</v>
      </c>
    </row>
    <row r="58" spans="1:28" x14ac:dyDescent="0.45">
      <c r="A58" t="s">
        <v>5403</v>
      </c>
      <c r="B58" t="s">
        <v>5416</v>
      </c>
      <c r="C58" t="s">
        <v>5627</v>
      </c>
      <c r="D58">
        <v>3</v>
      </c>
      <c r="E58">
        <v>3</v>
      </c>
      <c r="F58">
        <v>2</v>
      </c>
      <c r="G58">
        <v>0</v>
      </c>
      <c r="H58">
        <v>-2</v>
      </c>
      <c r="I58" s="1">
        <v>0.33333333300000001</v>
      </c>
      <c r="J58" s="1">
        <v>0.33333333300000001</v>
      </c>
      <c r="K58">
        <v>4</v>
      </c>
      <c r="L58">
        <v>6</v>
      </c>
      <c r="M58">
        <v>3</v>
      </c>
      <c r="N58">
        <v>-1</v>
      </c>
      <c r="O58" s="1">
        <v>0.5</v>
      </c>
      <c r="P58" s="1">
        <v>0.75</v>
      </c>
      <c r="Q58">
        <v>1</v>
      </c>
      <c r="R58">
        <v>1</v>
      </c>
      <c r="S58">
        <v>0</v>
      </c>
      <c r="T58">
        <v>0</v>
      </c>
      <c r="U58" s="1">
        <v>1</v>
      </c>
      <c r="V58" s="1">
        <v>1</v>
      </c>
      <c r="W58">
        <v>8</v>
      </c>
      <c r="X58">
        <v>10</v>
      </c>
      <c r="Y58">
        <v>5</v>
      </c>
      <c r="Z58">
        <v>-3</v>
      </c>
      <c r="AA58" s="1">
        <v>0.5</v>
      </c>
      <c r="AB58" s="1">
        <v>0.625</v>
      </c>
    </row>
    <row r="59" spans="1:28" x14ac:dyDescent="0.45">
      <c r="A59" t="s">
        <v>5403</v>
      </c>
      <c r="B59" t="s">
        <v>5416</v>
      </c>
      <c r="C59" t="s">
        <v>5598</v>
      </c>
      <c r="D59">
        <v>4</v>
      </c>
      <c r="E59">
        <v>5</v>
      </c>
      <c r="F59">
        <v>0</v>
      </c>
      <c r="G59">
        <v>0</v>
      </c>
      <c r="H59">
        <v>1</v>
      </c>
      <c r="I59" s="1">
        <v>1</v>
      </c>
      <c r="J59" s="1">
        <v>1.25</v>
      </c>
      <c r="K59">
        <v>8</v>
      </c>
      <c r="L59">
        <v>9</v>
      </c>
      <c r="M59">
        <v>2</v>
      </c>
      <c r="N59">
        <v>-1</v>
      </c>
      <c r="O59" s="1">
        <v>0.77777777800000003</v>
      </c>
      <c r="P59" s="1">
        <v>0.875</v>
      </c>
      <c r="Q59">
        <v>3</v>
      </c>
      <c r="R59">
        <v>6</v>
      </c>
      <c r="S59">
        <v>3</v>
      </c>
      <c r="T59">
        <v>0</v>
      </c>
      <c r="U59" s="1">
        <v>0.5</v>
      </c>
      <c r="V59" s="1">
        <v>1</v>
      </c>
      <c r="W59">
        <v>15</v>
      </c>
      <c r="X59">
        <v>20</v>
      </c>
      <c r="Y59">
        <v>5</v>
      </c>
      <c r="Z59">
        <v>0</v>
      </c>
      <c r="AA59" s="1">
        <v>0.75</v>
      </c>
      <c r="AB59" s="1">
        <v>1</v>
      </c>
    </row>
    <row r="60" spans="1:28" x14ac:dyDescent="0.45">
      <c r="A60" t="s">
        <v>5403</v>
      </c>
      <c r="B60" t="s">
        <v>5404</v>
      </c>
      <c r="C60" t="s">
        <v>5429</v>
      </c>
      <c r="D60">
        <v>10</v>
      </c>
      <c r="E60">
        <v>10</v>
      </c>
      <c r="F60">
        <v>0</v>
      </c>
      <c r="G60">
        <v>4</v>
      </c>
      <c r="H60">
        <v>0</v>
      </c>
      <c r="I60" s="1">
        <v>1</v>
      </c>
      <c r="J60" s="1">
        <v>1</v>
      </c>
      <c r="K60">
        <v>2</v>
      </c>
      <c r="L60">
        <v>8</v>
      </c>
      <c r="M60">
        <v>3</v>
      </c>
      <c r="N60">
        <v>3</v>
      </c>
      <c r="O60" s="1">
        <v>0.625</v>
      </c>
      <c r="P60" s="1">
        <v>2.5</v>
      </c>
      <c r="Q60">
        <v>1</v>
      </c>
      <c r="R60">
        <v>1</v>
      </c>
      <c r="S60">
        <v>1</v>
      </c>
      <c r="T60">
        <v>-1</v>
      </c>
      <c r="U60" s="1">
        <v>0</v>
      </c>
      <c r="V60" s="1">
        <v>0</v>
      </c>
      <c r="W60">
        <v>13</v>
      </c>
      <c r="X60">
        <v>19</v>
      </c>
      <c r="Y60">
        <v>4</v>
      </c>
      <c r="Z60">
        <v>2</v>
      </c>
      <c r="AA60" s="1">
        <v>0.78947368399999995</v>
      </c>
      <c r="AB60" s="1">
        <v>1.153846154</v>
      </c>
    </row>
    <row r="61" spans="1:28" x14ac:dyDescent="0.45">
      <c r="A61" t="s">
        <v>5403</v>
      </c>
      <c r="B61" t="s">
        <v>5404</v>
      </c>
      <c r="C61" t="s">
        <v>5559</v>
      </c>
      <c r="D61">
        <v>6</v>
      </c>
      <c r="E61">
        <v>5</v>
      </c>
      <c r="F61">
        <v>1</v>
      </c>
      <c r="G61">
        <v>2</v>
      </c>
      <c r="H61">
        <v>-2</v>
      </c>
      <c r="I61" s="1">
        <v>0.8</v>
      </c>
      <c r="J61" s="1">
        <v>0.66666666699999999</v>
      </c>
      <c r="K61">
        <v>0</v>
      </c>
      <c r="L61">
        <v>1</v>
      </c>
      <c r="M61">
        <v>0</v>
      </c>
      <c r="N61">
        <v>1</v>
      </c>
      <c r="O61" s="1">
        <v>1</v>
      </c>
      <c r="Q61">
        <v>0</v>
      </c>
      <c r="R61">
        <v>0</v>
      </c>
      <c r="S61">
        <v>0</v>
      </c>
      <c r="T61">
        <v>0</v>
      </c>
      <c r="W61">
        <v>6</v>
      </c>
      <c r="X61">
        <v>6</v>
      </c>
      <c r="Y61">
        <v>1</v>
      </c>
      <c r="Z61">
        <v>-1</v>
      </c>
      <c r="AA61" s="1">
        <v>0.83333333300000001</v>
      </c>
      <c r="AB61" s="1">
        <v>0.83333333300000001</v>
      </c>
    </row>
    <row r="62" spans="1:28" x14ac:dyDescent="0.45">
      <c r="A62" t="s">
        <v>5403</v>
      </c>
      <c r="B62" t="s">
        <v>5404</v>
      </c>
      <c r="C62" t="s">
        <v>5405</v>
      </c>
      <c r="D62">
        <v>8</v>
      </c>
      <c r="E62">
        <v>6</v>
      </c>
      <c r="F62">
        <v>0</v>
      </c>
      <c r="G62">
        <v>0</v>
      </c>
      <c r="H62">
        <v>-2</v>
      </c>
      <c r="I62" s="1">
        <v>1</v>
      </c>
      <c r="J62" s="1">
        <v>0.75</v>
      </c>
      <c r="K62">
        <v>2</v>
      </c>
      <c r="L62">
        <v>6</v>
      </c>
      <c r="M62">
        <v>2</v>
      </c>
      <c r="N62">
        <v>2</v>
      </c>
      <c r="O62" s="1">
        <v>0.66666666699999999</v>
      </c>
      <c r="P62" s="1">
        <v>2</v>
      </c>
      <c r="Q62">
        <v>1</v>
      </c>
      <c r="R62">
        <v>1</v>
      </c>
      <c r="S62">
        <v>0</v>
      </c>
      <c r="T62">
        <v>0</v>
      </c>
      <c r="U62" s="1">
        <v>1</v>
      </c>
      <c r="V62" s="1">
        <v>1</v>
      </c>
      <c r="W62">
        <v>11</v>
      </c>
      <c r="X62">
        <v>13</v>
      </c>
      <c r="Y62">
        <v>2</v>
      </c>
      <c r="Z62">
        <v>0</v>
      </c>
      <c r="AA62" s="1">
        <v>0.84615384599999999</v>
      </c>
      <c r="AB62" s="1">
        <v>1</v>
      </c>
    </row>
    <row r="63" spans="1:28" x14ac:dyDescent="0.45">
      <c r="A63" t="s">
        <v>5403</v>
      </c>
      <c r="B63" t="s">
        <v>5404</v>
      </c>
      <c r="C63" t="s">
        <v>5456</v>
      </c>
      <c r="D63">
        <v>6</v>
      </c>
      <c r="E63">
        <v>6</v>
      </c>
      <c r="F63">
        <v>1</v>
      </c>
      <c r="G63">
        <v>1</v>
      </c>
      <c r="H63">
        <v>-1</v>
      </c>
      <c r="I63" s="1">
        <v>0.83333333300000001</v>
      </c>
      <c r="J63" s="1">
        <v>0.83333333300000001</v>
      </c>
      <c r="K63">
        <v>7</v>
      </c>
      <c r="L63">
        <v>11</v>
      </c>
      <c r="M63">
        <v>3</v>
      </c>
      <c r="N63">
        <v>1</v>
      </c>
      <c r="O63" s="1">
        <v>0.72727272700000001</v>
      </c>
      <c r="P63" s="1">
        <v>1.1428571430000001</v>
      </c>
      <c r="Q63">
        <v>0</v>
      </c>
      <c r="R63">
        <v>0</v>
      </c>
      <c r="S63">
        <v>0</v>
      </c>
      <c r="T63">
        <v>0</v>
      </c>
      <c r="W63">
        <v>13</v>
      </c>
      <c r="X63">
        <v>17</v>
      </c>
      <c r="Y63">
        <v>4</v>
      </c>
      <c r="Z63">
        <v>0</v>
      </c>
      <c r="AA63" s="1">
        <v>0.764705882</v>
      </c>
      <c r="AB63" s="1">
        <v>1</v>
      </c>
    </row>
    <row r="64" spans="1:28" x14ac:dyDescent="0.45">
      <c r="A64" t="s">
        <v>5403</v>
      </c>
      <c r="B64" t="s">
        <v>5404</v>
      </c>
      <c r="C64" t="s">
        <v>5418</v>
      </c>
      <c r="D64">
        <v>9</v>
      </c>
      <c r="E64">
        <v>7</v>
      </c>
      <c r="F64">
        <v>0</v>
      </c>
      <c r="G64">
        <v>0</v>
      </c>
      <c r="H64">
        <v>-2</v>
      </c>
      <c r="I64" s="1">
        <v>1</v>
      </c>
      <c r="J64" s="1">
        <v>0.77777777800000003</v>
      </c>
      <c r="K64">
        <v>3</v>
      </c>
      <c r="L64">
        <v>7</v>
      </c>
      <c r="M64">
        <v>1</v>
      </c>
      <c r="N64">
        <v>3</v>
      </c>
      <c r="O64" s="1">
        <v>0.85714285700000004</v>
      </c>
      <c r="P64" s="1">
        <v>2</v>
      </c>
      <c r="Q64">
        <v>1</v>
      </c>
      <c r="R64">
        <v>1</v>
      </c>
      <c r="S64">
        <v>0</v>
      </c>
      <c r="T64">
        <v>0</v>
      </c>
      <c r="U64" s="1">
        <v>1</v>
      </c>
      <c r="V64" s="1">
        <v>1</v>
      </c>
      <c r="W64">
        <v>13</v>
      </c>
      <c r="X64">
        <v>15</v>
      </c>
      <c r="Y64">
        <v>1</v>
      </c>
      <c r="Z64">
        <v>1</v>
      </c>
      <c r="AA64" s="1">
        <v>0.93333333299999999</v>
      </c>
      <c r="AB64" s="1">
        <v>1.076923077</v>
      </c>
    </row>
    <row r="65" spans="1:28" x14ac:dyDescent="0.45">
      <c r="A65" t="s">
        <v>5403</v>
      </c>
      <c r="B65" t="s">
        <v>5404</v>
      </c>
      <c r="C65" t="s">
        <v>5433</v>
      </c>
      <c r="D65">
        <v>11</v>
      </c>
      <c r="E65">
        <v>8</v>
      </c>
      <c r="F65">
        <v>2</v>
      </c>
      <c r="G65">
        <v>5</v>
      </c>
      <c r="H65">
        <v>-5</v>
      </c>
      <c r="I65" s="1">
        <v>0.75</v>
      </c>
      <c r="J65" s="1">
        <v>0.54545454500000001</v>
      </c>
      <c r="K65">
        <v>0</v>
      </c>
      <c r="L65">
        <v>3</v>
      </c>
      <c r="M65">
        <v>1</v>
      </c>
      <c r="N65">
        <v>2</v>
      </c>
      <c r="O65" s="1">
        <v>0.66666666699999999</v>
      </c>
      <c r="Q65">
        <v>0</v>
      </c>
      <c r="R65">
        <v>0</v>
      </c>
      <c r="S65">
        <v>0</v>
      </c>
      <c r="T65">
        <v>0</v>
      </c>
      <c r="W65">
        <v>11</v>
      </c>
      <c r="X65">
        <v>11</v>
      </c>
      <c r="Y65">
        <v>3</v>
      </c>
      <c r="Z65">
        <v>-3</v>
      </c>
      <c r="AA65" s="1">
        <v>0.72727272700000001</v>
      </c>
      <c r="AB65" s="1">
        <v>0.72727272700000001</v>
      </c>
    </row>
    <row r="66" spans="1:28" x14ac:dyDescent="0.45">
      <c r="A66" t="s">
        <v>5403</v>
      </c>
      <c r="B66" t="s">
        <v>5404</v>
      </c>
      <c r="C66" t="s">
        <v>5423</v>
      </c>
      <c r="D66">
        <v>4</v>
      </c>
      <c r="E66">
        <v>4</v>
      </c>
      <c r="F66">
        <v>1</v>
      </c>
      <c r="G66">
        <v>0</v>
      </c>
      <c r="H66">
        <v>-1</v>
      </c>
      <c r="I66" s="1">
        <v>0.75</v>
      </c>
      <c r="J66" s="1">
        <v>0.75</v>
      </c>
      <c r="K66">
        <v>10</v>
      </c>
      <c r="L66">
        <v>13</v>
      </c>
      <c r="M66">
        <v>2</v>
      </c>
      <c r="N66">
        <v>1</v>
      </c>
      <c r="O66" s="1">
        <v>0.84615384599999999</v>
      </c>
      <c r="P66" s="1">
        <v>1.1000000000000001</v>
      </c>
      <c r="Q66">
        <v>1</v>
      </c>
      <c r="R66">
        <v>3</v>
      </c>
      <c r="S66">
        <v>1</v>
      </c>
      <c r="T66">
        <v>1</v>
      </c>
      <c r="U66" s="1">
        <v>0.66666666699999999</v>
      </c>
      <c r="V66" s="1">
        <v>2</v>
      </c>
      <c r="W66">
        <v>15</v>
      </c>
      <c r="X66">
        <v>20</v>
      </c>
      <c r="Y66">
        <v>4</v>
      </c>
      <c r="Z66">
        <v>1</v>
      </c>
      <c r="AA66" s="1">
        <v>0.8</v>
      </c>
      <c r="AB66" s="1">
        <v>1.066666667</v>
      </c>
    </row>
    <row r="67" spans="1:28" x14ac:dyDescent="0.45">
      <c r="A67" t="s">
        <v>5407</v>
      </c>
      <c r="B67" t="s">
        <v>5408</v>
      </c>
      <c r="C67" t="s">
        <v>5490</v>
      </c>
      <c r="D67">
        <v>5</v>
      </c>
      <c r="E67">
        <v>5</v>
      </c>
      <c r="F67">
        <v>0</v>
      </c>
      <c r="G67">
        <v>0</v>
      </c>
      <c r="H67">
        <v>0</v>
      </c>
      <c r="I67" s="1">
        <v>1</v>
      </c>
      <c r="J67" s="1">
        <v>1</v>
      </c>
      <c r="K67">
        <v>4</v>
      </c>
      <c r="L67">
        <v>5</v>
      </c>
      <c r="M67">
        <v>2</v>
      </c>
      <c r="N67">
        <v>-1</v>
      </c>
      <c r="O67" s="1">
        <v>0.6</v>
      </c>
      <c r="P67" s="1">
        <v>0.75</v>
      </c>
      <c r="Q67">
        <v>0</v>
      </c>
      <c r="R67">
        <v>0</v>
      </c>
      <c r="S67">
        <v>0</v>
      </c>
      <c r="T67">
        <v>0</v>
      </c>
      <c r="W67">
        <v>9</v>
      </c>
      <c r="X67">
        <v>10</v>
      </c>
      <c r="Y67">
        <v>2</v>
      </c>
      <c r="Z67">
        <v>-1</v>
      </c>
      <c r="AA67" s="1">
        <v>0.8</v>
      </c>
      <c r="AB67" s="1">
        <v>0.88888888899999996</v>
      </c>
    </row>
    <row r="68" spans="1:28" x14ac:dyDescent="0.45">
      <c r="A68" t="s">
        <v>5407</v>
      </c>
      <c r="B68" t="s">
        <v>5408</v>
      </c>
      <c r="C68" t="s">
        <v>5437</v>
      </c>
      <c r="D68">
        <v>1</v>
      </c>
      <c r="E68">
        <v>2</v>
      </c>
      <c r="F68">
        <v>1</v>
      </c>
      <c r="G68">
        <v>0</v>
      </c>
      <c r="H68">
        <v>0</v>
      </c>
      <c r="I68" s="1">
        <v>0.5</v>
      </c>
      <c r="J68" s="1">
        <v>1</v>
      </c>
      <c r="K68">
        <v>3</v>
      </c>
      <c r="L68">
        <v>5</v>
      </c>
      <c r="M68">
        <v>0</v>
      </c>
      <c r="N68">
        <v>2</v>
      </c>
      <c r="O68" s="1">
        <v>1</v>
      </c>
      <c r="P68" s="1">
        <v>1.6666666670000001</v>
      </c>
      <c r="Q68">
        <v>1</v>
      </c>
      <c r="R68">
        <v>0</v>
      </c>
      <c r="S68">
        <v>0</v>
      </c>
      <c r="T68">
        <v>-1</v>
      </c>
      <c r="V68" s="1">
        <v>0</v>
      </c>
      <c r="W68">
        <v>5</v>
      </c>
      <c r="X68">
        <v>7</v>
      </c>
      <c r="Y68">
        <v>1</v>
      </c>
      <c r="Z68">
        <v>1</v>
      </c>
      <c r="AA68" s="1">
        <v>0.85714285700000004</v>
      </c>
      <c r="AB68" s="1">
        <v>1.2</v>
      </c>
    </row>
    <row r="69" spans="1:28" x14ac:dyDescent="0.45">
      <c r="A69" t="s">
        <v>5407</v>
      </c>
      <c r="B69" t="s">
        <v>5408</v>
      </c>
      <c r="C69" t="s">
        <v>5442</v>
      </c>
      <c r="D69">
        <v>1</v>
      </c>
      <c r="E69">
        <v>1</v>
      </c>
      <c r="F69">
        <v>0</v>
      </c>
      <c r="G69">
        <v>0</v>
      </c>
      <c r="H69">
        <v>0</v>
      </c>
      <c r="I69" s="1">
        <v>1</v>
      </c>
      <c r="J69" s="1">
        <v>1</v>
      </c>
      <c r="K69">
        <v>2</v>
      </c>
      <c r="L69">
        <v>3</v>
      </c>
      <c r="M69">
        <v>0</v>
      </c>
      <c r="N69">
        <v>1</v>
      </c>
      <c r="O69" s="1">
        <v>1</v>
      </c>
      <c r="P69" s="1">
        <v>1.5</v>
      </c>
      <c r="Q69">
        <v>0</v>
      </c>
      <c r="R69">
        <v>0</v>
      </c>
      <c r="S69">
        <v>0</v>
      </c>
      <c r="T69">
        <v>0</v>
      </c>
      <c r="W69">
        <v>3</v>
      </c>
      <c r="X69">
        <v>4</v>
      </c>
      <c r="Y69">
        <v>0</v>
      </c>
      <c r="Z69">
        <v>1</v>
      </c>
      <c r="AA69" s="1">
        <v>1</v>
      </c>
      <c r="AB69" s="1">
        <v>1.3333333329999999</v>
      </c>
    </row>
    <row r="70" spans="1:28" x14ac:dyDescent="0.45">
      <c r="A70" t="s">
        <v>5407</v>
      </c>
      <c r="B70" t="s">
        <v>5408</v>
      </c>
      <c r="C70" t="s">
        <v>5504</v>
      </c>
      <c r="D70">
        <v>3</v>
      </c>
      <c r="E70">
        <v>4</v>
      </c>
      <c r="F70">
        <v>0</v>
      </c>
      <c r="G70">
        <v>0</v>
      </c>
      <c r="H70">
        <v>1</v>
      </c>
      <c r="I70" s="1">
        <v>1</v>
      </c>
      <c r="J70" s="1">
        <v>1.3333333329999999</v>
      </c>
      <c r="K70">
        <v>31</v>
      </c>
      <c r="L70">
        <v>34</v>
      </c>
      <c r="M70">
        <v>5</v>
      </c>
      <c r="N70">
        <v>-2</v>
      </c>
      <c r="O70" s="1">
        <v>0.85294117599999997</v>
      </c>
      <c r="P70" s="1">
        <v>0.93548387099999997</v>
      </c>
      <c r="Q70">
        <v>1</v>
      </c>
      <c r="R70">
        <v>2</v>
      </c>
      <c r="S70">
        <v>0</v>
      </c>
      <c r="T70">
        <v>1</v>
      </c>
      <c r="U70" s="1">
        <v>1</v>
      </c>
      <c r="V70" s="1">
        <v>2</v>
      </c>
      <c r="W70">
        <v>35</v>
      </c>
      <c r="X70">
        <v>40</v>
      </c>
      <c r="Y70">
        <v>5</v>
      </c>
      <c r="Z70">
        <v>0</v>
      </c>
      <c r="AA70" s="1">
        <v>0.875</v>
      </c>
      <c r="AB70" s="1">
        <v>1</v>
      </c>
    </row>
    <row r="71" spans="1:28" x14ac:dyDescent="0.45">
      <c r="A71" t="s">
        <v>5407</v>
      </c>
      <c r="B71" t="s">
        <v>5408</v>
      </c>
      <c r="C71" t="s">
        <v>5465</v>
      </c>
      <c r="D71">
        <v>1</v>
      </c>
      <c r="E71">
        <v>1</v>
      </c>
      <c r="F71">
        <v>0</v>
      </c>
      <c r="G71">
        <v>0</v>
      </c>
      <c r="H71">
        <v>0</v>
      </c>
      <c r="I71" s="1">
        <v>1</v>
      </c>
      <c r="J71" s="1">
        <v>1</v>
      </c>
      <c r="K71">
        <v>1</v>
      </c>
      <c r="L71">
        <v>3</v>
      </c>
      <c r="M71">
        <v>2</v>
      </c>
      <c r="N71">
        <v>0</v>
      </c>
      <c r="O71" s="1">
        <v>0.33333333300000001</v>
      </c>
      <c r="P71" s="1">
        <v>1</v>
      </c>
      <c r="Q71">
        <v>1</v>
      </c>
      <c r="R71">
        <v>0</v>
      </c>
      <c r="S71">
        <v>0</v>
      </c>
      <c r="T71">
        <v>-1</v>
      </c>
      <c r="V71" s="1">
        <v>0</v>
      </c>
      <c r="W71">
        <v>3</v>
      </c>
      <c r="X71">
        <v>4</v>
      </c>
      <c r="Y71">
        <v>2</v>
      </c>
      <c r="Z71">
        <v>-1</v>
      </c>
      <c r="AA71" s="1">
        <v>0.5</v>
      </c>
      <c r="AB71" s="1">
        <v>0.66666666699999999</v>
      </c>
    </row>
    <row r="72" spans="1:28" x14ac:dyDescent="0.45">
      <c r="A72" t="s">
        <v>5407</v>
      </c>
      <c r="B72" t="s">
        <v>5408</v>
      </c>
      <c r="C72" t="s">
        <v>5462</v>
      </c>
      <c r="D72">
        <v>5</v>
      </c>
      <c r="E72">
        <v>4</v>
      </c>
      <c r="F72">
        <v>0</v>
      </c>
      <c r="G72">
        <v>1</v>
      </c>
      <c r="H72">
        <v>-1</v>
      </c>
      <c r="I72" s="1">
        <v>1</v>
      </c>
      <c r="J72" s="1">
        <v>0.8</v>
      </c>
      <c r="K72">
        <v>2</v>
      </c>
      <c r="L72">
        <v>8</v>
      </c>
      <c r="M72">
        <v>2</v>
      </c>
      <c r="N72">
        <v>4</v>
      </c>
      <c r="O72" s="1">
        <v>0.75</v>
      </c>
      <c r="P72" s="1">
        <v>3</v>
      </c>
      <c r="Q72">
        <v>0</v>
      </c>
      <c r="R72">
        <v>0</v>
      </c>
      <c r="S72">
        <v>0</v>
      </c>
      <c r="T72">
        <v>0</v>
      </c>
      <c r="W72">
        <v>7</v>
      </c>
      <c r="X72">
        <v>12</v>
      </c>
      <c r="Y72">
        <v>2</v>
      </c>
      <c r="Z72">
        <v>3</v>
      </c>
      <c r="AA72" s="1">
        <v>0.83333333300000001</v>
      </c>
      <c r="AB72" s="1">
        <v>1.428571429</v>
      </c>
    </row>
    <row r="73" spans="1:28" x14ac:dyDescent="0.45">
      <c r="A73" t="s">
        <v>5407</v>
      </c>
      <c r="B73" t="s">
        <v>5408</v>
      </c>
      <c r="C73" t="s">
        <v>5562</v>
      </c>
      <c r="D73">
        <v>2</v>
      </c>
      <c r="E73">
        <v>3</v>
      </c>
      <c r="F73">
        <v>0</v>
      </c>
      <c r="G73">
        <v>0</v>
      </c>
      <c r="H73">
        <v>1</v>
      </c>
      <c r="I73" s="1">
        <v>1</v>
      </c>
      <c r="J73" s="1">
        <v>1.5</v>
      </c>
      <c r="K73">
        <v>4</v>
      </c>
      <c r="L73">
        <v>4</v>
      </c>
      <c r="M73">
        <v>0</v>
      </c>
      <c r="N73">
        <v>0</v>
      </c>
      <c r="O73" s="1">
        <v>1</v>
      </c>
      <c r="P73" s="1">
        <v>1</v>
      </c>
      <c r="Q73">
        <v>1</v>
      </c>
      <c r="R73">
        <v>0</v>
      </c>
      <c r="S73">
        <v>0</v>
      </c>
      <c r="T73">
        <v>-1</v>
      </c>
      <c r="V73" s="1">
        <v>0</v>
      </c>
      <c r="W73">
        <v>7</v>
      </c>
      <c r="X73">
        <v>7</v>
      </c>
      <c r="Y73">
        <v>0</v>
      </c>
      <c r="Z73">
        <v>0</v>
      </c>
      <c r="AA73" s="1">
        <v>1</v>
      </c>
      <c r="AB73" s="1">
        <v>1</v>
      </c>
    </row>
    <row r="74" spans="1:28" x14ac:dyDescent="0.45">
      <c r="A74" t="s">
        <v>5407</v>
      </c>
      <c r="B74" t="s">
        <v>5408</v>
      </c>
      <c r="C74" t="s">
        <v>5577</v>
      </c>
      <c r="D74">
        <v>1</v>
      </c>
      <c r="E74">
        <v>1</v>
      </c>
      <c r="F74">
        <v>0</v>
      </c>
      <c r="G74">
        <v>0</v>
      </c>
      <c r="H74">
        <v>0</v>
      </c>
      <c r="I74" s="1">
        <v>1</v>
      </c>
      <c r="J74" s="1">
        <v>1</v>
      </c>
      <c r="K74">
        <v>2</v>
      </c>
      <c r="L74">
        <v>7</v>
      </c>
      <c r="M74">
        <v>2</v>
      </c>
      <c r="N74">
        <v>3</v>
      </c>
      <c r="O74" s="1">
        <v>0.71428571399999996</v>
      </c>
      <c r="P74" s="1">
        <v>2.5</v>
      </c>
      <c r="Q74">
        <v>1</v>
      </c>
      <c r="R74">
        <v>0</v>
      </c>
      <c r="S74">
        <v>0</v>
      </c>
      <c r="T74">
        <v>-1</v>
      </c>
      <c r="V74" s="1">
        <v>0</v>
      </c>
      <c r="W74">
        <v>4</v>
      </c>
      <c r="X74">
        <v>8</v>
      </c>
      <c r="Y74">
        <v>2</v>
      </c>
      <c r="Z74">
        <v>2</v>
      </c>
      <c r="AA74" s="1">
        <v>0.75</v>
      </c>
      <c r="AB74" s="1">
        <v>1.5</v>
      </c>
    </row>
    <row r="75" spans="1:28" x14ac:dyDescent="0.45">
      <c r="A75" t="s">
        <v>5407</v>
      </c>
      <c r="B75" t="s">
        <v>5408</v>
      </c>
      <c r="C75" t="s">
        <v>5409</v>
      </c>
      <c r="D75">
        <v>3</v>
      </c>
      <c r="E75">
        <v>4</v>
      </c>
      <c r="F75">
        <v>0</v>
      </c>
      <c r="G75">
        <v>0</v>
      </c>
      <c r="H75">
        <v>1</v>
      </c>
      <c r="I75" s="1">
        <v>1</v>
      </c>
      <c r="J75" s="1">
        <v>1.3333333329999999</v>
      </c>
      <c r="K75">
        <v>4</v>
      </c>
      <c r="L75">
        <v>5</v>
      </c>
      <c r="M75">
        <v>2</v>
      </c>
      <c r="N75">
        <v>-1</v>
      </c>
      <c r="O75" s="1">
        <v>0.6</v>
      </c>
      <c r="P75" s="1">
        <v>0.75</v>
      </c>
      <c r="Q75">
        <v>0</v>
      </c>
      <c r="R75">
        <v>0</v>
      </c>
      <c r="S75">
        <v>0</v>
      </c>
      <c r="T75">
        <v>0</v>
      </c>
      <c r="W75">
        <v>7</v>
      </c>
      <c r="X75">
        <v>9</v>
      </c>
      <c r="Y75">
        <v>2</v>
      </c>
      <c r="Z75">
        <v>0</v>
      </c>
      <c r="AA75" s="1">
        <v>0.77777777800000003</v>
      </c>
      <c r="AB75" s="1">
        <v>1</v>
      </c>
    </row>
    <row r="76" spans="1:28" x14ac:dyDescent="0.45">
      <c r="A76" t="s">
        <v>5407</v>
      </c>
      <c r="B76" t="s">
        <v>5408</v>
      </c>
      <c r="C76" t="s">
        <v>5548</v>
      </c>
      <c r="D76">
        <v>18</v>
      </c>
      <c r="E76">
        <v>19</v>
      </c>
      <c r="F76">
        <v>1</v>
      </c>
      <c r="G76">
        <v>0</v>
      </c>
      <c r="H76">
        <v>0</v>
      </c>
      <c r="I76" s="1">
        <v>0.94736842099999996</v>
      </c>
      <c r="J76" s="1">
        <v>1</v>
      </c>
      <c r="K76">
        <v>17</v>
      </c>
      <c r="L76">
        <v>21</v>
      </c>
      <c r="M76">
        <v>2</v>
      </c>
      <c r="N76">
        <v>2</v>
      </c>
      <c r="O76" s="1">
        <v>0.90476190499999998</v>
      </c>
      <c r="P76" s="1">
        <v>1.1176470590000001</v>
      </c>
      <c r="Q76">
        <v>2</v>
      </c>
      <c r="R76">
        <v>7</v>
      </c>
      <c r="S76">
        <v>1</v>
      </c>
      <c r="T76">
        <v>4</v>
      </c>
      <c r="U76" s="1">
        <v>0.85714285700000004</v>
      </c>
      <c r="V76" s="1">
        <v>3</v>
      </c>
      <c r="W76">
        <v>37</v>
      </c>
      <c r="X76">
        <v>47</v>
      </c>
      <c r="Y76">
        <v>4</v>
      </c>
      <c r="Z76">
        <v>6</v>
      </c>
      <c r="AA76" s="1">
        <v>0.91489361700000005</v>
      </c>
      <c r="AB76" s="1">
        <v>1.162162162</v>
      </c>
    </row>
    <row r="77" spans="1:28" x14ac:dyDescent="0.45">
      <c r="A77" t="s">
        <v>5407</v>
      </c>
      <c r="B77" t="s">
        <v>5408</v>
      </c>
      <c r="C77" t="s">
        <v>5588</v>
      </c>
      <c r="D77">
        <v>6</v>
      </c>
      <c r="E77">
        <v>6</v>
      </c>
      <c r="F77">
        <v>1</v>
      </c>
      <c r="G77">
        <v>0</v>
      </c>
      <c r="H77">
        <v>-1</v>
      </c>
      <c r="I77" s="1">
        <v>0.83333333300000001</v>
      </c>
      <c r="J77" s="1">
        <v>0.83333333300000001</v>
      </c>
      <c r="K77">
        <v>7</v>
      </c>
      <c r="L77">
        <v>9</v>
      </c>
      <c r="M77">
        <v>2</v>
      </c>
      <c r="N77">
        <v>0</v>
      </c>
      <c r="O77" s="1">
        <v>0.77777777800000003</v>
      </c>
      <c r="P77" s="1">
        <v>1</v>
      </c>
      <c r="Q77">
        <v>1</v>
      </c>
      <c r="R77">
        <v>0</v>
      </c>
      <c r="S77">
        <v>0</v>
      </c>
      <c r="T77">
        <v>-1</v>
      </c>
      <c r="V77" s="1">
        <v>0</v>
      </c>
      <c r="W77">
        <v>14</v>
      </c>
      <c r="X77">
        <v>15</v>
      </c>
      <c r="Y77">
        <v>3</v>
      </c>
      <c r="Z77">
        <v>-2</v>
      </c>
      <c r="AA77" s="1">
        <v>0.8</v>
      </c>
      <c r="AB77" s="1">
        <v>0.85714285700000004</v>
      </c>
    </row>
    <row r="78" spans="1:28" x14ac:dyDescent="0.45">
      <c r="A78" t="s">
        <v>5407</v>
      </c>
      <c r="B78" t="s">
        <v>5408</v>
      </c>
      <c r="C78" t="s">
        <v>5741</v>
      </c>
      <c r="D78">
        <v>2</v>
      </c>
      <c r="E78">
        <v>2</v>
      </c>
      <c r="F78">
        <v>0</v>
      </c>
      <c r="G78">
        <v>0</v>
      </c>
      <c r="H78">
        <v>0</v>
      </c>
      <c r="I78" s="1">
        <v>1</v>
      </c>
      <c r="J78" s="1">
        <v>1</v>
      </c>
      <c r="K78">
        <v>1</v>
      </c>
      <c r="L78">
        <v>2</v>
      </c>
      <c r="M78">
        <v>1</v>
      </c>
      <c r="N78">
        <v>0</v>
      </c>
      <c r="O78" s="1">
        <v>0.5</v>
      </c>
      <c r="P78" s="1">
        <v>1</v>
      </c>
      <c r="Q78">
        <v>0</v>
      </c>
      <c r="R78">
        <v>0</v>
      </c>
      <c r="S78">
        <v>0</v>
      </c>
      <c r="T78">
        <v>0</v>
      </c>
      <c r="W78">
        <v>3</v>
      </c>
      <c r="X78">
        <v>4</v>
      </c>
      <c r="Y78">
        <v>1</v>
      </c>
      <c r="Z78">
        <v>0</v>
      </c>
      <c r="AA78" s="1">
        <v>0.75</v>
      </c>
      <c r="AB78" s="1">
        <v>1</v>
      </c>
    </row>
    <row r="79" spans="1:28" x14ac:dyDescent="0.45">
      <c r="A79" t="s">
        <v>5407</v>
      </c>
      <c r="B79" t="s">
        <v>5491</v>
      </c>
      <c r="C79" t="s">
        <v>5762</v>
      </c>
      <c r="D79">
        <v>3</v>
      </c>
      <c r="E79">
        <v>3</v>
      </c>
      <c r="F79">
        <v>0</v>
      </c>
      <c r="G79">
        <v>2</v>
      </c>
      <c r="H79">
        <v>0</v>
      </c>
      <c r="I79" s="1">
        <v>1</v>
      </c>
      <c r="J79" s="1">
        <v>1</v>
      </c>
      <c r="K79">
        <v>1</v>
      </c>
      <c r="L79">
        <v>2</v>
      </c>
      <c r="M79">
        <v>0</v>
      </c>
      <c r="N79">
        <v>1</v>
      </c>
      <c r="O79" s="1">
        <v>1</v>
      </c>
      <c r="P79" s="1">
        <v>2</v>
      </c>
      <c r="Q79">
        <v>1</v>
      </c>
      <c r="R79">
        <v>0</v>
      </c>
      <c r="S79">
        <v>0</v>
      </c>
      <c r="T79">
        <v>-1</v>
      </c>
      <c r="V79" s="1">
        <v>0</v>
      </c>
      <c r="W79">
        <v>5</v>
      </c>
      <c r="X79">
        <v>5</v>
      </c>
      <c r="Y79">
        <v>0</v>
      </c>
      <c r="Z79">
        <v>0</v>
      </c>
      <c r="AA79" s="1">
        <v>1</v>
      </c>
      <c r="AB79" s="1">
        <v>1</v>
      </c>
    </row>
    <row r="80" spans="1:28" x14ac:dyDescent="0.45">
      <c r="A80" t="s">
        <v>5407</v>
      </c>
      <c r="B80" t="s">
        <v>5491</v>
      </c>
      <c r="C80" t="s">
        <v>5545</v>
      </c>
      <c r="D80">
        <v>5</v>
      </c>
      <c r="E80">
        <v>9</v>
      </c>
      <c r="F80">
        <v>4</v>
      </c>
      <c r="G80">
        <v>1</v>
      </c>
      <c r="H80">
        <v>0</v>
      </c>
      <c r="I80" s="1">
        <v>0.55555555599999995</v>
      </c>
      <c r="J80" s="1">
        <v>1</v>
      </c>
      <c r="K80">
        <v>5</v>
      </c>
      <c r="L80">
        <v>4</v>
      </c>
      <c r="M80">
        <v>0</v>
      </c>
      <c r="N80">
        <v>-1</v>
      </c>
      <c r="O80" s="1">
        <v>1</v>
      </c>
      <c r="P80" s="1">
        <v>0.8</v>
      </c>
      <c r="Q80">
        <v>0</v>
      </c>
      <c r="R80">
        <v>0</v>
      </c>
      <c r="S80">
        <v>0</v>
      </c>
      <c r="T80">
        <v>0</v>
      </c>
      <c r="W80">
        <v>10</v>
      </c>
      <c r="X80">
        <v>13</v>
      </c>
      <c r="Y80">
        <v>4</v>
      </c>
      <c r="Z80">
        <v>-1</v>
      </c>
      <c r="AA80" s="1">
        <v>0.69230769199999997</v>
      </c>
      <c r="AB80" s="1">
        <v>0.9</v>
      </c>
    </row>
    <row r="81" spans="1:28" x14ac:dyDescent="0.45">
      <c r="A81" t="s">
        <v>5407</v>
      </c>
      <c r="B81" t="s">
        <v>5491</v>
      </c>
      <c r="C81" t="s">
        <v>5502</v>
      </c>
      <c r="D81">
        <v>1</v>
      </c>
      <c r="E81">
        <v>2</v>
      </c>
      <c r="F81">
        <v>1</v>
      </c>
      <c r="G81">
        <v>0</v>
      </c>
      <c r="H81">
        <v>0</v>
      </c>
      <c r="I81" s="1">
        <v>0.5</v>
      </c>
      <c r="J81" s="1">
        <v>1</v>
      </c>
      <c r="K81">
        <v>5</v>
      </c>
      <c r="L81">
        <v>7</v>
      </c>
      <c r="M81">
        <v>1</v>
      </c>
      <c r="N81">
        <v>1</v>
      </c>
      <c r="O81" s="1">
        <v>0.85714285700000004</v>
      </c>
      <c r="P81" s="1">
        <v>1.2</v>
      </c>
      <c r="Q81">
        <v>0</v>
      </c>
      <c r="R81">
        <v>0</v>
      </c>
      <c r="S81">
        <v>0</v>
      </c>
      <c r="T81">
        <v>0</v>
      </c>
      <c r="W81">
        <v>6</v>
      </c>
      <c r="X81">
        <v>9</v>
      </c>
      <c r="Y81">
        <v>2</v>
      </c>
      <c r="Z81">
        <v>1</v>
      </c>
      <c r="AA81" s="1">
        <v>0.77777777800000003</v>
      </c>
      <c r="AB81" s="1">
        <v>1.1666666670000001</v>
      </c>
    </row>
    <row r="82" spans="1:28" x14ac:dyDescent="0.45">
      <c r="A82" t="s">
        <v>5407</v>
      </c>
      <c r="B82" t="s">
        <v>5491</v>
      </c>
      <c r="C82" t="s">
        <v>5499</v>
      </c>
      <c r="D82">
        <v>17</v>
      </c>
      <c r="E82">
        <v>17</v>
      </c>
      <c r="F82">
        <v>4</v>
      </c>
      <c r="G82">
        <v>2</v>
      </c>
      <c r="H82">
        <v>-4</v>
      </c>
      <c r="I82" s="1">
        <v>0.764705882</v>
      </c>
      <c r="J82" s="1">
        <v>0.764705882</v>
      </c>
      <c r="K82">
        <v>11</v>
      </c>
      <c r="L82">
        <v>18</v>
      </c>
      <c r="M82">
        <v>6</v>
      </c>
      <c r="N82">
        <v>1</v>
      </c>
      <c r="O82" s="1">
        <v>0.66666666699999999</v>
      </c>
      <c r="P82" s="1">
        <v>1.0909090910000001</v>
      </c>
      <c r="Q82">
        <v>2</v>
      </c>
      <c r="R82">
        <v>3</v>
      </c>
      <c r="S82">
        <v>0</v>
      </c>
      <c r="T82">
        <v>1</v>
      </c>
      <c r="U82" s="1">
        <v>1</v>
      </c>
      <c r="V82" s="1">
        <v>1.5</v>
      </c>
      <c r="W82">
        <v>30</v>
      </c>
      <c r="X82">
        <v>38</v>
      </c>
      <c r="Y82">
        <v>10</v>
      </c>
      <c r="Z82">
        <v>-2</v>
      </c>
      <c r="AA82" s="1">
        <v>0.73684210500000002</v>
      </c>
      <c r="AB82" s="1">
        <v>0.93333333299999999</v>
      </c>
    </row>
    <row r="83" spans="1:28" x14ac:dyDescent="0.45">
      <c r="A83" t="s">
        <v>5407</v>
      </c>
      <c r="B83" t="s">
        <v>5491</v>
      </c>
      <c r="C83" t="s">
        <v>5542</v>
      </c>
      <c r="D83">
        <v>6</v>
      </c>
      <c r="E83">
        <v>6</v>
      </c>
      <c r="F83">
        <v>0</v>
      </c>
      <c r="G83">
        <v>2</v>
      </c>
      <c r="H83">
        <v>0</v>
      </c>
      <c r="I83" s="1">
        <v>1</v>
      </c>
      <c r="J83" s="1">
        <v>1</v>
      </c>
      <c r="K83">
        <v>2</v>
      </c>
      <c r="L83">
        <v>2</v>
      </c>
      <c r="M83">
        <v>0</v>
      </c>
      <c r="N83">
        <v>0</v>
      </c>
      <c r="O83" s="1">
        <v>1</v>
      </c>
      <c r="P83" s="1">
        <v>1</v>
      </c>
      <c r="Q83">
        <v>1</v>
      </c>
      <c r="R83">
        <v>0</v>
      </c>
      <c r="S83">
        <v>0</v>
      </c>
      <c r="T83">
        <v>-1</v>
      </c>
      <c r="V83" s="1">
        <v>0</v>
      </c>
      <c r="W83">
        <v>9</v>
      </c>
      <c r="X83">
        <v>8</v>
      </c>
      <c r="Y83">
        <v>0</v>
      </c>
      <c r="Z83">
        <v>-1</v>
      </c>
      <c r="AA83" s="1">
        <v>1</v>
      </c>
      <c r="AB83" s="1">
        <v>0.88888888899999996</v>
      </c>
    </row>
    <row r="84" spans="1:28" x14ac:dyDescent="0.45">
      <c r="A84" t="s">
        <v>5407</v>
      </c>
      <c r="B84" t="s">
        <v>5491</v>
      </c>
      <c r="C84" t="s">
        <v>5523</v>
      </c>
      <c r="D84">
        <v>2</v>
      </c>
      <c r="E84">
        <v>2</v>
      </c>
      <c r="F84">
        <v>0</v>
      </c>
      <c r="G84">
        <v>0</v>
      </c>
      <c r="H84">
        <v>0</v>
      </c>
      <c r="I84" s="1">
        <v>1</v>
      </c>
      <c r="J84" s="1">
        <v>1</v>
      </c>
      <c r="K84">
        <v>6</v>
      </c>
      <c r="L84">
        <v>8</v>
      </c>
      <c r="M84">
        <v>1</v>
      </c>
      <c r="N84">
        <v>1</v>
      </c>
      <c r="O84" s="1">
        <v>0.875</v>
      </c>
      <c r="P84" s="1">
        <v>1.1666666670000001</v>
      </c>
      <c r="Q84">
        <v>1</v>
      </c>
      <c r="R84">
        <v>0</v>
      </c>
      <c r="S84">
        <v>0</v>
      </c>
      <c r="T84">
        <v>-1</v>
      </c>
      <c r="V84" s="1">
        <v>0</v>
      </c>
      <c r="W84">
        <v>9</v>
      </c>
      <c r="X84">
        <v>10</v>
      </c>
      <c r="Y84">
        <v>1</v>
      </c>
      <c r="Z84">
        <v>0</v>
      </c>
      <c r="AA84" s="1">
        <v>0.9</v>
      </c>
      <c r="AB84" s="1">
        <v>1</v>
      </c>
    </row>
    <row r="85" spans="1:28" x14ac:dyDescent="0.45">
      <c r="A85" t="s">
        <v>5407</v>
      </c>
      <c r="B85" t="s">
        <v>5491</v>
      </c>
      <c r="C85" t="s">
        <v>5492</v>
      </c>
      <c r="D85">
        <v>21</v>
      </c>
      <c r="E85">
        <v>14</v>
      </c>
      <c r="F85">
        <v>3</v>
      </c>
      <c r="G85">
        <v>3</v>
      </c>
      <c r="H85">
        <v>-10</v>
      </c>
      <c r="I85" s="1">
        <v>0.78571428600000004</v>
      </c>
      <c r="J85" s="1">
        <v>0.52380952400000003</v>
      </c>
      <c r="K85">
        <v>0</v>
      </c>
      <c r="L85">
        <v>5</v>
      </c>
      <c r="M85">
        <v>1</v>
      </c>
      <c r="N85">
        <v>4</v>
      </c>
      <c r="O85" s="1">
        <v>0.8</v>
      </c>
      <c r="Q85">
        <v>2</v>
      </c>
      <c r="R85">
        <v>0</v>
      </c>
      <c r="S85">
        <v>0</v>
      </c>
      <c r="T85">
        <v>-2</v>
      </c>
      <c r="V85" s="1">
        <v>0</v>
      </c>
      <c r="W85">
        <v>23</v>
      </c>
      <c r="X85">
        <v>19</v>
      </c>
      <c r="Y85">
        <v>4</v>
      </c>
      <c r="Z85">
        <v>-8</v>
      </c>
      <c r="AA85" s="1">
        <v>0.78947368399999995</v>
      </c>
      <c r="AB85" s="1">
        <v>0.65217391300000005</v>
      </c>
    </row>
    <row r="86" spans="1:28" x14ac:dyDescent="0.45">
      <c r="A86" t="s">
        <v>5407</v>
      </c>
      <c r="B86" t="s">
        <v>5491</v>
      </c>
      <c r="C86" t="s">
        <v>5512</v>
      </c>
      <c r="D86">
        <v>10</v>
      </c>
      <c r="E86">
        <v>10</v>
      </c>
      <c r="F86">
        <v>2</v>
      </c>
      <c r="G86">
        <v>3</v>
      </c>
      <c r="H86">
        <v>-2</v>
      </c>
      <c r="I86" s="1">
        <v>0.8</v>
      </c>
      <c r="J86" s="1">
        <v>0.8</v>
      </c>
      <c r="K86">
        <v>6</v>
      </c>
      <c r="L86">
        <v>9</v>
      </c>
      <c r="M86">
        <v>0</v>
      </c>
      <c r="N86">
        <v>3</v>
      </c>
      <c r="O86" s="1">
        <v>1</v>
      </c>
      <c r="P86" s="1">
        <v>1.5</v>
      </c>
      <c r="Q86">
        <v>0</v>
      </c>
      <c r="R86">
        <v>1</v>
      </c>
      <c r="S86">
        <v>1</v>
      </c>
      <c r="T86">
        <v>0</v>
      </c>
      <c r="U86" s="1">
        <v>0</v>
      </c>
      <c r="W86">
        <v>16</v>
      </c>
      <c r="X86">
        <v>20</v>
      </c>
      <c r="Y86">
        <v>3</v>
      </c>
      <c r="Z86">
        <v>1</v>
      </c>
      <c r="AA86" s="1">
        <v>0.85</v>
      </c>
      <c r="AB86" s="1">
        <v>1.0625</v>
      </c>
    </row>
    <row r="87" spans="1:28" x14ac:dyDescent="0.45">
      <c r="A87" t="s">
        <v>5443</v>
      </c>
      <c r="B87" t="s">
        <v>5444</v>
      </c>
      <c r="C87" t="s">
        <v>5549</v>
      </c>
      <c r="D87">
        <v>12</v>
      </c>
      <c r="E87">
        <v>12</v>
      </c>
      <c r="F87">
        <v>1</v>
      </c>
      <c r="G87">
        <v>0</v>
      </c>
      <c r="H87">
        <v>-1</v>
      </c>
      <c r="I87" s="1">
        <v>0.91666666699999999</v>
      </c>
      <c r="J87" s="1">
        <v>0.91666666699999999</v>
      </c>
      <c r="K87">
        <v>9</v>
      </c>
      <c r="L87">
        <v>10</v>
      </c>
      <c r="M87">
        <v>0</v>
      </c>
      <c r="N87">
        <v>1</v>
      </c>
      <c r="O87" s="1">
        <v>1</v>
      </c>
      <c r="P87" s="1">
        <v>1.111111111</v>
      </c>
      <c r="Q87">
        <v>1</v>
      </c>
      <c r="R87">
        <v>1</v>
      </c>
      <c r="S87">
        <v>0</v>
      </c>
      <c r="T87">
        <v>0</v>
      </c>
      <c r="U87" s="1">
        <v>1</v>
      </c>
      <c r="V87" s="1">
        <v>1</v>
      </c>
      <c r="W87">
        <v>22</v>
      </c>
      <c r="X87">
        <v>23</v>
      </c>
      <c r="Y87">
        <v>1</v>
      </c>
      <c r="Z87">
        <v>0</v>
      </c>
      <c r="AA87" s="1">
        <v>0.95652173900000004</v>
      </c>
      <c r="AB87" s="1">
        <v>1</v>
      </c>
    </row>
    <row r="88" spans="1:28" x14ac:dyDescent="0.45">
      <c r="A88" t="s">
        <v>5443</v>
      </c>
      <c r="B88" t="s">
        <v>5444</v>
      </c>
      <c r="C88" t="s">
        <v>5445</v>
      </c>
      <c r="D88">
        <v>17</v>
      </c>
      <c r="E88">
        <v>18</v>
      </c>
      <c r="F88">
        <v>2</v>
      </c>
      <c r="G88">
        <v>2</v>
      </c>
      <c r="H88">
        <v>-1</v>
      </c>
      <c r="I88" s="1">
        <v>0.88888888899999996</v>
      </c>
      <c r="J88" s="1">
        <v>0.94117647100000001</v>
      </c>
      <c r="K88">
        <v>6</v>
      </c>
      <c r="L88">
        <v>7</v>
      </c>
      <c r="M88">
        <v>1</v>
      </c>
      <c r="N88">
        <v>0</v>
      </c>
      <c r="O88" s="1">
        <v>0.85714285700000004</v>
      </c>
      <c r="P88" s="1">
        <v>1</v>
      </c>
      <c r="Q88">
        <v>1</v>
      </c>
      <c r="R88">
        <v>1</v>
      </c>
      <c r="S88">
        <v>0</v>
      </c>
      <c r="T88">
        <v>0</v>
      </c>
      <c r="U88" s="1">
        <v>1</v>
      </c>
      <c r="V88" s="1">
        <v>1</v>
      </c>
      <c r="W88">
        <v>24</v>
      </c>
      <c r="X88">
        <v>26</v>
      </c>
      <c r="Y88">
        <v>3</v>
      </c>
      <c r="Z88">
        <v>-1</v>
      </c>
      <c r="AA88" s="1">
        <v>0.88461538500000003</v>
      </c>
      <c r="AB88" s="1">
        <v>0.95833333300000001</v>
      </c>
    </row>
    <row r="89" spans="1:28" x14ac:dyDescent="0.45">
      <c r="A89" t="s">
        <v>5443</v>
      </c>
      <c r="B89" t="s">
        <v>5444</v>
      </c>
      <c r="C89" t="s">
        <v>5466</v>
      </c>
      <c r="D89">
        <v>0</v>
      </c>
      <c r="E89">
        <v>0</v>
      </c>
      <c r="F89">
        <v>0</v>
      </c>
      <c r="G89">
        <v>0</v>
      </c>
      <c r="H89">
        <v>0</v>
      </c>
      <c r="K89">
        <v>11</v>
      </c>
      <c r="L89">
        <v>14</v>
      </c>
      <c r="M89">
        <v>4</v>
      </c>
      <c r="N89">
        <v>-1</v>
      </c>
      <c r="O89" s="1">
        <v>0.71428571399999996</v>
      </c>
      <c r="P89" s="1">
        <v>0.909090909</v>
      </c>
      <c r="Q89">
        <v>3</v>
      </c>
      <c r="R89">
        <v>2</v>
      </c>
      <c r="S89">
        <v>1</v>
      </c>
      <c r="T89">
        <v>-2</v>
      </c>
      <c r="U89" s="1">
        <v>0.5</v>
      </c>
      <c r="V89" s="1">
        <v>0.33333333300000001</v>
      </c>
      <c r="W89">
        <v>14</v>
      </c>
      <c r="X89">
        <v>16</v>
      </c>
      <c r="Y89">
        <v>5</v>
      </c>
      <c r="Z89">
        <v>-3</v>
      </c>
      <c r="AA89" s="1">
        <v>0.6875</v>
      </c>
      <c r="AB89" s="1">
        <v>0.78571428600000004</v>
      </c>
    </row>
    <row r="90" spans="1:28" x14ac:dyDescent="0.45">
      <c r="A90" t="s">
        <v>5443</v>
      </c>
      <c r="B90" t="s">
        <v>5444</v>
      </c>
      <c r="C90" t="s">
        <v>6029</v>
      </c>
      <c r="D90">
        <v>4</v>
      </c>
      <c r="E90">
        <v>3</v>
      </c>
      <c r="F90">
        <v>0</v>
      </c>
      <c r="G90">
        <v>0</v>
      </c>
      <c r="H90">
        <v>-1</v>
      </c>
      <c r="I90" s="1">
        <v>1</v>
      </c>
      <c r="J90" s="1">
        <v>0.75</v>
      </c>
      <c r="K90">
        <v>0</v>
      </c>
      <c r="L90">
        <v>2</v>
      </c>
      <c r="M90">
        <v>1</v>
      </c>
      <c r="N90">
        <v>1</v>
      </c>
      <c r="O90" s="1">
        <v>0.5</v>
      </c>
      <c r="Q90">
        <v>1</v>
      </c>
      <c r="R90">
        <v>1</v>
      </c>
      <c r="S90">
        <v>0</v>
      </c>
      <c r="T90">
        <v>0</v>
      </c>
      <c r="U90" s="1">
        <v>1</v>
      </c>
      <c r="V90" s="1">
        <v>1</v>
      </c>
      <c r="W90">
        <v>5</v>
      </c>
      <c r="X90">
        <v>6</v>
      </c>
      <c r="Y90">
        <v>1</v>
      </c>
      <c r="Z90">
        <v>0</v>
      </c>
      <c r="AA90" s="1">
        <v>0.83333333300000001</v>
      </c>
      <c r="AB90" s="1">
        <v>1</v>
      </c>
    </row>
    <row r="91" spans="1:28" x14ac:dyDescent="0.45">
      <c r="A91" t="s">
        <v>5443</v>
      </c>
      <c r="B91" t="s">
        <v>5444</v>
      </c>
      <c r="C91" t="s">
        <v>5460</v>
      </c>
      <c r="D91">
        <v>12</v>
      </c>
      <c r="E91">
        <v>13</v>
      </c>
      <c r="F91">
        <v>5</v>
      </c>
      <c r="G91">
        <v>0</v>
      </c>
      <c r="H91">
        <v>-4</v>
      </c>
      <c r="I91" s="1">
        <v>0.61538461499999997</v>
      </c>
      <c r="J91" s="1">
        <v>0.66666666699999999</v>
      </c>
      <c r="K91">
        <v>13</v>
      </c>
      <c r="L91">
        <v>18</v>
      </c>
      <c r="M91">
        <v>5</v>
      </c>
      <c r="N91">
        <v>0</v>
      </c>
      <c r="O91" s="1">
        <v>0.72222222199999997</v>
      </c>
      <c r="P91" s="1">
        <v>1</v>
      </c>
      <c r="Q91">
        <v>2</v>
      </c>
      <c r="R91">
        <v>1</v>
      </c>
      <c r="S91">
        <v>0</v>
      </c>
      <c r="T91">
        <v>-1</v>
      </c>
      <c r="U91" s="1">
        <v>1</v>
      </c>
      <c r="V91" s="1">
        <v>0.5</v>
      </c>
      <c r="W91">
        <v>27</v>
      </c>
      <c r="X91">
        <v>32</v>
      </c>
      <c r="Y91">
        <v>10</v>
      </c>
      <c r="Z91">
        <v>-5</v>
      </c>
      <c r="AA91" s="1">
        <v>0.6875</v>
      </c>
      <c r="AB91" s="1">
        <v>0.81481481499999997</v>
      </c>
    </row>
    <row r="92" spans="1:28" x14ac:dyDescent="0.45">
      <c r="A92" t="s">
        <v>5443</v>
      </c>
      <c r="B92" t="s">
        <v>5444</v>
      </c>
      <c r="C92" t="s">
        <v>5553</v>
      </c>
      <c r="D92">
        <v>8</v>
      </c>
      <c r="E92">
        <v>8</v>
      </c>
      <c r="F92">
        <v>1</v>
      </c>
      <c r="G92">
        <v>0</v>
      </c>
      <c r="H92">
        <v>-1</v>
      </c>
      <c r="I92" s="1">
        <v>0.875</v>
      </c>
      <c r="J92" s="1">
        <v>0.875</v>
      </c>
      <c r="K92">
        <v>1</v>
      </c>
      <c r="L92">
        <v>3</v>
      </c>
      <c r="M92">
        <v>0</v>
      </c>
      <c r="N92">
        <v>2</v>
      </c>
      <c r="O92" s="1">
        <v>1</v>
      </c>
      <c r="P92" s="1">
        <v>3</v>
      </c>
      <c r="Q92">
        <v>1</v>
      </c>
      <c r="R92">
        <v>1</v>
      </c>
      <c r="S92">
        <v>1</v>
      </c>
      <c r="T92">
        <v>-1</v>
      </c>
      <c r="U92" s="1">
        <v>0</v>
      </c>
      <c r="V92" s="1">
        <v>0</v>
      </c>
      <c r="W92">
        <v>10</v>
      </c>
      <c r="X92">
        <v>12</v>
      </c>
      <c r="Y92">
        <v>2</v>
      </c>
      <c r="Z92">
        <v>0</v>
      </c>
      <c r="AA92" s="1">
        <v>0.83333333300000001</v>
      </c>
      <c r="AB92" s="1">
        <v>1</v>
      </c>
    </row>
    <row r="93" spans="1:28" x14ac:dyDescent="0.45">
      <c r="A93" t="s">
        <v>5443</v>
      </c>
      <c r="B93" t="s">
        <v>5444</v>
      </c>
      <c r="C93" t="s">
        <v>5895</v>
      </c>
      <c r="D93">
        <v>4</v>
      </c>
      <c r="E93">
        <v>4</v>
      </c>
      <c r="F93">
        <v>0</v>
      </c>
      <c r="G93">
        <v>0</v>
      </c>
      <c r="H93">
        <v>0</v>
      </c>
      <c r="I93" s="1">
        <v>1</v>
      </c>
      <c r="J93" s="1">
        <v>1</v>
      </c>
      <c r="K93">
        <v>2</v>
      </c>
      <c r="L93">
        <v>2</v>
      </c>
      <c r="M93">
        <v>0</v>
      </c>
      <c r="N93">
        <v>0</v>
      </c>
      <c r="O93" s="1">
        <v>1</v>
      </c>
      <c r="P93" s="1">
        <v>1</v>
      </c>
      <c r="Q93">
        <v>1</v>
      </c>
      <c r="R93">
        <v>1</v>
      </c>
      <c r="S93">
        <v>0</v>
      </c>
      <c r="T93">
        <v>0</v>
      </c>
      <c r="U93" s="1">
        <v>1</v>
      </c>
      <c r="V93" s="1">
        <v>1</v>
      </c>
      <c r="W93">
        <v>7</v>
      </c>
      <c r="X93">
        <v>7</v>
      </c>
      <c r="Y93">
        <v>0</v>
      </c>
      <c r="Z93">
        <v>0</v>
      </c>
      <c r="AA93" s="1">
        <v>1</v>
      </c>
      <c r="AB93" s="1">
        <v>1</v>
      </c>
    </row>
    <row r="94" spans="1:28" x14ac:dyDescent="0.45">
      <c r="A94" t="s">
        <v>5443</v>
      </c>
      <c r="B94" t="s">
        <v>5450</v>
      </c>
      <c r="C94" t="s">
        <v>5986</v>
      </c>
      <c r="D94">
        <v>1</v>
      </c>
      <c r="E94">
        <v>1</v>
      </c>
      <c r="F94">
        <v>0</v>
      </c>
      <c r="G94">
        <v>0</v>
      </c>
      <c r="H94">
        <v>0</v>
      </c>
      <c r="I94" s="1">
        <v>1</v>
      </c>
      <c r="J94" s="1">
        <v>1</v>
      </c>
      <c r="K94">
        <v>1</v>
      </c>
      <c r="L94">
        <v>1</v>
      </c>
      <c r="M94">
        <v>0</v>
      </c>
      <c r="N94">
        <v>0</v>
      </c>
      <c r="O94" s="1">
        <v>1</v>
      </c>
      <c r="P94" s="1">
        <v>1</v>
      </c>
      <c r="Q94">
        <v>0</v>
      </c>
      <c r="R94">
        <v>0</v>
      </c>
      <c r="S94">
        <v>0</v>
      </c>
      <c r="T94">
        <v>0</v>
      </c>
      <c r="W94">
        <v>2</v>
      </c>
      <c r="X94">
        <v>2</v>
      </c>
      <c r="Y94">
        <v>0</v>
      </c>
      <c r="Z94">
        <v>0</v>
      </c>
      <c r="AA94" s="1">
        <v>1</v>
      </c>
      <c r="AB94" s="1">
        <v>1</v>
      </c>
    </row>
    <row r="95" spans="1:28" x14ac:dyDescent="0.45">
      <c r="A95" t="s">
        <v>5443</v>
      </c>
      <c r="B95" t="s">
        <v>5450</v>
      </c>
      <c r="C95" t="s">
        <v>5731</v>
      </c>
      <c r="D95">
        <v>2</v>
      </c>
      <c r="E95">
        <v>2</v>
      </c>
      <c r="F95">
        <v>0</v>
      </c>
      <c r="G95">
        <v>0</v>
      </c>
      <c r="H95">
        <v>0</v>
      </c>
      <c r="I95" s="1">
        <v>1</v>
      </c>
      <c r="J95" s="1">
        <v>1</v>
      </c>
      <c r="K95">
        <v>2</v>
      </c>
      <c r="L95">
        <v>2</v>
      </c>
      <c r="M95">
        <v>0</v>
      </c>
      <c r="N95">
        <v>0</v>
      </c>
      <c r="O95" s="1">
        <v>1</v>
      </c>
      <c r="P95" s="1">
        <v>1</v>
      </c>
      <c r="Q95">
        <v>0</v>
      </c>
      <c r="R95">
        <v>0</v>
      </c>
      <c r="S95">
        <v>0</v>
      </c>
      <c r="T95">
        <v>0</v>
      </c>
      <c r="W95">
        <v>4</v>
      </c>
      <c r="X95">
        <v>4</v>
      </c>
      <c r="Y95">
        <v>0</v>
      </c>
      <c r="Z95">
        <v>0</v>
      </c>
      <c r="AA95" s="1">
        <v>1</v>
      </c>
      <c r="AB95" s="1">
        <v>1</v>
      </c>
    </row>
    <row r="96" spans="1:28" x14ac:dyDescent="0.45">
      <c r="A96" t="s">
        <v>5443</v>
      </c>
      <c r="B96" t="s">
        <v>5450</v>
      </c>
      <c r="C96" t="s">
        <v>5527</v>
      </c>
      <c r="D96">
        <v>0</v>
      </c>
      <c r="E96">
        <v>0</v>
      </c>
      <c r="F96">
        <v>0</v>
      </c>
      <c r="G96">
        <v>0</v>
      </c>
      <c r="H96">
        <v>0</v>
      </c>
      <c r="K96">
        <v>2</v>
      </c>
      <c r="L96">
        <v>2</v>
      </c>
      <c r="M96">
        <v>1</v>
      </c>
      <c r="N96">
        <v>-1</v>
      </c>
      <c r="O96" s="1">
        <v>0.5</v>
      </c>
      <c r="P96" s="1">
        <v>0.5</v>
      </c>
      <c r="Q96">
        <v>1</v>
      </c>
      <c r="R96">
        <v>2</v>
      </c>
      <c r="S96">
        <v>0</v>
      </c>
      <c r="T96">
        <v>1</v>
      </c>
      <c r="U96" s="1">
        <v>1</v>
      </c>
      <c r="V96" s="1">
        <v>2</v>
      </c>
      <c r="W96">
        <v>3</v>
      </c>
      <c r="X96">
        <v>4</v>
      </c>
      <c r="Y96">
        <v>1</v>
      </c>
      <c r="Z96">
        <v>0</v>
      </c>
      <c r="AA96" s="1">
        <v>0.75</v>
      </c>
      <c r="AB96" s="1">
        <v>1</v>
      </c>
    </row>
    <row r="97" spans="1:28" x14ac:dyDescent="0.45">
      <c r="A97" t="s">
        <v>5443</v>
      </c>
      <c r="B97" t="s">
        <v>5450</v>
      </c>
      <c r="C97" t="s">
        <v>5853</v>
      </c>
      <c r="D97">
        <v>0</v>
      </c>
      <c r="E97">
        <v>0</v>
      </c>
      <c r="F97">
        <v>0</v>
      </c>
      <c r="G97">
        <v>0</v>
      </c>
      <c r="H97">
        <v>0</v>
      </c>
      <c r="K97">
        <v>1</v>
      </c>
      <c r="L97">
        <v>1</v>
      </c>
      <c r="M97">
        <v>0</v>
      </c>
      <c r="N97">
        <v>0</v>
      </c>
      <c r="O97" s="1">
        <v>1</v>
      </c>
      <c r="P97" s="1">
        <v>1</v>
      </c>
      <c r="Q97">
        <v>0</v>
      </c>
      <c r="R97">
        <v>0</v>
      </c>
      <c r="S97">
        <v>0</v>
      </c>
      <c r="T97">
        <v>0</v>
      </c>
      <c r="W97">
        <v>1</v>
      </c>
      <c r="X97">
        <v>1</v>
      </c>
      <c r="Y97">
        <v>0</v>
      </c>
      <c r="Z97">
        <v>0</v>
      </c>
      <c r="AA97" s="1">
        <v>1</v>
      </c>
      <c r="AB97" s="1">
        <v>1</v>
      </c>
    </row>
    <row r="98" spans="1:28" x14ac:dyDescent="0.45">
      <c r="A98" t="s">
        <v>5443</v>
      </c>
      <c r="B98" t="s">
        <v>5450</v>
      </c>
      <c r="C98" t="s">
        <v>5451</v>
      </c>
      <c r="D98">
        <v>1</v>
      </c>
      <c r="E98">
        <v>3</v>
      </c>
      <c r="F98">
        <v>0</v>
      </c>
      <c r="G98">
        <v>0</v>
      </c>
      <c r="H98">
        <v>2</v>
      </c>
      <c r="I98" s="1">
        <v>1</v>
      </c>
      <c r="J98" s="1">
        <v>3</v>
      </c>
      <c r="K98">
        <v>4</v>
      </c>
      <c r="L98">
        <v>5</v>
      </c>
      <c r="M98">
        <v>1</v>
      </c>
      <c r="N98">
        <v>0</v>
      </c>
      <c r="O98" s="1">
        <v>0.8</v>
      </c>
      <c r="P98" s="1">
        <v>1</v>
      </c>
      <c r="Q98">
        <v>0</v>
      </c>
      <c r="R98">
        <v>0</v>
      </c>
      <c r="S98">
        <v>0</v>
      </c>
      <c r="T98">
        <v>0</v>
      </c>
      <c r="W98">
        <v>5</v>
      </c>
      <c r="X98">
        <v>8</v>
      </c>
      <c r="Y98">
        <v>1</v>
      </c>
      <c r="Z98">
        <v>2</v>
      </c>
      <c r="AA98" s="1">
        <v>0.875</v>
      </c>
      <c r="AB98" s="1">
        <v>1.4</v>
      </c>
    </row>
    <row r="99" spans="1:28" x14ac:dyDescent="0.45">
      <c r="A99" t="s">
        <v>5443</v>
      </c>
      <c r="B99" t="s">
        <v>5450</v>
      </c>
      <c r="C99" t="s">
        <v>5639</v>
      </c>
      <c r="D99">
        <v>0</v>
      </c>
      <c r="E99">
        <v>0</v>
      </c>
      <c r="F99">
        <v>0</v>
      </c>
      <c r="G99">
        <v>0</v>
      </c>
      <c r="H99">
        <v>0</v>
      </c>
      <c r="K99">
        <v>2</v>
      </c>
      <c r="L99">
        <v>4</v>
      </c>
      <c r="M99">
        <v>0</v>
      </c>
      <c r="N99">
        <v>2</v>
      </c>
      <c r="O99" s="1">
        <v>1</v>
      </c>
      <c r="P99" s="1">
        <v>2</v>
      </c>
      <c r="Q99">
        <v>0</v>
      </c>
      <c r="R99">
        <v>0</v>
      </c>
      <c r="S99">
        <v>0</v>
      </c>
      <c r="T99">
        <v>0</v>
      </c>
      <c r="W99">
        <v>2</v>
      </c>
      <c r="X99">
        <v>4</v>
      </c>
      <c r="Y99">
        <v>0</v>
      </c>
      <c r="Z99">
        <v>2</v>
      </c>
      <c r="AA99" s="1">
        <v>1</v>
      </c>
      <c r="AB99" s="1">
        <v>2</v>
      </c>
    </row>
    <row r="100" spans="1:28" x14ac:dyDescent="0.45">
      <c r="A100" t="s">
        <v>5443</v>
      </c>
      <c r="B100" t="s">
        <v>5450</v>
      </c>
      <c r="C100" t="s">
        <v>5623</v>
      </c>
      <c r="D100">
        <v>3</v>
      </c>
      <c r="E100">
        <v>3</v>
      </c>
      <c r="F100">
        <v>1</v>
      </c>
      <c r="G100">
        <v>0</v>
      </c>
      <c r="H100">
        <v>-1</v>
      </c>
      <c r="I100" s="1">
        <v>0.66666666699999999</v>
      </c>
      <c r="J100" s="1">
        <v>0.66666666699999999</v>
      </c>
      <c r="K100">
        <v>1</v>
      </c>
      <c r="L100">
        <v>3</v>
      </c>
      <c r="M100">
        <v>0</v>
      </c>
      <c r="N100">
        <v>2</v>
      </c>
      <c r="O100" s="1">
        <v>1</v>
      </c>
      <c r="P100" s="1">
        <v>3</v>
      </c>
      <c r="Q100">
        <v>0</v>
      </c>
      <c r="R100">
        <v>0</v>
      </c>
      <c r="S100">
        <v>0</v>
      </c>
      <c r="T100">
        <v>0</v>
      </c>
      <c r="W100">
        <v>4</v>
      </c>
      <c r="X100">
        <v>6</v>
      </c>
      <c r="Y100">
        <v>1</v>
      </c>
      <c r="Z100">
        <v>1</v>
      </c>
      <c r="AA100" s="1">
        <v>0.83333333300000001</v>
      </c>
      <c r="AB100" s="1">
        <v>1.25</v>
      </c>
    </row>
    <row r="101" spans="1:28" x14ac:dyDescent="0.45">
      <c r="A101" t="s">
        <v>5443</v>
      </c>
      <c r="B101" t="s">
        <v>5450</v>
      </c>
      <c r="C101" t="s">
        <v>5582</v>
      </c>
      <c r="D101">
        <v>13</v>
      </c>
      <c r="E101">
        <v>13</v>
      </c>
      <c r="F101">
        <v>2</v>
      </c>
      <c r="G101">
        <v>0</v>
      </c>
      <c r="H101">
        <v>-2</v>
      </c>
      <c r="I101" s="1">
        <v>0.84615384599999999</v>
      </c>
      <c r="J101" s="1">
        <v>0.84615384599999999</v>
      </c>
      <c r="K101">
        <v>4</v>
      </c>
      <c r="L101">
        <v>6</v>
      </c>
      <c r="M101">
        <v>1</v>
      </c>
      <c r="N101">
        <v>1</v>
      </c>
      <c r="O101" s="1">
        <v>0.83333333300000001</v>
      </c>
      <c r="P101" s="1">
        <v>1.25</v>
      </c>
      <c r="Q101">
        <v>3</v>
      </c>
      <c r="R101">
        <v>4</v>
      </c>
      <c r="S101">
        <v>1</v>
      </c>
      <c r="T101">
        <v>0</v>
      </c>
      <c r="U101" s="1">
        <v>0.75</v>
      </c>
      <c r="V101" s="1">
        <v>1</v>
      </c>
      <c r="W101">
        <v>20</v>
      </c>
      <c r="X101">
        <v>23</v>
      </c>
      <c r="Y101">
        <v>4</v>
      </c>
      <c r="Z101">
        <v>-1</v>
      </c>
      <c r="AA101" s="1">
        <v>0.82608695700000001</v>
      </c>
      <c r="AB101" s="1">
        <v>0.95</v>
      </c>
    </row>
    <row r="102" spans="1:28" x14ac:dyDescent="0.45">
      <c r="A102" t="s">
        <v>5443</v>
      </c>
      <c r="B102" t="s">
        <v>5450</v>
      </c>
      <c r="C102" t="s">
        <v>5571</v>
      </c>
      <c r="D102">
        <v>5</v>
      </c>
      <c r="E102">
        <v>6</v>
      </c>
      <c r="F102">
        <v>0</v>
      </c>
      <c r="G102">
        <v>1</v>
      </c>
      <c r="H102">
        <v>1</v>
      </c>
      <c r="I102" s="1">
        <v>1</v>
      </c>
      <c r="J102" s="1">
        <v>1.2</v>
      </c>
      <c r="K102">
        <v>2</v>
      </c>
      <c r="L102">
        <v>3</v>
      </c>
      <c r="M102">
        <v>1</v>
      </c>
      <c r="N102">
        <v>0</v>
      </c>
      <c r="O102" s="1">
        <v>0.66666666699999999</v>
      </c>
      <c r="P102" s="1">
        <v>1</v>
      </c>
      <c r="Q102">
        <v>0</v>
      </c>
      <c r="R102">
        <v>1</v>
      </c>
      <c r="S102">
        <v>0</v>
      </c>
      <c r="T102">
        <v>1</v>
      </c>
      <c r="U102" s="1">
        <v>1</v>
      </c>
      <c r="W102">
        <v>7</v>
      </c>
      <c r="X102">
        <v>10</v>
      </c>
      <c r="Y102">
        <v>1</v>
      </c>
      <c r="Z102">
        <v>2</v>
      </c>
      <c r="AA102" s="1">
        <v>0.9</v>
      </c>
      <c r="AB102" s="1">
        <v>1.2857142859999999</v>
      </c>
    </row>
    <row r="103" spans="1:28" x14ac:dyDescent="0.45">
      <c r="A103" t="s">
        <v>5443</v>
      </c>
      <c r="B103" t="s">
        <v>5450</v>
      </c>
      <c r="C103" t="s">
        <v>5594</v>
      </c>
      <c r="D103">
        <v>2</v>
      </c>
      <c r="E103">
        <v>2</v>
      </c>
      <c r="F103">
        <v>0</v>
      </c>
      <c r="G103">
        <v>2</v>
      </c>
      <c r="H103">
        <v>0</v>
      </c>
      <c r="I103" s="1">
        <v>1</v>
      </c>
      <c r="J103" s="1">
        <v>1</v>
      </c>
      <c r="K103">
        <v>3</v>
      </c>
      <c r="L103">
        <v>4</v>
      </c>
      <c r="M103">
        <v>2</v>
      </c>
      <c r="N103">
        <v>-1</v>
      </c>
      <c r="O103" s="1">
        <v>0.5</v>
      </c>
      <c r="P103" s="1">
        <v>0.66666666699999999</v>
      </c>
      <c r="Q103">
        <v>1</v>
      </c>
      <c r="R103">
        <v>1</v>
      </c>
      <c r="S103">
        <v>0</v>
      </c>
      <c r="T103">
        <v>0</v>
      </c>
      <c r="U103" s="1">
        <v>1</v>
      </c>
      <c r="V103" s="1">
        <v>1</v>
      </c>
      <c r="W103">
        <v>6</v>
      </c>
      <c r="X103">
        <v>7</v>
      </c>
      <c r="Y103">
        <v>2</v>
      </c>
      <c r="Z103">
        <v>-1</v>
      </c>
      <c r="AA103" s="1">
        <v>0.71428571399999996</v>
      </c>
      <c r="AB103" s="1">
        <v>0.83333333300000001</v>
      </c>
    </row>
    <row r="104" spans="1:28" x14ac:dyDescent="0.45">
      <c r="A104" t="s">
        <v>5443</v>
      </c>
      <c r="B104" t="s">
        <v>5450</v>
      </c>
      <c r="C104" t="s">
        <v>5528</v>
      </c>
      <c r="D104">
        <v>3</v>
      </c>
      <c r="E104">
        <v>3</v>
      </c>
      <c r="F104">
        <v>0</v>
      </c>
      <c r="G104">
        <v>0</v>
      </c>
      <c r="H104">
        <v>0</v>
      </c>
      <c r="I104" s="1">
        <v>1</v>
      </c>
      <c r="J104" s="1">
        <v>1</v>
      </c>
      <c r="K104">
        <v>2</v>
      </c>
      <c r="L104">
        <v>5</v>
      </c>
      <c r="M104">
        <v>2</v>
      </c>
      <c r="N104">
        <v>1</v>
      </c>
      <c r="O104" s="1">
        <v>0.6</v>
      </c>
      <c r="P104" s="1">
        <v>1.5</v>
      </c>
      <c r="Q104">
        <v>0</v>
      </c>
      <c r="R104">
        <v>0</v>
      </c>
      <c r="S104">
        <v>0</v>
      </c>
      <c r="T104">
        <v>0</v>
      </c>
      <c r="W104">
        <v>5</v>
      </c>
      <c r="X104">
        <v>8</v>
      </c>
      <c r="Y104">
        <v>2</v>
      </c>
      <c r="Z104">
        <v>1</v>
      </c>
      <c r="AA104" s="1">
        <v>0.75</v>
      </c>
      <c r="AB104" s="1">
        <v>1.2</v>
      </c>
    </row>
    <row r="105" spans="1:28" x14ac:dyDescent="0.45">
      <c r="A105" t="s">
        <v>5443</v>
      </c>
      <c r="B105" t="s">
        <v>5450</v>
      </c>
      <c r="C105" t="s">
        <v>5558</v>
      </c>
      <c r="D105">
        <v>5</v>
      </c>
      <c r="E105">
        <v>4</v>
      </c>
      <c r="F105">
        <v>0</v>
      </c>
      <c r="G105">
        <v>0</v>
      </c>
      <c r="H105">
        <v>-1</v>
      </c>
      <c r="I105" s="1">
        <v>1</v>
      </c>
      <c r="J105" s="1">
        <v>0.8</v>
      </c>
      <c r="K105">
        <v>2</v>
      </c>
      <c r="L105">
        <v>4</v>
      </c>
      <c r="M105">
        <v>0</v>
      </c>
      <c r="N105">
        <v>2</v>
      </c>
      <c r="O105" s="1">
        <v>1</v>
      </c>
      <c r="P105" s="1">
        <v>2</v>
      </c>
      <c r="Q105">
        <v>1</v>
      </c>
      <c r="R105">
        <v>0</v>
      </c>
      <c r="S105">
        <v>0</v>
      </c>
      <c r="T105">
        <v>-1</v>
      </c>
      <c r="V105" s="1">
        <v>0</v>
      </c>
      <c r="W105">
        <v>8</v>
      </c>
      <c r="X105">
        <v>8</v>
      </c>
      <c r="Y105">
        <v>0</v>
      </c>
      <c r="Z105">
        <v>0</v>
      </c>
      <c r="AA105" s="1">
        <v>1</v>
      </c>
      <c r="AB105" s="1">
        <v>1</v>
      </c>
    </row>
    <row r="106" spans="1:28" x14ac:dyDescent="0.45">
      <c r="A106" t="s">
        <v>5443</v>
      </c>
      <c r="B106" t="s">
        <v>5450</v>
      </c>
      <c r="C106" t="s">
        <v>5592</v>
      </c>
      <c r="D106">
        <v>0</v>
      </c>
      <c r="E106">
        <v>0</v>
      </c>
      <c r="F106">
        <v>0</v>
      </c>
      <c r="G106">
        <v>0</v>
      </c>
      <c r="H106">
        <v>0</v>
      </c>
      <c r="K106">
        <v>3</v>
      </c>
      <c r="L106">
        <v>5</v>
      </c>
      <c r="M106">
        <v>3</v>
      </c>
      <c r="N106">
        <v>-1</v>
      </c>
      <c r="O106" s="1">
        <v>0.4</v>
      </c>
      <c r="P106" s="1">
        <v>0.66666666699999999</v>
      </c>
      <c r="Q106">
        <v>1</v>
      </c>
      <c r="R106">
        <v>0</v>
      </c>
      <c r="S106">
        <v>0</v>
      </c>
      <c r="T106">
        <v>-1</v>
      </c>
      <c r="V106" s="1">
        <v>0</v>
      </c>
      <c r="W106">
        <v>4</v>
      </c>
      <c r="X106">
        <v>5</v>
      </c>
      <c r="Y106">
        <v>3</v>
      </c>
      <c r="Z106">
        <v>-2</v>
      </c>
      <c r="AA106" s="1">
        <v>0.4</v>
      </c>
      <c r="AB106" s="1">
        <v>0.5</v>
      </c>
    </row>
    <row r="107" spans="1:28" x14ac:dyDescent="0.45">
      <c r="A107" t="s">
        <v>5443</v>
      </c>
      <c r="B107" t="s">
        <v>5450</v>
      </c>
      <c r="C107" t="s">
        <v>5514</v>
      </c>
      <c r="D107">
        <v>3</v>
      </c>
      <c r="E107">
        <v>3</v>
      </c>
      <c r="F107">
        <v>0</v>
      </c>
      <c r="G107">
        <v>0</v>
      </c>
      <c r="H107">
        <v>0</v>
      </c>
      <c r="I107" s="1">
        <v>1</v>
      </c>
      <c r="J107" s="1">
        <v>1</v>
      </c>
      <c r="K107">
        <v>3</v>
      </c>
      <c r="L107">
        <v>8</v>
      </c>
      <c r="M107">
        <v>3</v>
      </c>
      <c r="N107">
        <v>2</v>
      </c>
      <c r="O107" s="1">
        <v>0.625</v>
      </c>
      <c r="P107" s="1">
        <v>1.6666666670000001</v>
      </c>
      <c r="Q107">
        <v>2</v>
      </c>
      <c r="R107">
        <v>0</v>
      </c>
      <c r="S107">
        <v>0</v>
      </c>
      <c r="T107">
        <v>-2</v>
      </c>
      <c r="V107" s="1">
        <v>0</v>
      </c>
      <c r="W107">
        <v>8</v>
      </c>
      <c r="X107">
        <v>11</v>
      </c>
      <c r="Y107">
        <v>3</v>
      </c>
      <c r="Z107">
        <v>0</v>
      </c>
      <c r="AA107" s="1">
        <v>0.72727272700000001</v>
      </c>
      <c r="AB107" s="1">
        <v>1</v>
      </c>
    </row>
    <row r="108" spans="1:28" x14ac:dyDescent="0.45">
      <c r="A108" t="s">
        <v>5443</v>
      </c>
      <c r="B108" t="s">
        <v>5458</v>
      </c>
      <c r="C108" t="s">
        <v>5494</v>
      </c>
      <c r="D108">
        <v>10</v>
      </c>
      <c r="E108">
        <v>10</v>
      </c>
      <c r="F108">
        <v>2</v>
      </c>
      <c r="G108">
        <v>0</v>
      </c>
      <c r="H108">
        <v>-2</v>
      </c>
      <c r="I108" s="1">
        <v>0.8</v>
      </c>
      <c r="J108" s="1">
        <v>0.8</v>
      </c>
      <c r="K108">
        <v>10</v>
      </c>
      <c r="L108">
        <v>12</v>
      </c>
      <c r="M108">
        <v>1</v>
      </c>
      <c r="N108">
        <v>1</v>
      </c>
      <c r="O108" s="1">
        <v>0.91666666699999999</v>
      </c>
      <c r="P108" s="1">
        <v>1.1000000000000001</v>
      </c>
      <c r="Q108">
        <v>2</v>
      </c>
      <c r="R108">
        <v>2</v>
      </c>
      <c r="S108">
        <v>0</v>
      </c>
      <c r="T108">
        <v>0</v>
      </c>
      <c r="U108" s="1">
        <v>1</v>
      </c>
      <c r="V108" s="1">
        <v>1</v>
      </c>
      <c r="W108">
        <v>22</v>
      </c>
      <c r="X108">
        <v>24</v>
      </c>
      <c r="Y108">
        <v>3</v>
      </c>
      <c r="Z108">
        <v>-1</v>
      </c>
      <c r="AA108" s="1">
        <v>0.875</v>
      </c>
      <c r="AB108" s="1">
        <v>0.95454545499999999</v>
      </c>
    </row>
    <row r="109" spans="1:28" x14ac:dyDescent="0.45">
      <c r="A109" t="s">
        <v>5443</v>
      </c>
      <c r="B109" t="s">
        <v>5458</v>
      </c>
      <c r="C109" t="s">
        <v>5604</v>
      </c>
      <c r="D109">
        <v>3</v>
      </c>
      <c r="E109">
        <v>3</v>
      </c>
      <c r="F109">
        <v>0</v>
      </c>
      <c r="G109">
        <v>0</v>
      </c>
      <c r="H109">
        <v>0</v>
      </c>
      <c r="I109" s="1">
        <v>1</v>
      </c>
      <c r="J109" s="1">
        <v>1</v>
      </c>
      <c r="K109">
        <v>5</v>
      </c>
      <c r="L109">
        <v>6</v>
      </c>
      <c r="M109">
        <v>2</v>
      </c>
      <c r="N109">
        <v>-1</v>
      </c>
      <c r="O109" s="1">
        <v>0.66666666699999999</v>
      </c>
      <c r="P109" s="1">
        <v>0.8</v>
      </c>
      <c r="Q109">
        <v>1</v>
      </c>
      <c r="R109">
        <v>2</v>
      </c>
      <c r="S109">
        <v>1</v>
      </c>
      <c r="T109">
        <v>0</v>
      </c>
      <c r="U109" s="1">
        <v>0.5</v>
      </c>
      <c r="V109" s="1">
        <v>1</v>
      </c>
      <c r="W109">
        <v>9</v>
      </c>
      <c r="X109">
        <v>11</v>
      </c>
      <c r="Y109">
        <v>3</v>
      </c>
      <c r="Z109">
        <v>-1</v>
      </c>
      <c r="AA109" s="1">
        <v>0.72727272700000001</v>
      </c>
      <c r="AB109" s="1">
        <v>0.88888888899999996</v>
      </c>
    </row>
    <row r="110" spans="1:28" x14ac:dyDescent="0.45">
      <c r="A110" t="s">
        <v>5443</v>
      </c>
      <c r="B110" t="s">
        <v>5458</v>
      </c>
      <c r="C110" t="s">
        <v>5608</v>
      </c>
      <c r="D110">
        <v>0</v>
      </c>
      <c r="E110">
        <v>0</v>
      </c>
      <c r="F110">
        <v>0</v>
      </c>
      <c r="G110">
        <v>0</v>
      </c>
      <c r="H110">
        <v>0</v>
      </c>
      <c r="K110">
        <v>17</v>
      </c>
      <c r="L110">
        <v>19</v>
      </c>
      <c r="M110">
        <v>1</v>
      </c>
      <c r="N110">
        <v>1</v>
      </c>
      <c r="O110" s="1">
        <v>0.94736842099999996</v>
      </c>
      <c r="P110" s="1">
        <v>1.0588235290000001</v>
      </c>
      <c r="Q110">
        <v>5</v>
      </c>
      <c r="R110">
        <v>4</v>
      </c>
      <c r="S110">
        <v>1</v>
      </c>
      <c r="T110">
        <v>-2</v>
      </c>
      <c r="U110" s="1">
        <v>0.75</v>
      </c>
      <c r="V110" s="1">
        <v>0.6</v>
      </c>
      <c r="W110">
        <v>22</v>
      </c>
      <c r="X110">
        <v>23</v>
      </c>
      <c r="Y110">
        <v>2</v>
      </c>
      <c r="Z110">
        <v>-1</v>
      </c>
      <c r="AA110" s="1">
        <v>0.91304347799999996</v>
      </c>
      <c r="AB110" s="1">
        <v>0.95454545499999999</v>
      </c>
    </row>
    <row r="111" spans="1:28" x14ac:dyDescent="0.45">
      <c r="A111" t="s">
        <v>5443</v>
      </c>
      <c r="B111" t="s">
        <v>5458</v>
      </c>
      <c r="C111" t="s">
        <v>5616</v>
      </c>
      <c r="D111">
        <v>7</v>
      </c>
      <c r="E111">
        <v>9</v>
      </c>
      <c r="F111">
        <v>0</v>
      </c>
      <c r="G111">
        <v>0</v>
      </c>
      <c r="H111">
        <v>2</v>
      </c>
      <c r="I111" s="1">
        <v>1</v>
      </c>
      <c r="J111" s="1">
        <v>1.2857142859999999</v>
      </c>
      <c r="K111">
        <v>2</v>
      </c>
      <c r="L111">
        <v>2</v>
      </c>
      <c r="M111">
        <v>0</v>
      </c>
      <c r="N111">
        <v>0</v>
      </c>
      <c r="O111" s="1">
        <v>1</v>
      </c>
      <c r="P111" s="1">
        <v>1</v>
      </c>
      <c r="Q111">
        <v>1</v>
      </c>
      <c r="R111">
        <v>1</v>
      </c>
      <c r="S111">
        <v>0</v>
      </c>
      <c r="T111">
        <v>0</v>
      </c>
      <c r="U111" s="1">
        <v>1</v>
      </c>
      <c r="V111" s="1">
        <v>1</v>
      </c>
      <c r="W111">
        <v>10</v>
      </c>
      <c r="X111">
        <v>12</v>
      </c>
      <c r="Y111">
        <v>0</v>
      </c>
      <c r="Z111">
        <v>2</v>
      </c>
      <c r="AA111" s="1">
        <v>1</v>
      </c>
      <c r="AB111" s="1">
        <v>1.2</v>
      </c>
    </row>
    <row r="112" spans="1:28" x14ac:dyDescent="0.45">
      <c r="A112" t="s">
        <v>5443</v>
      </c>
      <c r="B112" t="s">
        <v>5458</v>
      </c>
      <c r="C112" t="s">
        <v>5519</v>
      </c>
      <c r="D112">
        <v>0</v>
      </c>
      <c r="E112">
        <v>0</v>
      </c>
      <c r="F112">
        <v>0</v>
      </c>
      <c r="G112">
        <v>0</v>
      </c>
      <c r="H112">
        <v>0</v>
      </c>
      <c r="K112">
        <v>14</v>
      </c>
      <c r="L112">
        <v>23</v>
      </c>
      <c r="M112">
        <v>9</v>
      </c>
      <c r="N112">
        <v>0</v>
      </c>
      <c r="O112" s="1">
        <v>0.60869565199999998</v>
      </c>
      <c r="P112" s="1">
        <v>1</v>
      </c>
      <c r="Q112">
        <v>0</v>
      </c>
      <c r="R112">
        <v>0</v>
      </c>
      <c r="S112">
        <v>0</v>
      </c>
      <c r="T112">
        <v>0</v>
      </c>
      <c r="W112">
        <v>14</v>
      </c>
      <c r="X112">
        <v>23</v>
      </c>
      <c r="Y112">
        <v>9</v>
      </c>
      <c r="Z112">
        <v>0</v>
      </c>
      <c r="AA112" s="1">
        <v>0.60869565199999998</v>
      </c>
      <c r="AB112" s="1">
        <v>1</v>
      </c>
    </row>
    <row r="113" spans="1:28" x14ac:dyDescent="0.45">
      <c r="A113" t="s">
        <v>5443</v>
      </c>
      <c r="B113" t="s">
        <v>5458</v>
      </c>
      <c r="C113" t="s">
        <v>5459</v>
      </c>
      <c r="D113">
        <v>8</v>
      </c>
      <c r="E113">
        <v>9</v>
      </c>
      <c r="F113">
        <v>1</v>
      </c>
      <c r="G113">
        <v>1</v>
      </c>
      <c r="H113">
        <v>0</v>
      </c>
      <c r="I113" s="1">
        <v>0.88888888899999996</v>
      </c>
      <c r="J113" s="1">
        <v>1</v>
      </c>
      <c r="K113">
        <v>12</v>
      </c>
      <c r="L113">
        <v>15</v>
      </c>
      <c r="M113">
        <v>1</v>
      </c>
      <c r="N113">
        <v>2</v>
      </c>
      <c r="O113" s="1">
        <v>0.93333333299999999</v>
      </c>
      <c r="P113" s="1">
        <v>1.1666666670000001</v>
      </c>
      <c r="Q113">
        <v>2</v>
      </c>
      <c r="R113">
        <v>2</v>
      </c>
      <c r="S113">
        <v>0</v>
      </c>
      <c r="T113">
        <v>0</v>
      </c>
      <c r="U113" s="1">
        <v>1</v>
      </c>
      <c r="V113" s="1">
        <v>1</v>
      </c>
      <c r="W113">
        <v>22</v>
      </c>
      <c r="X113">
        <v>26</v>
      </c>
      <c r="Y113">
        <v>2</v>
      </c>
      <c r="Z113">
        <v>2</v>
      </c>
      <c r="AA113" s="1">
        <v>0.92307692299999999</v>
      </c>
      <c r="AB113" s="1">
        <v>1.0909090910000001</v>
      </c>
    </row>
    <row r="114" spans="1:28" x14ac:dyDescent="0.45">
      <c r="A114" t="s">
        <v>5443</v>
      </c>
      <c r="B114" t="s">
        <v>5458</v>
      </c>
      <c r="C114" t="s">
        <v>5479</v>
      </c>
      <c r="D114">
        <v>5</v>
      </c>
      <c r="E114">
        <v>5</v>
      </c>
      <c r="F114">
        <v>0</v>
      </c>
      <c r="G114">
        <v>0</v>
      </c>
      <c r="H114">
        <v>0</v>
      </c>
      <c r="I114" s="1">
        <v>1</v>
      </c>
      <c r="J114" s="1">
        <v>1</v>
      </c>
      <c r="K114">
        <v>11</v>
      </c>
      <c r="L114">
        <v>13</v>
      </c>
      <c r="M114">
        <v>1</v>
      </c>
      <c r="N114">
        <v>1</v>
      </c>
      <c r="O114" s="1">
        <v>0.92307692299999999</v>
      </c>
      <c r="P114" s="1">
        <v>1.0909090910000001</v>
      </c>
      <c r="Q114">
        <v>2</v>
      </c>
      <c r="R114">
        <v>1</v>
      </c>
      <c r="S114">
        <v>0</v>
      </c>
      <c r="T114">
        <v>-1</v>
      </c>
      <c r="U114" s="1">
        <v>1</v>
      </c>
      <c r="V114" s="1">
        <v>0.5</v>
      </c>
      <c r="W114">
        <v>18</v>
      </c>
      <c r="X114">
        <v>19</v>
      </c>
      <c r="Y114">
        <v>1</v>
      </c>
      <c r="Z114">
        <v>0</v>
      </c>
      <c r="AA114" s="1">
        <v>0.94736842099999996</v>
      </c>
      <c r="AB114" s="1">
        <v>1</v>
      </c>
    </row>
    <row r="115" spans="1:28" x14ac:dyDescent="0.45">
      <c r="A115" t="s">
        <v>5443</v>
      </c>
      <c r="B115" t="s">
        <v>5458</v>
      </c>
      <c r="C115" t="s">
        <v>6279</v>
      </c>
      <c r="D115">
        <v>1</v>
      </c>
      <c r="E115">
        <v>1</v>
      </c>
      <c r="F115">
        <v>0</v>
      </c>
      <c r="G115">
        <v>0</v>
      </c>
      <c r="H115">
        <v>0</v>
      </c>
      <c r="I115" s="1">
        <v>1</v>
      </c>
      <c r="J115" s="1">
        <v>1</v>
      </c>
      <c r="K115">
        <v>2</v>
      </c>
      <c r="L115">
        <v>2</v>
      </c>
      <c r="M115">
        <v>1</v>
      </c>
      <c r="N115">
        <v>-1</v>
      </c>
      <c r="O115" s="1">
        <v>0.5</v>
      </c>
      <c r="P115" s="1">
        <v>0.5</v>
      </c>
      <c r="Q115">
        <v>1</v>
      </c>
      <c r="R115">
        <v>1</v>
      </c>
      <c r="S115">
        <v>0</v>
      </c>
      <c r="T115">
        <v>0</v>
      </c>
      <c r="U115" s="1">
        <v>1</v>
      </c>
      <c r="V115" s="1">
        <v>1</v>
      </c>
      <c r="W115">
        <v>4</v>
      </c>
      <c r="X115">
        <v>4</v>
      </c>
      <c r="Y115">
        <v>1</v>
      </c>
      <c r="Z115">
        <v>-1</v>
      </c>
      <c r="AA115" s="1">
        <v>0.75</v>
      </c>
      <c r="AB115" s="1">
        <v>0.75</v>
      </c>
    </row>
    <row r="116" spans="1:28" x14ac:dyDescent="0.45">
      <c r="A116" t="s">
        <v>5443</v>
      </c>
      <c r="B116" t="s">
        <v>5458</v>
      </c>
      <c r="C116" t="s">
        <v>5521</v>
      </c>
      <c r="D116">
        <v>7</v>
      </c>
      <c r="E116">
        <v>6</v>
      </c>
      <c r="F116">
        <v>0</v>
      </c>
      <c r="G116">
        <v>0</v>
      </c>
      <c r="H116">
        <v>-1</v>
      </c>
      <c r="I116" s="1">
        <v>1</v>
      </c>
      <c r="J116" s="1">
        <v>0.85714285700000004</v>
      </c>
      <c r="K116">
        <v>14</v>
      </c>
      <c r="L116">
        <v>17</v>
      </c>
      <c r="M116">
        <v>2</v>
      </c>
      <c r="N116">
        <v>1</v>
      </c>
      <c r="O116" s="1">
        <v>0.88235294099999995</v>
      </c>
      <c r="P116" s="1">
        <v>1.071428571</v>
      </c>
      <c r="Q116">
        <v>3</v>
      </c>
      <c r="R116">
        <v>2</v>
      </c>
      <c r="S116">
        <v>1</v>
      </c>
      <c r="T116">
        <v>-2</v>
      </c>
      <c r="U116" s="1">
        <v>0.5</v>
      </c>
      <c r="V116" s="1">
        <v>0.33333333300000001</v>
      </c>
      <c r="W116">
        <v>24</v>
      </c>
      <c r="X116">
        <v>25</v>
      </c>
      <c r="Y116">
        <v>3</v>
      </c>
      <c r="Z116">
        <v>-2</v>
      </c>
      <c r="AA116" s="1">
        <v>0.88</v>
      </c>
      <c r="AB116" s="1">
        <v>0.91666666699999999</v>
      </c>
    </row>
    <row r="117" spans="1:28" x14ac:dyDescent="0.45">
      <c r="A117" t="s">
        <v>5443</v>
      </c>
      <c r="B117" t="s">
        <v>5524</v>
      </c>
      <c r="C117" t="s">
        <v>5607</v>
      </c>
      <c r="D117">
        <v>2</v>
      </c>
      <c r="E117">
        <v>2</v>
      </c>
      <c r="F117">
        <v>0</v>
      </c>
      <c r="G117">
        <v>2</v>
      </c>
      <c r="H117">
        <v>0</v>
      </c>
      <c r="I117" s="1">
        <v>1</v>
      </c>
      <c r="J117" s="1">
        <v>1</v>
      </c>
      <c r="K117">
        <v>3</v>
      </c>
      <c r="L117">
        <v>3</v>
      </c>
      <c r="M117">
        <v>2</v>
      </c>
      <c r="N117">
        <v>-2</v>
      </c>
      <c r="O117" s="1">
        <v>0.33333333300000001</v>
      </c>
      <c r="P117" s="1">
        <v>0.33333333300000001</v>
      </c>
      <c r="Q117">
        <v>0</v>
      </c>
      <c r="R117">
        <v>0</v>
      </c>
      <c r="S117">
        <v>0</v>
      </c>
      <c r="T117">
        <v>0</v>
      </c>
      <c r="W117">
        <v>5</v>
      </c>
      <c r="X117">
        <v>5</v>
      </c>
      <c r="Y117">
        <v>2</v>
      </c>
      <c r="Z117">
        <v>-2</v>
      </c>
      <c r="AA117" s="1">
        <v>0.6</v>
      </c>
      <c r="AB117" s="1">
        <v>0.6</v>
      </c>
    </row>
    <row r="118" spans="1:28" x14ac:dyDescent="0.45">
      <c r="A118" t="s">
        <v>5443</v>
      </c>
      <c r="B118" t="s">
        <v>5524</v>
      </c>
      <c r="C118" t="s">
        <v>5567</v>
      </c>
      <c r="D118">
        <v>0</v>
      </c>
      <c r="E118">
        <v>0</v>
      </c>
      <c r="F118">
        <v>0</v>
      </c>
      <c r="G118">
        <v>0</v>
      </c>
      <c r="H118">
        <v>0</v>
      </c>
      <c r="K118">
        <v>2</v>
      </c>
      <c r="L118">
        <v>3</v>
      </c>
      <c r="M118">
        <v>0</v>
      </c>
      <c r="N118">
        <v>1</v>
      </c>
      <c r="O118" s="1">
        <v>1</v>
      </c>
      <c r="P118" s="1">
        <v>1.5</v>
      </c>
      <c r="Q118">
        <v>0</v>
      </c>
      <c r="R118">
        <v>0</v>
      </c>
      <c r="S118">
        <v>0</v>
      </c>
      <c r="T118">
        <v>0</v>
      </c>
      <c r="W118">
        <v>2</v>
      </c>
      <c r="X118">
        <v>3</v>
      </c>
      <c r="Y118">
        <v>0</v>
      </c>
      <c r="Z118">
        <v>1</v>
      </c>
      <c r="AA118" s="1">
        <v>1</v>
      </c>
      <c r="AB118" s="1">
        <v>1.5</v>
      </c>
    </row>
    <row r="119" spans="1:28" x14ac:dyDescent="0.45">
      <c r="A119" t="s">
        <v>5443</v>
      </c>
      <c r="B119" t="s">
        <v>5524</v>
      </c>
      <c r="C119" t="s">
        <v>5570</v>
      </c>
      <c r="D119">
        <v>0</v>
      </c>
      <c r="E119">
        <v>0</v>
      </c>
      <c r="F119">
        <v>0</v>
      </c>
      <c r="G119">
        <v>0</v>
      </c>
      <c r="H119">
        <v>0</v>
      </c>
      <c r="K119">
        <v>2</v>
      </c>
      <c r="L119">
        <v>3</v>
      </c>
      <c r="M119">
        <v>1</v>
      </c>
      <c r="N119">
        <v>0</v>
      </c>
      <c r="O119" s="1">
        <v>0.66666666699999999</v>
      </c>
      <c r="P119" s="1">
        <v>1</v>
      </c>
      <c r="Q119">
        <v>0</v>
      </c>
      <c r="R119">
        <v>0</v>
      </c>
      <c r="S119">
        <v>0</v>
      </c>
      <c r="T119">
        <v>0</v>
      </c>
      <c r="W119">
        <v>2</v>
      </c>
      <c r="X119">
        <v>3</v>
      </c>
      <c r="Y119">
        <v>1</v>
      </c>
      <c r="Z119">
        <v>0</v>
      </c>
      <c r="AA119" s="1">
        <v>0.66666666699999999</v>
      </c>
      <c r="AB119" s="1">
        <v>1</v>
      </c>
    </row>
    <row r="120" spans="1:28" x14ac:dyDescent="0.45">
      <c r="A120" t="s">
        <v>5443</v>
      </c>
      <c r="B120" t="s">
        <v>5524</v>
      </c>
      <c r="C120" t="s">
        <v>5525</v>
      </c>
      <c r="D120">
        <v>2</v>
      </c>
      <c r="E120">
        <v>4</v>
      </c>
      <c r="F120">
        <v>2</v>
      </c>
      <c r="G120">
        <v>0</v>
      </c>
      <c r="H120">
        <v>0</v>
      </c>
      <c r="I120" s="1">
        <v>0.5</v>
      </c>
      <c r="J120" s="1">
        <v>1</v>
      </c>
      <c r="K120">
        <v>3</v>
      </c>
      <c r="L120">
        <v>5</v>
      </c>
      <c r="M120">
        <v>2</v>
      </c>
      <c r="N120">
        <v>0</v>
      </c>
      <c r="O120" s="1">
        <v>0.6</v>
      </c>
      <c r="P120" s="1">
        <v>1</v>
      </c>
      <c r="Q120">
        <v>0</v>
      </c>
      <c r="R120">
        <v>0</v>
      </c>
      <c r="S120">
        <v>0</v>
      </c>
      <c r="T120">
        <v>0</v>
      </c>
      <c r="W120">
        <v>5</v>
      </c>
      <c r="X120">
        <v>9</v>
      </c>
      <c r="Y120">
        <v>4</v>
      </c>
      <c r="Z120">
        <v>0</v>
      </c>
      <c r="AA120" s="1">
        <v>0.55555555599999995</v>
      </c>
      <c r="AB120" s="1">
        <v>1</v>
      </c>
    </row>
    <row r="121" spans="1:28" x14ac:dyDescent="0.45">
      <c r="A121" t="s">
        <v>5443</v>
      </c>
      <c r="B121" t="s">
        <v>5524</v>
      </c>
      <c r="C121" t="s">
        <v>5541</v>
      </c>
      <c r="D121">
        <v>11</v>
      </c>
      <c r="E121">
        <v>8</v>
      </c>
      <c r="F121">
        <v>3</v>
      </c>
      <c r="G121">
        <v>0</v>
      </c>
      <c r="H121">
        <v>-6</v>
      </c>
      <c r="I121" s="1">
        <v>0.625</v>
      </c>
      <c r="J121" s="1">
        <v>0.45454545499999999</v>
      </c>
      <c r="K121">
        <v>2</v>
      </c>
      <c r="L121">
        <v>12</v>
      </c>
      <c r="M121">
        <v>3</v>
      </c>
      <c r="N121">
        <v>7</v>
      </c>
      <c r="O121" s="1">
        <v>0.75</v>
      </c>
      <c r="P121" s="1">
        <v>4.5</v>
      </c>
      <c r="Q121">
        <v>0</v>
      </c>
      <c r="R121">
        <v>0</v>
      </c>
      <c r="S121">
        <v>0</v>
      </c>
      <c r="T121">
        <v>0</v>
      </c>
      <c r="W121">
        <v>13</v>
      </c>
      <c r="X121">
        <v>20</v>
      </c>
      <c r="Y121">
        <v>6</v>
      </c>
      <c r="Z121">
        <v>1</v>
      </c>
      <c r="AA121" s="1">
        <v>0.7</v>
      </c>
      <c r="AB121" s="1">
        <v>1.076923077</v>
      </c>
    </row>
    <row r="122" spans="1:28" x14ac:dyDescent="0.45">
      <c r="A122" t="s">
        <v>5443</v>
      </c>
      <c r="B122" t="s">
        <v>5524</v>
      </c>
      <c r="C122" t="s">
        <v>5624</v>
      </c>
      <c r="D122">
        <v>3</v>
      </c>
      <c r="E122">
        <v>3</v>
      </c>
      <c r="F122">
        <v>1</v>
      </c>
      <c r="G122">
        <v>0</v>
      </c>
      <c r="H122">
        <v>-1</v>
      </c>
      <c r="I122" s="1">
        <v>0.66666666699999999</v>
      </c>
      <c r="J122" s="1">
        <v>0.66666666699999999</v>
      </c>
      <c r="K122">
        <v>1</v>
      </c>
      <c r="L122">
        <v>2</v>
      </c>
      <c r="M122">
        <v>0</v>
      </c>
      <c r="N122">
        <v>1</v>
      </c>
      <c r="O122" s="1">
        <v>1</v>
      </c>
      <c r="P122" s="1">
        <v>2</v>
      </c>
      <c r="Q122">
        <v>0</v>
      </c>
      <c r="R122">
        <v>0</v>
      </c>
      <c r="S122">
        <v>0</v>
      </c>
      <c r="T122">
        <v>0</v>
      </c>
      <c r="W122">
        <v>4</v>
      </c>
      <c r="X122">
        <v>5</v>
      </c>
      <c r="Y122">
        <v>1</v>
      </c>
      <c r="Z122">
        <v>0</v>
      </c>
      <c r="AA122" s="1">
        <v>0.8</v>
      </c>
      <c r="AB122" s="1">
        <v>1</v>
      </c>
    </row>
    <row r="123" spans="1:28" x14ac:dyDescent="0.45">
      <c r="A123" t="s">
        <v>5443</v>
      </c>
      <c r="B123" t="s">
        <v>5524</v>
      </c>
      <c r="C123" t="s">
        <v>5989</v>
      </c>
      <c r="D123">
        <v>0</v>
      </c>
      <c r="E123">
        <v>1</v>
      </c>
      <c r="F123">
        <v>0</v>
      </c>
      <c r="G123">
        <v>0</v>
      </c>
      <c r="H123">
        <v>1</v>
      </c>
      <c r="I123" s="1">
        <v>1</v>
      </c>
      <c r="K123">
        <v>3</v>
      </c>
      <c r="L123">
        <v>2</v>
      </c>
      <c r="M123">
        <v>0</v>
      </c>
      <c r="N123">
        <v>-1</v>
      </c>
      <c r="O123" s="1">
        <v>1</v>
      </c>
      <c r="P123" s="1">
        <v>0.66666666699999999</v>
      </c>
      <c r="Q123">
        <v>0</v>
      </c>
      <c r="R123">
        <v>0</v>
      </c>
      <c r="S123">
        <v>0</v>
      </c>
      <c r="T123">
        <v>0</v>
      </c>
      <c r="W123">
        <v>3</v>
      </c>
      <c r="X123">
        <v>3</v>
      </c>
      <c r="Y123">
        <v>0</v>
      </c>
      <c r="Z123">
        <v>0</v>
      </c>
      <c r="AA123" s="1">
        <v>1</v>
      </c>
      <c r="AB123" s="1">
        <v>1</v>
      </c>
    </row>
    <row r="124" spans="1:28" x14ac:dyDescent="0.45">
      <c r="A124" t="s">
        <v>5443</v>
      </c>
      <c r="B124" t="s">
        <v>5524</v>
      </c>
      <c r="C124" t="s">
        <v>5534</v>
      </c>
      <c r="D124">
        <v>7</v>
      </c>
      <c r="E124">
        <v>9</v>
      </c>
      <c r="F124">
        <v>0</v>
      </c>
      <c r="G124">
        <v>0</v>
      </c>
      <c r="H124">
        <v>2</v>
      </c>
      <c r="I124" s="1">
        <v>1</v>
      </c>
      <c r="J124" s="1">
        <v>1.2857142859999999</v>
      </c>
      <c r="K124">
        <v>13</v>
      </c>
      <c r="L124">
        <v>20</v>
      </c>
      <c r="M124">
        <v>6</v>
      </c>
      <c r="N124">
        <v>1</v>
      </c>
      <c r="O124" s="1">
        <v>0.7</v>
      </c>
      <c r="P124" s="1">
        <v>1.076923077</v>
      </c>
      <c r="Q124">
        <v>2</v>
      </c>
      <c r="R124">
        <v>2</v>
      </c>
      <c r="S124">
        <v>0</v>
      </c>
      <c r="T124">
        <v>0</v>
      </c>
      <c r="U124" s="1">
        <v>1</v>
      </c>
      <c r="V124" s="1">
        <v>1</v>
      </c>
      <c r="W124">
        <v>22</v>
      </c>
      <c r="X124">
        <v>31</v>
      </c>
      <c r="Y124">
        <v>6</v>
      </c>
      <c r="Z124">
        <v>3</v>
      </c>
      <c r="AA124" s="1">
        <v>0.80645161300000001</v>
      </c>
      <c r="AB124" s="1">
        <v>1.136363636</v>
      </c>
    </row>
    <row r="125" spans="1:28" x14ac:dyDescent="0.45">
      <c r="A125" t="s">
        <v>5443</v>
      </c>
      <c r="B125" t="s">
        <v>5524</v>
      </c>
      <c r="C125" t="s">
        <v>5753</v>
      </c>
      <c r="D125">
        <v>2</v>
      </c>
      <c r="E125">
        <v>2</v>
      </c>
      <c r="F125">
        <v>0</v>
      </c>
      <c r="G125">
        <v>1</v>
      </c>
      <c r="H125">
        <v>0</v>
      </c>
      <c r="I125" s="1">
        <v>1</v>
      </c>
      <c r="J125" s="1">
        <v>1</v>
      </c>
      <c r="K125">
        <v>7</v>
      </c>
      <c r="L125">
        <v>8</v>
      </c>
      <c r="M125">
        <v>2</v>
      </c>
      <c r="N125">
        <v>-1</v>
      </c>
      <c r="O125" s="1">
        <v>0.75</v>
      </c>
      <c r="P125" s="1">
        <v>0.85714285700000004</v>
      </c>
      <c r="Q125">
        <v>1</v>
      </c>
      <c r="R125">
        <v>1</v>
      </c>
      <c r="S125">
        <v>0</v>
      </c>
      <c r="T125">
        <v>0</v>
      </c>
      <c r="U125" s="1">
        <v>1</v>
      </c>
      <c r="V125" s="1">
        <v>1</v>
      </c>
      <c r="W125">
        <v>10</v>
      </c>
      <c r="X125">
        <v>11</v>
      </c>
      <c r="Y125">
        <v>2</v>
      </c>
      <c r="Z125">
        <v>-1</v>
      </c>
      <c r="AA125" s="1">
        <v>0.81818181800000001</v>
      </c>
      <c r="AB125" s="1">
        <v>0.9</v>
      </c>
    </row>
    <row r="126" spans="1:28" x14ac:dyDescent="0.45">
      <c r="A126" t="s">
        <v>5443</v>
      </c>
      <c r="B126" t="s">
        <v>5524</v>
      </c>
      <c r="C126" t="s">
        <v>5556</v>
      </c>
      <c r="D126">
        <v>5</v>
      </c>
      <c r="E126">
        <v>5</v>
      </c>
      <c r="F126">
        <v>0</v>
      </c>
      <c r="G126">
        <v>0</v>
      </c>
      <c r="H126">
        <v>0</v>
      </c>
      <c r="I126" s="1">
        <v>1</v>
      </c>
      <c r="J126" s="1">
        <v>1</v>
      </c>
      <c r="K126">
        <v>2</v>
      </c>
      <c r="L126">
        <v>3</v>
      </c>
      <c r="M126">
        <v>1</v>
      </c>
      <c r="N126">
        <v>0</v>
      </c>
      <c r="O126" s="1">
        <v>0.66666666699999999</v>
      </c>
      <c r="P126" s="1">
        <v>1</v>
      </c>
      <c r="Q126">
        <v>0</v>
      </c>
      <c r="R126">
        <v>0</v>
      </c>
      <c r="S126">
        <v>0</v>
      </c>
      <c r="T126">
        <v>0</v>
      </c>
      <c r="W126">
        <v>7</v>
      </c>
      <c r="X126">
        <v>8</v>
      </c>
      <c r="Y126">
        <v>1</v>
      </c>
      <c r="Z126">
        <v>0</v>
      </c>
      <c r="AA126" s="1">
        <v>0.875</v>
      </c>
      <c r="AB126" s="1">
        <v>1</v>
      </c>
    </row>
    <row r="127" spans="1:28" x14ac:dyDescent="0.45">
      <c r="A127" t="s">
        <v>5443</v>
      </c>
      <c r="B127" t="s">
        <v>5524</v>
      </c>
      <c r="C127" t="s">
        <v>5534</v>
      </c>
      <c r="D127">
        <v>7</v>
      </c>
      <c r="E127">
        <v>9</v>
      </c>
      <c r="F127">
        <v>0</v>
      </c>
      <c r="G127">
        <v>0</v>
      </c>
      <c r="H127">
        <v>2</v>
      </c>
      <c r="I127" s="1">
        <v>1</v>
      </c>
      <c r="J127" s="1">
        <v>1.2857142859999999</v>
      </c>
      <c r="K127">
        <v>13</v>
      </c>
      <c r="L127">
        <v>19</v>
      </c>
      <c r="M127">
        <v>5</v>
      </c>
      <c r="N127">
        <v>1</v>
      </c>
      <c r="O127" s="1">
        <v>0.73684210500000002</v>
      </c>
      <c r="P127" s="1">
        <v>1.076923077</v>
      </c>
      <c r="Q127">
        <v>2</v>
      </c>
      <c r="R127">
        <v>2</v>
      </c>
      <c r="S127">
        <v>0</v>
      </c>
      <c r="T127">
        <v>0</v>
      </c>
      <c r="U127" s="1">
        <v>1</v>
      </c>
      <c r="V127" s="1">
        <v>1</v>
      </c>
      <c r="W127">
        <v>22</v>
      </c>
      <c r="X127">
        <v>30</v>
      </c>
      <c r="Y127">
        <v>5</v>
      </c>
      <c r="Z127">
        <v>3</v>
      </c>
      <c r="AA127" s="1">
        <v>0.83333333300000001</v>
      </c>
      <c r="AB127" s="1">
        <v>1.136363636</v>
      </c>
    </row>
    <row r="128" spans="1:28" x14ac:dyDescent="0.45">
      <c r="A128" t="s">
        <v>5443</v>
      </c>
      <c r="B128" t="s">
        <v>5524</v>
      </c>
      <c r="C128" t="s">
        <v>5753</v>
      </c>
      <c r="D128">
        <v>2</v>
      </c>
      <c r="E128">
        <v>2</v>
      </c>
      <c r="F128">
        <v>0</v>
      </c>
      <c r="G128">
        <v>1</v>
      </c>
      <c r="H128">
        <v>0</v>
      </c>
      <c r="I128" s="1">
        <v>1</v>
      </c>
      <c r="J128" s="1">
        <v>1</v>
      </c>
      <c r="K128">
        <v>7</v>
      </c>
      <c r="L128">
        <v>8</v>
      </c>
      <c r="M128">
        <v>1</v>
      </c>
      <c r="N128">
        <v>0</v>
      </c>
      <c r="O128" s="1">
        <v>0.875</v>
      </c>
      <c r="P128" s="1">
        <v>1</v>
      </c>
      <c r="Q128">
        <v>1</v>
      </c>
      <c r="R128">
        <v>1</v>
      </c>
      <c r="S128">
        <v>0</v>
      </c>
      <c r="T128">
        <v>0</v>
      </c>
      <c r="U128" s="1">
        <v>1</v>
      </c>
      <c r="V128" s="1">
        <v>1</v>
      </c>
      <c r="W128">
        <v>10</v>
      </c>
      <c r="X128">
        <v>11</v>
      </c>
      <c r="Y128">
        <v>1</v>
      </c>
      <c r="Z128">
        <v>0</v>
      </c>
      <c r="AA128" s="1">
        <v>0.909090909</v>
      </c>
      <c r="AB128" s="1">
        <v>1</v>
      </c>
    </row>
    <row r="129" spans="1:28" x14ac:dyDescent="0.45">
      <c r="A129" t="s">
        <v>5443</v>
      </c>
      <c r="B129" t="s">
        <v>5524</v>
      </c>
      <c r="C129" t="s">
        <v>5556</v>
      </c>
      <c r="D129">
        <v>5</v>
      </c>
      <c r="E129">
        <v>5</v>
      </c>
      <c r="F129">
        <v>0</v>
      </c>
      <c r="G129">
        <v>0</v>
      </c>
      <c r="H129">
        <v>0</v>
      </c>
      <c r="I129" s="1">
        <v>1</v>
      </c>
      <c r="J129" s="1">
        <v>1</v>
      </c>
      <c r="K129">
        <v>2</v>
      </c>
      <c r="L129">
        <v>3</v>
      </c>
      <c r="M129">
        <v>1</v>
      </c>
      <c r="N129">
        <v>0</v>
      </c>
      <c r="O129" s="1">
        <v>0.66666666699999999</v>
      </c>
      <c r="P129" s="1">
        <v>1</v>
      </c>
      <c r="Q129">
        <v>0</v>
      </c>
      <c r="R129">
        <v>0</v>
      </c>
      <c r="S129">
        <v>0</v>
      </c>
      <c r="T129">
        <v>0</v>
      </c>
      <c r="W129">
        <v>7</v>
      </c>
      <c r="X129">
        <v>8</v>
      </c>
      <c r="Y129">
        <v>1</v>
      </c>
      <c r="Z129">
        <v>0</v>
      </c>
      <c r="AA129" s="1">
        <v>0.875</v>
      </c>
      <c r="AB129" s="1">
        <v>1</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F6013C-93E1-461F-AD2C-D8E526A57BBE}">
  <dimension ref="A1:AB129"/>
  <sheetViews>
    <sheetView workbookViewId="0">
      <selection sqref="A1:AB126"/>
    </sheetView>
  </sheetViews>
  <sheetFormatPr defaultRowHeight="14.25" x14ac:dyDescent="0.45"/>
  <cols>
    <col min="1" max="1" width="13.86328125" bestFit="1" customWidth="1"/>
    <col min="2" max="2" width="17.33203125" bestFit="1" customWidth="1"/>
    <col min="3" max="3" width="27.6640625" bestFit="1" customWidth="1"/>
    <col min="9" max="10" width="8.86328125" style="1"/>
    <col min="15" max="16" width="8.86328125" style="1"/>
    <col min="17" max="17" width="19.796875" bestFit="1" customWidth="1"/>
    <col min="18" max="18" width="19" bestFit="1" customWidth="1"/>
    <col min="19" max="19" width="18.33203125" bestFit="1" customWidth="1"/>
    <col min="20" max="20" width="25.6640625" bestFit="1" customWidth="1"/>
    <col min="21" max="21" width="8.86328125" style="1"/>
    <col min="22" max="22" width="17.19921875" style="1" bestFit="1" customWidth="1"/>
    <col min="23" max="24" width="17.796875" bestFit="1" customWidth="1"/>
    <col min="25" max="25" width="16.19921875" bestFit="1" customWidth="1"/>
    <col min="26" max="26" width="23.53125" bestFit="1" customWidth="1"/>
    <col min="27" max="27" width="13.796875" style="1" bestFit="1" customWidth="1"/>
    <col min="28" max="28" width="15.1328125" style="1" bestFit="1" customWidth="1"/>
  </cols>
  <sheetData>
    <row r="1" spans="1:28" x14ac:dyDescent="0.45">
      <c r="A1" t="s">
        <v>6449</v>
      </c>
      <c r="B1" t="s">
        <v>6450</v>
      </c>
      <c r="C1" t="s">
        <v>12051</v>
      </c>
      <c r="D1" t="s">
        <v>12052</v>
      </c>
      <c r="E1" t="s">
        <v>12376</v>
      </c>
      <c r="F1" t="s">
        <v>12053</v>
      </c>
      <c r="G1" t="s">
        <v>12054</v>
      </c>
      <c r="H1" t="s">
        <v>12055</v>
      </c>
      <c r="I1" s="1" t="s">
        <v>12056</v>
      </c>
      <c r="J1" s="1" t="s">
        <v>12057</v>
      </c>
      <c r="K1" t="s">
        <v>12058</v>
      </c>
      <c r="L1" t="s">
        <v>12377</v>
      </c>
      <c r="M1" t="s">
        <v>12059</v>
      </c>
      <c r="N1" t="s">
        <v>12060</v>
      </c>
      <c r="O1" s="1" t="s">
        <v>12061</v>
      </c>
      <c r="P1" s="1" t="s">
        <v>12062</v>
      </c>
      <c r="Q1" t="s">
        <v>12063</v>
      </c>
      <c r="R1" t="s">
        <v>12378</v>
      </c>
      <c r="S1" t="s">
        <v>12064</v>
      </c>
      <c r="T1" t="s">
        <v>12065</v>
      </c>
      <c r="U1" s="1" t="s">
        <v>12066</v>
      </c>
      <c r="V1" s="1" t="s">
        <v>12067</v>
      </c>
      <c r="W1" t="s">
        <v>12068</v>
      </c>
      <c r="X1" t="s">
        <v>12379</v>
      </c>
      <c r="Y1" t="s">
        <v>12069</v>
      </c>
      <c r="Z1" t="s">
        <v>12070</v>
      </c>
      <c r="AA1" s="1" t="s">
        <v>12071</v>
      </c>
      <c r="AB1" s="1" t="s">
        <v>12072</v>
      </c>
    </row>
    <row r="2" spans="1:28" x14ac:dyDescent="0.45">
      <c r="A2" t="s">
        <v>8912</v>
      </c>
      <c r="D2">
        <v>645</v>
      </c>
      <c r="E2">
        <v>656</v>
      </c>
      <c r="F2">
        <v>77</v>
      </c>
      <c r="G2">
        <v>93</v>
      </c>
      <c r="H2">
        <v>-66</v>
      </c>
      <c r="I2" s="1">
        <v>0.88262195099999996</v>
      </c>
      <c r="J2" s="1">
        <v>0.897674419</v>
      </c>
      <c r="K2">
        <v>598</v>
      </c>
      <c r="L2">
        <v>907</v>
      </c>
      <c r="M2">
        <v>205</v>
      </c>
      <c r="N2">
        <v>104</v>
      </c>
      <c r="O2" s="1">
        <v>0.77398015399999998</v>
      </c>
      <c r="P2" s="1">
        <v>1.173913043</v>
      </c>
      <c r="Q2">
        <v>120</v>
      </c>
      <c r="R2">
        <v>116</v>
      </c>
      <c r="S2">
        <v>37</v>
      </c>
      <c r="T2">
        <v>-41</v>
      </c>
      <c r="U2" s="1">
        <v>0.68103448300000002</v>
      </c>
      <c r="V2" s="1">
        <v>0.65833333299999997</v>
      </c>
      <c r="W2">
        <v>1363</v>
      </c>
      <c r="X2">
        <v>1679</v>
      </c>
      <c r="Y2">
        <v>319</v>
      </c>
      <c r="Z2">
        <v>-3</v>
      </c>
      <c r="AA2" s="1">
        <v>0.81000595600000003</v>
      </c>
      <c r="AB2" s="1">
        <v>0.99779897299999998</v>
      </c>
    </row>
    <row r="3" spans="1:28" x14ac:dyDescent="0.45">
      <c r="A3" t="s">
        <v>5431</v>
      </c>
      <c r="B3" t="s">
        <v>5431</v>
      </c>
      <c r="C3" t="s">
        <v>5472</v>
      </c>
      <c r="D3">
        <v>13</v>
      </c>
      <c r="E3">
        <v>13</v>
      </c>
      <c r="F3">
        <v>2</v>
      </c>
      <c r="G3">
        <v>3</v>
      </c>
      <c r="H3">
        <v>-2</v>
      </c>
      <c r="I3" s="1">
        <v>0.84615384599999999</v>
      </c>
      <c r="J3" s="1">
        <v>0.84615384599999999</v>
      </c>
      <c r="K3">
        <v>14</v>
      </c>
      <c r="L3">
        <v>18</v>
      </c>
      <c r="M3">
        <v>2</v>
      </c>
      <c r="N3">
        <v>2</v>
      </c>
      <c r="O3" s="1">
        <v>0.88888888899999996</v>
      </c>
      <c r="P3" s="1">
        <v>1.1428571430000001</v>
      </c>
      <c r="Q3">
        <v>0</v>
      </c>
      <c r="R3">
        <v>0</v>
      </c>
      <c r="S3">
        <v>0</v>
      </c>
      <c r="T3">
        <v>0</v>
      </c>
      <c r="W3">
        <v>27</v>
      </c>
      <c r="X3">
        <v>31</v>
      </c>
      <c r="Y3">
        <v>4</v>
      </c>
      <c r="Z3">
        <v>0</v>
      </c>
      <c r="AA3" s="1">
        <v>0.87096774200000004</v>
      </c>
      <c r="AB3" s="1">
        <v>1</v>
      </c>
    </row>
    <row r="4" spans="1:28" x14ac:dyDescent="0.45">
      <c r="A4" t="s">
        <v>5431</v>
      </c>
      <c r="B4" t="s">
        <v>5431</v>
      </c>
      <c r="C4" t="s">
        <v>5432</v>
      </c>
      <c r="D4">
        <v>2</v>
      </c>
      <c r="E4">
        <v>3</v>
      </c>
      <c r="F4">
        <v>0</v>
      </c>
      <c r="G4">
        <v>0</v>
      </c>
      <c r="H4">
        <v>1</v>
      </c>
      <c r="I4" s="1">
        <v>1</v>
      </c>
      <c r="J4" s="1">
        <v>1.5</v>
      </c>
      <c r="K4">
        <v>5</v>
      </c>
      <c r="L4">
        <v>8</v>
      </c>
      <c r="M4">
        <v>0</v>
      </c>
      <c r="N4">
        <v>3</v>
      </c>
      <c r="O4" s="1">
        <v>1</v>
      </c>
      <c r="P4" s="1">
        <v>1.6</v>
      </c>
      <c r="Q4">
        <v>0</v>
      </c>
      <c r="R4">
        <v>0</v>
      </c>
      <c r="S4">
        <v>0</v>
      </c>
      <c r="T4">
        <v>0</v>
      </c>
      <c r="W4">
        <v>7</v>
      </c>
      <c r="X4">
        <v>11</v>
      </c>
      <c r="Y4">
        <v>0</v>
      </c>
      <c r="Z4">
        <v>4</v>
      </c>
      <c r="AA4" s="1">
        <v>1</v>
      </c>
      <c r="AB4" s="1">
        <v>1.571428571</v>
      </c>
    </row>
    <row r="5" spans="1:28" x14ac:dyDescent="0.45">
      <c r="A5" t="s">
        <v>5431</v>
      </c>
      <c r="B5" t="s">
        <v>5431</v>
      </c>
      <c r="C5" t="s">
        <v>5795</v>
      </c>
      <c r="D5">
        <v>4</v>
      </c>
      <c r="E5">
        <v>5</v>
      </c>
      <c r="F5">
        <v>1</v>
      </c>
      <c r="G5">
        <v>1</v>
      </c>
      <c r="H5">
        <v>0</v>
      </c>
      <c r="I5" s="1">
        <v>0.8</v>
      </c>
      <c r="J5" s="1">
        <v>1</v>
      </c>
      <c r="K5">
        <v>2</v>
      </c>
      <c r="L5">
        <v>3</v>
      </c>
      <c r="M5">
        <v>0</v>
      </c>
      <c r="N5">
        <v>1</v>
      </c>
      <c r="O5" s="1">
        <v>1</v>
      </c>
      <c r="P5" s="1">
        <v>1.5</v>
      </c>
      <c r="Q5">
        <v>0</v>
      </c>
      <c r="R5">
        <v>0</v>
      </c>
      <c r="S5">
        <v>0</v>
      </c>
      <c r="T5">
        <v>0</v>
      </c>
      <c r="W5">
        <v>6</v>
      </c>
      <c r="X5">
        <v>8</v>
      </c>
      <c r="Y5">
        <v>1</v>
      </c>
      <c r="Z5">
        <v>1</v>
      </c>
      <c r="AA5" s="1">
        <v>0.875</v>
      </c>
      <c r="AB5" s="1">
        <v>1.1666666670000001</v>
      </c>
    </row>
    <row r="6" spans="1:28" x14ac:dyDescent="0.45">
      <c r="A6" t="s">
        <v>5431</v>
      </c>
      <c r="B6" t="s">
        <v>5431</v>
      </c>
      <c r="C6" t="s">
        <v>5497</v>
      </c>
      <c r="D6">
        <v>12</v>
      </c>
      <c r="E6">
        <v>10</v>
      </c>
      <c r="F6">
        <v>0</v>
      </c>
      <c r="G6">
        <v>1</v>
      </c>
      <c r="H6">
        <v>-2</v>
      </c>
      <c r="I6" s="1">
        <v>1</v>
      </c>
      <c r="J6" s="1">
        <v>0.83333333300000001</v>
      </c>
      <c r="K6">
        <v>4</v>
      </c>
      <c r="L6">
        <v>7</v>
      </c>
      <c r="M6">
        <v>5</v>
      </c>
      <c r="N6">
        <v>-2</v>
      </c>
      <c r="O6" s="1">
        <v>0.28571428599999998</v>
      </c>
      <c r="P6" s="1">
        <v>0.5</v>
      </c>
      <c r="Q6">
        <v>4</v>
      </c>
      <c r="R6">
        <v>2</v>
      </c>
      <c r="S6">
        <v>1</v>
      </c>
      <c r="T6">
        <v>-3</v>
      </c>
      <c r="U6" s="1">
        <v>0.5</v>
      </c>
      <c r="V6" s="1">
        <v>0.25</v>
      </c>
      <c r="W6">
        <v>20</v>
      </c>
      <c r="X6">
        <v>19</v>
      </c>
      <c r="Y6">
        <v>6</v>
      </c>
      <c r="Z6">
        <v>-7</v>
      </c>
      <c r="AA6" s="1">
        <v>0.68421052599999999</v>
      </c>
      <c r="AB6" s="1">
        <v>0.65</v>
      </c>
    </row>
    <row r="7" spans="1:28" x14ac:dyDescent="0.45">
      <c r="A7" t="s">
        <v>5431</v>
      </c>
      <c r="B7" t="s">
        <v>5431</v>
      </c>
      <c r="C7" t="s">
        <v>5543</v>
      </c>
      <c r="D7">
        <v>0</v>
      </c>
      <c r="E7">
        <v>1</v>
      </c>
      <c r="F7">
        <v>1</v>
      </c>
      <c r="G7">
        <v>0</v>
      </c>
      <c r="H7">
        <v>0</v>
      </c>
      <c r="I7" s="1">
        <v>0</v>
      </c>
      <c r="K7">
        <v>7</v>
      </c>
      <c r="L7">
        <v>12</v>
      </c>
      <c r="M7">
        <v>2</v>
      </c>
      <c r="N7">
        <v>3</v>
      </c>
      <c r="O7" s="1">
        <v>0.83333333300000001</v>
      </c>
      <c r="P7" s="1">
        <v>1.428571429</v>
      </c>
      <c r="Q7">
        <v>0</v>
      </c>
      <c r="R7">
        <v>0</v>
      </c>
      <c r="S7">
        <v>0</v>
      </c>
      <c r="T7">
        <v>0</v>
      </c>
      <c r="W7">
        <v>7</v>
      </c>
      <c r="X7">
        <v>13</v>
      </c>
      <c r="Y7">
        <v>3</v>
      </c>
      <c r="Z7">
        <v>3</v>
      </c>
      <c r="AA7" s="1">
        <v>0.76923076899999998</v>
      </c>
      <c r="AB7" s="1">
        <v>1.428571429</v>
      </c>
    </row>
    <row r="8" spans="1:28" x14ac:dyDescent="0.45">
      <c r="A8" t="s">
        <v>5431</v>
      </c>
      <c r="B8" t="s">
        <v>5431</v>
      </c>
      <c r="C8" t="s">
        <v>5477</v>
      </c>
      <c r="D8">
        <v>8</v>
      </c>
      <c r="E8">
        <v>8</v>
      </c>
      <c r="F8">
        <v>3</v>
      </c>
      <c r="G8">
        <v>3</v>
      </c>
      <c r="H8">
        <v>-3</v>
      </c>
      <c r="I8" s="1">
        <v>0.625</v>
      </c>
      <c r="J8" s="1">
        <v>0.625</v>
      </c>
      <c r="K8">
        <v>5</v>
      </c>
      <c r="L8">
        <v>8</v>
      </c>
      <c r="M8">
        <v>2</v>
      </c>
      <c r="N8">
        <v>1</v>
      </c>
      <c r="O8" s="1">
        <v>0.75</v>
      </c>
      <c r="P8" s="1">
        <v>1.2</v>
      </c>
      <c r="Q8">
        <v>0</v>
      </c>
      <c r="R8">
        <v>0</v>
      </c>
      <c r="S8">
        <v>0</v>
      </c>
      <c r="T8">
        <v>0</v>
      </c>
      <c r="W8">
        <v>13</v>
      </c>
      <c r="X8">
        <v>16</v>
      </c>
      <c r="Y8">
        <v>5</v>
      </c>
      <c r="Z8">
        <v>-2</v>
      </c>
      <c r="AA8" s="1">
        <v>0.6875</v>
      </c>
      <c r="AB8" s="1">
        <v>0.84615384599999999</v>
      </c>
    </row>
    <row r="9" spans="1:28" x14ac:dyDescent="0.45">
      <c r="A9" t="s">
        <v>5431</v>
      </c>
      <c r="B9" t="s">
        <v>5431</v>
      </c>
      <c r="C9" t="s">
        <v>5532</v>
      </c>
      <c r="D9">
        <v>2</v>
      </c>
      <c r="E9">
        <v>2</v>
      </c>
      <c r="F9">
        <v>0</v>
      </c>
      <c r="G9">
        <v>0</v>
      </c>
      <c r="H9">
        <v>0</v>
      </c>
      <c r="I9" s="1">
        <v>1</v>
      </c>
      <c r="J9" s="1">
        <v>1</v>
      </c>
      <c r="K9">
        <v>4</v>
      </c>
      <c r="L9">
        <v>8</v>
      </c>
      <c r="M9">
        <v>0</v>
      </c>
      <c r="N9">
        <v>4</v>
      </c>
      <c r="O9" s="1">
        <v>1</v>
      </c>
      <c r="P9" s="1">
        <v>2</v>
      </c>
      <c r="Q9">
        <v>1</v>
      </c>
      <c r="R9">
        <v>0</v>
      </c>
      <c r="S9">
        <v>0</v>
      </c>
      <c r="T9">
        <v>-1</v>
      </c>
      <c r="V9" s="1">
        <v>0</v>
      </c>
      <c r="W9">
        <v>7</v>
      </c>
      <c r="X9">
        <v>10</v>
      </c>
      <c r="Y9">
        <v>0</v>
      </c>
      <c r="Z9">
        <v>3</v>
      </c>
      <c r="AA9" s="1">
        <v>1</v>
      </c>
      <c r="AB9" s="1">
        <v>1.428571429</v>
      </c>
    </row>
    <row r="10" spans="1:28" x14ac:dyDescent="0.45">
      <c r="A10" t="s">
        <v>5431</v>
      </c>
      <c r="B10" t="s">
        <v>5431</v>
      </c>
      <c r="C10" t="s">
        <v>5674</v>
      </c>
      <c r="D10">
        <v>3</v>
      </c>
      <c r="E10">
        <v>3</v>
      </c>
      <c r="F10">
        <v>1</v>
      </c>
      <c r="G10">
        <v>1</v>
      </c>
      <c r="H10">
        <v>-1</v>
      </c>
      <c r="I10" s="1">
        <v>0.66666666699999999</v>
      </c>
      <c r="J10" s="1">
        <v>0.66666666699999999</v>
      </c>
      <c r="K10">
        <v>3</v>
      </c>
      <c r="L10">
        <v>6</v>
      </c>
      <c r="M10">
        <v>2</v>
      </c>
      <c r="N10">
        <v>1</v>
      </c>
      <c r="O10" s="1">
        <v>0.66666666699999999</v>
      </c>
      <c r="P10" s="1">
        <v>1.3333333329999999</v>
      </c>
      <c r="Q10">
        <v>0</v>
      </c>
      <c r="R10">
        <v>0</v>
      </c>
      <c r="S10">
        <v>0</v>
      </c>
      <c r="T10">
        <v>0</v>
      </c>
      <c r="W10">
        <v>6</v>
      </c>
      <c r="X10">
        <v>9</v>
      </c>
      <c r="Y10">
        <v>3</v>
      </c>
      <c r="Z10">
        <v>0</v>
      </c>
      <c r="AA10" s="1">
        <v>0.66666666699999999</v>
      </c>
      <c r="AB10" s="1">
        <v>1</v>
      </c>
    </row>
    <row r="11" spans="1:28" x14ac:dyDescent="0.45">
      <c r="A11" t="s">
        <v>5431</v>
      </c>
      <c r="B11" t="s">
        <v>5431</v>
      </c>
      <c r="C11" t="s">
        <v>5613</v>
      </c>
      <c r="D11">
        <v>6</v>
      </c>
      <c r="E11">
        <v>6</v>
      </c>
      <c r="F11">
        <v>1</v>
      </c>
      <c r="G11">
        <v>3</v>
      </c>
      <c r="H11">
        <v>-1</v>
      </c>
      <c r="I11" s="1">
        <v>0.83333333300000001</v>
      </c>
      <c r="J11" s="1">
        <v>0.83333333300000001</v>
      </c>
      <c r="K11">
        <v>0</v>
      </c>
      <c r="L11">
        <v>0</v>
      </c>
      <c r="M11">
        <v>0</v>
      </c>
      <c r="N11">
        <v>0</v>
      </c>
      <c r="Q11">
        <v>0</v>
      </c>
      <c r="R11">
        <v>0</v>
      </c>
      <c r="S11">
        <v>0</v>
      </c>
      <c r="T11">
        <v>0</v>
      </c>
      <c r="W11">
        <v>6</v>
      </c>
      <c r="X11">
        <v>6</v>
      </c>
      <c r="Y11">
        <v>1</v>
      </c>
      <c r="Z11">
        <v>-1</v>
      </c>
      <c r="AA11" s="1">
        <v>0.83333333300000001</v>
      </c>
      <c r="AB11" s="1">
        <v>0.83333333300000001</v>
      </c>
    </row>
    <row r="12" spans="1:28" x14ac:dyDescent="0.45">
      <c r="A12" t="s">
        <v>5431</v>
      </c>
      <c r="B12" t="s">
        <v>5431</v>
      </c>
      <c r="C12" t="s">
        <v>5606</v>
      </c>
      <c r="D12">
        <v>5</v>
      </c>
      <c r="E12">
        <v>5</v>
      </c>
      <c r="F12">
        <v>2</v>
      </c>
      <c r="G12">
        <v>0</v>
      </c>
      <c r="H12">
        <v>-2</v>
      </c>
      <c r="I12" s="1">
        <v>0.6</v>
      </c>
      <c r="J12" s="1">
        <v>0.6</v>
      </c>
      <c r="K12">
        <v>1</v>
      </c>
      <c r="L12">
        <v>3</v>
      </c>
      <c r="M12">
        <v>0</v>
      </c>
      <c r="N12">
        <v>2</v>
      </c>
      <c r="O12" s="1">
        <v>1</v>
      </c>
      <c r="P12" s="1">
        <v>3</v>
      </c>
      <c r="Q12">
        <v>0</v>
      </c>
      <c r="R12">
        <v>0</v>
      </c>
      <c r="S12">
        <v>0</v>
      </c>
      <c r="T12">
        <v>0</v>
      </c>
      <c r="W12">
        <v>6</v>
      </c>
      <c r="X12">
        <v>8</v>
      </c>
      <c r="Y12">
        <v>2</v>
      </c>
      <c r="Z12">
        <v>0</v>
      </c>
      <c r="AA12" s="1">
        <v>0.75</v>
      </c>
      <c r="AB12" s="1">
        <v>1</v>
      </c>
    </row>
    <row r="13" spans="1:28" x14ac:dyDescent="0.45">
      <c r="A13" t="s">
        <v>5431</v>
      </c>
      <c r="B13" t="s">
        <v>5431</v>
      </c>
      <c r="C13" t="s">
        <v>5786</v>
      </c>
      <c r="D13">
        <v>2</v>
      </c>
      <c r="E13">
        <v>2</v>
      </c>
      <c r="F13">
        <v>0</v>
      </c>
      <c r="G13">
        <v>0</v>
      </c>
      <c r="H13">
        <v>0</v>
      </c>
      <c r="I13" s="1">
        <v>1</v>
      </c>
      <c r="J13" s="1">
        <v>1</v>
      </c>
      <c r="K13">
        <v>3</v>
      </c>
      <c r="L13">
        <v>4</v>
      </c>
      <c r="M13">
        <v>0</v>
      </c>
      <c r="N13">
        <v>1</v>
      </c>
      <c r="O13" s="1">
        <v>1</v>
      </c>
      <c r="P13" s="1">
        <v>1.3333333329999999</v>
      </c>
      <c r="Q13">
        <v>2</v>
      </c>
      <c r="R13">
        <v>2</v>
      </c>
      <c r="S13">
        <v>2</v>
      </c>
      <c r="T13">
        <v>-2</v>
      </c>
      <c r="U13" s="1">
        <v>0</v>
      </c>
      <c r="V13" s="1">
        <v>0</v>
      </c>
      <c r="W13">
        <v>7</v>
      </c>
      <c r="X13">
        <v>8</v>
      </c>
      <c r="Y13">
        <v>2</v>
      </c>
      <c r="Z13">
        <v>-1</v>
      </c>
      <c r="AA13" s="1">
        <v>0.75</v>
      </c>
      <c r="AB13" s="1">
        <v>0.85714285700000004</v>
      </c>
    </row>
    <row r="14" spans="1:28" x14ac:dyDescent="0.45">
      <c r="A14" t="s">
        <v>5431</v>
      </c>
      <c r="B14" t="s">
        <v>5431</v>
      </c>
      <c r="C14" t="s">
        <v>5540</v>
      </c>
      <c r="D14">
        <v>5</v>
      </c>
      <c r="E14">
        <v>5</v>
      </c>
      <c r="F14">
        <v>2</v>
      </c>
      <c r="G14">
        <v>2</v>
      </c>
      <c r="H14">
        <v>-2</v>
      </c>
      <c r="I14" s="1">
        <v>0.6</v>
      </c>
      <c r="J14" s="1">
        <v>0.6</v>
      </c>
      <c r="K14">
        <v>2</v>
      </c>
      <c r="L14">
        <v>4</v>
      </c>
      <c r="M14">
        <v>0</v>
      </c>
      <c r="N14">
        <v>2</v>
      </c>
      <c r="O14" s="1">
        <v>1</v>
      </c>
      <c r="P14" s="1">
        <v>2</v>
      </c>
      <c r="Q14">
        <v>0</v>
      </c>
      <c r="R14">
        <v>0</v>
      </c>
      <c r="S14">
        <v>0</v>
      </c>
      <c r="T14">
        <v>0</v>
      </c>
      <c r="W14">
        <v>7</v>
      </c>
      <c r="X14">
        <v>9</v>
      </c>
      <c r="Y14">
        <v>2</v>
      </c>
      <c r="Z14">
        <v>0</v>
      </c>
      <c r="AA14" s="1">
        <v>0.77777777800000003</v>
      </c>
      <c r="AB14" s="1">
        <v>1</v>
      </c>
    </row>
    <row r="15" spans="1:28" x14ac:dyDescent="0.45">
      <c r="A15" t="s">
        <v>5431</v>
      </c>
      <c r="B15" t="s">
        <v>5431</v>
      </c>
      <c r="C15" t="s">
        <v>5485</v>
      </c>
      <c r="D15">
        <v>3</v>
      </c>
      <c r="E15">
        <v>3</v>
      </c>
      <c r="F15">
        <v>1</v>
      </c>
      <c r="G15">
        <v>1</v>
      </c>
      <c r="H15">
        <v>-1</v>
      </c>
      <c r="I15" s="1">
        <v>0.66666666699999999</v>
      </c>
      <c r="J15" s="1">
        <v>0.66666666699999999</v>
      </c>
      <c r="K15">
        <v>3</v>
      </c>
      <c r="L15">
        <v>3</v>
      </c>
      <c r="M15">
        <v>0</v>
      </c>
      <c r="N15">
        <v>0</v>
      </c>
      <c r="O15" s="1">
        <v>1</v>
      </c>
      <c r="P15" s="1">
        <v>1</v>
      </c>
      <c r="Q15">
        <v>0</v>
      </c>
      <c r="R15">
        <v>0</v>
      </c>
      <c r="S15">
        <v>0</v>
      </c>
      <c r="T15">
        <v>0</v>
      </c>
      <c r="W15">
        <v>6</v>
      </c>
      <c r="X15">
        <v>6</v>
      </c>
      <c r="Y15">
        <v>1</v>
      </c>
      <c r="Z15">
        <v>-1</v>
      </c>
      <c r="AA15" s="1">
        <v>0.83333333300000001</v>
      </c>
      <c r="AB15" s="1">
        <v>0.83333333300000001</v>
      </c>
    </row>
    <row r="16" spans="1:28" x14ac:dyDescent="0.45">
      <c r="A16" t="s">
        <v>5431</v>
      </c>
      <c r="B16" t="s">
        <v>5431</v>
      </c>
      <c r="C16" t="s">
        <v>5669</v>
      </c>
      <c r="D16">
        <v>0</v>
      </c>
      <c r="E16">
        <v>0</v>
      </c>
      <c r="F16">
        <v>0</v>
      </c>
      <c r="G16">
        <v>0</v>
      </c>
      <c r="H16">
        <v>0</v>
      </c>
      <c r="K16">
        <v>3</v>
      </c>
      <c r="L16">
        <v>4</v>
      </c>
      <c r="M16">
        <v>1</v>
      </c>
      <c r="N16">
        <v>0</v>
      </c>
      <c r="O16" s="1">
        <v>0.75</v>
      </c>
      <c r="P16" s="1">
        <v>1</v>
      </c>
      <c r="Q16">
        <v>0</v>
      </c>
      <c r="R16">
        <v>0</v>
      </c>
      <c r="S16">
        <v>0</v>
      </c>
      <c r="T16">
        <v>0</v>
      </c>
      <c r="W16">
        <v>3</v>
      </c>
      <c r="X16">
        <v>4</v>
      </c>
      <c r="Y16">
        <v>1</v>
      </c>
      <c r="Z16">
        <v>0</v>
      </c>
      <c r="AA16" s="1">
        <v>0.75</v>
      </c>
      <c r="AB16" s="1">
        <v>1</v>
      </c>
    </row>
    <row r="17" spans="1:28" x14ac:dyDescent="0.45">
      <c r="A17" t="s">
        <v>5399</v>
      </c>
      <c r="B17" t="s">
        <v>5410</v>
      </c>
      <c r="C17" t="s">
        <v>5411</v>
      </c>
      <c r="D17">
        <v>3</v>
      </c>
      <c r="E17">
        <v>3</v>
      </c>
      <c r="F17">
        <v>0</v>
      </c>
      <c r="G17">
        <v>3</v>
      </c>
      <c r="H17">
        <v>0</v>
      </c>
      <c r="I17" s="1">
        <v>1</v>
      </c>
      <c r="J17" s="1">
        <v>1</v>
      </c>
      <c r="K17">
        <v>1</v>
      </c>
      <c r="L17">
        <v>2</v>
      </c>
      <c r="M17">
        <v>1</v>
      </c>
      <c r="N17">
        <v>0</v>
      </c>
      <c r="O17" s="1">
        <v>0.5</v>
      </c>
      <c r="P17" s="1">
        <v>1</v>
      </c>
      <c r="Q17">
        <v>1</v>
      </c>
      <c r="R17">
        <v>0</v>
      </c>
      <c r="S17">
        <v>0</v>
      </c>
      <c r="T17">
        <v>-1</v>
      </c>
      <c r="V17" s="1">
        <v>0</v>
      </c>
      <c r="W17">
        <v>5</v>
      </c>
      <c r="X17">
        <v>5</v>
      </c>
      <c r="Y17">
        <v>1</v>
      </c>
      <c r="Z17">
        <v>-1</v>
      </c>
      <c r="AA17" s="1">
        <v>0.8</v>
      </c>
      <c r="AB17" s="1">
        <v>0.8</v>
      </c>
    </row>
    <row r="18" spans="1:28" x14ac:dyDescent="0.45">
      <c r="A18" t="s">
        <v>5399</v>
      </c>
      <c r="B18" t="s">
        <v>5410</v>
      </c>
      <c r="C18" t="s">
        <v>5503</v>
      </c>
      <c r="D18">
        <v>2</v>
      </c>
      <c r="E18">
        <v>3</v>
      </c>
      <c r="F18">
        <v>1</v>
      </c>
      <c r="G18">
        <v>2</v>
      </c>
      <c r="H18">
        <v>0</v>
      </c>
      <c r="I18" s="1">
        <v>0.66666666699999999</v>
      </c>
      <c r="J18" s="1">
        <v>1</v>
      </c>
      <c r="K18">
        <v>6</v>
      </c>
      <c r="L18">
        <v>7</v>
      </c>
      <c r="M18">
        <v>0</v>
      </c>
      <c r="N18">
        <v>1</v>
      </c>
      <c r="O18" s="1">
        <v>1</v>
      </c>
      <c r="P18" s="1">
        <v>1.1666666670000001</v>
      </c>
      <c r="Q18">
        <v>1</v>
      </c>
      <c r="R18">
        <v>1</v>
      </c>
      <c r="S18">
        <v>0</v>
      </c>
      <c r="T18">
        <v>0</v>
      </c>
      <c r="U18" s="1">
        <v>1</v>
      </c>
      <c r="V18" s="1">
        <v>1</v>
      </c>
      <c r="W18">
        <v>9</v>
      </c>
      <c r="X18">
        <v>11</v>
      </c>
      <c r="Y18">
        <v>1</v>
      </c>
      <c r="Z18">
        <v>1</v>
      </c>
      <c r="AA18" s="1">
        <v>0.909090909</v>
      </c>
      <c r="AB18" s="1">
        <v>1.111111111</v>
      </c>
    </row>
    <row r="19" spans="1:28" x14ac:dyDescent="0.45">
      <c r="A19" t="s">
        <v>5399</v>
      </c>
      <c r="B19" t="s">
        <v>5410</v>
      </c>
      <c r="C19" t="s">
        <v>5468</v>
      </c>
      <c r="D19">
        <v>5</v>
      </c>
      <c r="E19">
        <v>4</v>
      </c>
      <c r="F19">
        <v>0</v>
      </c>
      <c r="G19">
        <v>4</v>
      </c>
      <c r="H19">
        <v>-1</v>
      </c>
      <c r="I19" s="1">
        <v>1</v>
      </c>
      <c r="J19" s="1">
        <v>0.8</v>
      </c>
      <c r="K19">
        <v>5</v>
      </c>
      <c r="L19">
        <v>10</v>
      </c>
      <c r="M19">
        <v>3</v>
      </c>
      <c r="N19">
        <v>2</v>
      </c>
      <c r="O19" s="1">
        <v>0.7</v>
      </c>
      <c r="P19" s="1">
        <v>1.4</v>
      </c>
      <c r="Q19">
        <v>1</v>
      </c>
      <c r="R19">
        <v>0</v>
      </c>
      <c r="S19">
        <v>0</v>
      </c>
      <c r="T19">
        <v>-1</v>
      </c>
      <c r="V19" s="1">
        <v>0</v>
      </c>
      <c r="W19">
        <v>11</v>
      </c>
      <c r="X19">
        <v>14</v>
      </c>
      <c r="Y19">
        <v>3</v>
      </c>
      <c r="Z19">
        <v>0</v>
      </c>
      <c r="AA19" s="1">
        <v>0.78571428600000004</v>
      </c>
      <c r="AB19" s="1">
        <v>1</v>
      </c>
    </row>
    <row r="20" spans="1:28" x14ac:dyDescent="0.45">
      <c r="A20" t="s">
        <v>5399</v>
      </c>
      <c r="B20" t="s">
        <v>5410</v>
      </c>
      <c r="C20" t="s">
        <v>5476</v>
      </c>
      <c r="D20">
        <v>1</v>
      </c>
      <c r="E20">
        <v>1</v>
      </c>
      <c r="F20">
        <v>0</v>
      </c>
      <c r="G20">
        <v>0</v>
      </c>
      <c r="H20">
        <v>0</v>
      </c>
      <c r="I20" s="1">
        <v>1</v>
      </c>
      <c r="J20" s="1">
        <v>1</v>
      </c>
      <c r="K20">
        <v>7</v>
      </c>
      <c r="L20">
        <v>9</v>
      </c>
      <c r="M20">
        <v>2</v>
      </c>
      <c r="N20">
        <v>0</v>
      </c>
      <c r="O20" s="1">
        <v>0.77777777800000003</v>
      </c>
      <c r="P20" s="1">
        <v>1</v>
      </c>
      <c r="Q20">
        <v>1</v>
      </c>
      <c r="R20">
        <v>1</v>
      </c>
      <c r="S20">
        <v>0</v>
      </c>
      <c r="T20">
        <v>0</v>
      </c>
      <c r="U20" s="1">
        <v>1</v>
      </c>
      <c r="V20" s="1">
        <v>1</v>
      </c>
      <c r="W20">
        <v>9</v>
      </c>
      <c r="X20">
        <v>11</v>
      </c>
      <c r="Y20">
        <v>2</v>
      </c>
      <c r="Z20">
        <v>0</v>
      </c>
      <c r="AA20" s="1">
        <v>0.81818181800000001</v>
      </c>
      <c r="AB20" s="1">
        <v>1</v>
      </c>
    </row>
    <row r="21" spans="1:28" x14ac:dyDescent="0.45">
      <c r="A21" t="s">
        <v>5399</v>
      </c>
      <c r="B21" t="s">
        <v>5410</v>
      </c>
      <c r="C21" t="s">
        <v>5415</v>
      </c>
      <c r="D21">
        <v>1</v>
      </c>
      <c r="E21">
        <v>1</v>
      </c>
      <c r="F21">
        <v>0</v>
      </c>
      <c r="G21">
        <v>0</v>
      </c>
      <c r="H21">
        <v>0</v>
      </c>
      <c r="I21" s="1">
        <v>1</v>
      </c>
      <c r="J21" s="1">
        <v>1</v>
      </c>
      <c r="K21">
        <v>10</v>
      </c>
      <c r="L21">
        <v>14</v>
      </c>
      <c r="M21">
        <v>2</v>
      </c>
      <c r="N21">
        <v>2</v>
      </c>
      <c r="O21" s="1">
        <v>0.85714285700000004</v>
      </c>
      <c r="P21" s="1">
        <v>1.2</v>
      </c>
      <c r="Q21">
        <v>0</v>
      </c>
      <c r="R21">
        <v>0</v>
      </c>
      <c r="S21">
        <v>0</v>
      </c>
      <c r="T21">
        <v>0</v>
      </c>
      <c r="W21">
        <v>11</v>
      </c>
      <c r="X21">
        <v>15</v>
      </c>
      <c r="Y21">
        <v>2</v>
      </c>
      <c r="Z21">
        <v>2</v>
      </c>
      <c r="AA21" s="1">
        <v>0.86666666699999995</v>
      </c>
      <c r="AB21" s="1">
        <v>1.181818182</v>
      </c>
    </row>
    <row r="22" spans="1:28" x14ac:dyDescent="0.45">
      <c r="A22" t="s">
        <v>5399</v>
      </c>
      <c r="B22" t="s">
        <v>5410</v>
      </c>
      <c r="C22" t="s">
        <v>5636</v>
      </c>
      <c r="D22">
        <v>1</v>
      </c>
      <c r="E22">
        <v>1</v>
      </c>
      <c r="F22">
        <v>0</v>
      </c>
      <c r="G22">
        <v>0</v>
      </c>
      <c r="H22">
        <v>0</v>
      </c>
      <c r="I22" s="1">
        <v>1</v>
      </c>
      <c r="J22" s="1">
        <v>1</v>
      </c>
      <c r="K22">
        <v>8</v>
      </c>
      <c r="L22">
        <v>10</v>
      </c>
      <c r="M22">
        <v>2</v>
      </c>
      <c r="N22">
        <v>0</v>
      </c>
      <c r="O22" s="1">
        <v>0.8</v>
      </c>
      <c r="P22" s="1">
        <v>1</v>
      </c>
      <c r="Q22">
        <v>1</v>
      </c>
      <c r="R22">
        <v>0</v>
      </c>
      <c r="S22">
        <v>0</v>
      </c>
      <c r="T22">
        <v>-1</v>
      </c>
      <c r="V22" s="1">
        <v>0</v>
      </c>
      <c r="W22">
        <v>10</v>
      </c>
      <c r="X22">
        <v>11</v>
      </c>
      <c r="Y22">
        <v>2</v>
      </c>
      <c r="Z22">
        <v>-1</v>
      </c>
      <c r="AA22" s="1">
        <v>0.81818181800000001</v>
      </c>
      <c r="AB22" s="1">
        <v>0.9</v>
      </c>
    </row>
    <row r="23" spans="1:28" x14ac:dyDescent="0.45">
      <c r="A23" t="s">
        <v>5399</v>
      </c>
      <c r="B23" t="s">
        <v>5410</v>
      </c>
      <c r="C23" t="s">
        <v>5619</v>
      </c>
      <c r="D23">
        <v>1</v>
      </c>
      <c r="E23">
        <v>1</v>
      </c>
      <c r="F23">
        <v>0</v>
      </c>
      <c r="G23">
        <v>1</v>
      </c>
      <c r="H23">
        <v>0</v>
      </c>
      <c r="I23" s="1">
        <v>1</v>
      </c>
      <c r="J23" s="1">
        <v>1</v>
      </c>
      <c r="K23">
        <v>5</v>
      </c>
      <c r="L23">
        <v>9</v>
      </c>
      <c r="M23">
        <v>0</v>
      </c>
      <c r="N23">
        <v>4</v>
      </c>
      <c r="O23" s="1">
        <v>1</v>
      </c>
      <c r="P23" s="1">
        <v>1.8</v>
      </c>
      <c r="Q23">
        <v>1</v>
      </c>
      <c r="R23">
        <v>0</v>
      </c>
      <c r="S23">
        <v>0</v>
      </c>
      <c r="T23">
        <v>-1</v>
      </c>
      <c r="V23" s="1">
        <v>0</v>
      </c>
      <c r="W23">
        <v>7</v>
      </c>
      <c r="X23">
        <v>10</v>
      </c>
      <c r="Y23">
        <v>0</v>
      </c>
      <c r="Z23">
        <v>3</v>
      </c>
      <c r="AA23" s="1">
        <v>1</v>
      </c>
      <c r="AB23" s="1">
        <v>1.428571429</v>
      </c>
    </row>
    <row r="24" spans="1:28" x14ac:dyDescent="0.45">
      <c r="A24" t="s">
        <v>5399</v>
      </c>
      <c r="B24" t="s">
        <v>5410</v>
      </c>
      <c r="C24" t="s">
        <v>5533</v>
      </c>
      <c r="D24">
        <v>11</v>
      </c>
      <c r="E24">
        <v>12</v>
      </c>
      <c r="F24">
        <v>1</v>
      </c>
      <c r="G24">
        <v>6</v>
      </c>
      <c r="H24">
        <v>0</v>
      </c>
      <c r="I24" s="1">
        <v>0.91666666699999999</v>
      </c>
      <c r="J24" s="1">
        <v>1</v>
      </c>
      <c r="K24">
        <v>5</v>
      </c>
      <c r="L24">
        <v>6</v>
      </c>
      <c r="M24">
        <v>2</v>
      </c>
      <c r="N24">
        <v>-1</v>
      </c>
      <c r="O24" s="1">
        <v>0.66666666699999999</v>
      </c>
      <c r="P24" s="1">
        <v>0.8</v>
      </c>
      <c r="Q24">
        <v>1</v>
      </c>
      <c r="R24">
        <v>0</v>
      </c>
      <c r="S24">
        <v>0</v>
      </c>
      <c r="T24">
        <v>-1</v>
      </c>
      <c r="V24" s="1">
        <v>0</v>
      </c>
      <c r="W24">
        <v>17</v>
      </c>
      <c r="X24">
        <v>18</v>
      </c>
      <c r="Y24">
        <v>3</v>
      </c>
      <c r="Z24">
        <v>-2</v>
      </c>
      <c r="AA24" s="1">
        <v>0.83333333300000001</v>
      </c>
      <c r="AB24" s="1">
        <v>0.88235294099999995</v>
      </c>
    </row>
    <row r="25" spans="1:28" x14ac:dyDescent="0.45">
      <c r="A25" t="s">
        <v>5399</v>
      </c>
      <c r="B25" t="s">
        <v>5410</v>
      </c>
      <c r="C25" t="s">
        <v>5611</v>
      </c>
      <c r="D25">
        <v>3</v>
      </c>
      <c r="E25">
        <v>3</v>
      </c>
      <c r="F25">
        <v>0</v>
      </c>
      <c r="G25">
        <v>0</v>
      </c>
      <c r="H25">
        <v>0</v>
      </c>
      <c r="I25" s="1">
        <v>1</v>
      </c>
      <c r="J25" s="1">
        <v>1</v>
      </c>
      <c r="K25">
        <v>2</v>
      </c>
      <c r="L25">
        <v>3</v>
      </c>
      <c r="M25">
        <v>0</v>
      </c>
      <c r="N25">
        <v>1</v>
      </c>
      <c r="O25" s="1">
        <v>1</v>
      </c>
      <c r="P25" s="1">
        <v>1.5</v>
      </c>
      <c r="Q25">
        <v>0</v>
      </c>
      <c r="R25">
        <v>0</v>
      </c>
      <c r="S25">
        <v>0</v>
      </c>
      <c r="T25">
        <v>0</v>
      </c>
      <c r="W25">
        <v>5</v>
      </c>
      <c r="X25">
        <v>6</v>
      </c>
      <c r="Y25">
        <v>0</v>
      </c>
      <c r="Z25">
        <v>1</v>
      </c>
      <c r="AA25" s="1">
        <v>1</v>
      </c>
      <c r="AB25" s="1">
        <v>1.2</v>
      </c>
    </row>
    <row r="26" spans="1:28" x14ac:dyDescent="0.45">
      <c r="A26" t="s">
        <v>5399</v>
      </c>
      <c r="B26" t="s">
        <v>5412</v>
      </c>
      <c r="C26" t="s">
        <v>5506</v>
      </c>
      <c r="D26">
        <v>2</v>
      </c>
      <c r="E26">
        <v>1</v>
      </c>
      <c r="F26">
        <v>0</v>
      </c>
      <c r="G26">
        <v>0</v>
      </c>
      <c r="H26">
        <v>-1</v>
      </c>
      <c r="I26" s="1">
        <v>1</v>
      </c>
      <c r="J26" s="1">
        <v>0.5</v>
      </c>
      <c r="K26">
        <v>6</v>
      </c>
      <c r="L26">
        <v>10</v>
      </c>
      <c r="M26">
        <v>2</v>
      </c>
      <c r="N26">
        <v>2</v>
      </c>
      <c r="O26" s="1">
        <v>0.8</v>
      </c>
      <c r="P26" s="1">
        <v>1.3333333329999999</v>
      </c>
      <c r="Q26">
        <v>0</v>
      </c>
      <c r="R26">
        <v>0</v>
      </c>
      <c r="S26">
        <v>0</v>
      </c>
      <c r="T26">
        <v>0</v>
      </c>
      <c r="W26">
        <v>8</v>
      </c>
      <c r="X26">
        <v>11</v>
      </c>
      <c r="Y26">
        <v>2</v>
      </c>
      <c r="Z26">
        <v>1</v>
      </c>
      <c r="AA26" s="1">
        <v>0.81818181800000001</v>
      </c>
      <c r="AB26" s="1">
        <v>1.125</v>
      </c>
    </row>
    <row r="27" spans="1:28" x14ac:dyDescent="0.45">
      <c r="A27" t="s">
        <v>5399</v>
      </c>
      <c r="B27" t="s">
        <v>5412</v>
      </c>
      <c r="C27" t="s">
        <v>5507</v>
      </c>
      <c r="D27">
        <v>10</v>
      </c>
      <c r="E27">
        <v>15</v>
      </c>
      <c r="F27">
        <v>0</v>
      </c>
      <c r="G27">
        <v>3</v>
      </c>
      <c r="H27">
        <v>5</v>
      </c>
      <c r="I27" s="1">
        <v>1</v>
      </c>
      <c r="J27" s="1">
        <v>1.5</v>
      </c>
      <c r="K27">
        <v>3</v>
      </c>
      <c r="L27">
        <v>4</v>
      </c>
      <c r="M27">
        <v>1</v>
      </c>
      <c r="N27">
        <v>0</v>
      </c>
      <c r="O27" s="1">
        <v>0.75</v>
      </c>
      <c r="P27" s="1">
        <v>1</v>
      </c>
      <c r="Q27">
        <v>1</v>
      </c>
      <c r="R27">
        <v>1</v>
      </c>
      <c r="S27">
        <v>0</v>
      </c>
      <c r="T27">
        <v>0</v>
      </c>
      <c r="U27" s="1">
        <v>1</v>
      </c>
      <c r="V27" s="1">
        <v>1</v>
      </c>
      <c r="W27">
        <v>14</v>
      </c>
      <c r="X27">
        <v>20</v>
      </c>
      <c r="Y27">
        <v>1</v>
      </c>
      <c r="Z27">
        <v>5</v>
      </c>
      <c r="AA27" s="1">
        <v>0.95</v>
      </c>
      <c r="AB27" s="1">
        <v>1.3571428569999999</v>
      </c>
    </row>
    <row r="28" spans="1:28" x14ac:dyDescent="0.45">
      <c r="A28" t="s">
        <v>5399</v>
      </c>
      <c r="B28" t="s">
        <v>5412</v>
      </c>
      <c r="C28" t="s">
        <v>5500</v>
      </c>
      <c r="D28">
        <v>6</v>
      </c>
      <c r="E28">
        <v>7</v>
      </c>
      <c r="F28">
        <v>0</v>
      </c>
      <c r="G28">
        <v>5</v>
      </c>
      <c r="H28">
        <v>1</v>
      </c>
      <c r="I28" s="1">
        <v>1</v>
      </c>
      <c r="J28" s="1">
        <v>1.1666666670000001</v>
      </c>
      <c r="K28">
        <v>4</v>
      </c>
      <c r="L28">
        <v>6</v>
      </c>
      <c r="M28">
        <v>2</v>
      </c>
      <c r="N28">
        <v>0</v>
      </c>
      <c r="O28" s="1">
        <v>0.66666666699999999</v>
      </c>
      <c r="P28" s="1">
        <v>1</v>
      </c>
      <c r="Q28">
        <v>1</v>
      </c>
      <c r="R28">
        <v>0</v>
      </c>
      <c r="S28">
        <v>0</v>
      </c>
      <c r="T28">
        <v>-1</v>
      </c>
      <c r="V28" s="1">
        <v>0</v>
      </c>
      <c r="W28">
        <v>11</v>
      </c>
      <c r="X28">
        <v>13</v>
      </c>
      <c r="Y28">
        <v>2</v>
      </c>
      <c r="Z28">
        <v>0</v>
      </c>
      <c r="AA28" s="1">
        <v>0.84615384599999999</v>
      </c>
      <c r="AB28" s="1">
        <v>1</v>
      </c>
    </row>
    <row r="29" spans="1:28" x14ac:dyDescent="0.45">
      <c r="A29" t="s">
        <v>5399</v>
      </c>
      <c r="B29" t="s">
        <v>5412</v>
      </c>
      <c r="C29" t="s">
        <v>5713</v>
      </c>
      <c r="D29">
        <v>2</v>
      </c>
      <c r="E29">
        <v>2</v>
      </c>
      <c r="F29">
        <v>0</v>
      </c>
      <c r="G29">
        <v>0</v>
      </c>
      <c r="H29">
        <v>0</v>
      </c>
      <c r="I29" s="1">
        <v>1</v>
      </c>
      <c r="J29" s="1">
        <v>1</v>
      </c>
      <c r="K29">
        <v>3</v>
      </c>
      <c r="L29">
        <v>4</v>
      </c>
      <c r="M29">
        <v>1</v>
      </c>
      <c r="N29">
        <v>0</v>
      </c>
      <c r="O29" s="1">
        <v>0.75</v>
      </c>
      <c r="P29" s="1">
        <v>1</v>
      </c>
      <c r="Q29">
        <v>1</v>
      </c>
      <c r="R29">
        <v>0</v>
      </c>
      <c r="S29">
        <v>0</v>
      </c>
      <c r="T29">
        <v>-1</v>
      </c>
      <c r="V29" s="1">
        <v>0</v>
      </c>
      <c r="W29">
        <v>6</v>
      </c>
      <c r="X29">
        <v>6</v>
      </c>
      <c r="Y29">
        <v>1</v>
      </c>
      <c r="Z29">
        <v>-1</v>
      </c>
      <c r="AA29" s="1">
        <v>0.83333333300000001</v>
      </c>
      <c r="AB29" s="1">
        <v>0.83333333300000001</v>
      </c>
    </row>
    <row r="30" spans="1:28" x14ac:dyDescent="0.45">
      <c r="A30" t="s">
        <v>5399</v>
      </c>
      <c r="B30" t="s">
        <v>5412</v>
      </c>
      <c r="C30" t="s">
        <v>5428</v>
      </c>
      <c r="D30">
        <v>13</v>
      </c>
      <c r="E30">
        <v>15</v>
      </c>
      <c r="F30">
        <v>1</v>
      </c>
      <c r="G30">
        <v>5</v>
      </c>
      <c r="H30">
        <v>1</v>
      </c>
      <c r="I30" s="1">
        <v>0.93333333299999999</v>
      </c>
      <c r="J30" s="1">
        <v>1.076923077</v>
      </c>
      <c r="K30">
        <v>6</v>
      </c>
      <c r="L30">
        <v>13</v>
      </c>
      <c r="M30">
        <v>4</v>
      </c>
      <c r="N30">
        <v>3</v>
      </c>
      <c r="O30" s="1">
        <v>0.69230769199999997</v>
      </c>
      <c r="P30" s="1">
        <v>1.5</v>
      </c>
      <c r="Q30">
        <v>2</v>
      </c>
      <c r="R30">
        <v>0</v>
      </c>
      <c r="S30">
        <v>0</v>
      </c>
      <c r="T30">
        <v>-2</v>
      </c>
      <c r="V30" s="1">
        <v>0</v>
      </c>
      <c r="W30">
        <v>21</v>
      </c>
      <c r="X30">
        <v>28</v>
      </c>
      <c r="Y30">
        <v>5</v>
      </c>
      <c r="Z30">
        <v>2</v>
      </c>
      <c r="AA30" s="1">
        <v>0.821428571</v>
      </c>
      <c r="AB30" s="1">
        <v>1.095238095</v>
      </c>
    </row>
    <row r="31" spans="1:28" x14ac:dyDescent="0.45">
      <c r="A31" t="s">
        <v>5399</v>
      </c>
      <c r="B31" t="s">
        <v>5412</v>
      </c>
      <c r="C31" t="s">
        <v>5531</v>
      </c>
      <c r="D31">
        <v>3</v>
      </c>
      <c r="E31">
        <v>3</v>
      </c>
      <c r="F31">
        <v>0</v>
      </c>
      <c r="G31">
        <v>0</v>
      </c>
      <c r="H31">
        <v>0</v>
      </c>
      <c r="I31" s="1">
        <v>1</v>
      </c>
      <c r="J31" s="1">
        <v>1</v>
      </c>
      <c r="K31">
        <v>3</v>
      </c>
      <c r="L31">
        <v>5</v>
      </c>
      <c r="M31">
        <v>0</v>
      </c>
      <c r="N31">
        <v>2</v>
      </c>
      <c r="O31" s="1">
        <v>1</v>
      </c>
      <c r="P31" s="1">
        <v>1.6666666670000001</v>
      </c>
      <c r="Q31">
        <v>1</v>
      </c>
      <c r="R31">
        <v>0</v>
      </c>
      <c r="S31">
        <v>0</v>
      </c>
      <c r="T31">
        <v>-1</v>
      </c>
      <c r="V31" s="1">
        <v>0</v>
      </c>
      <c r="W31">
        <v>7</v>
      </c>
      <c r="X31">
        <v>8</v>
      </c>
      <c r="Y31">
        <v>0</v>
      </c>
      <c r="Z31">
        <v>1</v>
      </c>
      <c r="AA31" s="1">
        <v>1</v>
      </c>
      <c r="AB31" s="1">
        <v>1.1428571430000001</v>
      </c>
    </row>
    <row r="32" spans="1:28" x14ac:dyDescent="0.45">
      <c r="A32" t="s">
        <v>5399</v>
      </c>
      <c r="B32" t="s">
        <v>5412</v>
      </c>
      <c r="C32" t="s">
        <v>5488</v>
      </c>
      <c r="D32">
        <v>4</v>
      </c>
      <c r="E32">
        <v>3</v>
      </c>
      <c r="F32">
        <v>0</v>
      </c>
      <c r="G32">
        <v>2</v>
      </c>
      <c r="H32">
        <v>-1</v>
      </c>
      <c r="I32" s="1">
        <v>1</v>
      </c>
      <c r="J32" s="1">
        <v>0.75</v>
      </c>
      <c r="K32">
        <v>2</v>
      </c>
      <c r="L32">
        <v>5</v>
      </c>
      <c r="M32">
        <v>1</v>
      </c>
      <c r="N32">
        <v>2</v>
      </c>
      <c r="O32" s="1">
        <v>0.8</v>
      </c>
      <c r="P32" s="1">
        <v>2</v>
      </c>
      <c r="Q32">
        <v>1</v>
      </c>
      <c r="R32">
        <v>0</v>
      </c>
      <c r="S32">
        <v>0</v>
      </c>
      <c r="T32">
        <v>-1</v>
      </c>
      <c r="V32" s="1">
        <v>0</v>
      </c>
      <c r="W32">
        <v>7</v>
      </c>
      <c r="X32">
        <v>8</v>
      </c>
      <c r="Y32">
        <v>1</v>
      </c>
      <c r="Z32">
        <v>0</v>
      </c>
      <c r="AA32" s="1">
        <v>0.875</v>
      </c>
      <c r="AB32" s="1">
        <v>1</v>
      </c>
    </row>
    <row r="33" spans="1:28" x14ac:dyDescent="0.45">
      <c r="A33" t="s">
        <v>5399</v>
      </c>
      <c r="B33" t="s">
        <v>5412</v>
      </c>
      <c r="C33" t="s">
        <v>5413</v>
      </c>
      <c r="D33">
        <v>4</v>
      </c>
      <c r="E33">
        <v>3</v>
      </c>
      <c r="F33">
        <v>0</v>
      </c>
      <c r="G33">
        <v>0</v>
      </c>
      <c r="H33">
        <v>-1</v>
      </c>
      <c r="I33" s="1">
        <v>1</v>
      </c>
      <c r="J33" s="1">
        <v>0.75</v>
      </c>
      <c r="K33">
        <v>11</v>
      </c>
      <c r="L33">
        <v>14</v>
      </c>
      <c r="M33">
        <v>3</v>
      </c>
      <c r="N33">
        <v>0</v>
      </c>
      <c r="O33" s="1">
        <v>0.78571428600000004</v>
      </c>
      <c r="P33" s="1">
        <v>1</v>
      </c>
      <c r="Q33">
        <v>0</v>
      </c>
      <c r="R33">
        <v>1</v>
      </c>
      <c r="S33">
        <v>0</v>
      </c>
      <c r="T33">
        <v>1</v>
      </c>
      <c r="U33" s="1">
        <v>1</v>
      </c>
      <c r="W33">
        <v>15</v>
      </c>
      <c r="X33">
        <v>18</v>
      </c>
      <c r="Y33">
        <v>3</v>
      </c>
      <c r="Z33">
        <v>0</v>
      </c>
      <c r="AA33" s="1">
        <v>0.83333333300000001</v>
      </c>
      <c r="AB33" s="1">
        <v>1</v>
      </c>
    </row>
    <row r="34" spans="1:28" x14ac:dyDescent="0.45">
      <c r="A34" t="s">
        <v>5399</v>
      </c>
      <c r="B34" t="s">
        <v>5412</v>
      </c>
      <c r="C34" t="s">
        <v>5489</v>
      </c>
      <c r="D34">
        <v>3</v>
      </c>
      <c r="E34">
        <v>3</v>
      </c>
      <c r="F34">
        <v>1</v>
      </c>
      <c r="G34">
        <v>0</v>
      </c>
      <c r="H34">
        <v>-1</v>
      </c>
      <c r="I34" s="1">
        <v>0.66666666699999999</v>
      </c>
      <c r="J34" s="1">
        <v>0.66666666699999999</v>
      </c>
      <c r="K34">
        <v>1</v>
      </c>
      <c r="L34">
        <v>3</v>
      </c>
      <c r="M34">
        <v>0</v>
      </c>
      <c r="N34">
        <v>2</v>
      </c>
      <c r="O34" s="1">
        <v>1</v>
      </c>
      <c r="P34" s="1">
        <v>3</v>
      </c>
      <c r="Q34">
        <v>1</v>
      </c>
      <c r="R34">
        <v>0</v>
      </c>
      <c r="S34">
        <v>0</v>
      </c>
      <c r="T34">
        <v>-1</v>
      </c>
      <c r="V34" s="1">
        <v>0</v>
      </c>
      <c r="W34">
        <v>5</v>
      </c>
      <c r="X34">
        <v>6</v>
      </c>
      <c r="Y34">
        <v>1</v>
      </c>
      <c r="Z34">
        <v>0</v>
      </c>
      <c r="AA34" s="1">
        <v>0.83333333300000001</v>
      </c>
      <c r="AB34" s="1">
        <v>1</v>
      </c>
    </row>
    <row r="35" spans="1:28" x14ac:dyDescent="0.45">
      <c r="A35" t="s">
        <v>5399</v>
      </c>
      <c r="B35" t="s">
        <v>5412</v>
      </c>
      <c r="C35" t="s">
        <v>5463</v>
      </c>
      <c r="D35">
        <v>7</v>
      </c>
      <c r="E35">
        <v>5</v>
      </c>
      <c r="F35">
        <v>0</v>
      </c>
      <c r="G35">
        <v>0</v>
      </c>
      <c r="H35">
        <v>-2</v>
      </c>
      <c r="I35" s="1">
        <v>1</v>
      </c>
      <c r="J35" s="1">
        <v>0.71428571399999996</v>
      </c>
      <c r="K35">
        <v>0</v>
      </c>
      <c r="L35">
        <v>3</v>
      </c>
      <c r="M35">
        <v>1</v>
      </c>
      <c r="N35">
        <v>2</v>
      </c>
      <c r="O35" s="1">
        <v>0.66666666699999999</v>
      </c>
      <c r="Q35">
        <v>1</v>
      </c>
      <c r="R35">
        <v>0</v>
      </c>
      <c r="S35">
        <v>0</v>
      </c>
      <c r="T35">
        <v>-1</v>
      </c>
      <c r="V35" s="1">
        <v>0</v>
      </c>
      <c r="W35">
        <v>8</v>
      </c>
      <c r="X35">
        <v>8</v>
      </c>
      <c r="Y35">
        <v>1</v>
      </c>
      <c r="Z35">
        <v>-1</v>
      </c>
      <c r="AA35" s="1">
        <v>0.875</v>
      </c>
      <c r="AB35" s="1">
        <v>0.875</v>
      </c>
    </row>
    <row r="36" spans="1:28" x14ac:dyDescent="0.45">
      <c r="A36" t="s">
        <v>5399</v>
      </c>
      <c r="B36" t="s">
        <v>5400</v>
      </c>
      <c r="C36" t="s">
        <v>5667</v>
      </c>
      <c r="D36">
        <v>6</v>
      </c>
      <c r="E36">
        <v>6</v>
      </c>
      <c r="F36">
        <v>0</v>
      </c>
      <c r="G36">
        <v>0</v>
      </c>
      <c r="H36">
        <v>0</v>
      </c>
      <c r="I36" s="1">
        <v>1</v>
      </c>
      <c r="J36" s="1">
        <v>1</v>
      </c>
      <c r="K36">
        <v>4</v>
      </c>
      <c r="L36">
        <v>6</v>
      </c>
      <c r="M36">
        <v>0</v>
      </c>
      <c r="N36">
        <v>2</v>
      </c>
      <c r="O36" s="1">
        <v>1</v>
      </c>
      <c r="P36" s="1">
        <v>1.5</v>
      </c>
      <c r="Q36">
        <v>0</v>
      </c>
      <c r="R36">
        <v>0</v>
      </c>
      <c r="S36">
        <v>0</v>
      </c>
      <c r="T36">
        <v>0</v>
      </c>
      <c r="W36">
        <v>10</v>
      </c>
      <c r="X36">
        <v>12</v>
      </c>
      <c r="Y36">
        <v>0</v>
      </c>
      <c r="Z36">
        <v>2</v>
      </c>
      <c r="AA36" s="1">
        <v>1</v>
      </c>
      <c r="AB36" s="1">
        <v>1.2</v>
      </c>
    </row>
    <row r="37" spans="1:28" x14ac:dyDescent="0.45">
      <c r="A37" t="s">
        <v>5399</v>
      </c>
      <c r="B37" t="s">
        <v>5400</v>
      </c>
      <c r="C37" t="s">
        <v>5401</v>
      </c>
      <c r="D37">
        <v>19</v>
      </c>
      <c r="E37">
        <v>19</v>
      </c>
      <c r="F37">
        <v>0</v>
      </c>
      <c r="G37">
        <v>0</v>
      </c>
      <c r="H37">
        <v>0</v>
      </c>
      <c r="I37" s="1">
        <v>1</v>
      </c>
      <c r="J37" s="1">
        <v>1</v>
      </c>
      <c r="K37">
        <v>16</v>
      </c>
      <c r="L37">
        <v>20</v>
      </c>
      <c r="M37">
        <v>4</v>
      </c>
      <c r="N37">
        <v>0</v>
      </c>
      <c r="O37" s="1">
        <v>0.8</v>
      </c>
      <c r="P37" s="1">
        <v>1</v>
      </c>
      <c r="Q37">
        <v>6</v>
      </c>
      <c r="R37">
        <v>6</v>
      </c>
      <c r="S37">
        <v>1</v>
      </c>
      <c r="T37">
        <v>-1</v>
      </c>
      <c r="U37" s="1">
        <v>0.83333333300000001</v>
      </c>
      <c r="V37" s="1">
        <v>0.83333333300000001</v>
      </c>
      <c r="W37">
        <v>41</v>
      </c>
      <c r="X37">
        <v>45</v>
      </c>
      <c r="Y37">
        <v>5</v>
      </c>
      <c r="Z37">
        <v>-1</v>
      </c>
      <c r="AA37" s="1">
        <v>0.88888888899999996</v>
      </c>
      <c r="AB37" s="1">
        <v>0.97560975599999999</v>
      </c>
    </row>
    <row r="38" spans="1:28" x14ac:dyDescent="0.45">
      <c r="A38" t="s">
        <v>5399</v>
      </c>
      <c r="B38" t="s">
        <v>5400</v>
      </c>
      <c r="C38" t="s">
        <v>5645</v>
      </c>
      <c r="D38">
        <v>3</v>
      </c>
      <c r="E38">
        <v>3</v>
      </c>
      <c r="F38">
        <v>0</v>
      </c>
      <c r="G38">
        <v>0</v>
      </c>
      <c r="H38">
        <v>0</v>
      </c>
      <c r="I38" s="1">
        <v>1</v>
      </c>
      <c r="J38" s="1">
        <v>1</v>
      </c>
      <c r="K38">
        <v>2</v>
      </c>
      <c r="L38">
        <v>3</v>
      </c>
      <c r="M38">
        <v>0</v>
      </c>
      <c r="N38">
        <v>1</v>
      </c>
      <c r="O38" s="1">
        <v>1</v>
      </c>
      <c r="P38" s="1">
        <v>1.5</v>
      </c>
      <c r="Q38">
        <v>0</v>
      </c>
      <c r="R38">
        <v>0</v>
      </c>
      <c r="S38">
        <v>0</v>
      </c>
      <c r="T38">
        <v>0</v>
      </c>
      <c r="W38">
        <v>5</v>
      </c>
      <c r="X38">
        <v>6</v>
      </c>
      <c r="Y38">
        <v>0</v>
      </c>
      <c r="Z38">
        <v>1</v>
      </c>
      <c r="AA38" s="1">
        <v>1</v>
      </c>
      <c r="AB38" s="1">
        <v>1.2</v>
      </c>
    </row>
    <row r="39" spans="1:28" x14ac:dyDescent="0.45">
      <c r="A39" t="s">
        <v>5399</v>
      </c>
      <c r="B39" t="s">
        <v>5400</v>
      </c>
      <c r="C39" t="s">
        <v>5508</v>
      </c>
      <c r="D39">
        <v>2</v>
      </c>
      <c r="E39">
        <v>3</v>
      </c>
      <c r="F39">
        <v>1</v>
      </c>
      <c r="G39">
        <v>0</v>
      </c>
      <c r="H39">
        <v>0</v>
      </c>
      <c r="I39" s="1">
        <v>0.66666666699999999</v>
      </c>
      <c r="J39" s="1">
        <v>1</v>
      </c>
      <c r="K39">
        <v>4</v>
      </c>
      <c r="L39">
        <v>11</v>
      </c>
      <c r="M39">
        <v>3</v>
      </c>
      <c r="N39">
        <v>4</v>
      </c>
      <c r="O39" s="1">
        <v>0.72727272700000001</v>
      </c>
      <c r="P39" s="1">
        <v>2</v>
      </c>
      <c r="Q39">
        <v>1</v>
      </c>
      <c r="R39">
        <v>2</v>
      </c>
      <c r="S39">
        <v>2</v>
      </c>
      <c r="T39">
        <v>-1</v>
      </c>
      <c r="U39" s="1">
        <v>0</v>
      </c>
      <c r="V39" s="1">
        <v>0</v>
      </c>
      <c r="W39">
        <v>7</v>
      </c>
      <c r="X39">
        <v>16</v>
      </c>
      <c r="Y39">
        <v>6</v>
      </c>
      <c r="Z39">
        <v>3</v>
      </c>
      <c r="AA39" s="1">
        <v>0.625</v>
      </c>
      <c r="AB39" s="1">
        <v>1.428571429</v>
      </c>
    </row>
    <row r="40" spans="1:28" x14ac:dyDescent="0.45">
      <c r="A40" t="s">
        <v>5399</v>
      </c>
      <c r="B40" t="s">
        <v>5400</v>
      </c>
      <c r="C40" t="s">
        <v>5843</v>
      </c>
      <c r="D40">
        <v>2</v>
      </c>
      <c r="E40">
        <v>2</v>
      </c>
      <c r="F40">
        <v>1</v>
      </c>
      <c r="G40">
        <v>1</v>
      </c>
      <c r="H40">
        <v>-1</v>
      </c>
      <c r="I40" s="1">
        <v>0.5</v>
      </c>
      <c r="J40" s="1">
        <v>0.5</v>
      </c>
      <c r="K40">
        <v>2</v>
      </c>
      <c r="L40">
        <v>2</v>
      </c>
      <c r="M40">
        <v>0</v>
      </c>
      <c r="N40">
        <v>0</v>
      </c>
      <c r="O40" s="1">
        <v>1</v>
      </c>
      <c r="P40" s="1">
        <v>1</v>
      </c>
      <c r="Q40">
        <v>1</v>
      </c>
      <c r="R40">
        <v>0</v>
      </c>
      <c r="S40">
        <v>0</v>
      </c>
      <c r="T40">
        <v>-1</v>
      </c>
      <c r="V40" s="1">
        <v>0</v>
      </c>
      <c r="W40">
        <v>5</v>
      </c>
      <c r="X40">
        <v>4</v>
      </c>
      <c r="Y40">
        <v>1</v>
      </c>
      <c r="Z40">
        <v>-2</v>
      </c>
      <c r="AA40" s="1">
        <v>0.75</v>
      </c>
      <c r="AB40" s="1">
        <v>0.6</v>
      </c>
    </row>
    <row r="41" spans="1:28" x14ac:dyDescent="0.45">
      <c r="A41" t="s">
        <v>5399</v>
      </c>
      <c r="B41" t="s">
        <v>5400</v>
      </c>
      <c r="C41" t="s">
        <v>5605</v>
      </c>
      <c r="D41">
        <v>9</v>
      </c>
      <c r="E41">
        <v>10</v>
      </c>
      <c r="F41">
        <v>0</v>
      </c>
      <c r="G41">
        <v>3</v>
      </c>
      <c r="H41">
        <v>1</v>
      </c>
      <c r="I41" s="1">
        <v>1</v>
      </c>
      <c r="J41" s="1">
        <v>1.111111111</v>
      </c>
      <c r="K41">
        <v>2</v>
      </c>
      <c r="L41">
        <v>4</v>
      </c>
      <c r="M41">
        <v>1</v>
      </c>
      <c r="N41">
        <v>1</v>
      </c>
      <c r="O41" s="1">
        <v>0.75</v>
      </c>
      <c r="P41" s="1">
        <v>1.5</v>
      </c>
      <c r="Q41">
        <v>1</v>
      </c>
      <c r="R41">
        <v>0</v>
      </c>
      <c r="S41">
        <v>0</v>
      </c>
      <c r="T41">
        <v>-1</v>
      </c>
      <c r="V41" s="1">
        <v>0</v>
      </c>
      <c r="W41">
        <v>12</v>
      </c>
      <c r="X41">
        <v>14</v>
      </c>
      <c r="Y41">
        <v>1</v>
      </c>
      <c r="Z41">
        <v>1</v>
      </c>
      <c r="AA41" s="1">
        <v>0.928571429</v>
      </c>
      <c r="AB41" s="1">
        <v>1.0833333329999999</v>
      </c>
    </row>
    <row r="42" spans="1:28" x14ac:dyDescent="0.45">
      <c r="A42" t="s">
        <v>5399</v>
      </c>
      <c r="B42" t="s">
        <v>5400</v>
      </c>
      <c r="C42" t="s">
        <v>5630</v>
      </c>
      <c r="D42">
        <v>3</v>
      </c>
      <c r="E42">
        <v>3</v>
      </c>
      <c r="F42">
        <v>1</v>
      </c>
      <c r="G42">
        <v>0</v>
      </c>
      <c r="H42">
        <v>-1</v>
      </c>
      <c r="I42" s="1">
        <v>0.66666666699999999</v>
      </c>
      <c r="J42" s="1">
        <v>0.66666666699999999</v>
      </c>
      <c r="K42">
        <v>3</v>
      </c>
      <c r="L42">
        <v>5</v>
      </c>
      <c r="M42">
        <v>1</v>
      </c>
      <c r="N42">
        <v>1</v>
      </c>
      <c r="O42" s="1">
        <v>0.8</v>
      </c>
      <c r="P42" s="1">
        <v>1.3333333329999999</v>
      </c>
      <c r="Q42">
        <v>1</v>
      </c>
      <c r="R42">
        <v>0</v>
      </c>
      <c r="S42">
        <v>0</v>
      </c>
      <c r="T42">
        <v>-1</v>
      </c>
      <c r="V42" s="1">
        <v>0</v>
      </c>
      <c r="W42">
        <v>7</v>
      </c>
      <c r="X42">
        <v>8</v>
      </c>
      <c r="Y42">
        <v>2</v>
      </c>
      <c r="Z42">
        <v>-1</v>
      </c>
      <c r="AA42" s="1">
        <v>0.75</v>
      </c>
      <c r="AB42" s="1">
        <v>0.85714285700000004</v>
      </c>
    </row>
    <row r="43" spans="1:28" x14ac:dyDescent="0.45">
      <c r="A43" t="s">
        <v>5399</v>
      </c>
      <c r="B43" t="s">
        <v>5400</v>
      </c>
      <c r="C43" t="s">
        <v>5671</v>
      </c>
      <c r="D43">
        <v>8</v>
      </c>
      <c r="E43">
        <v>8</v>
      </c>
      <c r="F43">
        <v>0</v>
      </c>
      <c r="G43">
        <v>0</v>
      </c>
      <c r="H43">
        <v>0</v>
      </c>
      <c r="I43" s="1">
        <v>1</v>
      </c>
      <c r="J43" s="1">
        <v>1</v>
      </c>
      <c r="K43">
        <v>2</v>
      </c>
      <c r="L43">
        <v>3</v>
      </c>
      <c r="M43">
        <v>0</v>
      </c>
      <c r="N43">
        <v>1</v>
      </c>
      <c r="O43" s="1">
        <v>1</v>
      </c>
      <c r="P43" s="1">
        <v>1.5</v>
      </c>
      <c r="Q43">
        <v>0</v>
      </c>
      <c r="R43">
        <v>0</v>
      </c>
      <c r="S43">
        <v>0</v>
      </c>
      <c r="T43">
        <v>0</v>
      </c>
      <c r="W43">
        <v>10</v>
      </c>
      <c r="X43">
        <v>11</v>
      </c>
      <c r="Y43">
        <v>0</v>
      </c>
      <c r="Z43">
        <v>1</v>
      </c>
      <c r="AA43" s="1">
        <v>1</v>
      </c>
      <c r="AB43" s="1">
        <v>1.1000000000000001</v>
      </c>
    </row>
    <row r="44" spans="1:28" x14ac:dyDescent="0.45">
      <c r="A44" t="s">
        <v>5399</v>
      </c>
      <c r="B44" t="s">
        <v>5400</v>
      </c>
      <c r="C44" t="s">
        <v>5610</v>
      </c>
      <c r="D44">
        <v>2</v>
      </c>
      <c r="E44">
        <v>3</v>
      </c>
      <c r="F44">
        <v>1</v>
      </c>
      <c r="G44">
        <v>0</v>
      </c>
      <c r="H44">
        <v>0</v>
      </c>
      <c r="I44" s="1">
        <v>0.66666666699999999</v>
      </c>
      <c r="J44" s="1">
        <v>1</v>
      </c>
      <c r="K44">
        <v>2</v>
      </c>
      <c r="L44">
        <v>3</v>
      </c>
      <c r="M44">
        <v>1</v>
      </c>
      <c r="N44">
        <v>0</v>
      </c>
      <c r="O44" s="1">
        <v>0.66666666699999999</v>
      </c>
      <c r="P44" s="1">
        <v>1</v>
      </c>
      <c r="Q44">
        <v>0</v>
      </c>
      <c r="R44">
        <v>0</v>
      </c>
      <c r="S44">
        <v>0</v>
      </c>
      <c r="T44">
        <v>0</v>
      </c>
      <c r="W44">
        <v>4</v>
      </c>
      <c r="X44">
        <v>6</v>
      </c>
      <c r="Y44">
        <v>2</v>
      </c>
      <c r="Z44">
        <v>0</v>
      </c>
      <c r="AA44" s="1">
        <v>0.66666666699999999</v>
      </c>
      <c r="AB44" s="1">
        <v>1</v>
      </c>
    </row>
    <row r="45" spans="1:28" x14ac:dyDescent="0.45">
      <c r="A45" t="s">
        <v>5399</v>
      </c>
      <c r="B45" t="s">
        <v>5400</v>
      </c>
      <c r="C45" t="s">
        <v>5560</v>
      </c>
      <c r="D45">
        <v>13</v>
      </c>
      <c r="E45">
        <v>14</v>
      </c>
      <c r="F45">
        <v>2</v>
      </c>
      <c r="G45">
        <v>3</v>
      </c>
      <c r="H45">
        <v>-1</v>
      </c>
      <c r="I45" s="1">
        <v>0.85714285700000004</v>
      </c>
      <c r="J45" s="1">
        <v>0.92307692299999999</v>
      </c>
      <c r="K45">
        <v>6</v>
      </c>
      <c r="L45">
        <v>10</v>
      </c>
      <c r="M45">
        <v>2</v>
      </c>
      <c r="N45">
        <v>2</v>
      </c>
      <c r="O45" s="1">
        <v>0.8</v>
      </c>
      <c r="P45" s="1">
        <v>1.3333333329999999</v>
      </c>
      <c r="Q45">
        <v>1</v>
      </c>
      <c r="R45">
        <v>1</v>
      </c>
      <c r="S45">
        <v>1</v>
      </c>
      <c r="T45">
        <v>-1</v>
      </c>
      <c r="U45" s="1">
        <v>0</v>
      </c>
      <c r="V45" s="1">
        <v>0</v>
      </c>
      <c r="W45">
        <v>20</v>
      </c>
      <c r="X45">
        <v>25</v>
      </c>
      <c r="Y45">
        <v>5</v>
      </c>
      <c r="Z45">
        <v>0</v>
      </c>
      <c r="AA45" s="1">
        <v>0.8</v>
      </c>
      <c r="AB45" s="1">
        <v>1</v>
      </c>
    </row>
    <row r="46" spans="1:28" x14ac:dyDescent="0.45">
      <c r="A46" t="s">
        <v>5403</v>
      </c>
      <c r="B46" t="s">
        <v>5421</v>
      </c>
      <c r="C46" t="s">
        <v>5471</v>
      </c>
      <c r="D46">
        <v>12</v>
      </c>
      <c r="E46">
        <v>12</v>
      </c>
      <c r="F46">
        <v>0</v>
      </c>
      <c r="G46">
        <v>0</v>
      </c>
      <c r="H46">
        <v>0</v>
      </c>
      <c r="I46" s="1">
        <v>1</v>
      </c>
      <c r="J46" s="1">
        <v>1</v>
      </c>
      <c r="K46">
        <v>6</v>
      </c>
      <c r="L46">
        <v>14</v>
      </c>
      <c r="M46">
        <v>7</v>
      </c>
      <c r="N46">
        <v>1</v>
      </c>
      <c r="O46" s="1">
        <v>0.5</v>
      </c>
      <c r="P46" s="1">
        <v>1.1666666670000001</v>
      </c>
      <c r="Q46">
        <v>5</v>
      </c>
      <c r="R46">
        <v>8</v>
      </c>
      <c r="S46">
        <v>3</v>
      </c>
      <c r="T46">
        <v>0</v>
      </c>
      <c r="U46" s="1">
        <v>0.625</v>
      </c>
      <c r="V46" s="1">
        <v>1</v>
      </c>
      <c r="W46">
        <v>23</v>
      </c>
      <c r="X46">
        <v>34</v>
      </c>
      <c r="Y46">
        <v>10</v>
      </c>
      <c r="Z46">
        <v>1</v>
      </c>
      <c r="AA46" s="1">
        <v>0.70588235300000002</v>
      </c>
      <c r="AB46" s="1">
        <v>1.043478261</v>
      </c>
    </row>
    <row r="47" spans="1:28" x14ac:dyDescent="0.45">
      <c r="A47" t="s">
        <v>5403</v>
      </c>
      <c r="B47" t="s">
        <v>5421</v>
      </c>
      <c r="C47" t="s">
        <v>5453</v>
      </c>
      <c r="D47">
        <v>7</v>
      </c>
      <c r="E47">
        <v>7</v>
      </c>
      <c r="F47">
        <v>1</v>
      </c>
      <c r="G47">
        <v>0</v>
      </c>
      <c r="H47">
        <v>-1</v>
      </c>
      <c r="I47" s="1">
        <v>0.85714285700000004</v>
      </c>
      <c r="J47" s="1">
        <v>0.85714285700000004</v>
      </c>
      <c r="K47">
        <v>16</v>
      </c>
      <c r="L47">
        <v>23</v>
      </c>
      <c r="M47">
        <v>8</v>
      </c>
      <c r="N47">
        <v>-1</v>
      </c>
      <c r="O47" s="1">
        <v>0.65217391300000005</v>
      </c>
      <c r="P47" s="1">
        <v>0.9375</v>
      </c>
      <c r="Q47">
        <v>0</v>
      </c>
      <c r="R47">
        <v>1</v>
      </c>
      <c r="S47">
        <v>1</v>
      </c>
      <c r="T47">
        <v>0</v>
      </c>
      <c r="U47" s="1">
        <v>0</v>
      </c>
      <c r="W47">
        <v>23</v>
      </c>
      <c r="X47">
        <v>31</v>
      </c>
      <c r="Y47">
        <v>10</v>
      </c>
      <c r="Z47">
        <v>-2</v>
      </c>
      <c r="AA47" s="1">
        <v>0.67741935499999995</v>
      </c>
      <c r="AB47" s="1">
        <v>0.91304347799999996</v>
      </c>
    </row>
    <row r="48" spans="1:28" x14ac:dyDescent="0.45">
      <c r="A48" t="s">
        <v>5403</v>
      </c>
      <c r="B48" t="s">
        <v>5421</v>
      </c>
      <c r="C48" t="s">
        <v>5425</v>
      </c>
      <c r="D48">
        <v>27</v>
      </c>
      <c r="E48">
        <v>27</v>
      </c>
      <c r="F48">
        <v>1</v>
      </c>
      <c r="G48">
        <v>1</v>
      </c>
      <c r="H48">
        <v>-1</v>
      </c>
      <c r="I48" s="1">
        <v>0.96296296299999995</v>
      </c>
      <c r="J48" s="1">
        <v>0.96296296299999995</v>
      </c>
      <c r="K48">
        <v>-1</v>
      </c>
      <c r="L48">
        <v>6</v>
      </c>
      <c r="M48">
        <v>4</v>
      </c>
      <c r="N48">
        <v>3</v>
      </c>
      <c r="O48" s="1">
        <v>0.33333333300000001</v>
      </c>
      <c r="P48" s="1">
        <v>-2</v>
      </c>
      <c r="Q48">
        <v>9</v>
      </c>
      <c r="R48">
        <v>17</v>
      </c>
      <c r="S48">
        <v>7</v>
      </c>
      <c r="T48">
        <v>1</v>
      </c>
      <c r="U48" s="1">
        <v>0.58823529399999996</v>
      </c>
      <c r="V48" s="1">
        <v>1.111111111</v>
      </c>
      <c r="W48">
        <v>35</v>
      </c>
      <c r="X48">
        <v>50</v>
      </c>
      <c r="Y48">
        <v>12</v>
      </c>
      <c r="Z48">
        <v>3</v>
      </c>
      <c r="AA48" s="1">
        <v>0.76</v>
      </c>
      <c r="AB48" s="1">
        <v>1.085714286</v>
      </c>
    </row>
    <row r="49" spans="1:28" x14ac:dyDescent="0.45">
      <c r="A49" t="s">
        <v>5403</v>
      </c>
      <c r="B49" t="s">
        <v>5421</v>
      </c>
      <c r="C49" t="s">
        <v>5422</v>
      </c>
      <c r="D49">
        <v>7</v>
      </c>
      <c r="E49">
        <v>7</v>
      </c>
      <c r="F49">
        <v>3</v>
      </c>
      <c r="G49">
        <v>1</v>
      </c>
      <c r="H49">
        <v>-3</v>
      </c>
      <c r="I49" s="1">
        <v>0.571428571</v>
      </c>
      <c r="J49" s="1">
        <v>0.571428571</v>
      </c>
      <c r="K49">
        <v>0</v>
      </c>
      <c r="L49">
        <v>4</v>
      </c>
      <c r="M49">
        <v>2</v>
      </c>
      <c r="N49">
        <v>2</v>
      </c>
      <c r="O49" s="1">
        <v>0.5</v>
      </c>
      <c r="Q49">
        <v>0</v>
      </c>
      <c r="R49">
        <v>0</v>
      </c>
      <c r="S49">
        <v>0</v>
      </c>
      <c r="T49">
        <v>0</v>
      </c>
      <c r="W49">
        <v>7</v>
      </c>
      <c r="X49">
        <v>11</v>
      </c>
      <c r="Y49">
        <v>5</v>
      </c>
      <c r="Z49">
        <v>-1</v>
      </c>
      <c r="AA49" s="1">
        <v>0.54545454500000001</v>
      </c>
      <c r="AB49" s="1">
        <v>0.85714285700000004</v>
      </c>
    </row>
    <row r="50" spans="1:28" x14ac:dyDescent="0.45">
      <c r="A50" t="s">
        <v>5403</v>
      </c>
      <c r="B50" t="s">
        <v>5421</v>
      </c>
      <c r="C50" t="s">
        <v>5515</v>
      </c>
      <c r="D50">
        <v>7</v>
      </c>
      <c r="E50">
        <v>7</v>
      </c>
      <c r="F50">
        <v>1</v>
      </c>
      <c r="G50">
        <v>2</v>
      </c>
      <c r="H50">
        <v>-1</v>
      </c>
      <c r="I50" s="1">
        <v>0.85714285700000004</v>
      </c>
      <c r="J50" s="1">
        <v>0.85714285700000004</v>
      </c>
      <c r="K50">
        <v>0</v>
      </c>
      <c r="L50">
        <v>3</v>
      </c>
      <c r="M50">
        <v>2</v>
      </c>
      <c r="N50">
        <v>1</v>
      </c>
      <c r="O50" s="1">
        <v>0.33333333300000001</v>
      </c>
      <c r="Q50">
        <v>1</v>
      </c>
      <c r="R50">
        <v>0</v>
      </c>
      <c r="S50">
        <v>0</v>
      </c>
      <c r="T50">
        <v>-1</v>
      </c>
      <c r="V50" s="1">
        <v>0</v>
      </c>
      <c r="W50">
        <v>8</v>
      </c>
      <c r="X50">
        <v>10</v>
      </c>
      <c r="Y50">
        <v>3</v>
      </c>
      <c r="Z50">
        <v>-1</v>
      </c>
      <c r="AA50" s="1">
        <v>0.7</v>
      </c>
      <c r="AB50" s="1">
        <v>0.875</v>
      </c>
    </row>
    <row r="51" spans="1:28" x14ac:dyDescent="0.45">
      <c r="A51" t="s">
        <v>5403</v>
      </c>
      <c r="B51" t="s">
        <v>5421</v>
      </c>
      <c r="C51" t="s">
        <v>5516</v>
      </c>
      <c r="D51">
        <v>7</v>
      </c>
      <c r="E51">
        <v>7</v>
      </c>
      <c r="F51">
        <v>2</v>
      </c>
      <c r="G51">
        <v>0</v>
      </c>
      <c r="H51">
        <v>-2</v>
      </c>
      <c r="I51" s="1">
        <v>0.71428571399999996</v>
      </c>
      <c r="J51" s="1">
        <v>0.71428571399999996</v>
      </c>
      <c r="K51">
        <v>0</v>
      </c>
      <c r="L51">
        <v>3</v>
      </c>
      <c r="M51">
        <v>2</v>
      </c>
      <c r="N51">
        <v>1</v>
      </c>
      <c r="O51" s="1">
        <v>0.33333333300000001</v>
      </c>
      <c r="Q51">
        <v>0</v>
      </c>
      <c r="R51">
        <v>3</v>
      </c>
      <c r="S51">
        <v>3</v>
      </c>
      <c r="T51">
        <v>0</v>
      </c>
      <c r="U51" s="1">
        <v>0</v>
      </c>
      <c r="W51">
        <v>7</v>
      </c>
      <c r="X51">
        <v>13</v>
      </c>
      <c r="Y51">
        <v>7</v>
      </c>
      <c r="Z51">
        <v>-1</v>
      </c>
      <c r="AA51" s="1">
        <v>0.46153846199999998</v>
      </c>
      <c r="AB51" s="1">
        <v>0.85714285700000004</v>
      </c>
    </row>
    <row r="52" spans="1:28" x14ac:dyDescent="0.45">
      <c r="A52" t="s">
        <v>5403</v>
      </c>
      <c r="B52" t="s">
        <v>5416</v>
      </c>
      <c r="C52" t="s">
        <v>5435</v>
      </c>
      <c r="D52">
        <v>6</v>
      </c>
      <c r="E52">
        <v>6</v>
      </c>
      <c r="F52">
        <v>0</v>
      </c>
      <c r="G52">
        <v>0</v>
      </c>
      <c r="H52">
        <v>0</v>
      </c>
      <c r="I52" s="1">
        <v>1</v>
      </c>
      <c r="J52" s="1">
        <v>1</v>
      </c>
      <c r="K52">
        <v>11</v>
      </c>
      <c r="L52">
        <v>16</v>
      </c>
      <c r="M52">
        <v>7</v>
      </c>
      <c r="N52">
        <v>-2</v>
      </c>
      <c r="O52" s="1">
        <v>0.5625</v>
      </c>
      <c r="P52" s="1">
        <v>0.81818181800000001</v>
      </c>
      <c r="Q52">
        <v>5</v>
      </c>
      <c r="R52">
        <v>6</v>
      </c>
      <c r="S52">
        <v>0</v>
      </c>
      <c r="T52">
        <v>1</v>
      </c>
      <c r="U52" s="1">
        <v>1</v>
      </c>
      <c r="V52" s="1">
        <v>1.2</v>
      </c>
      <c r="W52">
        <v>22</v>
      </c>
      <c r="X52">
        <v>28</v>
      </c>
      <c r="Y52">
        <v>7</v>
      </c>
      <c r="Z52">
        <v>-1</v>
      </c>
      <c r="AA52" s="1">
        <v>0.75</v>
      </c>
      <c r="AB52" s="1">
        <v>0.95454545499999999</v>
      </c>
    </row>
    <row r="53" spans="1:28" x14ac:dyDescent="0.45">
      <c r="A53" t="s">
        <v>5403</v>
      </c>
      <c r="B53" t="s">
        <v>5416</v>
      </c>
      <c r="C53" t="s">
        <v>5448</v>
      </c>
      <c r="D53">
        <v>5</v>
      </c>
      <c r="E53">
        <v>5</v>
      </c>
      <c r="F53">
        <v>0</v>
      </c>
      <c r="G53">
        <v>1</v>
      </c>
      <c r="H53">
        <v>0</v>
      </c>
      <c r="I53" s="1">
        <v>1</v>
      </c>
      <c r="J53" s="1">
        <v>1</v>
      </c>
      <c r="K53">
        <v>7</v>
      </c>
      <c r="L53">
        <v>10</v>
      </c>
      <c r="M53">
        <v>2</v>
      </c>
      <c r="N53">
        <v>1</v>
      </c>
      <c r="O53" s="1">
        <v>0.8</v>
      </c>
      <c r="P53" s="1">
        <v>1.1428571430000001</v>
      </c>
      <c r="Q53">
        <v>1</v>
      </c>
      <c r="R53">
        <v>2</v>
      </c>
      <c r="S53">
        <v>2</v>
      </c>
      <c r="T53">
        <v>-1</v>
      </c>
      <c r="U53" s="1">
        <v>0</v>
      </c>
      <c r="V53" s="1">
        <v>0</v>
      </c>
      <c r="W53">
        <v>13</v>
      </c>
      <c r="X53">
        <v>17</v>
      </c>
      <c r="Y53">
        <v>4</v>
      </c>
      <c r="Z53">
        <v>0</v>
      </c>
      <c r="AA53" s="1">
        <v>0.764705882</v>
      </c>
      <c r="AB53" s="1">
        <v>1</v>
      </c>
    </row>
    <row r="54" spans="1:28" x14ac:dyDescent="0.45">
      <c r="A54" t="s">
        <v>5403</v>
      </c>
      <c r="B54" t="s">
        <v>5416</v>
      </c>
      <c r="C54" t="s">
        <v>5727</v>
      </c>
      <c r="D54">
        <v>2</v>
      </c>
      <c r="E54">
        <v>2</v>
      </c>
      <c r="F54">
        <v>0</v>
      </c>
      <c r="G54">
        <v>0</v>
      </c>
      <c r="H54">
        <v>0</v>
      </c>
      <c r="I54" s="1">
        <v>1</v>
      </c>
      <c r="J54" s="1">
        <v>1</v>
      </c>
      <c r="K54">
        <v>3</v>
      </c>
      <c r="L54">
        <v>4</v>
      </c>
      <c r="M54">
        <v>1</v>
      </c>
      <c r="N54">
        <v>0</v>
      </c>
      <c r="O54" s="1">
        <v>0.75</v>
      </c>
      <c r="P54" s="1">
        <v>1</v>
      </c>
      <c r="Q54">
        <v>1</v>
      </c>
      <c r="R54">
        <v>0</v>
      </c>
      <c r="S54">
        <v>0</v>
      </c>
      <c r="T54">
        <v>-1</v>
      </c>
      <c r="V54" s="1">
        <v>0</v>
      </c>
      <c r="W54">
        <v>6</v>
      </c>
      <c r="X54">
        <v>6</v>
      </c>
      <c r="Y54">
        <v>1</v>
      </c>
      <c r="Z54">
        <v>-1</v>
      </c>
      <c r="AA54" s="1">
        <v>0.83333333300000001</v>
      </c>
      <c r="AB54" s="1">
        <v>0.83333333300000001</v>
      </c>
    </row>
    <row r="55" spans="1:28" x14ac:dyDescent="0.45">
      <c r="A55" t="s">
        <v>5403</v>
      </c>
      <c r="B55" t="s">
        <v>5416</v>
      </c>
      <c r="C55" t="s">
        <v>5417</v>
      </c>
      <c r="D55">
        <v>1</v>
      </c>
      <c r="E55">
        <v>1</v>
      </c>
      <c r="F55">
        <v>1</v>
      </c>
      <c r="G55">
        <v>0</v>
      </c>
      <c r="H55">
        <v>-1</v>
      </c>
      <c r="I55" s="1">
        <v>0</v>
      </c>
      <c r="J55" s="1">
        <v>0</v>
      </c>
      <c r="K55">
        <v>3</v>
      </c>
      <c r="L55">
        <v>3</v>
      </c>
      <c r="M55">
        <v>0</v>
      </c>
      <c r="N55">
        <v>0</v>
      </c>
      <c r="O55" s="1">
        <v>1</v>
      </c>
      <c r="P55" s="1">
        <v>1</v>
      </c>
      <c r="Q55">
        <v>0</v>
      </c>
      <c r="R55">
        <v>0</v>
      </c>
      <c r="S55">
        <v>0</v>
      </c>
      <c r="T55">
        <v>0</v>
      </c>
      <c r="W55">
        <v>4</v>
      </c>
      <c r="X55">
        <v>4</v>
      </c>
      <c r="Y55">
        <v>1</v>
      </c>
      <c r="Z55">
        <v>-1</v>
      </c>
      <c r="AA55" s="1">
        <v>0.75</v>
      </c>
      <c r="AB55" s="1">
        <v>0.75</v>
      </c>
    </row>
    <row r="56" spans="1:28" x14ac:dyDescent="0.45">
      <c r="A56" t="s">
        <v>5403</v>
      </c>
      <c r="B56" t="s">
        <v>5416</v>
      </c>
      <c r="C56" t="s">
        <v>5441</v>
      </c>
      <c r="D56">
        <v>5</v>
      </c>
      <c r="E56">
        <v>5</v>
      </c>
      <c r="F56">
        <v>0</v>
      </c>
      <c r="G56">
        <v>0</v>
      </c>
      <c r="H56">
        <v>0</v>
      </c>
      <c r="I56" s="1">
        <v>1</v>
      </c>
      <c r="J56" s="1">
        <v>1</v>
      </c>
      <c r="K56">
        <v>7</v>
      </c>
      <c r="L56">
        <v>9</v>
      </c>
      <c r="M56">
        <v>3</v>
      </c>
      <c r="N56">
        <v>-1</v>
      </c>
      <c r="O56" s="1">
        <v>0.66666666699999999</v>
      </c>
      <c r="P56" s="1">
        <v>0.85714285700000004</v>
      </c>
      <c r="Q56">
        <v>1</v>
      </c>
      <c r="R56">
        <v>0</v>
      </c>
      <c r="S56">
        <v>0</v>
      </c>
      <c r="T56">
        <v>-1</v>
      </c>
      <c r="V56" s="1">
        <v>0</v>
      </c>
      <c r="W56">
        <v>13</v>
      </c>
      <c r="X56">
        <v>14</v>
      </c>
      <c r="Y56">
        <v>3</v>
      </c>
      <c r="Z56">
        <v>-2</v>
      </c>
      <c r="AA56" s="1">
        <v>0.78571428600000004</v>
      </c>
      <c r="AB56" s="1">
        <v>0.84615384599999999</v>
      </c>
    </row>
    <row r="57" spans="1:28" x14ac:dyDescent="0.45">
      <c r="A57" t="s">
        <v>5403</v>
      </c>
      <c r="B57" t="s">
        <v>5416</v>
      </c>
      <c r="C57" t="s">
        <v>5474</v>
      </c>
      <c r="D57">
        <v>3</v>
      </c>
      <c r="E57">
        <v>3</v>
      </c>
      <c r="F57">
        <v>0</v>
      </c>
      <c r="G57">
        <v>0</v>
      </c>
      <c r="H57">
        <v>0</v>
      </c>
      <c r="I57" s="1">
        <v>1</v>
      </c>
      <c r="J57" s="1">
        <v>1</v>
      </c>
      <c r="K57">
        <v>10</v>
      </c>
      <c r="L57">
        <v>16</v>
      </c>
      <c r="M57">
        <v>6</v>
      </c>
      <c r="N57">
        <v>0</v>
      </c>
      <c r="O57" s="1">
        <v>0.625</v>
      </c>
      <c r="P57" s="1">
        <v>1</v>
      </c>
      <c r="Q57">
        <v>1</v>
      </c>
      <c r="R57">
        <v>2</v>
      </c>
      <c r="S57">
        <v>0</v>
      </c>
      <c r="T57">
        <v>1</v>
      </c>
      <c r="U57" s="1">
        <v>1</v>
      </c>
      <c r="V57" s="1">
        <v>2</v>
      </c>
      <c r="W57">
        <v>14</v>
      </c>
      <c r="X57">
        <v>21</v>
      </c>
      <c r="Y57">
        <v>6</v>
      </c>
      <c r="Z57">
        <v>1</v>
      </c>
      <c r="AA57" s="1">
        <v>0.71428571399999996</v>
      </c>
      <c r="AB57" s="1">
        <v>1.071428571</v>
      </c>
    </row>
    <row r="58" spans="1:28" x14ac:dyDescent="0.45">
      <c r="A58" t="s">
        <v>5403</v>
      </c>
      <c r="B58" t="s">
        <v>5416</v>
      </c>
      <c r="C58" t="s">
        <v>5627</v>
      </c>
      <c r="D58">
        <v>3</v>
      </c>
      <c r="E58">
        <v>3</v>
      </c>
      <c r="F58">
        <v>2</v>
      </c>
      <c r="G58">
        <v>0</v>
      </c>
      <c r="H58">
        <v>-2</v>
      </c>
      <c r="I58" s="1">
        <v>0.33333333300000001</v>
      </c>
      <c r="J58" s="1">
        <v>0.33333333300000001</v>
      </c>
      <c r="K58">
        <v>4</v>
      </c>
      <c r="L58">
        <v>6</v>
      </c>
      <c r="M58">
        <v>4</v>
      </c>
      <c r="N58">
        <v>-2</v>
      </c>
      <c r="O58" s="1">
        <v>0.33333333300000001</v>
      </c>
      <c r="P58" s="1">
        <v>0.5</v>
      </c>
      <c r="Q58">
        <v>1</v>
      </c>
      <c r="R58">
        <v>1</v>
      </c>
      <c r="S58">
        <v>0</v>
      </c>
      <c r="T58">
        <v>0</v>
      </c>
      <c r="U58" s="1">
        <v>1</v>
      </c>
      <c r="V58" s="1">
        <v>1</v>
      </c>
      <c r="W58">
        <v>8</v>
      </c>
      <c r="X58">
        <v>10</v>
      </c>
      <c r="Y58">
        <v>6</v>
      </c>
      <c r="Z58">
        <v>-4</v>
      </c>
      <c r="AA58" s="1">
        <v>0.4</v>
      </c>
      <c r="AB58" s="1">
        <v>0.5</v>
      </c>
    </row>
    <row r="59" spans="1:28" x14ac:dyDescent="0.45">
      <c r="A59" t="s">
        <v>5403</v>
      </c>
      <c r="B59" t="s">
        <v>5416</v>
      </c>
      <c r="C59" t="s">
        <v>5598</v>
      </c>
      <c r="D59">
        <v>4</v>
      </c>
      <c r="E59">
        <v>5</v>
      </c>
      <c r="F59">
        <v>0</v>
      </c>
      <c r="G59">
        <v>0</v>
      </c>
      <c r="H59">
        <v>1</v>
      </c>
      <c r="I59" s="1">
        <v>1</v>
      </c>
      <c r="J59" s="1">
        <v>1.25</v>
      </c>
      <c r="K59">
        <v>8</v>
      </c>
      <c r="L59">
        <v>9</v>
      </c>
      <c r="M59">
        <v>2</v>
      </c>
      <c r="N59">
        <v>-1</v>
      </c>
      <c r="O59" s="1">
        <v>0.77777777800000003</v>
      </c>
      <c r="P59" s="1">
        <v>0.875</v>
      </c>
      <c r="Q59">
        <v>3</v>
      </c>
      <c r="R59">
        <v>6</v>
      </c>
      <c r="S59">
        <v>3</v>
      </c>
      <c r="T59">
        <v>0</v>
      </c>
      <c r="U59" s="1">
        <v>0.5</v>
      </c>
      <c r="V59" s="1">
        <v>1</v>
      </c>
      <c r="W59">
        <v>15</v>
      </c>
      <c r="X59">
        <v>20</v>
      </c>
      <c r="Y59">
        <v>5</v>
      </c>
      <c r="Z59">
        <v>0</v>
      </c>
      <c r="AA59" s="1">
        <v>0.75</v>
      </c>
      <c r="AB59" s="1">
        <v>1</v>
      </c>
    </row>
    <row r="60" spans="1:28" x14ac:dyDescent="0.45">
      <c r="A60" t="s">
        <v>5403</v>
      </c>
      <c r="B60" t="s">
        <v>5404</v>
      </c>
      <c r="C60" t="s">
        <v>5429</v>
      </c>
      <c r="D60">
        <v>10</v>
      </c>
      <c r="E60">
        <v>10</v>
      </c>
      <c r="F60">
        <v>0</v>
      </c>
      <c r="G60">
        <v>4</v>
      </c>
      <c r="H60">
        <v>0</v>
      </c>
      <c r="I60" s="1">
        <v>1</v>
      </c>
      <c r="J60" s="1">
        <v>1</v>
      </c>
      <c r="K60">
        <v>2</v>
      </c>
      <c r="L60">
        <v>8</v>
      </c>
      <c r="M60">
        <v>3</v>
      </c>
      <c r="N60">
        <v>3</v>
      </c>
      <c r="O60" s="1">
        <v>0.625</v>
      </c>
      <c r="P60" s="1">
        <v>2.5</v>
      </c>
      <c r="Q60">
        <v>1</v>
      </c>
      <c r="R60">
        <v>1</v>
      </c>
      <c r="S60">
        <v>1</v>
      </c>
      <c r="T60">
        <v>-1</v>
      </c>
      <c r="U60" s="1">
        <v>0</v>
      </c>
      <c r="V60" s="1">
        <v>0</v>
      </c>
      <c r="W60">
        <v>13</v>
      </c>
      <c r="X60">
        <v>19</v>
      </c>
      <c r="Y60">
        <v>4</v>
      </c>
      <c r="Z60">
        <v>2</v>
      </c>
      <c r="AA60" s="1">
        <v>0.78947368399999995</v>
      </c>
      <c r="AB60" s="1">
        <v>1.153846154</v>
      </c>
    </row>
    <row r="61" spans="1:28" x14ac:dyDescent="0.45">
      <c r="A61" t="s">
        <v>5403</v>
      </c>
      <c r="B61" t="s">
        <v>5404</v>
      </c>
      <c r="C61" t="s">
        <v>5559</v>
      </c>
      <c r="D61">
        <v>6</v>
      </c>
      <c r="E61">
        <v>5</v>
      </c>
      <c r="F61">
        <v>1</v>
      </c>
      <c r="G61">
        <v>2</v>
      </c>
      <c r="H61">
        <v>-2</v>
      </c>
      <c r="I61" s="1">
        <v>0.8</v>
      </c>
      <c r="J61" s="1">
        <v>0.66666666699999999</v>
      </c>
      <c r="K61">
        <v>0</v>
      </c>
      <c r="L61">
        <v>1</v>
      </c>
      <c r="M61">
        <v>0</v>
      </c>
      <c r="N61">
        <v>1</v>
      </c>
      <c r="O61" s="1">
        <v>1</v>
      </c>
      <c r="Q61">
        <v>0</v>
      </c>
      <c r="R61">
        <v>0</v>
      </c>
      <c r="S61">
        <v>0</v>
      </c>
      <c r="T61">
        <v>0</v>
      </c>
      <c r="W61">
        <v>6</v>
      </c>
      <c r="X61">
        <v>6</v>
      </c>
      <c r="Y61">
        <v>1</v>
      </c>
      <c r="Z61">
        <v>-1</v>
      </c>
      <c r="AA61" s="1">
        <v>0.83333333300000001</v>
      </c>
      <c r="AB61" s="1">
        <v>0.83333333300000001</v>
      </c>
    </row>
    <row r="62" spans="1:28" x14ac:dyDescent="0.45">
      <c r="A62" t="s">
        <v>5403</v>
      </c>
      <c r="B62" t="s">
        <v>5404</v>
      </c>
      <c r="C62" t="s">
        <v>5405</v>
      </c>
      <c r="D62">
        <v>8</v>
      </c>
      <c r="E62">
        <v>6</v>
      </c>
      <c r="F62">
        <v>0</v>
      </c>
      <c r="G62">
        <v>0</v>
      </c>
      <c r="H62">
        <v>-2</v>
      </c>
      <c r="I62" s="1">
        <v>1</v>
      </c>
      <c r="J62" s="1">
        <v>0.75</v>
      </c>
      <c r="K62">
        <v>2</v>
      </c>
      <c r="L62">
        <v>6</v>
      </c>
      <c r="M62">
        <v>2</v>
      </c>
      <c r="N62">
        <v>2</v>
      </c>
      <c r="O62" s="1">
        <v>0.66666666699999999</v>
      </c>
      <c r="P62" s="1">
        <v>2</v>
      </c>
      <c r="Q62">
        <v>1</v>
      </c>
      <c r="R62">
        <v>1</v>
      </c>
      <c r="S62">
        <v>0</v>
      </c>
      <c r="T62">
        <v>0</v>
      </c>
      <c r="U62" s="1">
        <v>1</v>
      </c>
      <c r="V62" s="1">
        <v>1</v>
      </c>
      <c r="W62">
        <v>11</v>
      </c>
      <c r="X62">
        <v>13</v>
      </c>
      <c r="Y62">
        <v>2</v>
      </c>
      <c r="Z62">
        <v>0</v>
      </c>
      <c r="AA62" s="1">
        <v>0.84615384599999999</v>
      </c>
      <c r="AB62" s="1">
        <v>1</v>
      </c>
    </row>
    <row r="63" spans="1:28" x14ac:dyDescent="0.45">
      <c r="A63" t="s">
        <v>5403</v>
      </c>
      <c r="B63" t="s">
        <v>5404</v>
      </c>
      <c r="C63" t="s">
        <v>5456</v>
      </c>
      <c r="D63">
        <v>6</v>
      </c>
      <c r="E63">
        <v>6</v>
      </c>
      <c r="F63">
        <v>1</v>
      </c>
      <c r="G63">
        <v>1</v>
      </c>
      <c r="H63">
        <v>-1</v>
      </c>
      <c r="I63" s="1">
        <v>0.83333333300000001</v>
      </c>
      <c r="J63" s="1">
        <v>0.83333333300000001</v>
      </c>
      <c r="K63">
        <v>7</v>
      </c>
      <c r="L63">
        <v>11</v>
      </c>
      <c r="M63">
        <v>3</v>
      </c>
      <c r="N63">
        <v>1</v>
      </c>
      <c r="O63" s="1">
        <v>0.72727272700000001</v>
      </c>
      <c r="P63" s="1">
        <v>1.1428571430000001</v>
      </c>
      <c r="Q63">
        <v>0</v>
      </c>
      <c r="R63">
        <v>0</v>
      </c>
      <c r="S63">
        <v>0</v>
      </c>
      <c r="T63">
        <v>0</v>
      </c>
      <c r="W63">
        <v>13</v>
      </c>
      <c r="X63">
        <v>17</v>
      </c>
      <c r="Y63">
        <v>4</v>
      </c>
      <c r="Z63">
        <v>0</v>
      </c>
      <c r="AA63" s="1">
        <v>0.764705882</v>
      </c>
      <c r="AB63" s="1">
        <v>1</v>
      </c>
    </row>
    <row r="64" spans="1:28" x14ac:dyDescent="0.45">
      <c r="A64" t="s">
        <v>5403</v>
      </c>
      <c r="B64" t="s">
        <v>5404</v>
      </c>
      <c r="C64" t="s">
        <v>5418</v>
      </c>
      <c r="D64">
        <v>9</v>
      </c>
      <c r="E64">
        <v>7</v>
      </c>
      <c r="F64">
        <v>0</v>
      </c>
      <c r="G64">
        <v>0</v>
      </c>
      <c r="H64">
        <v>-2</v>
      </c>
      <c r="I64" s="1">
        <v>1</v>
      </c>
      <c r="J64" s="1">
        <v>0.77777777800000003</v>
      </c>
      <c r="K64">
        <v>3</v>
      </c>
      <c r="L64">
        <v>7</v>
      </c>
      <c r="M64">
        <v>1</v>
      </c>
      <c r="N64">
        <v>3</v>
      </c>
      <c r="O64" s="1">
        <v>0.85714285700000004</v>
      </c>
      <c r="P64" s="1">
        <v>2</v>
      </c>
      <c r="Q64">
        <v>1</v>
      </c>
      <c r="R64">
        <v>1</v>
      </c>
      <c r="S64">
        <v>0</v>
      </c>
      <c r="T64">
        <v>0</v>
      </c>
      <c r="U64" s="1">
        <v>1</v>
      </c>
      <c r="V64" s="1">
        <v>1</v>
      </c>
      <c r="W64">
        <v>13</v>
      </c>
      <c r="X64">
        <v>15</v>
      </c>
      <c r="Y64">
        <v>1</v>
      </c>
      <c r="Z64">
        <v>1</v>
      </c>
      <c r="AA64" s="1">
        <v>0.93333333299999999</v>
      </c>
      <c r="AB64" s="1">
        <v>1.076923077</v>
      </c>
    </row>
    <row r="65" spans="1:28" x14ac:dyDescent="0.45">
      <c r="A65" t="s">
        <v>5403</v>
      </c>
      <c r="B65" t="s">
        <v>5404</v>
      </c>
      <c r="C65" t="s">
        <v>5433</v>
      </c>
      <c r="D65">
        <v>11</v>
      </c>
      <c r="E65">
        <v>8</v>
      </c>
      <c r="F65">
        <v>2</v>
      </c>
      <c r="G65">
        <v>5</v>
      </c>
      <c r="H65">
        <v>-5</v>
      </c>
      <c r="I65" s="1">
        <v>0.75</v>
      </c>
      <c r="J65" s="1">
        <v>0.54545454500000001</v>
      </c>
      <c r="K65">
        <v>0</v>
      </c>
      <c r="L65">
        <v>3</v>
      </c>
      <c r="M65">
        <v>1</v>
      </c>
      <c r="N65">
        <v>2</v>
      </c>
      <c r="O65" s="1">
        <v>0.66666666699999999</v>
      </c>
      <c r="Q65">
        <v>0</v>
      </c>
      <c r="R65">
        <v>0</v>
      </c>
      <c r="S65">
        <v>0</v>
      </c>
      <c r="T65">
        <v>0</v>
      </c>
      <c r="W65">
        <v>11</v>
      </c>
      <c r="X65">
        <v>11</v>
      </c>
      <c r="Y65">
        <v>3</v>
      </c>
      <c r="Z65">
        <v>-3</v>
      </c>
      <c r="AA65" s="1">
        <v>0.72727272700000001</v>
      </c>
      <c r="AB65" s="1">
        <v>0.72727272700000001</v>
      </c>
    </row>
    <row r="66" spans="1:28" x14ac:dyDescent="0.45">
      <c r="A66" t="s">
        <v>5403</v>
      </c>
      <c r="B66" t="s">
        <v>5404</v>
      </c>
      <c r="C66" t="s">
        <v>5423</v>
      </c>
      <c r="D66">
        <v>4</v>
      </c>
      <c r="E66">
        <v>4</v>
      </c>
      <c r="F66">
        <v>1</v>
      </c>
      <c r="G66">
        <v>0</v>
      </c>
      <c r="H66">
        <v>-1</v>
      </c>
      <c r="I66" s="1">
        <v>0.75</v>
      </c>
      <c r="J66" s="1">
        <v>0.75</v>
      </c>
      <c r="K66">
        <v>10</v>
      </c>
      <c r="L66">
        <v>13</v>
      </c>
      <c r="M66">
        <v>2</v>
      </c>
      <c r="N66">
        <v>1</v>
      </c>
      <c r="O66" s="1">
        <v>0.84615384599999999</v>
      </c>
      <c r="P66" s="1">
        <v>1.1000000000000001</v>
      </c>
      <c r="Q66">
        <v>1</v>
      </c>
      <c r="R66">
        <v>3</v>
      </c>
      <c r="S66">
        <v>1</v>
      </c>
      <c r="T66">
        <v>1</v>
      </c>
      <c r="U66" s="1">
        <v>0.66666666699999999</v>
      </c>
      <c r="V66" s="1">
        <v>2</v>
      </c>
      <c r="W66">
        <v>15</v>
      </c>
      <c r="X66">
        <v>20</v>
      </c>
      <c r="Y66">
        <v>4</v>
      </c>
      <c r="Z66">
        <v>1</v>
      </c>
      <c r="AA66" s="1">
        <v>0.8</v>
      </c>
      <c r="AB66" s="1">
        <v>1.066666667</v>
      </c>
    </row>
    <row r="67" spans="1:28" x14ac:dyDescent="0.45">
      <c r="A67" t="s">
        <v>5407</v>
      </c>
      <c r="B67" t="s">
        <v>5408</v>
      </c>
      <c r="C67" t="s">
        <v>5490</v>
      </c>
      <c r="D67">
        <v>5</v>
      </c>
      <c r="E67">
        <v>5</v>
      </c>
      <c r="F67">
        <v>1</v>
      </c>
      <c r="G67">
        <v>0</v>
      </c>
      <c r="H67">
        <v>-1</v>
      </c>
      <c r="I67" s="1">
        <v>0.8</v>
      </c>
      <c r="J67" s="1">
        <v>0.8</v>
      </c>
      <c r="K67">
        <v>4</v>
      </c>
      <c r="L67">
        <v>5</v>
      </c>
      <c r="M67">
        <v>2</v>
      </c>
      <c r="N67">
        <v>-1</v>
      </c>
      <c r="O67" s="1">
        <v>0.6</v>
      </c>
      <c r="P67" s="1">
        <v>0.75</v>
      </c>
      <c r="Q67">
        <v>0</v>
      </c>
      <c r="R67">
        <v>0</v>
      </c>
      <c r="S67">
        <v>0</v>
      </c>
      <c r="T67">
        <v>0</v>
      </c>
      <c r="W67">
        <v>9</v>
      </c>
      <c r="X67">
        <v>10</v>
      </c>
      <c r="Y67">
        <v>3</v>
      </c>
      <c r="Z67">
        <v>-2</v>
      </c>
      <c r="AA67" s="1">
        <v>0.7</v>
      </c>
      <c r="AB67" s="1">
        <v>0.77777777800000003</v>
      </c>
    </row>
    <row r="68" spans="1:28" x14ac:dyDescent="0.45">
      <c r="A68" t="s">
        <v>5407</v>
      </c>
      <c r="B68" t="s">
        <v>5408</v>
      </c>
      <c r="C68" t="s">
        <v>5437</v>
      </c>
      <c r="D68">
        <v>1</v>
      </c>
      <c r="E68">
        <v>2</v>
      </c>
      <c r="F68">
        <v>1</v>
      </c>
      <c r="G68">
        <v>0</v>
      </c>
      <c r="H68">
        <v>0</v>
      </c>
      <c r="I68" s="1">
        <v>0.5</v>
      </c>
      <c r="J68" s="1">
        <v>1</v>
      </c>
      <c r="K68">
        <v>3</v>
      </c>
      <c r="L68">
        <v>5</v>
      </c>
      <c r="M68">
        <v>0</v>
      </c>
      <c r="N68">
        <v>2</v>
      </c>
      <c r="O68" s="1">
        <v>1</v>
      </c>
      <c r="P68" s="1">
        <v>1.6666666670000001</v>
      </c>
      <c r="Q68">
        <v>1</v>
      </c>
      <c r="R68">
        <v>0</v>
      </c>
      <c r="S68">
        <v>0</v>
      </c>
      <c r="T68">
        <v>-1</v>
      </c>
      <c r="V68" s="1">
        <v>0</v>
      </c>
      <c r="W68">
        <v>5</v>
      </c>
      <c r="X68">
        <v>7</v>
      </c>
      <c r="Y68">
        <v>1</v>
      </c>
      <c r="Z68">
        <v>1</v>
      </c>
      <c r="AA68" s="1">
        <v>0.85714285700000004</v>
      </c>
      <c r="AB68" s="1">
        <v>1.2</v>
      </c>
    </row>
    <row r="69" spans="1:28" x14ac:dyDescent="0.45">
      <c r="A69" t="s">
        <v>5407</v>
      </c>
      <c r="B69" t="s">
        <v>5408</v>
      </c>
      <c r="C69" t="s">
        <v>5442</v>
      </c>
      <c r="D69">
        <v>1</v>
      </c>
      <c r="E69">
        <v>1</v>
      </c>
      <c r="F69">
        <v>0</v>
      </c>
      <c r="G69">
        <v>0</v>
      </c>
      <c r="H69">
        <v>0</v>
      </c>
      <c r="I69" s="1">
        <v>1</v>
      </c>
      <c r="J69" s="1">
        <v>1</v>
      </c>
      <c r="K69">
        <v>2</v>
      </c>
      <c r="L69">
        <v>3</v>
      </c>
      <c r="M69">
        <v>0</v>
      </c>
      <c r="N69">
        <v>1</v>
      </c>
      <c r="O69" s="1">
        <v>1</v>
      </c>
      <c r="P69" s="1">
        <v>1.5</v>
      </c>
      <c r="Q69">
        <v>0</v>
      </c>
      <c r="R69">
        <v>0</v>
      </c>
      <c r="S69">
        <v>0</v>
      </c>
      <c r="T69">
        <v>0</v>
      </c>
      <c r="W69">
        <v>3</v>
      </c>
      <c r="X69">
        <v>4</v>
      </c>
      <c r="Y69">
        <v>0</v>
      </c>
      <c r="Z69">
        <v>1</v>
      </c>
      <c r="AA69" s="1">
        <v>1</v>
      </c>
      <c r="AB69" s="1">
        <v>1.3333333329999999</v>
      </c>
    </row>
    <row r="70" spans="1:28" x14ac:dyDescent="0.45">
      <c r="A70" t="s">
        <v>5407</v>
      </c>
      <c r="B70" t="s">
        <v>5408</v>
      </c>
      <c r="C70" t="s">
        <v>5504</v>
      </c>
      <c r="D70">
        <v>3</v>
      </c>
      <c r="E70">
        <v>4</v>
      </c>
      <c r="F70">
        <v>0</v>
      </c>
      <c r="G70">
        <v>0</v>
      </c>
      <c r="H70">
        <v>1</v>
      </c>
      <c r="I70" s="1">
        <v>1</v>
      </c>
      <c r="J70" s="1">
        <v>1.3333333329999999</v>
      </c>
      <c r="K70">
        <v>31</v>
      </c>
      <c r="L70">
        <v>34</v>
      </c>
      <c r="M70">
        <v>4</v>
      </c>
      <c r="N70">
        <v>-1</v>
      </c>
      <c r="O70" s="1">
        <v>0.88235294099999995</v>
      </c>
      <c r="P70" s="1">
        <v>0.96774193500000005</v>
      </c>
      <c r="Q70">
        <v>1</v>
      </c>
      <c r="R70">
        <v>2</v>
      </c>
      <c r="S70">
        <v>0</v>
      </c>
      <c r="T70">
        <v>1</v>
      </c>
      <c r="U70" s="1">
        <v>1</v>
      </c>
      <c r="V70" s="1">
        <v>2</v>
      </c>
      <c r="W70">
        <v>35</v>
      </c>
      <c r="X70">
        <v>40</v>
      </c>
      <c r="Y70">
        <v>4</v>
      </c>
      <c r="Z70">
        <v>1</v>
      </c>
      <c r="AA70" s="1">
        <v>0.9</v>
      </c>
      <c r="AB70" s="1">
        <v>1.0285714290000001</v>
      </c>
    </row>
    <row r="71" spans="1:28" x14ac:dyDescent="0.45">
      <c r="A71" t="s">
        <v>5407</v>
      </c>
      <c r="B71" t="s">
        <v>5408</v>
      </c>
      <c r="C71" t="s">
        <v>5465</v>
      </c>
      <c r="D71">
        <v>1</v>
      </c>
      <c r="E71">
        <v>1</v>
      </c>
      <c r="F71">
        <v>0</v>
      </c>
      <c r="G71">
        <v>0</v>
      </c>
      <c r="H71">
        <v>0</v>
      </c>
      <c r="I71" s="1">
        <v>1</v>
      </c>
      <c r="J71" s="1">
        <v>1</v>
      </c>
      <c r="K71">
        <v>1</v>
      </c>
      <c r="L71">
        <v>3</v>
      </c>
      <c r="M71">
        <v>2</v>
      </c>
      <c r="N71">
        <v>0</v>
      </c>
      <c r="O71" s="1">
        <v>0.33333333300000001</v>
      </c>
      <c r="P71" s="1">
        <v>1</v>
      </c>
      <c r="Q71">
        <v>1</v>
      </c>
      <c r="R71">
        <v>0</v>
      </c>
      <c r="S71">
        <v>0</v>
      </c>
      <c r="T71">
        <v>-1</v>
      </c>
      <c r="V71" s="1">
        <v>0</v>
      </c>
      <c r="W71">
        <v>3</v>
      </c>
      <c r="X71">
        <v>4</v>
      </c>
      <c r="Y71">
        <v>2</v>
      </c>
      <c r="Z71">
        <v>-1</v>
      </c>
      <c r="AA71" s="1">
        <v>0.5</v>
      </c>
      <c r="AB71" s="1">
        <v>0.66666666699999999</v>
      </c>
    </row>
    <row r="72" spans="1:28" x14ac:dyDescent="0.45">
      <c r="A72" t="s">
        <v>5407</v>
      </c>
      <c r="B72" t="s">
        <v>5408</v>
      </c>
      <c r="C72" t="s">
        <v>5462</v>
      </c>
      <c r="D72">
        <v>5</v>
      </c>
      <c r="E72">
        <v>4</v>
      </c>
      <c r="F72">
        <v>0</v>
      </c>
      <c r="G72">
        <v>1</v>
      </c>
      <c r="H72">
        <v>-1</v>
      </c>
      <c r="I72" s="1">
        <v>1</v>
      </c>
      <c r="J72" s="1">
        <v>0.8</v>
      </c>
      <c r="K72">
        <v>2</v>
      </c>
      <c r="L72">
        <v>8</v>
      </c>
      <c r="M72">
        <v>2</v>
      </c>
      <c r="N72">
        <v>4</v>
      </c>
      <c r="O72" s="1">
        <v>0.75</v>
      </c>
      <c r="P72" s="1">
        <v>3</v>
      </c>
      <c r="Q72">
        <v>0</v>
      </c>
      <c r="R72">
        <v>0</v>
      </c>
      <c r="S72">
        <v>0</v>
      </c>
      <c r="T72">
        <v>0</v>
      </c>
      <c r="W72">
        <v>7</v>
      </c>
      <c r="X72">
        <v>12</v>
      </c>
      <c r="Y72">
        <v>2</v>
      </c>
      <c r="Z72">
        <v>3</v>
      </c>
      <c r="AA72" s="1">
        <v>0.83333333300000001</v>
      </c>
      <c r="AB72" s="1">
        <v>1.428571429</v>
      </c>
    </row>
    <row r="73" spans="1:28" x14ac:dyDescent="0.45">
      <c r="A73" t="s">
        <v>5407</v>
      </c>
      <c r="B73" t="s">
        <v>5408</v>
      </c>
      <c r="C73" t="s">
        <v>5562</v>
      </c>
      <c r="D73">
        <v>2</v>
      </c>
      <c r="E73">
        <v>3</v>
      </c>
      <c r="F73">
        <v>0</v>
      </c>
      <c r="G73">
        <v>0</v>
      </c>
      <c r="H73">
        <v>1</v>
      </c>
      <c r="I73" s="1">
        <v>1</v>
      </c>
      <c r="J73" s="1">
        <v>1.5</v>
      </c>
      <c r="K73">
        <v>4</v>
      </c>
      <c r="L73">
        <v>4</v>
      </c>
      <c r="M73">
        <v>0</v>
      </c>
      <c r="N73">
        <v>0</v>
      </c>
      <c r="O73" s="1">
        <v>1</v>
      </c>
      <c r="P73" s="1">
        <v>1</v>
      </c>
      <c r="Q73">
        <v>1</v>
      </c>
      <c r="R73">
        <v>0</v>
      </c>
      <c r="S73">
        <v>0</v>
      </c>
      <c r="T73">
        <v>-1</v>
      </c>
      <c r="V73" s="1">
        <v>0</v>
      </c>
      <c r="W73">
        <v>7</v>
      </c>
      <c r="X73">
        <v>7</v>
      </c>
      <c r="Y73">
        <v>0</v>
      </c>
      <c r="Z73">
        <v>0</v>
      </c>
      <c r="AA73" s="1">
        <v>1</v>
      </c>
      <c r="AB73" s="1">
        <v>1</v>
      </c>
    </row>
    <row r="74" spans="1:28" x14ac:dyDescent="0.45">
      <c r="A74" t="s">
        <v>5407</v>
      </c>
      <c r="B74" t="s">
        <v>5408</v>
      </c>
      <c r="C74" t="s">
        <v>5577</v>
      </c>
      <c r="D74">
        <v>1</v>
      </c>
      <c r="E74">
        <v>1</v>
      </c>
      <c r="F74">
        <v>0</v>
      </c>
      <c r="G74">
        <v>0</v>
      </c>
      <c r="H74">
        <v>0</v>
      </c>
      <c r="I74" s="1">
        <v>1</v>
      </c>
      <c r="J74" s="1">
        <v>1</v>
      </c>
      <c r="K74">
        <v>2</v>
      </c>
      <c r="L74">
        <v>7</v>
      </c>
      <c r="M74">
        <v>2</v>
      </c>
      <c r="N74">
        <v>3</v>
      </c>
      <c r="O74" s="1">
        <v>0.71428571399999996</v>
      </c>
      <c r="P74" s="1">
        <v>2.5</v>
      </c>
      <c r="Q74">
        <v>1</v>
      </c>
      <c r="R74">
        <v>0</v>
      </c>
      <c r="S74">
        <v>0</v>
      </c>
      <c r="T74">
        <v>-1</v>
      </c>
      <c r="V74" s="1">
        <v>0</v>
      </c>
      <c r="W74">
        <v>4</v>
      </c>
      <c r="X74">
        <v>8</v>
      </c>
      <c r="Y74">
        <v>2</v>
      </c>
      <c r="Z74">
        <v>2</v>
      </c>
      <c r="AA74" s="1">
        <v>0.75</v>
      </c>
      <c r="AB74" s="1">
        <v>1.5</v>
      </c>
    </row>
    <row r="75" spans="1:28" x14ac:dyDescent="0.45">
      <c r="A75" t="s">
        <v>5407</v>
      </c>
      <c r="B75" t="s">
        <v>5408</v>
      </c>
      <c r="C75" t="s">
        <v>5409</v>
      </c>
      <c r="D75">
        <v>3</v>
      </c>
      <c r="E75">
        <v>4</v>
      </c>
      <c r="F75">
        <v>0</v>
      </c>
      <c r="G75">
        <v>0</v>
      </c>
      <c r="H75">
        <v>1</v>
      </c>
      <c r="I75" s="1">
        <v>1</v>
      </c>
      <c r="J75" s="1">
        <v>1.3333333329999999</v>
      </c>
      <c r="K75">
        <v>4</v>
      </c>
      <c r="L75">
        <v>5</v>
      </c>
      <c r="M75">
        <v>2</v>
      </c>
      <c r="N75">
        <v>-1</v>
      </c>
      <c r="O75" s="1">
        <v>0.6</v>
      </c>
      <c r="P75" s="1">
        <v>0.75</v>
      </c>
      <c r="Q75">
        <v>0</v>
      </c>
      <c r="R75">
        <v>0</v>
      </c>
      <c r="S75">
        <v>0</v>
      </c>
      <c r="T75">
        <v>0</v>
      </c>
      <c r="W75">
        <v>7</v>
      </c>
      <c r="X75">
        <v>9</v>
      </c>
      <c r="Y75">
        <v>2</v>
      </c>
      <c r="Z75">
        <v>0</v>
      </c>
      <c r="AA75" s="1">
        <v>0.77777777800000003</v>
      </c>
      <c r="AB75" s="1">
        <v>1</v>
      </c>
    </row>
    <row r="76" spans="1:28" x14ac:dyDescent="0.45">
      <c r="A76" t="s">
        <v>5407</v>
      </c>
      <c r="B76" t="s">
        <v>5408</v>
      </c>
      <c r="C76" t="s">
        <v>5548</v>
      </c>
      <c r="D76">
        <v>18</v>
      </c>
      <c r="E76">
        <v>19</v>
      </c>
      <c r="F76">
        <v>1</v>
      </c>
      <c r="G76">
        <v>0</v>
      </c>
      <c r="H76">
        <v>0</v>
      </c>
      <c r="I76" s="1">
        <v>0.94736842099999996</v>
      </c>
      <c r="J76" s="1">
        <v>1</v>
      </c>
      <c r="K76">
        <v>17</v>
      </c>
      <c r="L76">
        <v>21</v>
      </c>
      <c r="M76">
        <v>1</v>
      </c>
      <c r="N76">
        <v>3</v>
      </c>
      <c r="O76" s="1">
        <v>0.95238095199999995</v>
      </c>
      <c r="P76" s="1">
        <v>1.1764705879999999</v>
      </c>
      <c r="Q76">
        <v>2</v>
      </c>
      <c r="R76">
        <v>7</v>
      </c>
      <c r="S76">
        <v>1</v>
      </c>
      <c r="T76">
        <v>4</v>
      </c>
      <c r="U76" s="1">
        <v>0.85714285700000004</v>
      </c>
      <c r="V76" s="1">
        <v>3</v>
      </c>
      <c r="W76">
        <v>37</v>
      </c>
      <c r="X76">
        <v>47</v>
      </c>
      <c r="Y76">
        <v>3</v>
      </c>
      <c r="Z76">
        <v>7</v>
      </c>
      <c r="AA76" s="1">
        <v>0.93617021300000003</v>
      </c>
      <c r="AB76" s="1">
        <v>1.1891891889999999</v>
      </c>
    </row>
    <row r="77" spans="1:28" x14ac:dyDescent="0.45">
      <c r="A77" t="s">
        <v>5407</v>
      </c>
      <c r="B77" t="s">
        <v>5408</v>
      </c>
      <c r="C77" t="s">
        <v>5588</v>
      </c>
      <c r="D77">
        <v>6</v>
      </c>
      <c r="E77">
        <v>6</v>
      </c>
      <c r="F77">
        <v>1</v>
      </c>
      <c r="G77">
        <v>0</v>
      </c>
      <c r="H77">
        <v>-1</v>
      </c>
      <c r="I77" s="1">
        <v>0.83333333300000001</v>
      </c>
      <c r="J77" s="1">
        <v>0.83333333300000001</v>
      </c>
      <c r="K77">
        <v>7</v>
      </c>
      <c r="L77">
        <v>9</v>
      </c>
      <c r="M77">
        <v>2</v>
      </c>
      <c r="N77">
        <v>0</v>
      </c>
      <c r="O77" s="1">
        <v>0.77777777800000003</v>
      </c>
      <c r="P77" s="1">
        <v>1</v>
      </c>
      <c r="Q77">
        <v>1</v>
      </c>
      <c r="R77">
        <v>0</v>
      </c>
      <c r="S77">
        <v>0</v>
      </c>
      <c r="T77">
        <v>-1</v>
      </c>
      <c r="V77" s="1">
        <v>0</v>
      </c>
      <c r="W77">
        <v>14</v>
      </c>
      <c r="X77">
        <v>15</v>
      </c>
      <c r="Y77">
        <v>3</v>
      </c>
      <c r="Z77">
        <v>-2</v>
      </c>
      <c r="AA77" s="1">
        <v>0.8</v>
      </c>
      <c r="AB77" s="1">
        <v>0.85714285700000004</v>
      </c>
    </row>
    <row r="78" spans="1:28" x14ac:dyDescent="0.45">
      <c r="A78" t="s">
        <v>5407</v>
      </c>
      <c r="B78" t="s">
        <v>5408</v>
      </c>
      <c r="C78" t="s">
        <v>5741</v>
      </c>
      <c r="D78">
        <v>2</v>
      </c>
      <c r="E78">
        <v>2</v>
      </c>
      <c r="F78">
        <v>1</v>
      </c>
      <c r="G78">
        <v>0</v>
      </c>
      <c r="H78">
        <v>-1</v>
      </c>
      <c r="I78" s="1">
        <v>0.5</v>
      </c>
      <c r="J78" s="1">
        <v>0.5</v>
      </c>
      <c r="K78">
        <v>1</v>
      </c>
      <c r="L78">
        <v>2</v>
      </c>
      <c r="M78">
        <v>1</v>
      </c>
      <c r="N78">
        <v>0</v>
      </c>
      <c r="O78" s="1">
        <v>0.5</v>
      </c>
      <c r="P78" s="1">
        <v>1</v>
      </c>
      <c r="Q78">
        <v>0</v>
      </c>
      <c r="R78">
        <v>0</v>
      </c>
      <c r="S78">
        <v>0</v>
      </c>
      <c r="T78">
        <v>0</v>
      </c>
      <c r="W78">
        <v>3</v>
      </c>
      <c r="X78">
        <v>4</v>
      </c>
      <c r="Y78">
        <v>2</v>
      </c>
      <c r="Z78">
        <v>-1</v>
      </c>
      <c r="AA78" s="1">
        <v>0.5</v>
      </c>
      <c r="AB78" s="1">
        <v>0.66666666699999999</v>
      </c>
    </row>
    <row r="79" spans="1:28" x14ac:dyDescent="0.45">
      <c r="A79" t="s">
        <v>5407</v>
      </c>
      <c r="B79" t="s">
        <v>5491</v>
      </c>
      <c r="C79" t="s">
        <v>5762</v>
      </c>
      <c r="D79">
        <v>3</v>
      </c>
      <c r="E79">
        <v>3</v>
      </c>
      <c r="F79">
        <v>0</v>
      </c>
      <c r="G79">
        <v>2</v>
      </c>
      <c r="H79">
        <v>0</v>
      </c>
      <c r="I79" s="1">
        <v>1</v>
      </c>
      <c r="J79" s="1">
        <v>1</v>
      </c>
      <c r="K79">
        <v>1</v>
      </c>
      <c r="L79">
        <v>2</v>
      </c>
      <c r="M79">
        <v>0</v>
      </c>
      <c r="N79">
        <v>1</v>
      </c>
      <c r="O79" s="1">
        <v>1</v>
      </c>
      <c r="P79" s="1">
        <v>2</v>
      </c>
      <c r="Q79">
        <v>1</v>
      </c>
      <c r="R79">
        <v>0</v>
      </c>
      <c r="S79">
        <v>0</v>
      </c>
      <c r="T79">
        <v>-1</v>
      </c>
      <c r="V79" s="1">
        <v>0</v>
      </c>
      <c r="W79">
        <v>5</v>
      </c>
      <c r="X79">
        <v>5</v>
      </c>
      <c r="Y79">
        <v>0</v>
      </c>
      <c r="Z79">
        <v>0</v>
      </c>
      <c r="AA79" s="1">
        <v>1</v>
      </c>
      <c r="AB79" s="1">
        <v>1</v>
      </c>
    </row>
    <row r="80" spans="1:28" x14ac:dyDescent="0.45">
      <c r="A80" t="s">
        <v>5407</v>
      </c>
      <c r="B80" t="s">
        <v>5491</v>
      </c>
      <c r="C80" t="s">
        <v>5545</v>
      </c>
      <c r="D80">
        <v>5</v>
      </c>
      <c r="E80">
        <v>9</v>
      </c>
      <c r="F80">
        <v>4</v>
      </c>
      <c r="G80">
        <v>1</v>
      </c>
      <c r="H80">
        <v>0</v>
      </c>
      <c r="I80" s="1">
        <v>0.55555555599999995</v>
      </c>
      <c r="J80" s="1">
        <v>1</v>
      </c>
      <c r="K80">
        <v>5</v>
      </c>
      <c r="L80">
        <v>4</v>
      </c>
      <c r="M80">
        <v>0</v>
      </c>
      <c r="N80">
        <v>-1</v>
      </c>
      <c r="O80" s="1">
        <v>1</v>
      </c>
      <c r="P80" s="1">
        <v>0.8</v>
      </c>
      <c r="Q80">
        <v>0</v>
      </c>
      <c r="R80">
        <v>0</v>
      </c>
      <c r="S80">
        <v>0</v>
      </c>
      <c r="T80">
        <v>0</v>
      </c>
      <c r="W80">
        <v>10</v>
      </c>
      <c r="X80">
        <v>13</v>
      </c>
      <c r="Y80">
        <v>4</v>
      </c>
      <c r="Z80">
        <v>-1</v>
      </c>
      <c r="AA80" s="1">
        <v>0.69230769199999997</v>
      </c>
      <c r="AB80" s="1">
        <v>0.9</v>
      </c>
    </row>
    <row r="81" spans="1:28" x14ac:dyDescent="0.45">
      <c r="A81" t="s">
        <v>5407</v>
      </c>
      <c r="B81" t="s">
        <v>5491</v>
      </c>
      <c r="C81" t="s">
        <v>5502</v>
      </c>
      <c r="D81">
        <v>1</v>
      </c>
      <c r="E81">
        <v>2</v>
      </c>
      <c r="F81">
        <v>1</v>
      </c>
      <c r="G81">
        <v>0</v>
      </c>
      <c r="H81">
        <v>0</v>
      </c>
      <c r="I81" s="1">
        <v>0.5</v>
      </c>
      <c r="J81" s="1">
        <v>1</v>
      </c>
      <c r="K81">
        <v>5</v>
      </c>
      <c r="L81">
        <v>7</v>
      </c>
      <c r="M81">
        <v>1</v>
      </c>
      <c r="N81">
        <v>1</v>
      </c>
      <c r="O81" s="1">
        <v>0.85714285700000004</v>
      </c>
      <c r="P81" s="1">
        <v>1.2</v>
      </c>
      <c r="Q81">
        <v>0</v>
      </c>
      <c r="R81">
        <v>0</v>
      </c>
      <c r="S81">
        <v>0</v>
      </c>
      <c r="T81">
        <v>0</v>
      </c>
      <c r="W81">
        <v>6</v>
      </c>
      <c r="X81">
        <v>9</v>
      </c>
      <c r="Y81">
        <v>2</v>
      </c>
      <c r="Z81">
        <v>1</v>
      </c>
      <c r="AA81" s="1">
        <v>0.77777777800000003</v>
      </c>
      <c r="AB81" s="1">
        <v>1.1666666670000001</v>
      </c>
    </row>
    <row r="82" spans="1:28" x14ac:dyDescent="0.45">
      <c r="A82" t="s">
        <v>5407</v>
      </c>
      <c r="B82" t="s">
        <v>5491</v>
      </c>
      <c r="C82" t="s">
        <v>5499</v>
      </c>
      <c r="D82">
        <v>17</v>
      </c>
      <c r="E82">
        <v>17</v>
      </c>
      <c r="F82">
        <v>3</v>
      </c>
      <c r="G82">
        <v>2</v>
      </c>
      <c r="H82">
        <v>-3</v>
      </c>
      <c r="I82" s="1">
        <v>0.82352941199999996</v>
      </c>
      <c r="J82" s="1">
        <v>0.82352941199999996</v>
      </c>
      <c r="K82">
        <v>11</v>
      </c>
      <c r="L82">
        <v>18</v>
      </c>
      <c r="M82">
        <v>6</v>
      </c>
      <c r="N82">
        <v>1</v>
      </c>
      <c r="O82" s="1">
        <v>0.66666666699999999</v>
      </c>
      <c r="P82" s="1">
        <v>1.0909090910000001</v>
      </c>
      <c r="Q82">
        <v>2</v>
      </c>
      <c r="R82">
        <v>3</v>
      </c>
      <c r="S82">
        <v>0</v>
      </c>
      <c r="T82">
        <v>1</v>
      </c>
      <c r="U82" s="1">
        <v>1</v>
      </c>
      <c r="V82" s="1">
        <v>1.5</v>
      </c>
      <c r="W82">
        <v>30</v>
      </c>
      <c r="X82">
        <v>38</v>
      </c>
      <c r="Y82">
        <v>9</v>
      </c>
      <c r="Z82">
        <v>-1</v>
      </c>
      <c r="AA82" s="1">
        <v>0.76315789499999998</v>
      </c>
      <c r="AB82" s="1">
        <v>0.96666666700000003</v>
      </c>
    </row>
    <row r="83" spans="1:28" x14ac:dyDescent="0.45">
      <c r="A83" t="s">
        <v>5407</v>
      </c>
      <c r="B83" t="s">
        <v>5491</v>
      </c>
      <c r="C83" t="s">
        <v>5542</v>
      </c>
      <c r="D83">
        <v>6</v>
      </c>
      <c r="E83">
        <v>6</v>
      </c>
      <c r="F83">
        <v>0</v>
      </c>
      <c r="G83">
        <v>2</v>
      </c>
      <c r="H83">
        <v>0</v>
      </c>
      <c r="I83" s="1">
        <v>1</v>
      </c>
      <c r="J83" s="1">
        <v>1</v>
      </c>
      <c r="K83">
        <v>2</v>
      </c>
      <c r="L83">
        <v>2</v>
      </c>
      <c r="M83">
        <v>0</v>
      </c>
      <c r="N83">
        <v>0</v>
      </c>
      <c r="O83" s="1">
        <v>1</v>
      </c>
      <c r="P83" s="1">
        <v>1</v>
      </c>
      <c r="Q83">
        <v>1</v>
      </c>
      <c r="R83">
        <v>0</v>
      </c>
      <c r="S83">
        <v>0</v>
      </c>
      <c r="T83">
        <v>-1</v>
      </c>
      <c r="V83" s="1">
        <v>0</v>
      </c>
      <c r="W83">
        <v>9</v>
      </c>
      <c r="X83">
        <v>8</v>
      </c>
      <c r="Y83">
        <v>0</v>
      </c>
      <c r="Z83">
        <v>-1</v>
      </c>
      <c r="AA83" s="1">
        <v>1</v>
      </c>
      <c r="AB83" s="1">
        <v>0.88888888899999996</v>
      </c>
    </row>
    <row r="84" spans="1:28" x14ac:dyDescent="0.45">
      <c r="A84" t="s">
        <v>5407</v>
      </c>
      <c r="B84" t="s">
        <v>5491</v>
      </c>
      <c r="C84" t="s">
        <v>5523</v>
      </c>
      <c r="D84">
        <v>2</v>
      </c>
      <c r="E84">
        <v>2</v>
      </c>
      <c r="F84">
        <v>0</v>
      </c>
      <c r="G84">
        <v>0</v>
      </c>
      <c r="H84">
        <v>0</v>
      </c>
      <c r="I84" s="1">
        <v>1</v>
      </c>
      <c r="J84" s="1">
        <v>1</v>
      </c>
      <c r="K84">
        <v>6</v>
      </c>
      <c r="L84">
        <v>8</v>
      </c>
      <c r="M84">
        <v>1</v>
      </c>
      <c r="N84">
        <v>1</v>
      </c>
      <c r="O84" s="1">
        <v>0.875</v>
      </c>
      <c r="P84" s="1">
        <v>1.1666666670000001</v>
      </c>
      <c r="Q84">
        <v>1</v>
      </c>
      <c r="R84">
        <v>0</v>
      </c>
      <c r="S84">
        <v>0</v>
      </c>
      <c r="T84">
        <v>-1</v>
      </c>
      <c r="V84" s="1">
        <v>0</v>
      </c>
      <c r="W84">
        <v>9</v>
      </c>
      <c r="X84">
        <v>10</v>
      </c>
      <c r="Y84">
        <v>1</v>
      </c>
      <c r="Z84">
        <v>0</v>
      </c>
      <c r="AA84" s="1">
        <v>0.9</v>
      </c>
      <c r="AB84" s="1">
        <v>1</v>
      </c>
    </row>
    <row r="85" spans="1:28" x14ac:dyDescent="0.45">
      <c r="A85" t="s">
        <v>5407</v>
      </c>
      <c r="B85" t="s">
        <v>5491</v>
      </c>
      <c r="C85" t="s">
        <v>5492</v>
      </c>
      <c r="D85">
        <v>21</v>
      </c>
      <c r="E85">
        <v>14</v>
      </c>
      <c r="F85">
        <v>3</v>
      </c>
      <c r="G85">
        <v>3</v>
      </c>
      <c r="H85">
        <v>-10</v>
      </c>
      <c r="I85" s="1">
        <v>0.78571428600000004</v>
      </c>
      <c r="J85" s="1">
        <v>0.52380952400000003</v>
      </c>
      <c r="K85">
        <v>0</v>
      </c>
      <c r="L85">
        <v>5</v>
      </c>
      <c r="M85">
        <v>1</v>
      </c>
      <c r="N85">
        <v>4</v>
      </c>
      <c r="O85" s="1">
        <v>0.8</v>
      </c>
      <c r="Q85">
        <v>2</v>
      </c>
      <c r="R85">
        <v>0</v>
      </c>
      <c r="S85">
        <v>0</v>
      </c>
      <c r="T85">
        <v>-2</v>
      </c>
      <c r="V85" s="1">
        <v>0</v>
      </c>
      <c r="W85">
        <v>23</v>
      </c>
      <c r="X85">
        <v>19</v>
      </c>
      <c r="Y85">
        <v>4</v>
      </c>
      <c r="Z85">
        <v>-8</v>
      </c>
      <c r="AA85" s="1">
        <v>0.78947368399999995</v>
      </c>
      <c r="AB85" s="1">
        <v>0.65217391300000005</v>
      </c>
    </row>
    <row r="86" spans="1:28" x14ac:dyDescent="0.45">
      <c r="A86" t="s">
        <v>5407</v>
      </c>
      <c r="B86" t="s">
        <v>5491</v>
      </c>
      <c r="C86" t="s">
        <v>5512</v>
      </c>
      <c r="D86">
        <v>10</v>
      </c>
      <c r="E86">
        <v>10</v>
      </c>
      <c r="F86">
        <v>2</v>
      </c>
      <c r="G86">
        <v>3</v>
      </c>
      <c r="H86">
        <v>-2</v>
      </c>
      <c r="I86" s="1">
        <v>0.8</v>
      </c>
      <c r="J86" s="1">
        <v>0.8</v>
      </c>
      <c r="K86">
        <v>6</v>
      </c>
      <c r="L86">
        <v>9</v>
      </c>
      <c r="M86">
        <v>0</v>
      </c>
      <c r="N86">
        <v>3</v>
      </c>
      <c r="O86" s="1">
        <v>1</v>
      </c>
      <c r="P86" s="1">
        <v>1.5</v>
      </c>
      <c r="Q86">
        <v>0</v>
      </c>
      <c r="R86">
        <v>1</v>
      </c>
      <c r="S86">
        <v>1</v>
      </c>
      <c r="T86">
        <v>0</v>
      </c>
      <c r="U86" s="1">
        <v>0</v>
      </c>
      <c r="W86">
        <v>16</v>
      </c>
      <c r="X86">
        <v>20</v>
      </c>
      <c r="Y86">
        <v>3</v>
      </c>
      <c r="Z86">
        <v>1</v>
      </c>
      <c r="AA86" s="1">
        <v>0.85</v>
      </c>
      <c r="AB86" s="1">
        <v>1.0625</v>
      </c>
    </row>
    <row r="87" spans="1:28" x14ac:dyDescent="0.45">
      <c r="A87" t="s">
        <v>5443</v>
      </c>
      <c r="B87" t="s">
        <v>5444</v>
      </c>
      <c r="C87" t="s">
        <v>5549</v>
      </c>
      <c r="D87">
        <v>12</v>
      </c>
      <c r="E87">
        <v>12</v>
      </c>
      <c r="F87">
        <v>1</v>
      </c>
      <c r="G87">
        <v>0</v>
      </c>
      <c r="H87">
        <v>-1</v>
      </c>
      <c r="I87" s="1">
        <v>0.91666666699999999</v>
      </c>
      <c r="J87" s="1">
        <v>0.91666666699999999</v>
      </c>
      <c r="K87">
        <v>9</v>
      </c>
      <c r="L87">
        <v>10</v>
      </c>
      <c r="M87">
        <v>0</v>
      </c>
      <c r="N87">
        <v>1</v>
      </c>
      <c r="O87" s="1">
        <v>1</v>
      </c>
      <c r="P87" s="1">
        <v>1.111111111</v>
      </c>
      <c r="Q87">
        <v>1</v>
      </c>
      <c r="R87">
        <v>1</v>
      </c>
      <c r="S87">
        <v>0</v>
      </c>
      <c r="T87">
        <v>0</v>
      </c>
      <c r="U87" s="1">
        <v>1</v>
      </c>
      <c r="V87" s="1">
        <v>1</v>
      </c>
      <c r="W87">
        <v>22</v>
      </c>
      <c r="X87">
        <v>23</v>
      </c>
      <c r="Y87">
        <v>1</v>
      </c>
      <c r="Z87">
        <v>0</v>
      </c>
      <c r="AA87" s="1">
        <v>0.95652173900000004</v>
      </c>
      <c r="AB87" s="1">
        <v>1</v>
      </c>
    </row>
    <row r="88" spans="1:28" x14ac:dyDescent="0.45">
      <c r="A88" t="s">
        <v>5443</v>
      </c>
      <c r="B88" t="s">
        <v>5444</v>
      </c>
      <c r="C88" t="s">
        <v>5445</v>
      </c>
      <c r="D88">
        <v>17</v>
      </c>
      <c r="E88">
        <v>18</v>
      </c>
      <c r="F88">
        <v>2</v>
      </c>
      <c r="G88">
        <v>2</v>
      </c>
      <c r="H88">
        <v>-1</v>
      </c>
      <c r="I88" s="1">
        <v>0.88888888899999996</v>
      </c>
      <c r="J88" s="1">
        <v>0.94117647100000001</v>
      </c>
      <c r="K88">
        <v>6</v>
      </c>
      <c r="L88">
        <v>7</v>
      </c>
      <c r="M88">
        <v>1</v>
      </c>
      <c r="N88">
        <v>0</v>
      </c>
      <c r="O88" s="1">
        <v>0.85714285700000004</v>
      </c>
      <c r="P88" s="1">
        <v>1</v>
      </c>
      <c r="Q88">
        <v>1</v>
      </c>
      <c r="R88">
        <v>1</v>
      </c>
      <c r="S88">
        <v>0</v>
      </c>
      <c r="T88">
        <v>0</v>
      </c>
      <c r="U88" s="1">
        <v>1</v>
      </c>
      <c r="V88" s="1">
        <v>1</v>
      </c>
      <c r="W88">
        <v>24</v>
      </c>
      <c r="X88">
        <v>26</v>
      </c>
      <c r="Y88">
        <v>3</v>
      </c>
      <c r="Z88">
        <v>-1</v>
      </c>
      <c r="AA88" s="1">
        <v>0.88461538500000003</v>
      </c>
      <c r="AB88" s="1">
        <v>0.95833333300000001</v>
      </c>
    </row>
    <row r="89" spans="1:28" x14ac:dyDescent="0.45">
      <c r="A89" t="s">
        <v>5443</v>
      </c>
      <c r="B89" t="s">
        <v>5444</v>
      </c>
      <c r="C89" t="s">
        <v>5466</v>
      </c>
      <c r="D89">
        <v>0</v>
      </c>
      <c r="E89">
        <v>0</v>
      </c>
      <c r="F89">
        <v>0</v>
      </c>
      <c r="G89">
        <v>0</v>
      </c>
      <c r="H89">
        <v>0</v>
      </c>
      <c r="K89">
        <v>11</v>
      </c>
      <c r="L89">
        <v>14</v>
      </c>
      <c r="M89">
        <v>4</v>
      </c>
      <c r="N89">
        <v>-1</v>
      </c>
      <c r="O89" s="1">
        <v>0.71428571399999996</v>
      </c>
      <c r="P89" s="1">
        <v>0.909090909</v>
      </c>
      <c r="Q89">
        <v>3</v>
      </c>
      <c r="R89">
        <v>2</v>
      </c>
      <c r="S89">
        <v>1</v>
      </c>
      <c r="T89">
        <v>-2</v>
      </c>
      <c r="U89" s="1">
        <v>0.5</v>
      </c>
      <c r="V89" s="1">
        <v>0.33333333300000001</v>
      </c>
      <c r="W89">
        <v>14</v>
      </c>
      <c r="X89">
        <v>16</v>
      </c>
      <c r="Y89">
        <v>5</v>
      </c>
      <c r="Z89">
        <v>-3</v>
      </c>
      <c r="AA89" s="1">
        <v>0.6875</v>
      </c>
      <c r="AB89" s="1">
        <v>0.78571428600000004</v>
      </c>
    </row>
    <row r="90" spans="1:28" x14ac:dyDescent="0.45">
      <c r="A90" t="s">
        <v>5443</v>
      </c>
      <c r="B90" t="s">
        <v>5444</v>
      </c>
      <c r="C90" t="s">
        <v>6029</v>
      </c>
      <c r="D90">
        <v>4</v>
      </c>
      <c r="E90">
        <v>3</v>
      </c>
      <c r="F90">
        <v>0</v>
      </c>
      <c r="G90">
        <v>0</v>
      </c>
      <c r="H90">
        <v>-1</v>
      </c>
      <c r="I90" s="1">
        <v>1</v>
      </c>
      <c r="J90" s="1">
        <v>0.75</v>
      </c>
      <c r="K90">
        <v>0</v>
      </c>
      <c r="L90">
        <v>2</v>
      </c>
      <c r="M90">
        <v>1</v>
      </c>
      <c r="N90">
        <v>1</v>
      </c>
      <c r="O90" s="1">
        <v>0.5</v>
      </c>
      <c r="Q90">
        <v>1</v>
      </c>
      <c r="R90">
        <v>1</v>
      </c>
      <c r="S90">
        <v>0</v>
      </c>
      <c r="T90">
        <v>0</v>
      </c>
      <c r="U90" s="1">
        <v>1</v>
      </c>
      <c r="V90" s="1">
        <v>1</v>
      </c>
      <c r="W90">
        <v>5</v>
      </c>
      <c r="X90">
        <v>6</v>
      </c>
      <c r="Y90">
        <v>1</v>
      </c>
      <c r="Z90">
        <v>0</v>
      </c>
      <c r="AA90" s="1">
        <v>0.83333333300000001</v>
      </c>
      <c r="AB90" s="1">
        <v>1</v>
      </c>
    </row>
    <row r="91" spans="1:28" x14ac:dyDescent="0.45">
      <c r="A91" t="s">
        <v>5443</v>
      </c>
      <c r="B91" t="s">
        <v>5444</v>
      </c>
      <c r="C91" t="s">
        <v>5460</v>
      </c>
      <c r="D91">
        <v>12</v>
      </c>
      <c r="E91">
        <v>13</v>
      </c>
      <c r="F91">
        <v>4</v>
      </c>
      <c r="G91">
        <v>0</v>
      </c>
      <c r="H91">
        <v>-3</v>
      </c>
      <c r="I91" s="1">
        <v>0.69230769199999997</v>
      </c>
      <c r="J91" s="1">
        <v>0.75</v>
      </c>
      <c r="K91">
        <v>13</v>
      </c>
      <c r="L91">
        <v>18</v>
      </c>
      <c r="M91">
        <v>5</v>
      </c>
      <c r="N91">
        <v>0</v>
      </c>
      <c r="O91" s="1">
        <v>0.72222222199999997</v>
      </c>
      <c r="P91" s="1">
        <v>1</v>
      </c>
      <c r="Q91">
        <v>2</v>
      </c>
      <c r="R91">
        <v>1</v>
      </c>
      <c r="S91">
        <v>0</v>
      </c>
      <c r="T91">
        <v>-1</v>
      </c>
      <c r="U91" s="1">
        <v>1</v>
      </c>
      <c r="V91" s="1">
        <v>0.5</v>
      </c>
      <c r="W91">
        <v>27</v>
      </c>
      <c r="X91">
        <v>32</v>
      </c>
      <c r="Y91">
        <v>9</v>
      </c>
      <c r="Z91">
        <v>-4</v>
      </c>
      <c r="AA91" s="1">
        <v>0.71875</v>
      </c>
      <c r="AB91" s="1">
        <v>0.85185185200000002</v>
      </c>
    </row>
    <row r="92" spans="1:28" x14ac:dyDescent="0.45">
      <c r="A92" t="s">
        <v>5443</v>
      </c>
      <c r="B92" t="s">
        <v>5444</v>
      </c>
      <c r="C92" t="s">
        <v>5553</v>
      </c>
      <c r="D92">
        <v>8</v>
      </c>
      <c r="E92">
        <v>8</v>
      </c>
      <c r="F92">
        <v>1</v>
      </c>
      <c r="G92">
        <v>0</v>
      </c>
      <c r="H92">
        <v>-1</v>
      </c>
      <c r="I92" s="1">
        <v>0.875</v>
      </c>
      <c r="J92" s="1">
        <v>0.875</v>
      </c>
      <c r="K92">
        <v>1</v>
      </c>
      <c r="L92">
        <v>3</v>
      </c>
      <c r="M92">
        <v>0</v>
      </c>
      <c r="N92">
        <v>2</v>
      </c>
      <c r="O92" s="1">
        <v>1</v>
      </c>
      <c r="P92" s="1">
        <v>3</v>
      </c>
      <c r="Q92">
        <v>1</v>
      </c>
      <c r="R92">
        <v>1</v>
      </c>
      <c r="S92">
        <v>1</v>
      </c>
      <c r="T92">
        <v>-1</v>
      </c>
      <c r="U92" s="1">
        <v>0</v>
      </c>
      <c r="V92" s="1">
        <v>0</v>
      </c>
      <c r="W92">
        <v>10</v>
      </c>
      <c r="X92">
        <v>12</v>
      </c>
      <c r="Y92">
        <v>2</v>
      </c>
      <c r="Z92">
        <v>0</v>
      </c>
      <c r="AA92" s="1">
        <v>0.83333333300000001</v>
      </c>
      <c r="AB92" s="1">
        <v>1</v>
      </c>
    </row>
    <row r="93" spans="1:28" x14ac:dyDescent="0.45">
      <c r="A93" t="s">
        <v>5443</v>
      </c>
      <c r="B93" t="s">
        <v>5444</v>
      </c>
      <c r="C93" t="s">
        <v>5895</v>
      </c>
      <c r="D93">
        <v>4</v>
      </c>
      <c r="E93">
        <v>4</v>
      </c>
      <c r="F93">
        <v>0</v>
      </c>
      <c r="G93">
        <v>0</v>
      </c>
      <c r="H93">
        <v>0</v>
      </c>
      <c r="I93" s="1">
        <v>1</v>
      </c>
      <c r="J93" s="1">
        <v>1</v>
      </c>
      <c r="K93">
        <v>2</v>
      </c>
      <c r="L93">
        <v>2</v>
      </c>
      <c r="M93">
        <v>0</v>
      </c>
      <c r="N93">
        <v>0</v>
      </c>
      <c r="O93" s="1">
        <v>1</v>
      </c>
      <c r="P93" s="1">
        <v>1</v>
      </c>
      <c r="Q93">
        <v>1</v>
      </c>
      <c r="R93">
        <v>1</v>
      </c>
      <c r="S93">
        <v>0</v>
      </c>
      <c r="T93">
        <v>0</v>
      </c>
      <c r="U93" s="1">
        <v>1</v>
      </c>
      <c r="V93" s="1">
        <v>1</v>
      </c>
      <c r="W93">
        <v>7</v>
      </c>
      <c r="X93">
        <v>7</v>
      </c>
      <c r="Y93">
        <v>0</v>
      </c>
      <c r="Z93">
        <v>0</v>
      </c>
      <c r="AA93" s="1">
        <v>1</v>
      </c>
      <c r="AB93" s="1">
        <v>1</v>
      </c>
    </row>
    <row r="94" spans="1:28" x14ac:dyDescent="0.45">
      <c r="A94" t="s">
        <v>5443</v>
      </c>
      <c r="B94" t="s">
        <v>5450</v>
      </c>
      <c r="C94" t="s">
        <v>5986</v>
      </c>
      <c r="D94">
        <v>1</v>
      </c>
      <c r="E94">
        <v>1</v>
      </c>
      <c r="F94">
        <v>0</v>
      </c>
      <c r="G94">
        <v>0</v>
      </c>
      <c r="H94">
        <v>0</v>
      </c>
      <c r="I94" s="1">
        <v>1</v>
      </c>
      <c r="J94" s="1">
        <v>1</v>
      </c>
      <c r="K94">
        <v>1</v>
      </c>
      <c r="L94">
        <v>1</v>
      </c>
      <c r="M94">
        <v>0</v>
      </c>
      <c r="N94">
        <v>0</v>
      </c>
      <c r="O94" s="1">
        <v>1</v>
      </c>
      <c r="P94" s="1">
        <v>1</v>
      </c>
      <c r="Q94">
        <v>0</v>
      </c>
      <c r="R94">
        <v>0</v>
      </c>
      <c r="S94">
        <v>0</v>
      </c>
      <c r="T94">
        <v>0</v>
      </c>
      <c r="W94">
        <v>2</v>
      </c>
      <c r="X94">
        <v>2</v>
      </c>
      <c r="Y94">
        <v>0</v>
      </c>
      <c r="Z94">
        <v>0</v>
      </c>
      <c r="AA94" s="1">
        <v>1</v>
      </c>
      <c r="AB94" s="1">
        <v>1</v>
      </c>
    </row>
    <row r="95" spans="1:28" x14ac:dyDescent="0.45">
      <c r="A95" t="s">
        <v>5443</v>
      </c>
      <c r="B95" t="s">
        <v>5450</v>
      </c>
      <c r="C95" t="s">
        <v>5731</v>
      </c>
      <c r="D95">
        <v>2</v>
      </c>
      <c r="E95">
        <v>2</v>
      </c>
      <c r="F95">
        <v>0</v>
      </c>
      <c r="G95">
        <v>0</v>
      </c>
      <c r="H95">
        <v>0</v>
      </c>
      <c r="I95" s="1">
        <v>1</v>
      </c>
      <c r="J95" s="1">
        <v>1</v>
      </c>
      <c r="K95">
        <v>2</v>
      </c>
      <c r="L95">
        <v>2</v>
      </c>
      <c r="M95">
        <v>0</v>
      </c>
      <c r="N95">
        <v>0</v>
      </c>
      <c r="O95" s="1">
        <v>1</v>
      </c>
      <c r="P95" s="1">
        <v>1</v>
      </c>
      <c r="Q95">
        <v>0</v>
      </c>
      <c r="R95">
        <v>0</v>
      </c>
      <c r="S95">
        <v>0</v>
      </c>
      <c r="T95">
        <v>0</v>
      </c>
      <c r="W95">
        <v>4</v>
      </c>
      <c r="X95">
        <v>4</v>
      </c>
      <c r="Y95">
        <v>0</v>
      </c>
      <c r="Z95">
        <v>0</v>
      </c>
      <c r="AA95" s="1">
        <v>1</v>
      </c>
      <c r="AB95" s="1">
        <v>1</v>
      </c>
    </row>
    <row r="96" spans="1:28" x14ac:dyDescent="0.45">
      <c r="A96" t="s">
        <v>5443</v>
      </c>
      <c r="B96" t="s">
        <v>5450</v>
      </c>
      <c r="C96" t="s">
        <v>5527</v>
      </c>
      <c r="D96">
        <v>0</v>
      </c>
      <c r="E96">
        <v>0</v>
      </c>
      <c r="F96">
        <v>0</v>
      </c>
      <c r="G96">
        <v>0</v>
      </c>
      <c r="H96">
        <v>0</v>
      </c>
      <c r="K96">
        <v>2</v>
      </c>
      <c r="L96">
        <v>2</v>
      </c>
      <c r="M96">
        <v>1</v>
      </c>
      <c r="N96">
        <v>-1</v>
      </c>
      <c r="O96" s="1">
        <v>0.5</v>
      </c>
      <c r="P96" s="1">
        <v>0.5</v>
      </c>
      <c r="Q96">
        <v>1</v>
      </c>
      <c r="R96">
        <v>2</v>
      </c>
      <c r="S96">
        <v>0</v>
      </c>
      <c r="T96">
        <v>1</v>
      </c>
      <c r="U96" s="1">
        <v>1</v>
      </c>
      <c r="V96" s="1">
        <v>2</v>
      </c>
      <c r="W96">
        <v>3</v>
      </c>
      <c r="X96">
        <v>4</v>
      </c>
      <c r="Y96">
        <v>1</v>
      </c>
      <c r="Z96">
        <v>0</v>
      </c>
      <c r="AA96" s="1">
        <v>0.75</v>
      </c>
      <c r="AB96" s="1">
        <v>1</v>
      </c>
    </row>
    <row r="97" spans="1:28" x14ac:dyDescent="0.45">
      <c r="A97" t="s">
        <v>5443</v>
      </c>
      <c r="B97" t="s">
        <v>5450</v>
      </c>
      <c r="C97" t="s">
        <v>5853</v>
      </c>
      <c r="D97">
        <v>0</v>
      </c>
      <c r="E97">
        <v>0</v>
      </c>
      <c r="F97">
        <v>0</v>
      </c>
      <c r="G97">
        <v>0</v>
      </c>
      <c r="H97">
        <v>0</v>
      </c>
      <c r="K97">
        <v>1</v>
      </c>
      <c r="L97">
        <v>1</v>
      </c>
      <c r="M97">
        <v>0</v>
      </c>
      <c r="N97">
        <v>0</v>
      </c>
      <c r="O97" s="1">
        <v>1</v>
      </c>
      <c r="P97" s="1">
        <v>1</v>
      </c>
      <c r="Q97">
        <v>0</v>
      </c>
      <c r="R97">
        <v>0</v>
      </c>
      <c r="S97">
        <v>0</v>
      </c>
      <c r="T97">
        <v>0</v>
      </c>
      <c r="W97">
        <v>1</v>
      </c>
      <c r="X97">
        <v>1</v>
      </c>
      <c r="Y97">
        <v>0</v>
      </c>
      <c r="Z97">
        <v>0</v>
      </c>
      <c r="AA97" s="1">
        <v>1</v>
      </c>
      <c r="AB97" s="1">
        <v>1</v>
      </c>
    </row>
    <row r="98" spans="1:28" x14ac:dyDescent="0.45">
      <c r="A98" t="s">
        <v>5443</v>
      </c>
      <c r="B98" t="s">
        <v>5450</v>
      </c>
      <c r="C98" t="s">
        <v>5451</v>
      </c>
      <c r="D98">
        <v>1</v>
      </c>
      <c r="E98">
        <v>3</v>
      </c>
      <c r="F98">
        <v>0</v>
      </c>
      <c r="G98">
        <v>0</v>
      </c>
      <c r="H98">
        <v>2</v>
      </c>
      <c r="I98" s="1">
        <v>1</v>
      </c>
      <c r="J98" s="1">
        <v>3</v>
      </c>
      <c r="K98">
        <v>4</v>
      </c>
      <c r="L98">
        <v>5</v>
      </c>
      <c r="M98">
        <v>1</v>
      </c>
      <c r="N98">
        <v>0</v>
      </c>
      <c r="O98" s="1">
        <v>0.8</v>
      </c>
      <c r="P98" s="1">
        <v>1</v>
      </c>
      <c r="Q98">
        <v>0</v>
      </c>
      <c r="R98">
        <v>0</v>
      </c>
      <c r="S98">
        <v>0</v>
      </c>
      <c r="T98">
        <v>0</v>
      </c>
      <c r="W98">
        <v>5</v>
      </c>
      <c r="X98">
        <v>8</v>
      </c>
      <c r="Y98">
        <v>1</v>
      </c>
      <c r="Z98">
        <v>2</v>
      </c>
      <c r="AA98" s="1">
        <v>0.875</v>
      </c>
      <c r="AB98" s="1">
        <v>1.4</v>
      </c>
    </row>
    <row r="99" spans="1:28" x14ac:dyDescent="0.45">
      <c r="A99" t="s">
        <v>5443</v>
      </c>
      <c r="B99" t="s">
        <v>5450</v>
      </c>
      <c r="C99" t="s">
        <v>5639</v>
      </c>
      <c r="D99">
        <v>0</v>
      </c>
      <c r="E99">
        <v>0</v>
      </c>
      <c r="F99">
        <v>0</v>
      </c>
      <c r="G99">
        <v>0</v>
      </c>
      <c r="H99">
        <v>0</v>
      </c>
      <c r="K99">
        <v>2</v>
      </c>
      <c r="L99">
        <v>4</v>
      </c>
      <c r="M99">
        <v>0</v>
      </c>
      <c r="N99">
        <v>2</v>
      </c>
      <c r="O99" s="1">
        <v>1</v>
      </c>
      <c r="P99" s="1">
        <v>2</v>
      </c>
      <c r="Q99">
        <v>0</v>
      </c>
      <c r="R99">
        <v>0</v>
      </c>
      <c r="S99">
        <v>0</v>
      </c>
      <c r="T99">
        <v>0</v>
      </c>
      <c r="W99">
        <v>2</v>
      </c>
      <c r="X99">
        <v>4</v>
      </c>
      <c r="Y99">
        <v>0</v>
      </c>
      <c r="Z99">
        <v>2</v>
      </c>
      <c r="AA99" s="1">
        <v>1</v>
      </c>
      <c r="AB99" s="1">
        <v>2</v>
      </c>
    </row>
    <row r="100" spans="1:28" x14ac:dyDescent="0.45">
      <c r="A100" t="s">
        <v>5443</v>
      </c>
      <c r="B100" t="s">
        <v>5450</v>
      </c>
      <c r="C100" t="s">
        <v>5623</v>
      </c>
      <c r="D100">
        <v>3</v>
      </c>
      <c r="E100">
        <v>3</v>
      </c>
      <c r="F100">
        <v>1</v>
      </c>
      <c r="G100">
        <v>0</v>
      </c>
      <c r="H100">
        <v>-1</v>
      </c>
      <c r="I100" s="1">
        <v>0.66666666699999999</v>
      </c>
      <c r="J100" s="1">
        <v>0.66666666699999999</v>
      </c>
      <c r="K100">
        <v>1</v>
      </c>
      <c r="L100">
        <v>3</v>
      </c>
      <c r="M100">
        <v>0</v>
      </c>
      <c r="N100">
        <v>2</v>
      </c>
      <c r="O100" s="1">
        <v>1</v>
      </c>
      <c r="P100" s="1">
        <v>3</v>
      </c>
      <c r="Q100">
        <v>0</v>
      </c>
      <c r="R100">
        <v>0</v>
      </c>
      <c r="S100">
        <v>0</v>
      </c>
      <c r="T100">
        <v>0</v>
      </c>
      <c r="W100">
        <v>4</v>
      </c>
      <c r="X100">
        <v>6</v>
      </c>
      <c r="Y100">
        <v>1</v>
      </c>
      <c r="Z100">
        <v>1</v>
      </c>
      <c r="AA100" s="1">
        <v>0.83333333300000001</v>
      </c>
      <c r="AB100" s="1">
        <v>1.25</v>
      </c>
    </row>
    <row r="101" spans="1:28" x14ac:dyDescent="0.45">
      <c r="A101" t="s">
        <v>5443</v>
      </c>
      <c r="B101" t="s">
        <v>5450</v>
      </c>
      <c r="C101" t="s">
        <v>5582</v>
      </c>
      <c r="D101">
        <v>13</v>
      </c>
      <c r="E101">
        <v>13</v>
      </c>
      <c r="F101">
        <v>2</v>
      </c>
      <c r="G101">
        <v>0</v>
      </c>
      <c r="H101">
        <v>-2</v>
      </c>
      <c r="I101" s="1">
        <v>0.84615384599999999</v>
      </c>
      <c r="J101" s="1">
        <v>0.84615384599999999</v>
      </c>
      <c r="K101">
        <v>4</v>
      </c>
      <c r="L101">
        <v>6</v>
      </c>
      <c r="M101">
        <v>1</v>
      </c>
      <c r="N101">
        <v>1</v>
      </c>
      <c r="O101" s="1">
        <v>0.83333333300000001</v>
      </c>
      <c r="P101" s="1">
        <v>1.25</v>
      </c>
      <c r="Q101">
        <v>3</v>
      </c>
      <c r="R101">
        <v>4</v>
      </c>
      <c r="S101">
        <v>2</v>
      </c>
      <c r="T101">
        <v>-1</v>
      </c>
      <c r="U101" s="1">
        <v>0.5</v>
      </c>
      <c r="V101" s="1">
        <v>0.66666666699999999</v>
      </c>
      <c r="W101">
        <v>20</v>
      </c>
      <c r="X101">
        <v>23</v>
      </c>
      <c r="Y101">
        <v>5</v>
      </c>
      <c r="Z101">
        <v>-2</v>
      </c>
      <c r="AA101" s="1">
        <v>0.78260869600000005</v>
      </c>
      <c r="AB101" s="1">
        <v>0.9</v>
      </c>
    </row>
    <row r="102" spans="1:28" x14ac:dyDescent="0.45">
      <c r="A102" t="s">
        <v>5443</v>
      </c>
      <c r="B102" t="s">
        <v>5450</v>
      </c>
      <c r="C102" t="s">
        <v>5571</v>
      </c>
      <c r="D102">
        <v>5</v>
      </c>
      <c r="E102">
        <v>6</v>
      </c>
      <c r="F102">
        <v>0</v>
      </c>
      <c r="G102">
        <v>1</v>
      </c>
      <c r="H102">
        <v>1</v>
      </c>
      <c r="I102" s="1">
        <v>1</v>
      </c>
      <c r="J102" s="1">
        <v>1.2</v>
      </c>
      <c r="K102">
        <v>2</v>
      </c>
      <c r="L102">
        <v>3</v>
      </c>
      <c r="M102">
        <v>1</v>
      </c>
      <c r="N102">
        <v>0</v>
      </c>
      <c r="O102" s="1">
        <v>0.66666666699999999</v>
      </c>
      <c r="P102" s="1">
        <v>1</v>
      </c>
      <c r="Q102">
        <v>0</v>
      </c>
      <c r="R102">
        <v>1</v>
      </c>
      <c r="S102">
        <v>0</v>
      </c>
      <c r="T102">
        <v>1</v>
      </c>
      <c r="U102" s="1">
        <v>1</v>
      </c>
      <c r="W102">
        <v>7</v>
      </c>
      <c r="X102">
        <v>10</v>
      </c>
      <c r="Y102">
        <v>1</v>
      </c>
      <c r="Z102">
        <v>2</v>
      </c>
      <c r="AA102" s="1">
        <v>0.9</v>
      </c>
      <c r="AB102" s="1">
        <v>1.2857142859999999</v>
      </c>
    </row>
    <row r="103" spans="1:28" x14ac:dyDescent="0.45">
      <c r="A103" t="s">
        <v>5443</v>
      </c>
      <c r="B103" t="s">
        <v>5450</v>
      </c>
      <c r="C103" t="s">
        <v>5594</v>
      </c>
      <c r="D103">
        <v>2</v>
      </c>
      <c r="E103">
        <v>2</v>
      </c>
      <c r="F103">
        <v>0</v>
      </c>
      <c r="G103">
        <v>2</v>
      </c>
      <c r="H103">
        <v>0</v>
      </c>
      <c r="I103" s="1">
        <v>1</v>
      </c>
      <c r="J103" s="1">
        <v>1</v>
      </c>
      <c r="K103">
        <v>3</v>
      </c>
      <c r="L103">
        <v>4</v>
      </c>
      <c r="M103">
        <v>3</v>
      </c>
      <c r="N103">
        <v>-2</v>
      </c>
      <c r="O103" s="1">
        <v>0.25</v>
      </c>
      <c r="P103" s="1">
        <v>0.33333333300000001</v>
      </c>
      <c r="Q103">
        <v>1</v>
      </c>
      <c r="R103">
        <v>1</v>
      </c>
      <c r="S103">
        <v>0</v>
      </c>
      <c r="T103">
        <v>0</v>
      </c>
      <c r="U103" s="1">
        <v>1</v>
      </c>
      <c r="V103" s="1">
        <v>1</v>
      </c>
      <c r="W103">
        <v>6</v>
      </c>
      <c r="X103">
        <v>7</v>
      </c>
      <c r="Y103">
        <v>3</v>
      </c>
      <c r="Z103">
        <v>-2</v>
      </c>
      <c r="AA103" s="1">
        <v>0.571428571</v>
      </c>
      <c r="AB103" s="1">
        <v>0.66666666699999999</v>
      </c>
    </row>
    <row r="104" spans="1:28" x14ac:dyDescent="0.45">
      <c r="A104" t="s">
        <v>5443</v>
      </c>
      <c r="B104" t="s">
        <v>5450</v>
      </c>
      <c r="C104" t="s">
        <v>5528</v>
      </c>
      <c r="D104">
        <v>3</v>
      </c>
      <c r="E104">
        <v>3</v>
      </c>
      <c r="F104">
        <v>0</v>
      </c>
      <c r="G104">
        <v>0</v>
      </c>
      <c r="H104">
        <v>0</v>
      </c>
      <c r="I104" s="1">
        <v>1</v>
      </c>
      <c r="J104" s="1">
        <v>1</v>
      </c>
      <c r="K104">
        <v>2</v>
      </c>
      <c r="L104">
        <v>5</v>
      </c>
      <c r="M104">
        <v>2</v>
      </c>
      <c r="N104">
        <v>1</v>
      </c>
      <c r="O104" s="1">
        <v>0.6</v>
      </c>
      <c r="P104" s="1">
        <v>1.5</v>
      </c>
      <c r="Q104">
        <v>0</v>
      </c>
      <c r="R104">
        <v>0</v>
      </c>
      <c r="S104">
        <v>0</v>
      </c>
      <c r="T104">
        <v>0</v>
      </c>
      <c r="W104">
        <v>5</v>
      </c>
      <c r="X104">
        <v>8</v>
      </c>
      <c r="Y104">
        <v>2</v>
      </c>
      <c r="Z104">
        <v>1</v>
      </c>
      <c r="AA104" s="1">
        <v>0.75</v>
      </c>
      <c r="AB104" s="1">
        <v>1.2</v>
      </c>
    </row>
    <row r="105" spans="1:28" x14ac:dyDescent="0.45">
      <c r="A105" t="s">
        <v>5443</v>
      </c>
      <c r="B105" t="s">
        <v>5450</v>
      </c>
      <c r="C105" t="s">
        <v>5558</v>
      </c>
      <c r="D105">
        <v>5</v>
      </c>
      <c r="E105">
        <v>4</v>
      </c>
      <c r="F105">
        <v>0</v>
      </c>
      <c r="G105">
        <v>0</v>
      </c>
      <c r="H105">
        <v>-1</v>
      </c>
      <c r="I105" s="1">
        <v>1</v>
      </c>
      <c r="J105" s="1">
        <v>0.8</v>
      </c>
      <c r="K105">
        <v>2</v>
      </c>
      <c r="L105">
        <v>4</v>
      </c>
      <c r="M105">
        <v>0</v>
      </c>
      <c r="N105">
        <v>2</v>
      </c>
      <c r="O105" s="1">
        <v>1</v>
      </c>
      <c r="P105" s="1">
        <v>2</v>
      </c>
      <c r="Q105">
        <v>1</v>
      </c>
      <c r="R105">
        <v>0</v>
      </c>
      <c r="S105">
        <v>0</v>
      </c>
      <c r="T105">
        <v>-1</v>
      </c>
      <c r="V105" s="1">
        <v>0</v>
      </c>
      <c r="W105">
        <v>8</v>
      </c>
      <c r="X105">
        <v>8</v>
      </c>
      <c r="Y105">
        <v>0</v>
      </c>
      <c r="Z105">
        <v>0</v>
      </c>
      <c r="AA105" s="1">
        <v>1</v>
      </c>
      <c r="AB105" s="1">
        <v>1</v>
      </c>
    </row>
    <row r="106" spans="1:28" x14ac:dyDescent="0.45">
      <c r="A106" t="s">
        <v>5443</v>
      </c>
      <c r="B106" t="s">
        <v>5450</v>
      </c>
      <c r="C106" t="s">
        <v>5592</v>
      </c>
      <c r="D106">
        <v>0</v>
      </c>
      <c r="E106">
        <v>0</v>
      </c>
      <c r="F106">
        <v>0</v>
      </c>
      <c r="G106">
        <v>0</v>
      </c>
      <c r="H106">
        <v>0</v>
      </c>
      <c r="K106">
        <v>3</v>
      </c>
      <c r="L106">
        <v>5</v>
      </c>
      <c r="M106">
        <v>3</v>
      </c>
      <c r="N106">
        <v>-1</v>
      </c>
      <c r="O106" s="1">
        <v>0.4</v>
      </c>
      <c r="P106" s="1">
        <v>0.66666666699999999</v>
      </c>
      <c r="Q106">
        <v>1</v>
      </c>
      <c r="R106">
        <v>0</v>
      </c>
      <c r="S106">
        <v>0</v>
      </c>
      <c r="T106">
        <v>-1</v>
      </c>
      <c r="V106" s="1">
        <v>0</v>
      </c>
      <c r="W106">
        <v>4</v>
      </c>
      <c r="X106">
        <v>5</v>
      </c>
      <c r="Y106">
        <v>3</v>
      </c>
      <c r="Z106">
        <v>-2</v>
      </c>
      <c r="AA106" s="1">
        <v>0.4</v>
      </c>
      <c r="AB106" s="1">
        <v>0.5</v>
      </c>
    </row>
    <row r="107" spans="1:28" x14ac:dyDescent="0.45">
      <c r="A107" t="s">
        <v>5443</v>
      </c>
      <c r="B107" t="s">
        <v>5450</v>
      </c>
      <c r="C107" t="s">
        <v>5514</v>
      </c>
      <c r="D107">
        <v>3</v>
      </c>
      <c r="E107">
        <v>3</v>
      </c>
      <c r="F107">
        <v>0</v>
      </c>
      <c r="G107">
        <v>0</v>
      </c>
      <c r="H107">
        <v>0</v>
      </c>
      <c r="I107" s="1">
        <v>1</v>
      </c>
      <c r="J107" s="1">
        <v>1</v>
      </c>
      <c r="K107">
        <v>3</v>
      </c>
      <c r="L107">
        <v>8</v>
      </c>
      <c r="M107">
        <v>3</v>
      </c>
      <c r="N107">
        <v>2</v>
      </c>
      <c r="O107" s="1">
        <v>0.625</v>
      </c>
      <c r="P107" s="1">
        <v>1.6666666670000001</v>
      </c>
      <c r="Q107">
        <v>2</v>
      </c>
      <c r="R107">
        <v>0</v>
      </c>
      <c r="S107">
        <v>0</v>
      </c>
      <c r="T107">
        <v>-2</v>
      </c>
      <c r="V107" s="1">
        <v>0</v>
      </c>
      <c r="W107">
        <v>8</v>
      </c>
      <c r="X107">
        <v>11</v>
      </c>
      <c r="Y107">
        <v>3</v>
      </c>
      <c r="Z107">
        <v>0</v>
      </c>
      <c r="AA107" s="1">
        <v>0.72727272700000001</v>
      </c>
      <c r="AB107" s="1">
        <v>1</v>
      </c>
    </row>
    <row r="108" spans="1:28" x14ac:dyDescent="0.45">
      <c r="A108" t="s">
        <v>5443</v>
      </c>
      <c r="B108" t="s">
        <v>5458</v>
      </c>
      <c r="C108" t="s">
        <v>5494</v>
      </c>
      <c r="D108">
        <v>10</v>
      </c>
      <c r="E108">
        <v>10</v>
      </c>
      <c r="F108">
        <v>2</v>
      </c>
      <c r="G108">
        <v>0</v>
      </c>
      <c r="H108">
        <v>-2</v>
      </c>
      <c r="I108" s="1">
        <v>0.8</v>
      </c>
      <c r="J108" s="1">
        <v>0.8</v>
      </c>
      <c r="K108">
        <v>10</v>
      </c>
      <c r="L108">
        <v>12</v>
      </c>
      <c r="M108">
        <v>1</v>
      </c>
      <c r="N108">
        <v>1</v>
      </c>
      <c r="O108" s="1">
        <v>0.91666666699999999</v>
      </c>
      <c r="P108" s="1">
        <v>1.1000000000000001</v>
      </c>
      <c r="Q108">
        <v>2</v>
      </c>
      <c r="R108">
        <v>2</v>
      </c>
      <c r="S108">
        <v>0</v>
      </c>
      <c r="T108">
        <v>0</v>
      </c>
      <c r="U108" s="1">
        <v>1</v>
      </c>
      <c r="V108" s="1">
        <v>1</v>
      </c>
      <c r="W108">
        <v>22</v>
      </c>
      <c r="X108">
        <v>24</v>
      </c>
      <c r="Y108">
        <v>3</v>
      </c>
      <c r="Z108">
        <v>-1</v>
      </c>
      <c r="AA108" s="1">
        <v>0.875</v>
      </c>
      <c r="AB108" s="1">
        <v>0.95454545499999999</v>
      </c>
    </row>
    <row r="109" spans="1:28" x14ac:dyDescent="0.45">
      <c r="A109" t="s">
        <v>5443</v>
      </c>
      <c r="B109" t="s">
        <v>5458</v>
      </c>
      <c r="C109" t="s">
        <v>5604</v>
      </c>
      <c r="D109">
        <v>3</v>
      </c>
      <c r="E109">
        <v>3</v>
      </c>
      <c r="F109">
        <v>0</v>
      </c>
      <c r="G109">
        <v>0</v>
      </c>
      <c r="H109">
        <v>0</v>
      </c>
      <c r="I109" s="1">
        <v>1</v>
      </c>
      <c r="J109" s="1">
        <v>1</v>
      </c>
      <c r="K109">
        <v>5</v>
      </c>
      <c r="L109">
        <v>6</v>
      </c>
      <c r="M109">
        <v>2</v>
      </c>
      <c r="N109">
        <v>-1</v>
      </c>
      <c r="O109" s="1">
        <v>0.66666666699999999</v>
      </c>
      <c r="P109" s="1">
        <v>0.8</v>
      </c>
      <c r="Q109">
        <v>1</v>
      </c>
      <c r="R109">
        <v>2</v>
      </c>
      <c r="S109">
        <v>1</v>
      </c>
      <c r="T109">
        <v>0</v>
      </c>
      <c r="U109" s="1">
        <v>0.5</v>
      </c>
      <c r="V109" s="1">
        <v>1</v>
      </c>
      <c r="W109">
        <v>9</v>
      </c>
      <c r="X109">
        <v>11</v>
      </c>
      <c r="Y109">
        <v>3</v>
      </c>
      <c r="Z109">
        <v>-1</v>
      </c>
      <c r="AA109" s="1">
        <v>0.72727272700000001</v>
      </c>
      <c r="AB109" s="1">
        <v>0.88888888899999996</v>
      </c>
    </row>
    <row r="110" spans="1:28" x14ac:dyDescent="0.45">
      <c r="A110" t="s">
        <v>5443</v>
      </c>
      <c r="B110" t="s">
        <v>5458</v>
      </c>
      <c r="C110" t="s">
        <v>5608</v>
      </c>
      <c r="D110">
        <v>0</v>
      </c>
      <c r="E110">
        <v>0</v>
      </c>
      <c r="F110">
        <v>0</v>
      </c>
      <c r="G110">
        <v>0</v>
      </c>
      <c r="H110">
        <v>0</v>
      </c>
      <c r="K110">
        <v>17</v>
      </c>
      <c r="L110">
        <v>19</v>
      </c>
      <c r="M110">
        <v>1</v>
      </c>
      <c r="N110">
        <v>1</v>
      </c>
      <c r="O110" s="1">
        <v>0.94736842099999996</v>
      </c>
      <c r="P110" s="1">
        <v>1.0588235290000001</v>
      </c>
      <c r="Q110">
        <v>5</v>
      </c>
      <c r="R110">
        <v>4</v>
      </c>
      <c r="S110">
        <v>1</v>
      </c>
      <c r="T110">
        <v>-2</v>
      </c>
      <c r="U110" s="1">
        <v>0.75</v>
      </c>
      <c r="V110" s="1">
        <v>0.6</v>
      </c>
      <c r="W110">
        <v>22</v>
      </c>
      <c r="X110">
        <v>23</v>
      </c>
      <c r="Y110">
        <v>2</v>
      </c>
      <c r="Z110">
        <v>-1</v>
      </c>
      <c r="AA110" s="1">
        <v>0.91304347799999996</v>
      </c>
      <c r="AB110" s="1">
        <v>0.95454545499999999</v>
      </c>
    </row>
    <row r="111" spans="1:28" x14ac:dyDescent="0.45">
      <c r="A111" t="s">
        <v>5443</v>
      </c>
      <c r="B111" t="s">
        <v>5458</v>
      </c>
      <c r="C111" t="s">
        <v>5616</v>
      </c>
      <c r="D111">
        <v>7</v>
      </c>
      <c r="E111">
        <v>9</v>
      </c>
      <c r="F111">
        <v>0</v>
      </c>
      <c r="G111">
        <v>0</v>
      </c>
      <c r="H111">
        <v>2</v>
      </c>
      <c r="I111" s="1">
        <v>1</v>
      </c>
      <c r="J111" s="1">
        <v>1.2857142859999999</v>
      </c>
      <c r="K111">
        <v>2</v>
      </c>
      <c r="L111">
        <v>2</v>
      </c>
      <c r="M111">
        <v>0</v>
      </c>
      <c r="N111">
        <v>0</v>
      </c>
      <c r="O111" s="1">
        <v>1</v>
      </c>
      <c r="P111" s="1">
        <v>1</v>
      </c>
      <c r="Q111">
        <v>1</v>
      </c>
      <c r="R111">
        <v>1</v>
      </c>
      <c r="S111">
        <v>0</v>
      </c>
      <c r="T111">
        <v>0</v>
      </c>
      <c r="U111" s="1">
        <v>1</v>
      </c>
      <c r="V111" s="1">
        <v>1</v>
      </c>
      <c r="W111">
        <v>10</v>
      </c>
      <c r="X111">
        <v>12</v>
      </c>
      <c r="Y111">
        <v>0</v>
      </c>
      <c r="Z111">
        <v>2</v>
      </c>
      <c r="AA111" s="1">
        <v>1</v>
      </c>
      <c r="AB111" s="1">
        <v>1.2</v>
      </c>
    </row>
    <row r="112" spans="1:28" x14ac:dyDescent="0.45">
      <c r="A112" t="s">
        <v>5443</v>
      </c>
      <c r="B112" t="s">
        <v>5458</v>
      </c>
      <c r="C112" t="s">
        <v>5519</v>
      </c>
      <c r="D112">
        <v>0</v>
      </c>
      <c r="E112">
        <v>0</v>
      </c>
      <c r="F112">
        <v>0</v>
      </c>
      <c r="G112">
        <v>0</v>
      </c>
      <c r="H112">
        <v>0</v>
      </c>
      <c r="K112">
        <v>14</v>
      </c>
      <c r="L112">
        <v>23</v>
      </c>
      <c r="M112">
        <v>9</v>
      </c>
      <c r="N112">
        <v>0</v>
      </c>
      <c r="O112" s="1">
        <v>0.60869565199999998</v>
      </c>
      <c r="P112" s="1">
        <v>1</v>
      </c>
      <c r="Q112">
        <v>0</v>
      </c>
      <c r="R112">
        <v>0</v>
      </c>
      <c r="S112">
        <v>0</v>
      </c>
      <c r="T112">
        <v>0</v>
      </c>
      <c r="W112">
        <v>14</v>
      </c>
      <c r="X112">
        <v>23</v>
      </c>
      <c r="Y112">
        <v>9</v>
      </c>
      <c r="Z112">
        <v>0</v>
      </c>
      <c r="AA112" s="1">
        <v>0.60869565199999998</v>
      </c>
      <c r="AB112" s="1">
        <v>1</v>
      </c>
    </row>
    <row r="113" spans="1:28" x14ac:dyDescent="0.45">
      <c r="A113" t="s">
        <v>5443</v>
      </c>
      <c r="B113" t="s">
        <v>5458</v>
      </c>
      <c r="C113" t="s">
        <v>5459</v>
      </c>
      <c r="D113">
        <v>8</v>
      </c>
      <c r="E113">
        <v>9</v>
      </c>
      <c r="F113">
        <v>1</v>
      </c>
      <c r="G113">
        <v>1</v>
      </c>
      <c r="H113">
        <v>0</v>
      </c>
      <c r="I113" s="1">
        <v>0.88888888899999996</v>
      </c>
      <c r="J113" s="1">
        <v>1</v>
      </c>
      <c r="K113">
        <v>12</v>
      </c>
      <c r="L113">
        <v>15</v>
      </c>
      <c r="M113">
        <v>2</v>
      </c>
      <c r="N113">
        <v>1</v>
      </c>
      <c r="O113" s="1">
        <v>0.86666666699999995</v>
      </c>
      <c r="P113" s="1">
        <v>1.0833333329999999</v>
      </c>
      <c r="Q113">
        <v>2</v>
      </c>
      <c r="R113">
        <v>2</v>
      </c>
      <c r="S113">
        <v>0</v>
      </c>
      <c r="T113">
        <v>0</v>
      </c>
      <c r="U113" s="1">
        <v>1</v>
      </c>
      <c r="V113" s="1">
        <v>1</v>
      </c>
      <c r="W113">
        <v>22</v>
      </c>
      <c r="X113">
        <v>26</v>
      </c>
      <c r="Y113">
        <v>3</v>
      </c>
      <c r="Z113">
        <v>1</v>
      </c>
      <c r="AA113" s="1">
        <v>0.88461538500000003</v>
      </c>
      <c r="AB113" s="1">
        <v>1.0454545449999999</v>
      </c>
    </row>
    <row r="114" spans="1:28" x14ac:dyDescent="0.45">
      <c r="A114" t="s">
        <v>5443</v>
      </c>
      <c r="B114" t="s">
        <v>5458</v>
      </c>
      <c r="C114" t="s">
        <v>5479</v>
      </c>
      <c r="D114">
        <v>5</v>
      </c>
      <c r="E114">
        <v>5</v>
      </c>
      <c r="F114">
        <v>0</v>
      </c>
      <c r="G114">
        <v>0</v>
      </c>
      <c r="H114">
        <v>0</v>
      </c>
      <c r="I114" s="1">
        <v>1</v>
      </c>
      <c r="J114" s="1">
        <v>1</v>
      </c>
      <c r="K114">
        <v>11</v>
      </c>
      <c r="L114">
        <v>13</v>
      </c>
      <c r="M114">
        <v>1</v>
      </c>
      <c r="N114">
        <v>1</v>
      </c>
      <c r="O114" s="1">
        <v>0.92307692299999999</v>
      </c>
      <c r="P114" s="1">
        <v>1.0909090910000001</v>
      </c>
      <c r="Q114">
        <v>2</v>
      </c>
      <c r="R114">
        <v>1</v>
      </c>
      <c r="S114">
        <v>0</v>
      </c>
      <c r="T114">
        <v>-1</v>
      </c>
      <c r="U114" s="1">
        <v>1</v>
      </c>
      <c r="V114" s="1">
        <v>0.5</v>
      </c>
      <c r="W114">
        <v>18</v>
      </c>
      <c r="X114">
        <v>19</v>
      </c>
      <c r="Y114">
        <v>1</v>
      </c>
      <c r="Z114">
        <v>0</v>
      </c>
      <c r="AA114" s="1">
        <v>0.94736842099999996</v>
      </c>
      <c r="AB114" s="1">
        <v>1</v>
      </c>
    </row>
    <row r="115" spans="1:28" x14ac:dyDescent="0.45">
      <c r="A115" t="s">
        <v>5443</v>
      </c>
      <c r="B115" t="s">
        <v>5458</v>
      </c>
      <c r="C115" t="s">
        <v>6279</v>
      </c>
      <c r="D115">
        <v>1</v>
      </c>
      <c r="E115">
        <v>1</v>
      </c>
      <c r="F115">
        <v>0</v>
      </c>
      <c r="G115">
        <v>0</v>
      </c>
      <c r="H115">
        <v>0</v>
      </c>
      <c r="I115" s="1">
        <v>1</v>
      </c>
      <c r="J115" s="1">
        <v>1</v>
      </c>
      <c r="K115">
        <v>2</v>
      </c>
      <c r="L115">
        <v>2</v>
      </c>
      <c r="M115">
        <v>1</v>
      </c>
      <c r="N115">
        <v>-1</v>
      </c>
      <c r="O115" s="1">
        <v>0.5</v>
      </c>
      <c r="P115" s="1">
        <v>0.5</v>
      </c>
      <c r="Q115">
        <v>1</v>
      </c>
      <c r="R115">
        <v>1</v>
      </c>
      <c r="S115">
        <v>0</v>
      </c>
      <c r="T115">
        <v>0</v>
      </c>
      <c r="U115" s="1">
        <v>1</v>
      </c>
      <c r="V115" s="1">
        <v>1</v>
      </c>
      <c r="W115">
        <v>4</v>
      </c>
      <c r="X115">
        <v>4</v>
      </c>
      <c r="Y115">
        <v>1</v>
      </c>
      <c r="Z115">
        <v>-1</v>
      </c>
      <c r="AA115" s="1">
        <v>0.75</v>
      </c>
      <c r="AB115" s="1">
        <v>0.75</v>
      </c>
    </row>
    <row r="116" spans="1:28" x14ac:dyDescent="0.45">
      <c r="A116" t="s">
        <v>5443</v>
      </c>
      <c r="B116" t="s">
        <v>5458</v>
      </c>
      <c r="C116" t="s">
        <v>5521</v>
      </c>
      <c r="D116">
        <v>7</v>
      </c>
      <c r="E116">
        <v>6</v>
      </c>
      <c r="F116">
        <v>0</v>
      </c>
      <c r="G116">
        <v>0</v>
      </c>
      <c r="H116">
        <v>-1</v>
      </c>
      <c r="I116" s="1">
        <v>1</v>
      </c>
      <c r="J116" s="1">
        <v>0.85714285700000004</v>
      </c>
      <c r="K116">
        <v>14</v>
      </c>
      <c r="L116">
        <v>17</v>
      </c>
      <c r="M116">
        <v>3</v>
      </c>
      <c r="N116">
        <v>0</v>
      </c>
      <c r="O116" s="1">
        <v>0.82352941199999996</v>
      </c>
      <c r="P116" s="1">
        <v>1</v>
      </c>
      <c r="Q116">
        <v>3</v>
      </c>
      <c r="R116">
        <v>2</v>
      </c>
      <c r="S116">
        <v>1</v>
      </c>
      <c r="T116">
        <v>-2</v>
      </c>
      <c r="U116" s="1">
        <v>0.5</v>
      </c>
      <c r="V116" s="1">
        <v>0.33333333300000001</v>
      </c>
      <c r="W116">
        <v>24</v>
      </c>
      <c r="X116">
        <v>25</v>
      </c>
      <c r="Y116">
        <v>4</v>
      </c>
      <c r="Z116">
        <v>-3</v>
      </c>
      <c r="AA116" s="1">
        <v>0.84</v>
      </c>
      <c r="AB116" s="1">
        <v>0.875</v>
      </c>
    </row>
    <row r="117" spans="1:28" x14ac:dyDescent="0.45">
      <c r="A117" t="s">
        <v>5443</v>
      </c>
      <c r="B117" t="s">
        <v>5524</v>
      </c>
      <c r="C117" t="s">
        <v>5607</v>
      </c>
      <c r="D117">
        <v>2</v>
      </c>
      <c r="E117">
        <v>2</v>
      </c>
      <c r="F117">
        <v>0</v>
      </c>
      <c r="G117">
        <v>2</v>
      </c>
      <c r="H117">
        <v>0</v>
      </c>
      <c r="I117" s="1">
        <v>1</v>
      </c>
      <c r="J117" s="1">
        <v>1</v>
      </c>
      <c r="K117">
        <v>3</v>
      </c>
      <c r="L117">
        <v>3</v>
      </c>
      <c r="M117">
        <v>2</v>
      </c>
      <c r="N117">
        <v>-2</v>
      </c>
      <c r="O117" s="1">
        <v>0.33333333300000001</v>
      </c>
      <c r="P117" s="1">
        <v>0.33333333300000001</v>
      </c>
      <c r="Q117">
        <v>0</v>
      </c>
      <c r="R117">
        <v>0</v>
      </c>
      <c r="S117">
        <v>0</v>
      </c>
      <c r="T117">
        <v>0</v>
      </c>
      <c r="W117">
        <v>5</v>
      </c>
      <c r="X117">
        <v>5</v>
      </c>
      <c r="Y117">
        <v>2</v>
      </c>
      <c r="Z117">
        <v>-2</v>
      </c>
      <c r="AA117" s="1">
        <v>0.6</v>
      </c>
      <c r="AB117" s="1">
        <v>0.6</v>
      </c>
    </row>
    <row r="118" spans="1:28" x14ac:dyDescent="0.45">
      <c r="A118" t="s">
        <v>5443</v>
      </c>
      <c r="B118" t="s">
        <v>5524</v>
      </c>
      <c r="C118" t="s">
        <v>5567</v>
      </c>
      <c r="D118">
        <v>0</v>
      </c>
      <c r="E118">
        <v>0</v>
      </c>
      <c r="F118">
        <v>0</v>
      </c>
      <c r="G118">
        <v>0</v>
      </c>
      <c r="H118">
        <v>0</v>
      </c>
      <c r="K118">
        <v>2</v>
      </c>
      <c r="L118">
        <v>3</v>
      </c>
      <c r="M118">
        <v>0</v>
      </c>
      <c r="N118">
        <v>1</v>
      </c>
      <c r="O118" s="1">
        <v>1</v>
      </c>
      <c r="P118" s="1">
        <v>1.5</v>
      </c>
      <c r="Q118">
        <v>0</v>
      </c>
      <c r="R118">
        <v>0</v>
      </c>
      <c r="S118">
        <v>0</v>
      </c>
      <c r="T118">
        <v>0</v>
      </c>
      <c r="W118">
        <v>2</v>
      </c>
      <c r="X118">
        <v>3</v>
      </c>
      <c r="Y118">
        <v>0</v>
      </c>
      <c r="Z118">
        <v>1</v>
      </c>
      <c r="AA118" s="1">
        <v>1</v>
      </c>
      <c r="AB118" s="1">
        <v>1.5</v>
      </c>
    </row>
    <row r="119" spans="1:28" x14ac:dyDescent="0.45">
      <c r="A119" t="s">
        <v>5443</v>
      </c>
      <c r="B119" t="s">
        <v>5524</v>
      </c>
      <c r="C119" t="s">
        <v>5570</v>
      </c>
      <c r="D119">
        <v>0</v>
      </c>
      <c r="E119">
        <v>0</v>
      </c>
      <c r="F119">
        <v>0</v>
      </c>
      <c r="G119">
        <v>0</v>
      </c>
      <c r="H119">
        <v>0</v>
      </c>
      <c r="K119">
        <v>2</v>
      </c>
      <c r="L119">
        <v>3</v>
      </c>
      <c r="M119">
        <v>1</v>
      </c>
      <c r="N119">
        <v>0</v>
      </c>
      <c r="O119" s="1">
        <v>0.66666666699999999</v>
      </c>
      <c r="P119" s="1">
        <v>1</v>
      </c>
      <c r="Q119">
        <v>0</v>
      </c>
      <c r="R119">
        <v>0</v>
      </c>
      <c r="S119">
        <v>0</v>
      </c>
      <c r="T119">
        <v>0</v>
      </c>
      <c r="W119">
        <v>2</v>
      </c>
      <c r="X119">
        <v>3</v>
      </c>
      <c r="Y119">
        <v>1</v>
      </c>
      <c r="Z119">
        <v>0</v>
      </c>
      <c r="AA119" s="1">
        <v>0.66666666699999999</v>
      </c>
      <c r="AB119" s="1">
        <v>1</v>
      </c>
    </row>
    <row r="120" spans="1:28" x14ac:dyDescent="0.45">
      <c r="A120" t="s">
        <v>5443</v>
      </c>
      <c r="B120" t="s">
        <v>5524</v>
      </c>
      <c r="C120" t="s">
        <v>5525</v>
      </c>
      <c r="D120">
        <v>2</v>
      </c>
      <c r="E120">
        <v>4</v>
      </c>
      <c r="F120">
        <v>2</v>
      </c>
      <c r="G120">
        <v>0</v>
      </c>
      <c r="H120">
        <v>0</v>
      </c>
      <c r="I120" s="1">
        <v>0.5</v>
      </c>
      <c r="J120" s="1">
        <v>1</v>
      </c>
      <c r="K120">
        <v>3</v>
      </c>
      <c r="L120">
        <v>5</v>
      </c>
      <c r="M120">
        <v>2</v>
      </c>
      <c r="N120">
        <v>0</v>
      </c>
      <c r="O120" s="1">
        <v>0.6</v>
      </c>
      <c r="P120" s="1">
        <v>1</v>
      </c>
      <c r="Q120">
        <v>0</v>
      </c>
      <c r="R120">
        <v>0</v>
      </c>
      <c r="S120">
        <v>0</v>
      </c>
      <c r="T120">
        <v>0</v>
      </c>
      <c r="W120">
        <v>5</v>
      </c>
      <c r="X120">
        <v>9</v>
      </c>
      <c r="Y120">
        <v>4</v>
      </c>
      <c r="Z120">
        <v>0</v>
      </c>
      <c r="AA120" s="1">
        <v>0.55555555599999995</v>
      </c>
      <c r="AB120" s="1">
        <v>1</v>
      </c>
    </row>
    <row r="121" spans="1:28" x14ac:dyDescent="0.45">
      <c r="A121" t="s">
        <v>5443</v>
      </c>
      <c r="B121" t="s">
        <v>5524</v>
      </c>
      <c r="C121" t="s">
        <v>5541</v>
      </c>
      <c r="D121">
        <v>11</v>
      </c>
      <c r="E121">
        <v>8</v>
      </c>
      <c r="F121">
        <v>2</v>
      </c>
      <c r="G121">
        <v>0</v>
      </c>
      <c r="H121">
        <v>-5</v>
      </c>
      <c r="I121" s="1">
        <v>0.75</v>
      </c>
      <c r="J121" s="1">
        <v>0.54545454500000001</v>
      </c>
      <c r="K121">
        <v>2</v>
      </c>
      <c r="L121">
        <v>12</v>
      </c>
      <c r="M121">
        <v>3</v>
      </c>
      <c r="N121">
        <v>7</v>
      </c>
      <c r="O121" s="1">
        <v>0.75</v>
      </c>
      <c r="P121" s="1">
        <v>4.5</v>
      </c>
      <c r="Q121">
        <v>0</v>
      </c>
      <c r="R121">
        <v>0</v>
      </c>
      <c r="S121">
        <v>0</v>
      </c>
      <c r="T121">
        <v>0</v>
      </c>
      <c r="W121">
        <v>13</v>
      </c>
      <c r="X121">
        <v>20</v>
      </c>
      <c r="Y121">
        <v>5</v>
      </c>
      <c r="Z121">
        <v>2</v>
      </c>
      <c r="AA121" s="1">
        <v>0.75</v>
      </c>
      <c r="AB121" s="1">
        <v>1.153846154</v>
      </c>
    </row>
    <row r="122" spans="1:28" x14ac:dyDescent="0.45">
      <c r="A122" t="s">
        <v>5443</v>
      </c>
      <c r="B122" t="s">
        <v>5524</v>
      </c>
      <c r="C122" t="s">
        <v>5624</v>
      </c>
      <c r="D122">
        <v>3</v>
      </c>
      <c r="E122">
        <v>3</v>
      </c>
      <c r="F122">
        <v>1</v>
      </c>
      <c r="G122">
        <v>0</v>
      </c>
      <c r="H122">
        <v>-1</v>
      </c>
      <c r="I122" s="1">
        <v>0.66666666699999999</v>
      </c>
      <c r="J122" s="1">
        <v>0.66666666699999999</v>
      </c>
      <c r="K122">
        <v>1</v>
      </c>
      <c r="L122">
        <v>2</v>
      </c>
      <c r="M122">
        <v>0</v>
      </c>
      <c r="N122">
        <v>1</v>
      </c>
      <c r="O122" s="1">
        <v>1</v>
      </c>
      <c r="P122" s="1">
        <v>2</v>
      </c>
      <c r="Q122">
        <v>0</v>
      </c>
      <c r="R122">
        <v>0</v>
      </c>
      <c r="S122">
        <v>0</v>
      </c>
      <c r="T122">
        <v>0</v>
      </c>
      <c r="W122">
        <v>4</v>
      </c>
      <c r="X122">
        <v>5</v>
      </c>
      <c r="Y122">
        <v>1</v>
      </c>
      <c r="Z122">
        <v>0</v>
      </c>
      <c r="AA122" s="1">
        <v>0.8</v>
      </c>
      <c r="AB122" s="1">
        <v>1</v>
      </c>
    </row>
    <row r="123" spans="1:28" x14ac:dyDescent="0.45">
      <c r="A123" t="s">
        <v>5443</v>
      </c>
      <c r="B123" t="s">
        <v>5524</v>
      </c>
      <c r="C123" t="s">
        <v>5989</v>
      </c>
      <c r="D123">
        <v>0</v>
      </c>
      <c r="E123">
        <v>1</v>
      </c>
      <c r="F123">
        <v>0</v>
      </c>
      <c r="G123">
        <v>0</v>
      </c>
      <c r="H123">
        <v>1</v>
      </c>
      <c r="I123" s="1">
        <v>1</v>
      </c>
      <c r="K123">
        <v>3</v>
      </c>
      <c r="L123">
        <v>2</v>
      </c>
      <c r="M123">
        <v>0</v>
      </c>
      <c r="N123">
        <v>-1</v>
      </c>
      <c r="O123" s="1">
        <v>1</v>
      </c>
      <c r="P123" s="1">
        <v>0.66666666699999999</v>
      </c>
      <c r="Q123">
        <v>0</v>
      </c>
      <c r="R123">
        <v>0</v>
      </c>
      <c r="S123">
        <v>0</v>
      </c>
      <c r="T123">
        <v>0</v>
      </c>
      <c r="W123">
        <v>3</v>
      </c>
      <c r="X123">
        <v>3</v>
      </c>
      <c r="Y123">
        <v>0</v>
      </c>
      <c r="Z123">
        <v>0</v>
      </c>
      <c r="AA123" s="1">
        <v>1</v>
      </c>
      <c r="AB123" s="1">
        <v>1</v>
      </c>
    </row>
    <row r="124" spans="1:28" x14ac:dyDescent="0.45">
      <c r="A124" t="s">
        <v>5443</v>
      </c>
      <c r="B124" t="s">
        <v>5524</v>
      </c>
      <c r="C124" t="s">
        <v>5534</v>
      </c>
      <c r="D124">
        <v>7</v>
      </c>
      <c r="E124">
        <v>9</v>
      </c>
      <c r="F124">
        <v>0</v>
      </c>
      <c r="G124">
        <v>0</v>
      </c>
      <c r="H124">
        <v>2</v>
      </c>
      <c r="I124" s="1">
        <v>1</v>
      </c>
      <c r="J124" s="1">
        <v>1.2857142859999999</v>
      </c>
      <c r="K124">
        <v>13</v>
      </c>
      <c r="L124">
        <v>20</v>
      </c>
      <c r="M124">
        <v>6</v>
      </c>
      <c r="N124">
        <v>1</v>
      </c>
      <c r="O124" s="1">
        <v>0.7</v>
      </c>
      <c r="P124" s="1">
        <v>1.076923077</v>
      </c>
      <c r="Q124">
        <v>2</v>
      </c>
      <c r="R124">
        <v>2</v>
      </c>
      <c r="S124">
        <v>0</v>
      </c>
      <c r="T124">
        <v>0</v>
      </c>
      <c r="U124" s="1">
        <v>1</v>
      </c>
      <c r="V124" s="1">
        <v>1</v>
      </c>
      <c r="W124">
        <v>22</v>
      </c>
      <c r="X124">
        <v>31</v>
      </c>
      <c r="Y124">
        <v>6</v>
      </c>
      <c r="Z124">
        <v>3</v>
      </c>
      <c r="AA124" s="1">
        <v>0.80645161300000001</v>
      </c>
      <c r="AB124" s="1">
        <v>1.136363636</v>
      </c>
    </row>
    <row r="125" spans="1:28" x14ac:dyDescent="0.45">
      <c r="A125" t="s">
        <v>5443</v>
      </c>
      <c r="B125" t="s">
        <v>5524</v>
      </c>
      <c r="C125" t="s">
        <v>5753</v>
      </c>
      <c r="D125">
        <v>2</v>
      </c>
      <c r="E125">
        <v>2</v>
      </c>
      <c r="F125">
        <v>0</v>
      </c>
      <c r="G125">
        <v>1</v>
      </c>
      <c r="H125">
        <v>0</v>
      </c>
      <c r="I125" s="1">
        <v>1</v>
      </c>
      <c r="J125" s="1">
        <v>1</v>
      </c>
      <c r="K125">
        <v>7</v>
      </c>
      <c r="L125">
        <v>8</v>
      </c>
      <c r="M125">
        <v>2</v>
      </c>
      <c r="N125">
        <v>-1</v>
      </c>
      <c r="O125" s="1">
        <v>0.75</v>
      </c>
      <c r="P125" s="1">
        <v>0.85714285700000004</v>
      </c>
      <c r="Q125">
        <v>1</v>
      </c>
      <c r="R125">
        <v>1</v>
      </c>
      <c r="S125">
        <v>0</v>
      </c>
      <c r="T125">
        <v>0</v>
      </c>
      <c r="U125" s="1">
        <v>1</v>
      </c>
      <c r="V125" s="1">
        <v>1</v>
      </c>
      <c r="W125">
        <v>10</v>
      </c>
      <c r="X125">
        <v>11</v>
      </c>
      <c r="Y125">
        <v>2</v>
      </c>
      <c r="Z125">
        <v>-1</v>
      </c>
      <c r="AA125" s="1">
        <v>0.81818181800000001</v>
      </c>
      <c r="AB125" s="1">
        <v>0.9</v>
      </c>
    </row>
    <row r="126" spans="1:28" x14ac:dyDescent="0.45">
      <c r="A126" t="s">
        <v>5443</v>
      </c>
      <c r="B126" t="s">
        <v>5524</v>
      </c>
      <c r="C126" t="s">
        <v>5556</v>
      </c>
      <c r="D126">
        <v>5</v>
      </c>
      <c r="E126">
        <v>5</v>
      </c>
      <c r="F126">
        <v>0</v>
      </c>
      <c r="G126">
        <v>0</v>
      </c>
      <c r="H126">
        <v>0</v>
      </c>
      <c r="I126" s="1">
        <v>1</v>
      </c>
      <c r="J126" s="1">
        <v>1</v>
      </c>
      <c r="K126">
        <v>2</v>
      </c>
      <c r="L126">
        <v>3</v>
      </c>
      <c r="M126">
        <v>1</v>
      </c>
      <c r="N126">
        <v>0</v>
      </c>
      <c r="O126" s="1">
        <v>0.66666666699999999</v>
      </c>
      <c r="P126" s="1">
        <v>1</v>
      </c>
      <c r="Q126">
        <v>0</v>
      </c>
      <c r="R126">
        <v>0</v>
      </c>
      <c r="S126">
        <v>0</v>
      </c>
      <c r="T126">
        <v>0</v>
      </c>
      <c r="W126">
        <v>7</v>
      </c>
      <c r="X126">
        <v>8</v>
      </c>
      <c r="Y126">
        <v>1</v>
      </c>
      <c r="Z126">
        <v>0</v>
      </c>
      <c r="AA126" s="1">
        <v>0.875</v>
      </c>
      <c r="AB126" s="1">
        <v>1</v>
      </c>
    </row>
    <row r="127" spans="1:28" x14ac:dyDescent="0.45">
      <c r="A127" t="s">
        <v>5443</v>
      </c>
      <c r="B127" t="s">
        <v>5524</v>
      </c>
      <c r="C127" t="s">
        <v>5534</v>
      </c>
      <c r="D127">
        <v>7</v>
      </c>
      <c r="E127">
        <v>9</v>
      </c>
      <c r="F127">
        <v>0</v>
      </c>
      <c r="G127">
        <v>0</v>
      </c>
      <c r="H127">
        <v>2</v>
      </c>
      <c r="I127" s="1">
        <v>1</v>
      </c>
      <c r="J127" s="1">
        <v>1.2857142859999999</v>
      </c>
      <c r="K127">
        <v>13</v>
      </c>
      <c r="L127">
        <v>19</v>
      </c>
      <c r="M127">
        <v>5</v>
      </c>
      <c r="N127">
        <v>1</v>
      </c>
      <c r="O127" s="1">
        <v>0.73684210500000002</v>
      </c>
      <c r="P127" s="1">
        <v>1.076923077</v>
      </c>
      <c r="Q127">
        <v>2</v>
      </c>
      <c r="R127">
        <v>2</v>
      </c>
      <c r="S127">
        <v>0</v>
      </c>
      <c r="T127">
        <v>0</v>
      </c>
      <c r="U127" s="1">
        <v>1</v>
      </c>
      <c r="V127" s="1">
        <v>1</v>
      </c>
      <c r="W127">
        <v>22</v>
      </c>
      <c r="X127">
        <v>30</v>
      </c>
      <c r="Y127">
        <v>5</v>
      </c>
      <c r="Z127">
        <v>3</v>
      </c>
      <c r="AA127" s="1">
        <v>0.83333333300000001</v>
      </c>
      <c r="AB127" s="1">
        <v>1.136363636</v>
      </c>
    </row>
    <row r="128" spans="1:28" x14ac:dyDescent="0.45">
      <c r="A128" t="s">
        <v>5443</v>
      </c>
      <c r="B128" t="s">
        <v>5524</v>
      </c>
      <c r="C128" t="s">
        <v>5753</v>
      </c>
      <c r="D128">
        <v>2</v>
      </c>
      <c r="E128">
        <v>2</v>
      </c>
      <c r="F128">
        <v>0</v>
      </c>
      <c r="G128">
        <v>1</v>
      </c>
      <c r="H128">
        <v>0</v>
      </c>
      <c r="I128" s="1">
        <v>1</v>
      </c>
      <c r="J128" s="1">
        <v>1</v>
      </c>
      <c r="K128">
        <v>7</v>
      </c>
      <c r="L128">
        <v>8</v>
      </c>
      <c r="M128">
        <v>1</v>
      </c>
      <c r="N128">
        <v>0</v>
      </c>
      <c r="O128" s="1">
        <v>0.875</v>
      </c>
      <c r="P128" s="1">
        <v>1</v>
      </c>
      <c r="Q128">
        <v>1</v>
      </c>
      <c r="R128">
        <v>1</v>
      </c>
      <c r="S128">
        <v>0</v>
      </c>
      <c r="T128">
        <v>0</v>
      </c>
      <c r="U128" s="1">
        <v>1</v>
      </c>
      <c r="V128" s="1">
        <v>1</v>
      </c>
      <c r="W128">
        <v>10</v>
      </c>
      <c r="X128">
        <v>11</v>
      </c>
      <c r="Y128">
        <v>1</v>
      </c>
      <c r="Z128">
        <v>0</v>
      </c>
      <c r="AA128" s="1">
        <v>0.909090909</v>
      </c>
      <c r="AB128" s="1">
        <v>1</v>
      </c>
    </row>
    <row r="129" spans="1:28" x14ac:dyDescent="0.45">
      <c r="A129" t="s">
        <v>5443</v>
      </c>
      <c r="B129" t="s">
        <v>5524</v>
      </c>
      <c r="C129" t="s">
        <v>5556</v>
      </c>
      <c r="D129">
        <v>5</v>
      </c>
      <c r="E129">
        <v>5</v>
      </c>
      <c r="F129">
        <v>0</v>
      </c>
      <c r="G129">
        <v>0</v>
      </c>
      <c r="H129">
        <v>0</v>
      </c>
      <c r="I129" s="1">
        <v>1</v>
      </c>
      <c r="J129" s="1">
        <v>1</v>
      </c>
      <c r="K129">
        <v>2</v>
      </c>
      <c r="L129">
        <v>3</v>
      </c>
      <c r="M129">
        <v>1</v>
      </c>
      <c r="N129">
        <v>0</v>
      </c>
      <c r="O129" s="1">
        <v>0.66666666699999999</v>
      </c>
      <c r="P129" s="1">
        <v>1</v>
      </c>
      <c r="Q129">
        <v>0</v>
      </c>
      <c r="R129">
        <v>0</v>
      </c>
      <c r="S129">
        <v>0</v>
      </c>
      <c r="T129">
        <v>0</v>
      </c>
      <c r="W129">
        <v>7</v>
      </c>
      <c r="X129">
        <v>8</v>
      </c>
      <c r="Y129">
        <v>1</v>
      </c>
      <c r="Z129">
        <v>0</v>
      </c>
      <c r="AA129" s="1">
        <v>0.875</v>
      </c>
      <c r="AB129" s="1">
        <v>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9D605-64C1-48D8-A99A-5E79F46A8BDF}">
  <dimension ref="A1:D146"/>
  <sheetViews>
    <sheetView topLeftCell="A89" workbookViewId="0">
      <selection sqref="A1:A139"/>
    </sheetView>
  </sheetViews>
  <sheetFormatPr defaultRowHeight="14.25" x14ac:dyDescent="0.45"/>
  <cols>
    <col min="1" max="1" width="27.6640625" bestFit="1" customWidth="1"/>
    <col min="2" max="2" width="18" bestFit="1" customWidth="1"/>
    <col min="3" max="3" width="27.86328125" style="2" bestFit="1" customWidth="1"/>
    <col min="4" max="4" width="14.33203125" bestFit="1" customWidth="1"/>
  </cols>
  <sheetData>
    <row r="1" spans="1:4" x14ac:dyDescent="0.45">
      <c r="A1" s="2" t="s">
        <v>13737</v>
      </c>
      <c r="B1" s="2" t="s">
        <v>13</v>
      </c>
      <c r="C1" s="2" t="s">
        <v>14094</v>
      </c>
      <c r="D1" s="2" t="s">
        <v>14133</v>
      </c>
    </row>
    <row r="2" spans="1:4" hidden="1" x14ac:dyDescent="0.45">
      <c r="A2" s="3"/>
      <c r="B2" s="5" t="s">
        <v>14099</v>
      </c>
      <c r="C2" s="5" t="s">
        <v>25</v>
      </c>
      <c r="D2" s="6" t="s">
        <v>14130</v>
      </c>
    </row>
    <row r="3" spans="1:4" x14ac:dyDescent="0.45">
      <c r="A3" s="7" t="s">
        <v>5606</v>
      </c>
      <c r="B3" s="2" t="s">
        <v>6782</v>
      </c>
      <c r="C3" s="4" t="s">
        <v>14095</v>
      </c>
      <c r="D3" s="2" t="s">
        <v>14134</v>
      </c>
    </row>
    <row r="4" spans="1:4" x14ac:dyDescent="0.45">
      <c r="A4" s="7" t="s">
        <v>5613</v>
      </c>
      <c r="B4" s="2" t="s">
        <v>6782</v>
      </c>
      <c r="C4" s="4" t="s">
        <v>14095</v>
      </c>
      <c r="D4" s="2" t="s">
        <v>14134</v>
      </c>
    </row>
    <row r="5" spans="1:4" x14ac:dyDescent="0.45">
      <c r="A5" s="7" t="s">
        <v>5540</v>
      </c>
      <c r="B5" s="2" t="s">
        <v>6782</v>
      </c>
      <c r="C5" s="4" t="s">
        <v>14095</v>
      </c>
      <c r="D5" s="2" t="s">
        <v>14134</v>
      </c>
    </row>
    <row r="6" spans="1:4" x14ac:dyDescent="0.45">
      <c r="A6" s="7" t="s">
        <v>5432</v>
      </c>
      <c r="B6" s="2" t="s">
        <v>6782</v>
      </c>
      <c r="C6" s="4" t="s">
        <v>14095</v>
      </c>
      <c r="D6" s="2" t="s">
        <v>14134</v>
      </c>
    </row>
    <row r="7" spans="1:4" x14ac:dyDescent="0.45">
      <c r="A7" s="7" t="s">
        <v>5786</v>
      </c>
      <c r="B7" s="2" t="s">
        <v>6782</v>
      </c>
      <c r="C7" s="4" t="s">
        <v>14095</v>
      </c>
      <c r="D7" s="2" t="s">
        <v>14134</v>
      </c>
    </row>
    <row r="8" spans="1:4" x14ac:dyDescent="0.45">
      <c r="A8" s="7" t="s">
        <v>5532</v>
      </c>
      <c r="B8" s="2" t="s">
        <v>6782</v>
      </c>
      <c r="C8" s="4" t="s">
        <v>14095</v>
      </c>
      <c r="D8" s="2" t="s">
        <v>14134</v>
      </c>
    </row>
    <row r="9" spans="1:4" x14ac:dyDescent="0.45">
      <c r="A9" s="7" t="s">
        <v>5795</v>
      </c>
      <c r="B9" s="2" t="s">
        <v>6782</v>
      </c>
      <c r="C9" s="4" t="s">
        <v>14095</v>
      </c>
      <c r="D9" s="2" t="s">
        <v>14134</v>
      </c>
    </row>
    <row r="10" spans="1:4" x14ac:dyDescent="0.45">
      <c r="A10" s="7" t="s">
        <v>5477</v>
      </c>
      <c r="B10" s="2" t="s">
        <v>6782</v>
      </c>
      <c r="C10" s="4" t="s">
        <v>14095</v>
      </c>
      <c r="D10" s="2" t="s">
        <v>14134</v>
      </c>
    </row>
    <row r="11" spans="1:4" x14ac:dyDescent="0.45">
      <c r="A11" s="7" t="s">
        <v>5674</v>
      </c>
      <c r="B11" s="2" t="s">
        <v>6782</v>
      </c>
      <c r="C11" s="4" t="s">
        <v>14095</v>
      </c>
      <c r="D11" s="2" t="s">
        <v>14134</v>
      </c>
    </row>
    <row r="12" spans="1:4" x14ac:dyDescent="0.45">
      <c r="A12" s="7" t="s">
        <v>5669</v>
      </c>
      <c r="B12" s="2" t="s">
        <v>6782</v>
      </c>
      <c r="C12" s="4" t="s">
        <v>14095</v>
      </c>
      <c r="D12" s="2" t="s">
        <v>14134</v>
      </c>
    </row>
    <row r="13" spans="1:4" x14ac:dyDescent="0.45">
      <c r="A13" s="7" t="s">
        <v>5422</v>
      </c>
      <c r="B13" s="2" t="s">
        <v>6782</v>
      </c>
      <c r="C13" s="4" t="s">
        <v>14095</v>
      </c>
      <c r="D13" s="2" t="s">
        <v>14134</v>
      </c>
    </row>
    <row r="14" spans="1:4" x14ac:dyDescent="0.45">
      <c r="A14" s="7" t="s">
        <v>5559</v>
      </c>
      <c r="B14" s="2" t="s">
        <v>6782</v>
      </c>
      <c r="C14" s="4" t="s">
        <v>14095</v>
      </c>
      <c r="D14" s="2" t="s">
        <v>14134</v>
      </c>
    </row>
    <row r="15" spans="1:4" x14ac:dyDescent="0.45">
      <c r="A15" s="7" t="s">
        <v>5627</v>
      </c>
      <c r="B15" s="2" t="s">
        <v>6782</v>
      </c>
      <c r="C15" s="4" t="s">
        <v>14095</v>
      </c>
      <c r="D15" s="2" t="s">
        <v>14134</v>
      </c>
    </row>
    <row r="16" spans="1:4" x14ac:dyDescent="0.45">
      <c r="A16" s="7" t="s">
        <v>5727</v>
      </c>
      <c r="B16" s="2" t="s">
        <v>6782</v>
      </c>
      <c r="C16" s="4" t="s">
        <v>14095</v>
      </c>
      <c r="D16" s="2" t="s">
        <v>14134</v>
      </c>
    </row>
    <row r="17" spans="1:4" x14ac:dyDescent="0.45">
      <c r="A17" s="7" t="s">
        <v>5417</v>
      </c>
      <c r="B17" s="2" t="s">
        <v>6782</v>
      </c>
      <c r="C17" s="4" t="s">
        <v>14095</v>
      </c>
      <c r="D17" s="2" t="s">
        <v>14134</v>
      </c>
    </row>
    <row r="18" spans="1:4" x14ac:dyDescent="0.45">
      <c r="A18" s="7" t="s">
        <v>5516</v>
      </c>
      <c r="B18" s="2" t="s">
        <v>6782</v>
      </c>
      <c r="C18" s="4" t="s">
        <v>14095</v>
      </c>
      <c r="D18" s="2" t="s">
        <v>14134</v>
      </c>
    </row>
    <row r="19" spans="1:4" x14ac:dyDescent="0.45">
      <c r="A19" s="7" t="s">
        <v>5515</v>
      </c>
      <c r="B19" s="2" t="s">
        <v>6782</v>
      </c>
      <c r="C19" s="4" t="s">
        <v>14095</v>
      </c>
      <c r="D19" s="2" t="s">
        <v>14134</v>
      </c>
    </row>
    <row r="20" spans="1:4" hidden="1" x14ac:dyDescent="0.45">
      <c r="A20" s="3"/>
      <c r="B20" s="5" t="s">
        <v>14100</v>
      </c>
      <c r="C20" s="5" t="s">
        <v>14120</v>
      </c>
      <c r="D20" s="6" t="s">
        <v>14131</v>
      </c>
    </row>
    <row r="21" spans="1:4" hidden="1" x14ac:dyDescent="0.45">
      <c r="A21" s="3"/>
      <c r="B21" s="5" t="s">
        <v>14101</v>
      </c>
      <c r="C21" s="5" t="s">
        <v>14121</v>
      </c>
      <c r="D21" s="6" t="s">
        <v>14130</v>
      </c>
    </row>
    <row r="22" spans="1:4" hidden="1" x14ac:dyDescent="0.45">
      <c r="A22" s="3"/>
      <c r="B22" s="5" t="s">
        <v>14102</v>
      </c>
      <c r="C22" s="5" t="s">
        <v>3389</v>
      </c>
      <c r="D22" s="6" t="s">
        <v>14130</v>
      </c>
    </row>
    <row r="23" spans="1:4" hidden="1" x14ac:dyDescent="0.45">
      <c r="A23" s="3"/>
      <c r="B23" s="5" t="s">
        <v>14103</v>
      </c>
      <c r="C23" s="5" t="s">
        <v>2727</v>
      </c>
      <c r="D23" s="6" t="s">
        <v>14130</v>
      </c>
    </row>
    <row r="24" spans="1:4" hidden="1" x14ac:dyDescent="0.45">
      <c r="A24" s="3" t="s">
        <v>5608</v>
      </c>
      <c r="B24" s="2" t="s">
        <v>8972</v>
      </c>
      <c r="C24" s="2" t="s">
        <v>14132</v>
      </c>
      <c r="D24" s="2" t="s">
        <v>8972</v>
      </c>
    </row>
    <row r="25" spans="1:4" hidden="1" x14ac:dyDescent="0.45">
      <c r="A25" s="3" t="s">
        <v>5425</v>
      </c>
      <c r="B25" s="2" t="s">
        <v>8972</v>
      </c>
      <c r="C25" s="2" t="s">
        <v>14132</v>
      </c>
      <c r="D25" s="2" t="s">
        <v>8972</v>
      </c>
    </row>
    <row r="26" spans="1:4" hidden="1" x14ac:dyDescent="0.45">
      <c r="A26" s="3" t="s">
        <v>5453</v>
      </c>
      <c r="B26" s="2" t="s">
        <v>8972</v>
      </c>
      <c r="C26" s="2" t="s">
        <v>14132</v>
      </c>
      <c r="D26" s="2" t="s">
        <v>8972</v>
      </c>
    </row>
    <row r="27" spans="1:4" hidden="1" x14ac:dyDescent="0.45">
      <c r="A27" s="3" t="s">
        <v>5415</v>
      </c>
      <c r="B27" s="2" t="s">
        <v>8972</v>
      </c>
      <c r="C27" s="2" t="s">
        <v>14132</v>
      </c>
      <c r="D27" s="2" t="s">
        <v>8972</v>
      </c>
    </row>
    <row r="28" spans="1:4" hidden="1" x14ac:dyDescent="0.45">
      <c r="A28" s="3" t="s">
        <v>5472</v>
      </c>
      <c r="B28" s="2" t="s">
        <v>8972</v>
      </c>
      <c r="C28" s="2" t="s">
        <v>14132</v>
      </c>
      <c r="D28" s="2" t="s">
        <v>8972</v>
      </c>
    </row>
    <row r="29" spans="1:4" hidden="1" x14ac:dyDescent="0.45">
      <c r="A29" s="3" t="s">
        <v>5512</v>
      </c>
      <c r="B29" s="2" t="s">
        <v>8972</v>
      </c>
      <c r="C29" s="2" t="s">
        <v>14132</v>
      </c>
      <c r="D29" s="2" t="s">
        <v>8972</v>
      </c>
    </row>
    <row r="30" spans="1:4" hidden="1" x14ac:dyDescent="0.45">
      <c r="A30" s="3" t="s">
        <v>5499</v>
      </c>
      <c r="B30" s="2" t="s">
        <v>8972</v>
      </c>
      <c r="C30" s="2" t="s">
        <v>14132</v>
      </c>
      <c r="D30" s="2" t="s">
        <v>8972</v>
      </c>
    </row>
    <row r="31" spans="1:4" hidden="1" x14ac:dyDescent="0.45">
      <c r="A31" s="3" t="s">
        <v>5492</v>
      </c>
      <c r="B31" s="2" t="s">
        <v>8972</v>
      </c>
      <c r="C31" s="2" t="s">
        <v>14132</v>
      </c>
      <c r="D31" s="2" t="s">
        <v>8972</v>
      </c>
    </row>
    <row r="32" spans="1:4" hidden="1" x14ac:dyDescent="0.45">
      <c r="A32" s="3" t="s">
        <v>5497</v>
      </c>
      <c r="B32" s="2" t="s">
        <v>8972</v>
      </c>
      <c r="C32" s="2" t="s">
        <v>14132</v>
      </c>
      <c r="D32" s="2" t="s">
        <v>8972</v>
      </c>
    </row>
    <row r="33" spans="1:4" hidden="1" x14ac:dyDescent="0.45">
      <c r="A33" s="3" t="s">
        <v>5543</v>
      </c>
      <c r="B33" s="2" t="s">
        <v>8972</v>
      </c>
      <c r="C33" s="2" t="s">
        <v>14132</v>
      </c>
      <c r="D33" s="2" t="s">
        <v>8972</v>
      </c>
    </row>
    <row r="34" spans="1:4" hidden="1" x14ac:dyDescent="0.45">
      <c r="A34" s="3" t="s">
        <v>5582</v>
      </c>
      <c r="B34" s="2" t="s">
        <v>8972</v>
      </c>
      <c r="C34" s="2" t="s">
        <v>14132</v>
      </c>
      <c r="D34" s="2" t="s">
        <v>8972</v>
      </c>
    </row>
    <row r="35" spans="1:4" hidden="1" x14ac:dyDescent="0.45">
      <c r="A35" s="3" t="s">
        <v>5541</v>
      </c>
      <c r="B35" s="2" t="s">
        <v>8972</v>
      </c>
      <c r="C35" s="2" t="s">
        <v>14132</v>
      </c>
      <c r="D35" s="2" t="s">
        <v>8972</v>
      </c>
    </row>
    <row r="36" spans="1:4" hidden="1" x14ac:dyDescent="0.45">
      <c r="A36" s="3" t="s">
        <v>5428</v>
      </c>
      <c r="B36" s="2" t="s">
        <v>8972</v>
      </c>
      <c r="C36" s="2" t="s">
        <v>14132</v>
      </c>
      <c r="D36" s="2" t="s">
        <v>8972</v>
      </c>
    </row>
    <row r="37" spans="1:4" hidden="1" x14ac:dyDescent="0.45">
      <c r="A37" s="3" t="s">
        <v>5560</v>
      </c>
      <c r="B37" s="2" t="s">
        <v>8972</v>
      </c>
      <c r="C37" s="2" t="s">
        <v>14132</v>
      </c>
      <c r="D37" s="2" t="s">
        <v>8972</v>
      </c>
    </row>
    <row r="38" spans="1:4" hidden="1" x14ac:dyDescent="0.45">
      <c r="A38" s="3" t="s">
        <v>5671</v>
      </c>
      <c r="B38" s="2" t="s">
        <v>8972</v>
      </c>
      <c r="C38" s="2" t="s">
        <v>14132</v>
      </c>
      <c r="D38" s="2" t="s">
        <v>8972</v>
      </c>
    </row>
    <row r="39" spans="1:4" hidden="1" x14ac:dyDescent="0.45">
      <c r="A39" s="3" t="s">
        <v>5503</v>
      </c>
      <c r="B39" s="2" t="s">
        <v>8972</v>
      </c>
      <c r="C39" s="2" t="s">
        <v>14132</v>
      </c>
      <c r="D39" s="2" t="s">
        <v>8972</v>
      </c>
    </row>
    <row r="40" spans="1:4" hidden="1" x14ac:dyDescent="0.45">
      <c r="A40" s="3" t="s">
        <v>5401</v>
      </c>
      <c r="B40" s="2" t="s">
        <v>8972</v>
      </c>
      <c r="C40" s="2" t="s">
        <v>14132</v>
      </c>
      <c r="D40" s="2" t="s">
        <v>8972</v>
      </c>
    </row>
    <row r="41" spans="1:4" hidden="1" x14ac:dyDescent="0.45">
      <c r="A41" s="3" t="s">
        <v>5413</v>
      </c>
      <c r="B41" s="2" t="s">
        <v>8972</v>
      </c>
      <c r="C41" s="2" t="s">
        <v>14132</v>
      </c>
      <c r="D41" s="2" t="s">
        <v>8972</v>
      </c>
    </row>
    <row r="42" spans="1:4" hidden="1" x14ac:dyDescent="0.45">
      <c r="A42" s="3" t="s">
        <v>5433</v>
      </c>
      <c r="B42" s="2" t="s">
        <v>8972</v>
      </c>
      <c r="C42" s="2" t="s">
        <v>14132</v>
      </c>
      <c r="D42" s="2" t="s">
        <v>8972</v>
      </c>
    </row>
    <row r="43" spans="1:4" hidden="1" x14ac:dyDescent="0.45">
      <c r="A43" s="3" t="s">
        <v>5429</v>
      </c>
      <c r="B43" s="2" t="s">
        <v>8972</v>
      </c>
      <c r="C43" s="2" t="s">
        <v>14132</v>
      </c>
      <c r="D43" s="2" t="s">
        <v>8972</v>
      </c>
    </row>
    <row r="44" spans="1:4" hidden="1" x14ac:dyDescent="0.45">
      <c r="A44" s="3" t="s">
        <v>5405</v>
      </c>
      <c r="B44" s="2" t="s">
        <v>8972</v>
      </c>
      <c r="C44" s="2" t="s">
        <v>14132</v>
      </c>
      <c r="D44" s="2" t="s">
        <v>8972</v>
      </c>
    </row>
    <row r="45" spans="1:4" hidden="1" x14ac:dyDescent="0.45">
      <c r="A45" s="3" t="s">
        <v>5418</v>
      </c>
      <c r="B45" s="2" t="s">
        <v>8972</v>
      </c>
      <c r="C45" s="2" t="s">
        <v>14132</v>
      </c>
      <c r="D45" s="2" t="s">
        <v>8972</v>
      </c>
    </row>
    <row r="46" spans="1:4" hidden="1" x14ac:dyDescent="0.45">
      <c r="A46" s="3" t="s">
        <v>5441</v>
      </c>
      <c r="B46" s="2" t="s">
        <v>8972</v>
      </c>
      <c r="C46" s="2" t="s">
        <v>14132</v>
      </c>
      <c r="D46" s="2" t="s">
        <v>8972</v>
      </c>
    </row>
    <row r="47" spans="1:4" hidden="1" x14ac:dyDescent="0.45">
      <c r="A47" s="8" t="s">
        <v>5456</v>
      </c>
      <c r="B47" s="2" t="s">
        <v>8972</v>
      </c>
      <c r="C47" s="2" t="s">
        <v>14132</v>
      </c>
      <c r="D47" s="2" t="s">
        <v>8972</v>
      </c>
    </row>
    <row r="48" spans="1:4" hidden="1" x14ac:dyDescent="0.45">
      <c r="A48" s="8" t="s">
        <v>5474</v>
      </c>
      <c r="B48" s="2" t="s">
        <v>8972</v>
      </c>
      <c r="C48" s="2" t="s">
        <v>14132</v>
      </c>
      <c r="D48" s="2" t="s">
        <v>8972</v>
      </c>
    </row>
    <row r="49" spans="1:4" hidden="1" x14ac:dyDescent="0.45">
      <c r="A49" s="8" t="s">
        <v>5598</v>
      </c>
      <c r="B49" s="2" t="s">
        <v>8972</v>
      </c>
      <c r="C49" s="2" t="s">
        <v>14132</v>
      </c>
      <c r="D49" s="2" t="s">
        <v>8972</v>
      </c>
    </row>
    <row r="50" spans="1:4" hidden="1" x14ac:dyDescent="0.45">
      <c r="A50" s="8" t="s">
        <v>5485</v>
      </c>
      <c r="B50" s="2" t="s">
        <v>8972</v>
      </c>
      <c r="C50" s="2" t="s">
        <v>14132</v>
      </c>
      <c r="D50" s="2" t="s">
        <v>8972</v>
      </c>
    </row>
    <row r="51" spans="1:4" hidden="1" x14ac:dyDescent="0.45">
      <c r="A51" s="8" t="s">
        <v>5435</v>
      </c>
      <c r="B51" s="2" t="s">
        <v>8972</v>
      </c>
      <c r="C51" s="2" t="s">
        <v>14132</v>
      </c>
      <c r="D51" s="2" t="s">
        <v>8972</v>
      </c>
    </row>
    <row r="52" spans="1:4" hidden="1" x14ac:dyDescent="0.45">
      <c r="A52" s="8" t="s">
        <v>5471</v>
      </c>
      <c r="B52" s="2" t="s">
        <v>8972</v>
      </c>
      <c r="C52" s="2" t="s">
        <v>14132</v>
      </c>
      <c r="D52" s="2" t="s">
        <v>8972</v>
      </c>
    </row>
    <row r="53" spans="1:4" hidden="1" x14ac:dyDescent="0.45">
      <c r="A53" s="8" t="s">
        <v>5423</v>
      </c>
      <c r="B53" s="2" t="s">
        <v>8972</v>
      </c>
      <c r="C53" s="2" t="s">
        <v>14132</v>
      </c>
      <c r="D53" s="2" t="s">
        <v>8972</v>
      </c>
    </row>
    <row r="54" spans="1:4" hidden="1" x14ac:dyDescent="0.45">
      <c r="A54" s="8" t="s">
        <v>5448</v>
      </c>
      <c r="B54" s="2" t="s">
        <v>8972</v>
      </c>
      <c r="C54" s="2" t="s">
        <v>14132</v>
      </c>
      <c r="D54" s="2" t="s">
        <v>8972</v>
      </c>
    </row>
    <row r="55" spans="1:4" hidden="1" x14ac:dyDescent="0.45">
      <c r="A55" s="8" t="s">
        <v>5588</v>
      </c>
      <c r="B55" s="2" t="s">
        <v>8972</v>
      </c>
      <c r="C55" s="2" t="s">
        <v>14132</v>
      </c>
      <c r="D55" s="2" t="s">
        <v>8972</v>
      </c>
    </row>
    <row r="56" spans="1:4" hidden="1" x14ac:dyDescent="0.45">
      <c r="A56" s="8" t="s">
        <v>5504</v>
      </c>
      <c r="B56" s="2" t="s">
        <v>8972</v>
      </c>
      <c r="C56" s="2" t="s">
        <v>14132</v>
      </c>
      <c r="D56" s="2" t="s">
        <v>8972</v>
      </c>
    </row>
    <row r="57" spans="1:4" hidden="1" x14ac:dyDescent="0.45">
      <c r="A57" s="8" t="s">
        <v>5548</v>
      </c>
      <c r="B57" s="2" t="s">
        <v>8972</v>
      </c>
      <c r="C57" s="2" t="s">
        <v>14132</v>
      </c>
      <c r="D57" s="2" t="s">
        <v>8972</v>
      </c>
    </row>
    <row r="58" spans="1:4" hidden="1" x14ac:dyDescent="0.45">
      <c r="A58" s="8" t="s">
        <v>5534</v>
      </c>
      <c r="B58" s="2" t="s">
        <v>8972</v>
      </c>
      <c r="C58" s="2" t="s">
        <v>14132</v>
      </c>
      <c r="D58" s="2" t="s">
        <v>8972</v>
      </c>
    </row>
    <row r="59" spans="1:4" hidden="1" x14ac:dyDescent="0.45">
      <c r="A59" s="8" t="s">
        <v>5519</v>
      </c>
      <c r="B59" s="2" t="s">
        <v>8972</v>
      </c>
      <c r="C59" s="2" t="s">
        <v>14132</v>
      </c>
      <c r="D59" s="2" t="s">
        <v>8972</v>
      </c>
    </row>
    <row r="60" spans="1:4" hidden="1" x14ac:dyDescent="0.45">
      <c r="A60" s="8" t="s">
        <v>5466</v>
      </c>
      <c r="B60" s="2" t="s">
        <v>8972</v>
      </c>
      <c r="C60" s="2" t="s">
        <v>14132</v>
      </c>
      <c r="D60" s="2" t="s">
        <v>8972</v>
      </c>
    </row>
    <row r="61" spans="1:4" hidden="1" x14ac:dyDescent="0.45">
      <c r="A61" s="8" t="s">
        <v>5460</v>
      </c>
      <c r="B61" s="2" t="s">
        <v>8972</v>
      </c>
      <c r="C61" s="2" t="s">
        <v>14132</v>
      </c>
      <c r="D61" s="2" t="s">
        <v>8972</v>
      </c>
    </row>
    <row r="62" spans="1:4" hidden="1" x14ac:dyDescent="0.45">
      <c r="A62" s="8" t="s">
        <v>5445</v>
      </c>
      <c r="B62" s="2" t="s">
        <v>8972</v>
      </c>
      <c r="C62" s="2" t="s">
        <v>14132</v>
      </c>
      <c r="D62" s="2" t="s">
        <v>8972</v>
      </c>
    </row>
    <row r="63" spans="1:4" hidden="1" x14ac:dyDescent="0.45">
      <c r="A63" s="8" t="s">
        <v>5549</v>
      </c>
      <c r="B63" s="2" t="s">
        <v>8972</v>
      </c>
      <c r="C63" s="2" t="s">
        <v>14132</v>
      </c>
      <c r="D63" s="2" t="s">
        <v>8972</v>
      </c>
    </row>
    <row r="64" spans="1:4" hidden="1" x14ac:dyDescent="0.45">
      <c r="A64" s="8" t="s">
        <v>5521</v>
      </c>
      <c r="B64" s="2" t="s">
        <v>8972</v>
      </c>
      <c r="C64" s="2" t="s">
        <v>14132</v>
      </c>
      <c r="D64" s="2" t="s">
        <v>8972</v>
      </c>
    </row>
    <row r="65" spans="1:4" hidden="1" x14ac:dyDescent="0.45">
      <c r="A65" s="8" t="s">
        <v>5459</v>
      </c>
      <c r="B65" s="2" t="s">
        <v>8972</v>
      </c>
      <c r="C65" s="2" t="s">
        <v>14132</v>
      </c>
      <c r="D65" s="2" t="s">
        <v>8972</v>
      </c>
    </row>
    <row r="66" spans="1:4" hidden="1" x14ac:dyDescent="0.45">
      <c r="A66" s="8" t="s">
        <v>5479</v>
      </c>
      <c r="B66" s="2" t="s">
        <v>8972</v>
      </c>
      <c r="C66" s="2" t="s">
        <v>14132</v>
      </c>
      <c r="D66" s="2" t="s">
        <v>8972</v>
      </c>
    </row>
    <row r="67" spans="1:4" hidden="1" x14ac:dyDescent="0.45">
      <c r="A67" s="8" t="s">
        <v>5616</v>
      </c>
      <c r="B67" s="2" t="s">
        <v>8972</v>
      </c>
      <c r="C67" s="2" t="s">
        <v>14132</v>
      </c>
      <c r="D67" s="2" t="s">
        <v>8972</v>
      </c>
    </row>
    <row r="68" spans="1:4" hidden="1" x14ac:dyDescent="0.45">
      <c r="A68" s="8" t="s">
        <v>5494</v>
      </c>
      <c r="B68" s="2" t="s">
        <v>8972</v>
      </c>
      <c r="C68" s="2" t="s">
        <v>14132</v>
      </c>
      <c r="D68" s="2" t="s">
        <v>8972</v>
      </c>
    </row>
    <row r="69" spans="1:4" hidden="1" x14ac:dyDescent="0.45">
      <c r="A69" s="8"/>
      <c r="B69" s="5" t="s">
        <v>14104</v>
      </c>
      <c r="C69" s="5" t="s">
        <v>3696</v>
      </c>
      <c r="D69" s="6" t="s">
        <v>14130</v>
      </c>
    </row>
    <row r="70" spans="1:4" hidden="1" x14ac:dyDescent="0.45">
      <c r="A70" s="8"/>
      <c r="B70" s="5" t="s">
        <v>14105</v>
      </c>
      <c r="C70" s="5" t="s">
        <v>137</v>
      </c>
      <c r="D70" s="6" t="s">
        <v>14130</v>
      </c>
    </row>
    <row r="71" spans="1:4" x14ac:dyDescent="0.45">
      <c r="A71" t="s">
        <v>5853</v>
      </c>
      <c r="B71" s="2" t="s">
        <v>6783</v>
      </c>
      <c r="C71" s="4" t="s">
        <v>14096</v>
      </c>
      <c r="D71" s="2" t="s">
        <v>14134</v>
      </c>
    </row>
    <row r="72" spans="1:4" x14ac:dyDescent="0.45">
      <c r="A72" t="s">
        <v>5570</v>
      </c>
      <c r="B72" s="2" t="s">
        <v>6783</v>
      </c>
      <c r="C72" s="4" t="s">
        <v>14096</v>
      </c>
      <c r="D72" s="2" t="s">
        <v>14134</v>
      </c>
    </row>
    <row r="73" spans="1:4" x14ac:dyDescent="0.45">
      <c r="A73" t="s">
        <v>5567</v>
      </c>
      <c r="B73" s="2" t="s">
        <v>6783</v>
      </c>
      <c r="C73" s="4" t="s">
        <v>14096</v>
      </c>
      <c r="D73" s="2" t="s">
        <v>14134</v>
      </c>
    </row>
    <row r="74" spans="1:4" x14ac:dyDescent="0.45">
      <c r="A74" t="s">
        <v>5639</v>
      </c>
      <c r="B74" s="2" t="s">
        <v>6783</v>
      </c>
      <c r="C74" s="4" t="s">
        <v>14096</v>
      </c>
      <c r="D74" s="2" t="s">
        <v>14134</v>
      </c>
    </row>
    <row r="75" spans="1:4" x14ac:dyDescent="0.45">
      <c r="A75" t="s">
        <v>5527</v>
      </c>
      <c r="B75" s="2" t="s">
        <v>6783</v>
      </c>
      <c r="C75" s="4" t="s">
        <v>14096</v>
      </c>
      <c r="D75" s="2" t="s">
        <v>14134</v>
      </c>
    </row>
    <row r="76" spans="1:4" x14ac:dyDescent="0.45">
      <c r="A76" t="s">
        <v>5986</v>
      </c>
      <c r="B76" s="2" t="s">
        <v>6783</v>
      </c>
      <c r="C76" s="4" t="s">
        <v>14096</v>
      </c>
      <c r="D76" s="2" t="s">
        <v>14134</v>
      </c>
    </row>
    <row r="77" spans="1:4" x14ac:dyDescent="0.45">
      <c r="A77" t="s">
        <v>5451</v>
      </c>
      <c r="B77" s="2" t="s">
        <v>6783</v>
      </c>
      <c r="C77" s="4" t="s">
        <v>14096</v>
      </c>
      <c r="D77" s="2" t="s">
        <v>14134</v>
      </c>
    </row>
    <row r="78" spans="1:4" x14ac:dyDescent="0.45">
      <c r="A78" t="s">
        <v>5594</v>
      </c>
      <c r="B78" s="2" t="s">
        <v>6783</v>
      </c>
      <c r="C78" s="4" t="s">
        <v>14096</v>
      </c>
      <c r="D78" s="2" t="s">
        <v>14134</v>
      </c>
    </row>
    <row r="79" spans="1:4" x14ac:dyDescent="0.45">
      <c r="A79" t="s">
        <v>5623</v>
      </c>
      <c r="B79" s="2" t="s">
        <v>6783</v>
      </c>
      <c r="C79" s="4" t="s">
        <v>14096</v>
      </c>
      <c r="D79" s="2" t="s">
        <v>14134</v>
      </c>
    </row>
    <row r="80" spans="1:4" x14ac:dyDescent="0.45">
      <c r="A80" t="s">
        <v>5558</v>
      </c>
      <c r="B80" s="2" t="s">
        <v>6783</v>
      </c>
      <c r="C80" s="4" t="s">
        <v>14096</v>
      </c>
      <c r="D80" s="2" t="s">
        <v>14134</v>
      </c>
    </row>
    <row r="81" spans="1:4" x14ac:dyDescent="0.45">
      <c r="A81" t="s">
        <v>5571</v>
      </c>
      <c r="B81" s="2" t="s">
        <v>6783</v>
      </c>
      <c r="C81" s="4" t="s">
        <v>14096</v>
      </c>
      <c r="D81" s="2" t="s">
        <v>14134</v>
      </c>
    </row>
    <row r="82" spans="1:4" x14ac:dyDescent="0.45">
      <c r="A82" t="s">
        <v>5528</v>
      </c>
      <c r="B82" s="2" t="s">
        <v>6783</v>
      </c>
      <c r="C82" s="4" t="s">
        <v>14096</v>
      </c>
      <c r="D82" s="2" t="s">
        <v>14134</v>
      </c>
    </row>
    <row r="83" spans="1:4" x14ac:dyDescent="0.45">
      <c r="A83" t="s">
        <v>5592</v>
      </c>
      <c r="B83" s="2" t="s">
        <v>6783</v>
      </c>
      <c r="C83" s="4" t="s">
        <v>14096</v>
      </c>
      <c r="D83" s="2" t="s">
        <v>14134</v>
      </c>
    </row>
    <row r="84" spans="1:4" x14ac:dyDescent="0.45">
      <c r="A84" t="s">
        <v>5514</v>
      </c>
      <c r="B84" s="2" t="s">
        <v>6783</v>
      </c>
      <c r="C84" s="4" t="s">
        <v>14096</v>
      </c>
      <c r="D84" s="2" t="s">
        <v>14134</v>
      </c>
    </row>
    <row r="85" spans="1:4" x14ac:dyDescent="0.45">
      <c r="A85" t="s">
        <v>5731</v>
      </c>
      <c r="B85" s="2" t="s">
        <v>6783</v>
      </c>
      <c r="C85" s="4" t="s">
        <v>14096</v>
      </c>
      <c r="D85" s="2" t="s">
        <v>14134</v>
      </c>
    </row>
    <row r="86" spans="1:4" x14ac:dyDescent="0.45">
      <c r="A86" t="s">
        <v>5753</v>
      </c>
      <c r="B86" s="2" t="s">
        <v>6783</v>
      </c>
      <c r="C86" s="4" t="s">
        <v>14096</v>
      </c>
      <c r="D86" s="2" t="s">
        <v>14134</v>
      </c>
    </row>
    <row r="87" spans="1:4" x14ac:dyDescent="0.45">
      <c r="A87" t="s">
        <v>5989</v>
      </c>
      <c r="B87" s="2" t="s">
        <v>6783</v>
      </c>
      <c r="C87" s="4" t="s">
        <v>14096</v>
      </c>
      <c r="D87" s="2" t="s">
        <v>14134</v>
      </c>
    </row>
    <row r="88" spans="1:4" x14ac:dyDescent="0.45">
      <c r="A88" t="s">
        <v>5525</v>
      </c>
      <c r="B88" s="2" t="s">
        <v>6783</v>
      </c>
      <c r="C88" s="4" t="s">
        <v>14096</v>
      </c>
      <c r="D88" s="2" t="s">
        <v>14134</v>
      </c>
    </row>
    <row r="89" spans="1:4" x14ac:dyDescent="0.45">
      <c r="A89" t="s">
        <v>5607</v>
      </c>
      <c r="B89" s="2" t="s">
        <v>6783</v>
      </c>
      <c r="C89" s="4" t="s">
        <v>14096</v>
      </c>
      <c r="D89" s="2" t="s">
        <v>14134</v>
      </c>
    </row>
    <row r="90" spans="1:4" x14ac:dyDescent="0.45">
      <c r="A90" t="s">
        <v>5556</v>
      </c>
      <c r="B90" s="2" t="s">
        <v>6783</v>
      </c>
      <c r="C90" s="4" t="s">
        <v>14096</v>
      </c>
      <c r="D90" s="2" t="s">
        <v>14134</v>
      </c>
    </row>
    <row r="91" spans="1:4" x14ac:dyDescent="0.45">
      <c r="A91" t="s">
        <v>5895</v>
      </c>
      <c r="B91" s="2" t="s">
        <v>6783</v>
      </c>
      <c r="C91" s="4" t="s">
        <v>14096</v>
      </c>
      <c r="D91" s="2" t="s">
        <v>14134</v>
      </c>
    </row>
    <row r="92" spans="1:4" x14ac:dyDescent="0.45">
      <c r="A92" t="s">
        <v>5553</v>
      </c>
      <c r="B92" s="2" t="s">
        <v>6783</v>
      </c>
      <c r="C92" s="4" t="s">
        <v>14096</v>
      </c>
      <c r="D92" s="2" t="s">
        <v>14134</v>
      </c>
    </row>
    <row r="93" spans="1:4" x14ac:dyDescent="0.45">
      <c r="A93" t="s">
        <v>5624</v>
      </c>
      <c r="B93" s="2" t="s">
        <v>6783</v>
      </c>
      <c r="C93" s="4" t="s">
        <v>14096</v>
      </c>
      <c r="D93" s="2" t="s">
        <v>14134</v>
      </c>
    </row>
    <row r="94" spans="1:4" x14ac:dyDescent="0.45">
      <c r="A94" t="s">
        <v>5604</v>
      </c>
      <c r="B94" s="2" t="s">
        <v>6783</v>
      </c>
      <c r="C94" s="4" t="s">
        <v>14096</v>
      </c>
      <c r="D94" s="2" t="s">
        <v>14134</v>
      </c>
    </row>
    <row r="95" spans="1:4" x14ac:dyDescent="0.45">
      <c r="A95" t="s">
        <v>6279</v>
      </c>
      <c r="B95" s="2" t="s">
        <v>6783</v>
      </c>
      <c r="C95" s="4" t="s">
        <v>14096</v>
      </c>
      <c r="D95" s="2" t="s">
        <v>14134</v>
      </c>
    </row>
    <row r="96" spans="1:4" x14ac:dyDescent="0.45">
      <c r="A96" t="s">
        <v>6029</v>
      </c>
      <c r="B96" s="2" t="s">
        <v>6783</v>
      </c>
      <c r="C96" s="4" t="s">
        <v>14096</v>
      </c>
      <c r="D96" s="2" t="s">
        <v>14134</v>
      </c>
    </row>
    <row r="97" spans="1:4" x14ac:dyDescent="0.45">
      <c r="A97" t="s">
        <v>5542</v>
      </c>
      <c r="B97" s="2" t="s">
        <v>6784</v>
      </c>
      <c r="C97" s="5" t="s">
        <v>14097</v>
      </c>
      <c r="D97" s="2" t="s">
        <v>14134</v>
      </c>
    </row>
    <row r="98" spans="1:4" x14ac:dyDescent="0.45">
      <c r="A98" t="s">
        <v>5762</v>
      </c>
      <c r="B98" s="2" t="s">
        <v>6784</v>
      </c>
      <c r="C98" s="5" t="s">
        <v>14097</v>
      </c>
      <c r="D98" s="2" t="s">
        <v>14134</v>
      </c>
    </row>
    <row r="99" spans="1:4" x14ac:dyDescent="0.45">
      <c r="A99" t="s">
        <v>5545</v>
      </c>
      <c r="B99" s="2" t="s">
        <v>6784</v>
      </c>
      <c r="C99" s="5" t="s">
        <v>14097</v>
      </c>
      <c r="D99" s="2" t="s">
        <v>14134</v>
      </c>
    </row>
    <row r="100" spans="1:4" x14ac:dyDescent="0.45">
      <c r="A100" t="s">
        <v>5462</v>
      </c>
      <c r="B100" s="2" t="s">
        <v>6784</v>
      </c>
      <c r="C100" s="5" t="s">
        <v>14097</v>
      </c>
      <c r="D100" s="2" t="s">
        <v>14134</v>
      </c>
    </row>
    <row r="101" spans="1:4" x14ac:dyDescent="0.45">
      <c r="A101" t="s">
        <v>5741</v>
      </c>
      <c r="B101" s="2" t="s">
        <v>6784</v>
      </c>
      <c r="C101" s="5" t="s">
        <v>14097</v>
      </c>
      <c r="D101" s="2" t="s">
        <v>14134</v>
      </c>
    </row>
    <row r="102" spans="1:4" x14ac:dyDescent="0.45">
      <c r="A102" t="s">
        <v>5523</v>
      </c>
      <c r="B102" s="2" t="s">
        <v>6784</v>
      </c>
      <c r="C102" s="5" t="s">
        <v>14097</v>
      </c>
      <c r="D102" s="2" t="s">
        <v>14134</v>
      </c>
    </row>
    <row r="103" spans="1:4" x14ac:dyDescent="0.45">
      <c r="A103" t="s">
        <v>5502</v>
      </c>
      <c r="B103" s="2" t="s">
        <v>6784</v>
      </c>
      <c r="C103" s="5" t="s">
        <v>14097</v>
      </c>
      <c r="D103" s="2" t="s">
        <v>14134</v>
      </c>
    </row>
    <row r="104" spans="1:4" x14ac:dyDescent="0.45">
      <c r="A104" t="s">
        <v>5409</v>
      </c>
      <c r="B104" s="2" t="s">
        <v>6784</v>
      </c>
      <c r="C104" s="5" t="s">
        <v>14097</v>
      </c>
      <c r="D104" s="2" t="s">
        <v>14134</v>
      </c>
    </row>
    <row r="105" spans="1:4" x14ac:dyDescent="0.45">
      <c r="A105" t="s">
        <v>5465</v>
      </c>
      <c r="B105" s="2" t="s">
        <v>6784</v>
      </c>
      <c r="C105" s="5" t="s">
        <v>14097</v>
      </c>
      <c r="D105" s="2" t="s">
        <v>14134</v>
      </c>
    </row>
    <row r="106" spans="1:4" x14ac:dyDescent="0.45">
      <c r="A106" t="s">
        <v>5490</v>
      </c>
      <c r="B106" s="2" t="s">
        <v>6784</v>
      </c>
      <c r="C106" s="5" t="s">
        <v>14097</v>
      </c>
      <c r="D106" s="2" t="s">
        <v>14134</v>
      </c>
    </row>
    <row r="107" spans="1:4" x14ac:dyDescent="0.45">
      <c r="A107" t="s">
        <v>5577</v>
      </c>
      <c r="B107" s="2" t="s">
        <v>6784</v>
      </c>
      <c r="C107" s="5" t="s">
        <v>14097</v>
      </c>
      <c r="D107" s="2" t="s">
        <v>14134</v>
      </c>
    </row>
    <row r="108" spans="1:4" x14ac:dyDescent="0.45">
      <c r="A108" t="s">
        <v>5437</v>
      </c>
      <c r="B108" s="2" t="s">
        <v>6784</v>
      </c>
      <c r="C108" s="5" t="s">
        <v>14097</v>
      </c>
      <c r="D108" s="2" t="s">
        <v>14134</v>
      </c>
    </row>
    <row r="109" spans="1:4" x14ac:dyDescent="0.45">
      <c r="A109" t="s">
        <v>5442</v>
      </c>
      <c r="B109" s="2" t="s">
        <v>6784</v>
      </c>
      <c r="C109" s="5" t="s">
        <v>14097</v>
      </c>
      <c r="D109" s="2" t="s">
        <v>14134</v>
      </c>
    </row>
    <row r="110" spans="1:4" x14ac:dyDescent="0.45">
      <c r="A110" t="s">
        <v>5562</v>
      </c>
      <c r="B110" s="2" t="s">
        <v>6784</v>
      </c>
      <c r="C110" s="5" t="s">
        <v>14097</v>
      </c>
      <c r="D110" s="2" t="s">
        <v>14134</v>
      </c>
    </row>
    <row r="111" spans="1:4" hidden="1" x14ac:dyDescent="0.45">
      <c r="A111" s="8"/>
      <c r="B111" s="5" t="s">
        <v>14106</v>
      </c>
      <c r="C111" s="5" t="s">
        <v>2858</v>
      </c>
      <c r="D111" s="6" t="s">
        <v>14130</v>
      </c>
    </row>
    <row r="112" spans="1:4" hidden="1" x14ac:dyDescent="0.45">
      <c r="A112" s="8"/>
      <c r="B112" s="5" t="s">
        <v>14107</v>
      </c>
      <c r="C112" s="5" t="s">
        <v>14122</v>
      </c>
      <c r="D112" s="6" t="s">
        <v>14131</v>
      </c>
    </row>
    <row r="113" spans="1:4" hidden="1" x14ac:dyDescent="0.45">
      <c r="A113" s="8"/>
      <c r="B113" s="5" t="s">
        <v>14109</v>
      </c>
      <c r="C113" s="5" t="s">
        <v>1224</v>
      </c>
      <c r="D113" s="6" t="s">
        <v>14130</v>
      </c>
    </row>
    <row r="114" spans="1:4" hidden="1" x14ac:dyDescent="0.45">
      <c r="A114" s="8"/>
      <c r="B114" s="5" t="s">
        <v>14108</v>
      </c>
      <c r="C114" s="5" t="s">
        <v>62</v>
      </c>
      <c r="D114" s="6" t="s">
        <v>14131</v>
      </c>
    </row>
    <row r="115" spans="1:4" hidden="1" x14ac:dyDescent="0.45">
      <c r="A115" s="8"/>
      <c r="B115" s="5" t="s">
        <v>14110</v>
      </c>
      <c r="C115" s="5" t="s">
        <v>14123</v>
      </c>
      <c r="D115" s="6" t="s">
        <v>14131</v>
      </c>
    </row>
    <row r="116" spans="1:4" hidden="1" x14ac:dyDescent="0.45">
      <c r="A116" s="8"/>
      <c r="B116" s="5" t="s">
        <v>14111</v>
      </c>
      <c r="C116" s="5" t="s">
        <v>14124</v>
      </c>
      <c r="D116" s="6" t="s">
        <v>14131</v>
      </c>
    </row>
    <row r="117" spans="1:4" hidden="1" x14ac:dyDescent="0.45">
      <c r="A117" s="8"/>
      <c r="B117" s="5" t="s">
        <v>14112</v>
      </c>
      <c r="C117" s="5" t="s">
        <v>678</v>
      </c>
      <c r="D117" s="6" t="s">
        <v>14130</v>
      </c>
    </row>
    <row r="118" spans="1:4" x14ac:dyDescent="0.45">
      <c r="A118" t="s">
        <v>5476</v>
      </c>
      <c r="B118" s="2" t="s">
        <v>6785</v>
      </c>
      <c r="C118" s="5" t="s">
        <v>14098</v>
      </c>
      <c r="D118" s="2" t="s">
        <v>14134</v>
      </c>
    </row>
    <row r="119" spans="1:4" x14ac:dyDescent="0.45">
      <c r="A119" t="s">
        <v>5507</v>
      </c>
      <c r="B119" s="2" t="s">
        <v>6785</v>
      </c>
      <c r="C119" s="5" t="s">
        <v>14098</v>
      </c>
      <c r="D119" s="2" t="s">
        <v>14134</v>
      </c>
    </row>
    <row r="120" spans="1:4" x14ac:dyDescent="0.45">
      <c r="A120" t="s">
        <v>5506</v>
      </c>
      <c r="B120" s="2" t="s">
        <v>6785</v>
      </c>
      <c r="C120" s="5" t="s">
        <v>14098</v>
      </c>
      <c r="D120" s="2" t="s">
        <v>14134</v>
      </c>
    </row>
    <row r="121" spans="1:4" x14ac:dyDescent="0.45">
      <c r="A121" t="s">
        <v>5463</v>
      </c>
      <c r="B121" s="2" t="s">
        <v>6785</v>
      </c>
      <c r="C121" s="5" t="s">
        <v>14098</v>
      </c>
      <c r="D121" s="2" t="s">
        <v>14134</v>
      </c>
    </row>
    <row r="122" spans="1:4" x14ac:dyDescent="0.45">
      <c r="A122" t="s">
        <v>5713</v>
      </c>
      <c r="B122" s="2" t="s">
        <v>6785</v>
      </c>
      <c r="C122" s="5" t="s">
        <v>14098</v>
      </c>
      <c r="D122" s="2" t="s">
        <v>14134</v>
      </c>
    </row>
    <row r="123" spans="1:4" x14ac:dyDescent="0.45">
      <c r="A123" t="s">
        <v>5500</v>
      </c>
      <c r="B123" s="2" t="s">
        <v>6785</v>
      </c>
      <c r="C123" s="5" t="s">
        <v>14098</v>
      </c>
      <c r="D123" s="2" t="s">
        <v>14134</v>
      </c>
    </row>
    <row r="124" spans="1:4" x14ac:dyDescent="0.45">
      <c r="A124" t="s">
        <v>5488</v>
      </c>
      <c r="B124" s="2" t="s">
        <v>6785</v>
      </c>
      <c r="C124" s="5" t="s">
        <v>14098</v>
      </c>
      <c r="D124" s="2" t="s">
        <v>14134</v>
      </c>
    </row>
    <row r="125" spans="1:4" x14ac:dyDescent="0.45">
      <c r="A125" t="s">
        <v>5843</v>
      </c>
      <c r="B125" s="2" t="s">
        <v>6785</v>
      </c>
      <c r="C125" s="5" t="s">
        <v>14098</v>
      </c>
      <c r="D125" s="2" t="s">
        <v>14134</v>
      </c>
    </row>
    <row r="126" spans="1:4" x14ac:dyDescent="0.45">
      <c r="A126" s="7" t="s">
        <v>5630</v>
      </c>
      <c r="B126" s="2" t="s">
        <v>6785</v>
      </c>
      <c r="C126" s="5" t="s">
        <v>14098</v>
      </c>
      <c r="D126" s="2" t="s">
        <v>14134</v>
      </c>
    </row>
    <row r="127" spans="1:4" x14ac:dyDescent="0.45">
      <c r="A127" s="7" t="s">
        <v>5605</v>
      </c>
      <c r="B127" s="2" t="s">
        <v>6785</v>
      </c>
      <c r="C127" s="5" t="s">
        <v>14098</v>
      </c>
      <c r="D127" s="2" t="s">
        <v>14134</v>
      </c>
    </row>
    <row r="128" spans="1:4" x14ac:dyDescent="0.45">
      <c r="A128" s="7" t="s">
        <v>5645</v>
      </c>
      <c r="B128" s="2" t="s">
        <v>6785</v>
      </c>
      <c r="C128" s="5" t="s">
        <v>14098</v>
      </c>
      <c r="D128" s="2" t="s">
        <v>14134</v>
      </c>
    </row>
    <row r="129" spans="1:4" x14ac:dyDescent="0.45">
      <c r="A129" s="7" t="s">
        <v>5531</v>
      </c>
      <c r="B129" s="2" t="s">
        <v>6785</v>
      </c>
      <c r="C129" s="5" t="s">
        <v>14098</v>
      </c>
      <c r="D129" s="2" t="s">
        <v>14134</v>
      </c>
    </row>
    <row r="130" spans="1:4" x14ac:dyDescent="0.45">
      <c r="A130" s="7" t="s">
        <v>5489</v>
      </c>
      <c r="B130" s="2" t="s">
        <v>6785</v>
      </c>
      <c r="C130" s="5" t="s">
        <v>14098</v>
      </c>
      <c r="D130" s="2" t="s">
        <v>14134</v>
      </c>
    </row>
    <row r="131" spans="1:4" x14ac:dyDescent="0.45">
      <c r="A131" s="7" t="s">
        <v>5610</v>
      </c>
      <c r="B131" s="2" t="s">
        <v>6785</v>
      </c>
      <c r="C131" s="5" t="s">
        <v>14098</v>
      </c>
      <c r="D131" s="2" t="s">
        <v>14134</v>
      </c>
    </row>
    <row r="132" spans="1:4" x14ac:dyDescent="0.45">
      <c r="A132" s="7" t="s">
        <v>5508</v>
      </c>
      <c r="B132" s="2" t="s">
        <v>6785</v>
      </c>
      <c r="C132" s="5" t="s">
        <v>14098</v>
      </c>
      <c r="D132" s="2" t="s">
        <v>14134</v>
      </c>
    </row>
    <row r="133" spans="1:4" x14ac:dyDescent="0.45">
      <c r="A133" s="7" t="s">
        <v>5667</v>
      </c>
      <c r="B133" s="2" t="s">
        <v>6785</v>
      </c>
      <c r="C133" s="5" t="s">
        <v>14098</v>
      </c>
      <c r="D133" s="2" t="s">
        <v>14134</v>
      </c>
    </row>
    <row r="134" spans="1:4" x14ac:dyDescent="0.45">
      <c r="A134" s="7" t="s">
        <v>5533</v>
      </c>
      <c r="B134" s="2" t="s">
        <v>6785</v>
      </c>
      <c r="C134" s="5" t="s">
        <v>14098</v>
      </c>
      <c r="D134" s="2" t="s">
        <v>14134</v>
      </c>
    </row>
    <row r="135" spans="1:4" x14ac:dyDescent="0.45">
      <c r="A135" s="7" t="s">
        <v>5411</v>
      </c>
      <c r="B135" s="2" t="s">
        <v>6785</v>
      </c>
      <c r="C135" s="5" t="s">
        <v>14098</v>
      </c>
      <c r="D135" s="2" t="s">
        <v>14134</v>
      </c>
    </row>
    <row r="136" spans="1:4" x14ac:dyDescent="0.45">
      <c r="A136" s="7" t="s">
        <v>5619</v>
      </c>
      <c r="B136" s="2" t="s">
        <v>6785</v>
      </c>
      <c r="C136" s="5" t="s">
        <v>14098</v>
      </c>
      <c r="D136" s="2" t="s">
        <v>14134</v>
      </c>
    </row>
    <row r="137" spans="1:4" x14ac:dyDescent="0.45">
      <c r="A137" s="7" t="s">
        <v>5611</v>
      </c>
      <c r="B137" s="2" t="s">
        <v>6785</v>
      </c>
      <c r="C137" s="5" t="s">
        <v>14098</v>
      </c>
      <c r="D137" s="2" t="s">
        <v>14134</v>
      </c>
    </row>
    <row r="138" spans="1:4" x14ac:dyDescent="0.45">
      <c r="A138" s="7" t="s">
        <v>5468</v>
      </c>
      <c r="B138" s="2" t="s">
        <v>6785</v>
      </c>
      <c r="C138" s="5" t="s">
        <v>14098</v>
      </c>
      <c r="D138" s="2" t="s">
        <v>14134</v>
      </c>
    </row>
    <row r="139" spans="1:4" x14ac:dyDescent="0.45">
      <c r="A139" s="7" t="s">
        <v>5636</v>
      </c>
      <c r="B139" s="2" t="s">
        <v>6785</v>
      </c>
      <c r="C139" s="5" t="s">
        <v>14098</v>
      </c>
      <c r="D139" s="2" t="s">
        <v>14134</v>
      </c>
    </row>
    <row r="140" spans="1:4" hidden="1" x14ac:dyDescent="0.45">
      <c r="A140" s="3"/>
      <c r="B140" s="5" t="s">
        <v>14113</v>
      </c>
      <c r="C140" s="5" t="s">
        <v>14125</v>
      </c>
      <c r="D140" s="6" t="s">
        <v>14131</v>
      </c>
    </row>
    <row r="141" spans="1:4" hidden="1" x14ac:dyDescent="0.45">
      <c r="A141" s="3"/>
      <c r="B141" s="5" t="s">
        <v>14114</v>
      </c>
      <c r="C141" s="5" t="s">
        <v>2809</v>
      </c>
      <c r="D141" s="6" t="s">
        <v>14130</v>
      </c>
    </row>
    <row r="142" spans="1:4" hidden="1" x14ac:dyDescent="0.45">
      <c r="A142" s="3"/>
      <c r="B142" s="5" t="s">
        <v>14115</v>
      </c>
      <c r="C142" s="5" t="s">
        <v>3407</v>
      </c>
      <c r="D142" s="6" t="s">
        <v>14130</v>
      </c>
    </row>
    <row r="143" spans="1:4" hidden="1" x14ac:dyDescent="0.45">
      <c r="A143" s="3"/>
      <c r="B143" s="5" t="s">
        <v>14117</v>
      </c>
      <c r="C143" s="5" t="s">
        <v>14127</v>
      </c>
      <c r="D143" s="6" t="s">
        <v>14131</v>
      </c>
    </row>
    <row r="144" spans="1:4" hidden="1" x14ac:dyDescent="0.45">
      <c r="A144" s="3"/>
      <c r="B144" s="5" t="s">
        <v>14116</v>
      </c>
      <c r="C144" s="5" t="s">
        <v>14126</v>
      </c>
      <c r="D144" s="6" t="s">
        <v>14131</v>
      </c>
    </row>
    <row r="145" spans="1:4" hidden="1" x14ac:dyDescent="0.45">
      <c r="A145" s="3"/>
      <c r="B145" s="5" t="s">
        <v>14118</v>
      </c>
      <c r="C145" s="5" t="s">
        <v>14128</v>
      </c>
      <c r="D145" s="6" t="s">
        <v>14131</v>
      </c>
    </row>
    <row r="146" spans="1:4" hidden="1" x14ac:dyDescent="0.45">
      <c r="A146" s="3"/>
      <c r="B146" s="5" t="s">
        <v>14119</v>
      </c>
      <c r="C146" s="5" t="s">
        <v>14129</v>
      </c>
      <c r="D146" s="6" t="s">
        <v>14131</v>
      </c>
    </row>
  </sheetData>
  <conditionalFormatting sqref="A47:A125">
    <cfRule type="duplicateValues" dxfId="3" priority="1"/>
  </conditionalFormatting>
  <hyperlinks>
    <hyperlink ref="C79:C85" r:id="rId1" display="bwilliams5@ameritfleet.com" xr:uid="{0525BEEE-1F2A-4467-A812-1011153C42E0}"/>
    <hyperlink ref="C100:C125" r:id="rId2" display="hfrancis@ameritfleet.com" xr:uid="{1AD7904D-0A1C-45F5-8B0A-7A4C48FC06E5}"/>
  </hyperlinks>
  <pageMargins left="0.7" right="0.7" top="0.75" bottom="0.75" header="0.3" footer="0.3"/>
  <tableParts count="1">
    <tablePart r:id="rId3"/>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VRO Export</vt:lpstr>
      <vt:lpstr>OOS GARDA</vt:lpstr>
      <vt:lpstr>Useful %</vt:lpstr>
      <vt:lpstr>Useful % DOD</vt:lpstr>
      <vt:lpstr>Resource Table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Nomar Maysonet</dc:creator>
  <cp:lastModifiedBy>Nomar Maysonet</cp:lastModifiedBy>
  <dcterms:created xsi:type="dcterms:W3CDTF">2026-03-11T00:48:31Z</dcterms:created>
  <dcterms:modified xsi:type="dcterms:W3CDTF">2026-03-31T11:52:02Z</dcterms:modified>
</cp:coreProperties>
</file>